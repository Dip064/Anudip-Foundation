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mir\OneDrive\Desktop\GitHub Anudip\"/>
    </mc:Choice>
  </mc:AlternateContent>
  <xr:revisionPtr revIDLastSave="0" documentId="13_ncr:1_{A7C60CA6-6C9D-46CA-AEDC-16CF3918229A}" xr6:coauthVersionLast="47" xr6:coauthVersionMax="47" xr10:uidLastSave="{00000000-0000-0000-0000-000000000000}"/>
  <bookViews>
    <workbookView xWindow="-108" yWindow="-108" windowWidth="23256" windowHeight="12456" tabRatio="868" activeTab="7" xr2:uid="{DC384DB6-ECDF-48D1-AEE3-0F99DF160FFD}"/>
  </bookViews>
  <sheets>
    <sheet name="Main data" sheetId="1" r:id="rId1"/>
    <sheet name="1-6" sheetId="2" r:id="rId2"/>
    <sheet name="7" sheetId="3" r:id="rId3"/>
    <sheet name="8" sheetId="15" r:id="rId4"/>
    <sheet name="9" sheetId="16" r:id="rId5"/>
    <sheet name="10" sheetId="4" r:id="rId6"/>
    <sheet name="11" sheetId="5" r:id="rId7"/>
    <sheet name="12 13" sheetId="6" r:id="rId8"/>
    <sheet name="14" sheetId="7" r:id="rId9"/>
    <sheet name="15" sheetId="8" r:id="rId10"/>
    <sheet name="16" sheetId="14" r:id="rId11"/>
    <sheet name="17" sheetId="9" r:id="rId12"/>
    <sheet name="18" sheetId="10" r:id="rId13"/>
    <sheet name="19-26" sheetId="11" r:id="rId14"/>
    <sheet name="27" sheetId="13" r:id="rId15"/>
    <sheet name="29-33" sheetId="17" r:id="rId16"/>
    <sheet name="34" sheetId="19" r:id="rId17"/>
    <sheet name="28 Pivot" sheetId="20" r:id="rId18"/>
    <sheet name="28 Dashboard" sheetId="21" r:id="rId19"/>
  </sheets>
  <definedNames>
    <definedName name="_xlnm._FilterDatabase" localSheetId="5" hidden="1">'10'!$A$3:$J$503</definedName>
    <definedName name="_xlnm._FilterDatabase" localSheetId="6" hidden="1">'11'!$A$3:$J$503</definedName>
    <definedName name="_xlnm._FilterDatabase" localSheetId="9" hidden="1">'15'!$B$4:$B$503</definedName>
    <definedName name="_xlnm._FilterDatabase" localSheetId="10" hidden="1">'16'!#REF!</definedName>
    <definedName name="_xlnm._FilterDatabase" localSheetId="15" hidden="1">'29-33'!$A$1:$J$501</definedName>
    <definedName name="_xlnm._FilterDatabase" localSheetId="2" hidden="1">'7'!#REF!</definedName>
    <definedName name="_xlnm._FilterDatabase" localSheetId="3" hidden="1">'8'!#REF!</definedName>
    <definedName name="_xlnm._FilterDatabase" localSheetId="4" hidden="1">'9'!$A$3:$J$503</definedName>
    <definedName name="_xlnm.Criteria" localSheetId="5">'10'!$L$1:$L$2</definedName>
    <definedName name="_xlnm.Criteria" localSheetId="6">'11'!$L$1:$M$2</definedName>
    <definedName name="_xlnm.Criteria" localSheetId="15">'29-33'!$BM$1:$BM$3</definedName>
    <definedName name="_xlnm.Criteria" localSheetId="2">'7'!#REF!</definedName>
    <definedName name="_xlnm.Criteria" localSheetId="3">'8'!#REF!</definedName>
    <definedName name="_xlnm.Criteria" localSheetId="4">'9'!$L$1:$L$2</definedName>
    <definedName name="_xlnm.Extract" localSheetId="15">'29-33'!$BD$4:$BM$4</definedName>
  </definedNames>
  <calcPr calcId="191029"/>
  <pivotCaches>
    <pivotCache cacheId="1" r:id="rId2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9" l="1"/>
  <c r="K501" i="19"/>
  <c r="K500" i="19"/>
  <c r="K499" i="19"/>
  <c r="K498" i="19"/>
  <c r="K497" i="19"/>
  <c r="K496" i="19"/>
  <c r="K495" i="19"/>
  <c r="K494" i="19"/>
  <c r="K493" i="19"/>
  <c r="K492" i="19"/>
  <c r="K491" i="19"/>
  <c r="K490" i="19"/>
  <c r="K489" i="19"/>
  <c r="K488" i="19"/>
  <c r="K487" i="19"/>
  <c r="K486" i="19"/>
  <c r="K485" i="19"/>
  <c r="K484" i="19"/>
  <c r="K483" i="19"/>
  <c r="K482" i="19"/>
  <c r="K481" i="19"/>
  <c r="K480" i="19"/>
  <c r="K479" i="19"/>
  <c r="K478" i="19"/>
  <c r="K477" i="19"/>
  <c r="K476" i="19"/>
  <c r="K475" i="19"/>
  <c r="K474" i="19"/>
  <c r="K473" i="19"/>
  <c r="K472" i="19"/>
  <c r="K471" i="19"/>
  <c r="K470" i="19"/>
  <c r="K469" i="19"/>
  <c r="K468" i="19"/>
  <c r="K467" i="19"/>
  <c r="K466" i="19"/>
  <c r="K465" i="19"/>
  <c r="K464" i="19"/>
  <c r="K463" i="19"/>
  <c r="K462" i="19"/>
  <c r="K461" i="19"/>
  <c r="K460" i="19"/>
  <c r="K459" i="19"/>
  <c r="K458" i="19"/>
  <c r="K457" i="19"/>
  <c r="K456" i="19"/>
  <c r="K455" i="19"/>
  <c r="K454" i="19"/>
  <c r="K453" i="19"/>
  <c r="K452" i="19"/>
  <c r="K451" i="19"/>
  <c r="K450" i="19"/>
  <c r="K449" i="19"/>
  <c r="K448" i="19"/>
  <c r="K447" i="19"/>
  <c r="K446" i="19"/>
  <c r="K445" i="19"/>
  <c r="K444" i="19"/>
  <c r="K443" i="19"/>
  <c r="K442" i="19"/>
  <c r="K441" i="19"/>
  <c r="K440" i="19"/>
  <c r="K439" i="19"/>
  <c r="K438" i="19"/>
  <c r="K437" i="19"/>
  <c r="K436" i="19"/>
  <c r="K435" i="19"/>
  <c r="K434" i="19"/>
  <c r="K433" i="19"/>
  <c r="K432" i="19"/>
  <c r="K431" i="19"/>
  <c r="K430" i="19"/>
  <c r="K429" i="19"/>
  <c r="K428" i="19"/>
  <c r="K427" i="19"/>
  <c r="K426" i="19"/>
  <c r="K425" i="19"/>
  <c r="K424" i="19"/>
  <c r="K423" i="19"/>
  <c r="K422" i="19"/>
  <c r="K421" i="19"/>
  <c r="K420" i="19"/>
  <c r="K419" i="19"/>
  <c r="K418" i="19"/>
  <c r="K417" i="19"/>
  <c r="K416" i="19"/>
  <c r="K415" i="19"/>
  <c r="K414" i="19"/>
  <c r="K413" i="19"/>
  <c r="K412" i="19"/>
  <c r="K411" i="19"/>
  <c r="K410" i="19"/>
  <c r="K409" i="19"/>
  <c r="K408" i="19"/>
  <c r="K407" i="19"/>
  <c r="K406" i="19"/>
  <c r="K405" i="19"/>
  <c r="K404" i="19"/>
  <c r="K403" i="19"/>
  <c r="K402" i="19"/>
  <c r="K401" i="19"/>
  <c r="K400" i="19"/>
  <c r="K399" i="19"/>
  <c r="K398" i="19"/>
  <c r="K397" i="19"/>
  <c r="K396" i="19"/>
  <c r="K395" i="19"/>
  <c r="K394" i="19"/>
  <c r="K393" i="19"/>
  <c r="K392" i="19"/>
  <c r="K391" i="19"/>
  <c r="K390" i="19"/>
  <c r="K389" i="19"/>
  <c r="K388" i="19"/>
  <c r="K387" i="19"/>
  <c r="K386" i="19"/>
  <c r="K385" i="19"/>
  <c r="K384" i="19"/>
  <c r="K383" i="19"/>
  <c r="K382" i="19"/>
  <c r="K381" i="19"/>
  <c r="K380" i="19"/>
  <c r="K379" i="19"/>
  <c r="K378" i="19"/>
  <c r="K377" i="19"/>
  <c r="K376" i="19"/>
  <c r="K375" i="19"/>
  <c r="K374" i="19"/>
  <c r="K373" i="19"/>
  <c r="K372" i="19"/>
  <c r="K371" i="19"/>
  <c r="K370" i="19"/>
  <c r="K369" i="19"/>
  <c r="K368" i="19"/>
  <c r="K367" i="19"/>
  <c r="K366" i="19"/>
  <c r="K365" i="19"/>
  <c r="K364" i="19"/>
  <c r="K363" i="19"/>
  <c r="K362" i="19"/>
  <c r="K361" i="19"/>
  <c r="K360" i="19"/>
  <c r="K359" i="19"/>
  <c r="K358" i="19"/>
  <c r="K357" i="19"/>
  <c r="K356" i="19"/>
  <c r="K355" i="19"/>
  <c r="K354" i="19"/>
  <c r="K353" i="19"/>
  <c r="K352" i="19"/>
  <c r="K351" i="19"/>
  <c r="K350" i="19"/>
  <c r="K349" i="19"/>
  <c r="K348" i="19"/>
  <c r="K347" i="19"/>
  <c r="K346" i="19"/>
  <c r="K345" i="19"/>
  <c r="K344" i="19"/>
  <c r="K343" i="19"/>
  <c r="K342" i="19"/>
  <c r="K341" i="19"/>
  <c r="K340" i="19"/>
  <c r="K339" i="19"/>
  <c r="K338" i="19"/>
  <c r="K337" i="19"/>
  <c r="K336" i="19"/>
  <c r="K335" i="19"/>
  <c r="K334" i="19"/>
  <c r="K333" i="19"/>
  <c r="K332" i="19"/>
  <c r="K331" i="19"/>
  <c r="K330" i="19"/>
  <c r="K329" i="19"/>
  <c r="K328" i="19"/>
  <c r="K327" i="19"/>
  <c r="K326" i="19"/>
  <c r="K325" i="19"/>
  <c r="K324" i="19"/>
  <c r="K323" i="19"/>
  <c r="K322" i="19"/>
  <c r="K321" i="19"/>
  <c r="K320" i="19"/>
  <c r="K319" i="19"/>
  <c r="K318" i="19"/>
  <c r="K317" i="19"/>
  <c r="K316" i="19"/>
  <c r="K315" i="19"/>
  <c r="K314" i="19"/>
  <c r="K313" i="19"/>
  <c r="K312" i="19"/>
  <c r="K311" i="19"/>
  <c r="K310" i="19"/>
  <c r="K309" i="19"/>
  <c r="K308" i="19"/>
  <c r="K307" i="19"/>
  <c r="K306" i="19"/>
  <c r="K305" i="19"/>
  <c r="K304" i="19"/>
  <c r="K303" i="19"/>
  <c r="K302" i="19"/>
  <c r="K301" i="19"/>
  <c r="K300" i="19"/>
  <c r="K299" i="19"/>
  <c r="K298" i="19"/>
  <c r="K297" i="19"/>
  <c r="K296" i="19"/>
  <c r="K295" i="19"/>
  <c r="K294" i="19"/>
  <c r="K293" i="19"/>
  <c r="K292" i="19"/>
  <c r="K291" i="19"/>
  <c r="K290" i="19"/>
  <c r="K289" i="19"/>
  <c r="K288" i="19"/>
  <c r="K287" i="19"/>
  <c r="K286" i="19"/>
  <c r="K285" i="19"/>
  <c r="K284" i="19"/>
  <c r="K283" i="19"/>
  <c r="K282" i="19"/>
  <c r="K281" i="19"/>
  <c r="K280" i="19"/>
  <c r="K279" i="19"/>
  <c r="K278" i="19"/>
  <c r="K277" i="19"/>
  <c r="K276" i="19"/>
  <c r="K275" i="19"/>
  <c r="K274" i="19"/>
  <c r="K273" i="19"/>
  <c r="K272" i="19"/>
  <c r="K271" i="19"/>
  <c r="K270" i="19"/>
  <c r="K269" i="19"/>
  <c r="K268" i="19"/>
  <c r="K267" i="19"/>
  <c r="K266" i="19"/>
  <c r="K265" i="19"/>
  <c r="K264" i="19"/>
  <c r="K263" i="19"/>
  <c r="K262" i="19"/>
  <c r="K261" i="19"/>
  <c r="K260" i="19"/>
  <c r="K259" i="19"/>
  <c r="K258" i="19"/>
  <c r="K257" i="19"/>
  <c r="K256" i="19"/>
  <c r="K255" i="19"/>
  <c r="K254" i="19"/>
  <c r="K253" i="19"/>
  <c r="K252" i="19"/>
  <c r="K251" i="19"/>
  <c r="K250" i="19"/>
  <c r="K249" i="19"/>
  <c r="K248" i="19"/>
  <c r="K247" i="19"/>
  <c r="K246" i="19"/>
  <c r="K245" i="19"/>
  <c r="K244" i="19"/>
  <c r="K243" i="19"/>
  <c r="K242" i="19"/>
  <c r="K241" i="19"/>
  <c r="K240" i="19"/>
  <c r="K239" i="19"/>
  <c r="K238" i="19"/>
  <c r="K237" i="19"/>
  <c r="K236" i="19"/>
  <c r="K235" i="19"/>
  <c r="K234" i="19"/>
  <c r="K233" i="19"/>
  <c r="K232" i="19"/>
  <c r="K231" i="19"/>
  <c r="K230" i="19"/>
  <c r="K229" i="19"/>
  <c r="K228" i="19"/>
  <c r="K227" i="19"/>
  <c r="K226" i="19"/>
  <c r="K225" i="19"/>
  <c r="K224" i="19"/>
  <c r="K223" i="19"/>
  <c r="K222" i="19"/>
  <c r="K221" i="19"/>
  <c r="K220" i="19"/>
  <c r="K219" i="19"/>
  <c r="K218" i="19"/>
  <c r="K217" i="19"/>
  <c r="K216" i="19"/>
  <c r="K215" i="19"/>
  <c r="K214" i="19"/>
  <c r="K213" i="19"/>
  <c r="K212" i="19"/>
  <c r="K211" i="19"/>
  <c r="K210" i="19"/>
  <c r="K209" i="19"/>
  <c r="K208" i="19"/>
  <c r="K207" i="19"/>
  <c r="K206" i="19"/>
  <c r="K205" i="19"/>
  <c r="K204" i="19"/>
  <c r="K203" i="19"/>
  <c r="K202" i="19"/>
  <c r="K201" i="19"/>
  <c r="K200" i="19"/>
  <c r="K199" i="19"/>
  <c r="K198" i="19"/>
  <c r="K197" i="19"/>
  <c r="K196" i="19"/>
  <c r="K195" i="19"/>
  <c r="K194" i="19"/>
  <c r="K193" i="19"/>
  <c r="K192" i="19"/>
  <c r="K191" i="19"/>
  <c r="K190" i="19"/>
  <c r="K189" i="19"/>
  <c r="K188" i="19"/>
  <c r="K187" i="19"/>
  <c r="K186" i="19"/>
  <c r="K185" i="19"/>
  <c r="K184" i="19"/>
  <c r="K183" i="19"/>
  <c r="K182" i="19"/>
  <c r="K181" i="19"/>
  <c r="K180" i="19"/>
  <c r="K179" i="19"/>
  <c r="K178" i="19"/>
  <c r="K177" i="19"/>
  <c r="K176" i="19"/>
  <c r="K175" i="19"/>
  <c r="K174" i="19"/>
  <c r="K173" i="19"/>
  <c r="K172" i="19"/>
  <c r="K171" i="19"/>
  <c r="K170" i="19"/>
  <c r="K169" i="19"/>
  <c r="K168" i="19"/>
  <c r="K167" i="19"/>
  <c r="K166" i="19"/>
  <c r="K165" i="19"/>
  <c r="K164" i="19"/>
  <c r="K163" i="19"/>
  <c r="K162" i="19"/>
  <c r="K161" i="19"/>
  <c r="K160" i="19"/>
  <c r="K159" i="19"/>
  <c r="K158" i="19"/>
  <c r="K157" i="19"/>
  <c r="K156" i="19"/>
  <c r="K155" i="19"/>
  <c r="K154" i="19"/>
  <c r="K153" i="19"/>
  <c r="K152" i="19"/>
  <c r="K151" i="19"/>
  <c r="K150" i="19"/>
  <c r="K149" i="19"/>
  <c r="K148" i="19"/>
  <c r="K147" i="19"/>
  <c r="K146" i="19"/>
  <c r="K145" i="19"/>
  <c r="K144" i="19"/>
  <c r="K143" i="19"/>
  <c r="K142" i="19"/>
  <c r="K141" i="19"/>
  <c r="K140" i="19"/>
  <c r="K139" i="19"/>
  <c r="K138" i="19"/>
  <c r="K137" i="19"/>
  <c r="K136" i="19"/>
  <c r="K135" i="19"/>
  <c r="K134" i="19"/>
  <c r="K133" i="19"/>
  <c r="K132" i="19"/>
  <c r="K131" i="19"/>
  <c r="K130" i="19"/>
  <c r="K129" i="19"/>
  <c r="K128" i="19"/>
  <c r="K127" i="19"/>
  <c r="K126" i="19"/>
  <c r="K125" i="19"/>
  <c r="K124" i="19"/>
  <c r="K123" i="19"/>
  <c r="K122" i="19"/>
  <c r="K121" i="19"/>
  <c r="K120" i="19"/>
  <c r="K119" i="19"/>
  <c r="K118" i="19"/>
  <c r="K117" i="19"/>
  <c r="K116" i="19"/>
  <c r="K115" i="19"/>
  <c r="K114" i="19"/>
  <c r="K113" i="19"/>
  <c r="K112" i="19"/>
  <c r="K111" i="19"/>
  <c r="K110" i="19"/>
  <c r="K109" i="19"/>
  <c r="K108" i="19"/>
  <c r="K107" i="19"/>
  <c r="K106" i="19"/>
  <c r="K105" i="19"/>
  <c r="K104" i="19"/>
  <c r="K103" i="19"/>
  <c r="K102" i="19"/>
  <c r="K101" i="19"/>
  <c r="K100" i="19"/>
  <c r="K99" i="19"/>
  <c r="K98" i="19"/>
  <c r="K97" i="19"/>
  <c r="K96" i="19"/>
  <c r="K95" i="19"/>
  <c r="K94" i="19"/>
  <c r="K93" i="19"/>
  <c r="K92" i="19"/>
  <c r="K91" i="19"/>
  <c r="K90" i="19"/>
  <c r="K89" i="19"/>
  <c r="K88" i="19"/>
  <c r="K87" i="19"/>
  <c r="K86" i="19"/>
  <c r="K85" i="19"/>
  <c r="K84" i="19"/>
  <c r="K83" i="19"/>
  <c r="K82" i="19"/>
  <c r="K81" i="19"/>
  <c r="K80" i="19"/>
  <c r="K79" i="19"/>
  <c r="K78" i="19"/>
  <c r="K77" i="19"/>
  <c r="K76" i="19"/>
  <c r="K75" i="19"/>
  <c r="K74" i="19"/>
  <c r="K73" i="19"/>
  <c r="K72" i="19"/>
  <c r="K71" i="19"/>
  <c r="K70" i="19"/>
  <c r="K69" i="19"/>
  <c r="K68" i="19"/>
  <c r="K67" i="19"/>
  <c r="K66" i="19"/>
  <c r="K65" i="19"/>
  <c r="K64" i="19"/>
  <c r="K63" i="19"/>
  <c r="K62" i="19"/>
  <c r="K61" i="19"/>
  <c r="K60" i="19"/>
  <c r="K59" i="19"/>
  <c r="K58" i="19"/>
  <c r="K57" i="19"/>
  <c r="K56" i="19"/>
  <c r="K55" i="19"/>
  <c r="K54" i="19"/>
  <c r="K53" i="19"/>
  <c r="K52" i="19"/>
  <c r="K51" i="19"/>
  <c r="K50" i="19"/>
  <c r="K49" i="19"/>
  <c r="K48" i="19"/>
  <c r="K47" i="19"/>
  <c r="K46" i="19"/>
  <c r="K45" i="19"/>
  <c r="K44" i="19"/>
  <c r="K43" i="19"/>
  <c r="K42" i="19"/>
  <c r="K41" i="19"/>
  <c r="K40" i="19"/>
  <c r="K39" i="19"/>
  <c r="K38" i="19"/>
  <c r="K37" i="19"/>
  <c r="K36" i="19"/>
  <c r="K35" i="19"/>
  <c r="K34" i="19"/>
  <c r="K33" i="19"/>
  <c r="K32" i="19"/>
  <c r="K31" i="19"/>
  <c r="K30" i="19"/>
  <c r="K29" i="19"/>
  <c r="K28" i="19"/>
  <c r="K27" i="19"/>
  <c r="K26" i="19"/>
  <c r="K25" i="19"/>
  <c r="K24" i="19"/>
  <c r="K23" i="19"/>
  <c r="K22" i="19"/>
  <c r="K21" i="19"/>
  <c r="K20" i="19"/>
  <c r="K19" i="19"/>
  <c r="K18" i="19"/>
  <c r="K17" i="19"/>
  <c r="K16" i="19"/>
  <c r="K15" i="19"/>
  <c r="K14" i="19"/>
  <c r="K13" i="19"/>
  <c r="K12" i="19"/>
  <c r="K11" i="19"/>
  <c r="K10" i="19"/>
  <c r="K9" i="19"/>
  <c r="K8" i="19"/>
  <c r="K7" i="19"/>
  <c r="K6" i="19"/>
  <c r="K5" i="19"/>
  <c r="K4" i="19"/>
  <c r="N3" i="19"/>
  <c r="K3" i="19"/>
  <c r="K2" i="19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4" i="10"/>
  <c r="O4" i="21"/>
  <c r="M4" i="21"/>
  <c r="K4" i="21"/>
  <c r="I4" i="21"/>
  <c r="M25" i="11" l="1"/>
  <c r="M22" i="11"/>
  <c r="M19" i="11"/>
  <c r="M16" i="11"/>
  <c r="M13" i="11"/>
  <c r="M10" i="11"/>
  <c r="M7" i="11"/>
  <c r="M4" i="11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4" i="9"/>
  <c r="M18" i="2"/>
  <c r="N15" i="2"/>
  <c r="M12" i="2"/>
  <c r="M9" i="2"/>
  <c r="M6" i="2"/>
  <c r="M3" i="2"/>
</calcChain>
</file>

<file path=xl/sharedStrings.xml><?xml version="1.0" encoding="utf-8"?>
<sst xmlns="http://schemas.openxmlformats.org/spreadsheetml/2006/main" count="62830" uniqueCount="1013">
  <si>
    <t>Student_ID</t>
  </si>
  <si>
    <t>First_Name</t>
  </si>
  <si>
    <t>Last_Name</t>
  </si>
  <si>
    <t>Gender</t>
  </si>
  <si>
    <t>Age</t>
  </si>
  <si>
    <t>Class</t>
  </si>
  <si>
    <t>Section</t>
  </si>
  <si>
    <t>City</t>
  </si>
  <si>
    <t>Admission_Date</t>
  </si>
  <si>
    <t>Marks</t>
  </si>
  <si>
    <t>S0001</t>
  </si>
  <si>
    <t>Sneha</t>
  </si>
  <si>
    <t>Paul</t>
  </si>
  <si>
    <t>Male</t>
  </si>
  <si>
    <t>B</t>
  </si>
  <si>
    <t>Pune</t>
  </si>
  <si>
    <t>2024-10-06</t>
  </si>
  <si>
    <t>S0002</t>
  </si>
  <si>
    <t>Amit</t>
  </si>
  <si>
    <t>Das</t>
  </si>
  <si>
    <t>Jaipur</t>
  </si>
  <si>
    <t>2024-11-06</t>
  </si>
  <si>
    <t>S0003</t>
  </si>
  <si>
    <t>Karan</t>
  </si>
  <si>
    <t>Roy</t>
  </si>
  <si>
    <t>D</t>
  </si>
  <si>
    <t>Kolkata</t>
  </si>
  <si>
    <t>2024-10-12</t>
  </si>
  <si>
    <t>S0004</t>
  </si>
  <si>
    <t>Priya</t>
  </si>
  <si>
    <t>Singh</t>
  </si>
  <si>
    <t>Female</t>
  </si>
  <si>
    <t>A</t>
  </si>
  <si>
    <t>2023-06-14</t>
  </si>
  <si>
    <t>S0005</t>
  </si>
  <si>
    <t>Neha</t>
  </si>
  <si>
    <t>Kumar</t>
  </si>
  <si>
    <t>Bengaluru</t>
  </si>
  <si>
    <t>2023-09-21</t>
  </si>
  <si>
    <t>S0006</t>
  </si>
  <si>
    <t>Hyderabad</t>
  </si>
  <si>
    <t>2023-09-12</t>
  </si>
  <si>
    <t>S0007</t>
  </si>
  <si>
    <t>C</t>
  </si>
  <si>
    <t>2025-08-17</t>
  </si>
  <si>
    <t>S0008</t>
  </si>
  <si>
    <t>Mumbai</t>
  </si>
  <si>
    <t>2025-01-28</t>
  </si>
  <si>
    <t>S0009</t>
  </si>
  <si>
    <t>2023-06-04</t>
  </si>
  <si>
    <t>S0010</t>
  </si>
  <si>
    <t>Arjun</t>
  </si>
  <si>
    <t>2025-03-19</t>
  </si>
  <si>
    <t>S0011</t>
  </si>
  <si>
    <t>Riya</t>
  </si>
  <si>
    <t>Gupta</t>
  </si>
  <si>
    <t>2024-10-08</t>
  </si>
  <si>
    <t>S0012</t>
  </si>
  <si>
    <t>Patel</t>
  </si>
  <si>
    <t>2024-08-18</t>
  </si>
  <si>
    <t>S0013</t>
  </si>
  <si>
    <t>Delhi</t>
  </si>
  <si>
    <t>2024-04-25</t>
  </si>
  <si>
    <t>S0014</t>
  </si>
  <si>
    <t>2023-04-30</t>
  </si>
  <si>
    <t>S0015</t>
  </si>
  <si>
    <t>2024-02-05</t>
  </si>
  <si>
    <t>S0016</t>
  </si>
  <si>
    <t>Vikram</t>
  </si>
  <si>
    <t>2025-08-10</t>
  </si>
  <si>
    <t>S0017</t>
  </si>
  <si>
    <t>2023-09-19</t>
  </si>
  <si>
    <t>S0018</t>
  </si>
  <si>
    <t>Pooja</t>
  </si>
  <si>
    <t>2024-05-30</t>
  </si>
  <si>
    <t>S0019</t>
  </si>
  <si>
    <t>Chennai</t>
  </si>
  <si>
    <t>2025-04-12</t>
  </si>
  <si>
    <t>S0020</t>
  </si>
  <si>
    <t>Ghosh</t>
  </si>
  <si>
    <t>2023-11-01</t>
  </si>
  <si>
    <t>S0021</t>
  </si>
  <si>
    <t>2025-08-12</t>
  </si>
  <si>
    <t>S0022</t>
  </si>
  <si>
    <t>Rahul</t>
  </si>
  <si>
    <t>Sharma</t>
  </si>
  <si>
    <t>2025-02-24</t>
  </si>
  <si>
    <t>S0023</t>
  </si>
  <si>
    <t>2024-05-03</t>
  </si>
  <si>
    <t>S0024</t>
  </si>
  <si>
    <t>2025-08-25</t>
  </si>
  <si>
    <t>S0025</t>
  </si>
  <si>
    <t>2025-09-27</t>
  </si>
  <si>
    <t>S0026</t>
  </si>
  <si>
    <t>2023-11-06</t>
  </si>
  <si>
    <t>S0027</t>
  </si>
  <si>
    <t>Mishra</t>
  </si>
  <si>
    <t>2024-01-03</t>
  </si>
  <si>
    <t>S0028</t>
  </si>
  <si>
    <t>2025-03-20</t>
  </si>
  <si>
    <t>S0029</t>
  </si>
  <si>
    <t>2024-06-26</t>
  </si>
  <si>
    <t>S0030</t>
  </si>
  <si>
    <t>2024-05-26</t>
  </si>
  <si>
    <t>S0031</t>
  </si>
  <si>
    <t>2024-12-14</t>
  </si>
  <si>
    <t>S0032</t>
  </si>
  <si>
    <t>2023-02-24</t>
  </si>
  <si>
    <t>S0033</t>
  </si>
  <si>
    <t>2023-03-14</t>
  </si>
  <si>
    <t>S0034</t>
  </si>
  <si>
    <t>2023-10-12</t>
  </si>
  <si>
    <t>S0035</t>
  </si>
  <si>
    <t>2025-03-27</t>
  </si>
  <si>
    <t>S0036</t>
  </si>
  <si>
    <t>2024-09-17</t>
  </si>
  <si>
    <t>S0037</t>
  </si>
  <si>
    <t>2025-04-09</t>
  </si>
  <si>
    <t>S0038</t>
  </si>
  <si>
    <t>2023-09-23</t>
  </si>
  <si>
    <t>S0039</t>
  </si>
  <si>
    <t>2023-12-22</t>
  </si>
  <si>
    <t>S0040</t>
  </si>
  <si>
    <t>2023-10-05</t>
  </si>
  <si>
    <t>S0041</t>
  </si>
  <si>
    <t>2024-05-20</t>
  </si>
  <si>
    <t>S0042</t>
  </si>
  <si>
    <t>2025-04-13</t>
  </si>
  <si>
    <t>S0043</t>
  </si>
  <si>
    <t>2025-05-29</t>
  </si>
  <si>
    <t>S0044</t>
  </si>
  <si>
    <t>2025-09-16</t>
  </si>
  <si>
    <t>S0045</t>
  </si>
  <si>
    <t>2023-04-05</t>
  </si>
  <si>
    <t>S0046</t>
  </si>
  <si>
    <t>2024-10-29</t>
  </si>
  <si>
    <t>S0047</t>
  </si>
  <si>
    <t>2024-09-04</t>
  </si>
  <si>
    <t>S0048</t>
  </si>
  <si>
    <t>2024-08-25</t>
  </si>
  <si>
    <t>S0049</t>
  </si>
  <si>
    <t>2023-04-24</t>
  </si>
  <si>
    <t>S0050</t>
  </si>
  <si>
    <t>2024-12-19</t>
  </si>
  <si>
    <t>S0051</t>
  </si>
  <si>
    <t>2025-07-27</t>
  </si>
  <si>
    <t>S0052</t>
  </si>
  <si>
    <t>2024-02-10</t>
  </si>
  <si>
    <t>S0053</t>
  </si>
  <si>
    <t>2024-11-17</t>
  </si>
  <si>
    <t>S0054</t>
  </si>
  <si>
    <t>2024-02-22</t>
  </si>
  <si>
    <t>S0055</t>
  </si>
  <si>
    <t>2023-09-22</t>
  </si>
  <si>
    <t>S0056</t>
  </si>
  <si>
    <t>2023-12-10</t>
  </si>
  <si>
    <t>S0057</t>
  </si>
  <si>
    <t>2024-02-11</t>
  </si>
  <si>
    <t>S0058</t>
  </si>
  <si>
    <t>2023-05-14</t>
  </si>
  <si>
    <t>S0059</t>
  </si>
  <si>
    <t>2024-05-21</t>
  </si>
  <si>
    <t>S0060</t>
  </si>
  <si>
    <t>2024-01-01</t>
  </si>
  <si>
    <t>S0061</t>
  </si>
  <si>
    <t>2025-07-17</t>
  </si>
  <si>
    <t>S0062</t>
  </si>
  <si>
    <t>2024-10-01</t>
  </si>
  <si>
    <t>S0063</t>
  </si>
  <si>
    <t>S0064</t>
  </si>
  <si>
    <t>2025-06-06</t>
  </si>
  <si>
    <t>S0065</t>
  </si>
  <si>
    <t>2023-01-05</t>
  </si>
  <si>
    <t>S0066</t>
  </si>
  <si>
    <t>2025-05-24</t>
  </si>
  <si>
    <t>S0067</t>
  </si>
  <si>
    <t>2024-12-01</t>
  </si>
  <si>
    <t>S0068</t>
  </si>
  <si>
    <t>2025-07-15</t>
  </si>
  <si>
    <t>S0069</t>
  </si>
  <si>
    <t>2023-07-19</t>
  </si>
  <si>
    <t>S0070</t>
  </si>
  <si>
    <t>2024-07-07</t>
  </si>
  <si>
    <t>S0071</t>
  </si>
  <si>
    <t>2024-01-25</t>
  </si>
  <si>
    <t>S0072</t>
  </si>
  <si>
    <t>2025-08-28</t>
  </si>
  <si>
    <t>S0073</t>
  </si>
  <si>
    <t>S0074</t>
  </si>
  <si>
    <t>2023-08-21</t>
  </si>
  <si>
    <t>S0075</t>
  </si>
  <si>
    <t>2025-02-17</t>
  </si>
  <si>
    <t>S0076</t>
  </si>
  <si>
    <t>2024-11-20</t>
  </si>
  <si>
    <t>S0077</t>
  </si>
  <si>
    <t>2024-09-25</t>
  </si>
  <si>
    <t>S0078</t>
  </si>
  <si>
    <t>2024-04-10</t>
  </si>
  <si>
    <t>S0079</t>
  </si>
  <si>
    <t>2024-01-21</t>
  </si>
  <si>
    <t>S0080</t>
  </si>
  <si>
    <t>2025-06-29</t>
  </si>
  <si>
    <t>S0081</t>
  </si>
  <si>
    <t>S0082</t>
  </si>
  <si>
    <t>2025-01-16</t>
  </si>
  <si>
    <t>S0083</t>
  </si>
  <si>
    <t>2024-03-04</t>
  </si>
  <si>
    <t>S0084</t>
  </si>
  <si>
    <t>2025-08-07</t>
  </si>
  <si>
    <t>S0085</t>
  </si>
  <si>
    <t>2023-12-24</t>
  </si>
  <si>
    <t>S0086</t>
  </si>
  <si>
    <t>2024-08-28</t>
  </si>
  <si>
    <t>S0087</t>
  </si>
  <si>
    <t>2025-07-13</t>
  </si>
  <si>
    <t>S0088</t>
  </si>
  <si>
    <t>2023-06-28</t>
  </si>
  <si>
    <t>S0089</t>
  </si>
  <si>
    <t>2025-01-25</t>
  </si>
  <si>
    <t>S0090</t>
  </si>
  <si>
    <t>2025-08-01</t>
  </si>
  <si>
    <t>S0091</t>
  </si>
  <si>
    <t>2025-04-15</t>
  </si>
  <si>
    <t>S0092</t>
  </si>
  <si>
    <t>2023-07-28</t>
  </si>
  <si>
    <t>S0093</t>
  </si>
  <si>
    <t>2024-11-23</t>
  </si>
  <si>
    <t>S0094</t>
  </si>
  <si>
    <t>2024-02-21</t>
  </si>
  <si>
    <t>S0095</t>
  </si>
  <si>
    <t>2024-10-10</t>
  </si>
  <si>
    <t>S0096</t>
  </si>
  <si>
    <t>2023-03-29</t>
  </si>
  <si>
    <t>S0097</t>
  </si>
  <si>
    <t>2025-09-05</t>
  </si>
  <si>
    <t>S0098</t>
  </si>
  <si>
    <t>2024-04-17</t>
  </si>
  <si>
    <t>S0099</t>
  </si>
  <si>
    <t>2024-04-04</t>
  </si>
  <si>
    <t>S0100</t>
  </si>
  <si>
    <t>2023-08-07</t>
  </si>
  <si>
    <t>S0101</t>
  </si>
  <si>
    <t>2024-05-22</t>
  </si>
  <si>
    <t>S0102</t>
  </si>
  <si>
    <t>2025-04-25</t>
  </si>
  <si>
    <t>S0103</t>
  </si>
  <si>
    <t>2025-07-22</t>
  </si>
  <si>
    <t>S0104</t>
  </si>
  <si>
    <t>2025-08-30</t>
  </si>
  <si>
    <t>S0105</t>
  </si>
  <si>
    <t>2023-02-23</t>
  </si>
  <si>
    <t>S0106</t>
  </si>
  <si>
    <t>2025-03-04</t>
  </si>
  <si>
    <t>S0107</t>
  </si>
  <si>
    <t>2023-11-11</t>
  </si>
  <si>
    <t>S0108</t>
  </si>
  <si>
    <t>2024-08-12</t>
  </si>
  <si>
    <t>S0109</t>
  </si>
  <si>
    <t>2025-07-08</t>
  </si>
  <si>
    <t>S0110</t>
  </si>
  <si>
    <t>2023-01-10</t>
  </si>
  <si>
    <t>S0111</t>
  </si>
  <si>
    <t>2023-12-04</t>
  </si>
  <si>
    <t>S0112</t>
  </si>
  <si>
    <t>2024-05-12</t>
  </si>
  <si>
    <t>S0113</t>
  </si>
  <si>
    <t>S0114</t>
  </si>
  <si>
    <t>2023-04-03</t>
  </si>
  <si>
    <t>S0115</t>
  </si>
  <si>
    <t>2023-08-18</t>
  </si>
  <si>
    <t>S0116</t>
  </si>
  <si>
    <t>2023-07-21</t>
  </si>
  <si>
    <t>S0117</t>
  </si>
  <si>
    <t>2023-08-11</t>
  </si>
  <si>
    <t>S0118</t>
  </si>
  <si>
    <t>2025-06-09</t>
  </si>
  <si>
    <t>S0119</t>
  </si>
  <si>
    <t>2024-03-27</t>
  </si>
  <si>
    <t>S0120</t>
  </si>
  <si>
    <t>2023-12-27</t>
  </si>
  <si>
    <t>S0121</t>
  </si>
  <si>
    <t>S0122</t>
  </si>
  <si>
    <t>2024-12-09</t>
  </si>
  <si>
    <t>S0123</t>
  </si>
  <si>
    <t>2024-08-27</t>
  </si>
  <si>
    <t>S0124</t>
  </si>
  <si>
    <t>2023-01-30</t>
  </si>
  <si>
    <t>S0125</t>
  </si>
  <si>
    <t>2023-04-04</t>
  </si>
  <si>
    <t>S0126</t>
  </si>
  <si>
    <t>2024-01-06</t>
  </si>
  <si>
    <t>S0127</t>
  </si>
  <si>
    <t>2023-08-29</t>
  </si>
  <si>
    <t>S0128</t>
  </si>
  <si>
    <t>S0129</t>
  </si>
  <si>
    <t>2024-07-16</t>
  </si>
  <si>
    <t>S0130</t>
  </si>
  <si>
    <t>2025-08-05</t>
  </si>
  <si>
    <t>S0131</t>
  </si>
  <si>
    <t>2025-08-29</t>
  </si>
  <si>
    <t>S0132</t>
  </si>
  <si>
    <t>2023-11-08</t>
  </si>
  <si>
    <t>S0133</t>
  </si>
  <si>
    <t>2023-05-13</t>
  </si>
  <si>
    <t>S0134</t>
  </si>
  <si>
    <t>2024-11-01</t>
  </si>
  <si>
    <t>S0135</t>
  </si>
  <si>
    <t>2023-01-20</t>
  </si>
  <si>
    <t>S0136</t>
  </si>
  <si>
    <t>2023-05-31</t>
  </si>
  <si>
    <t>S0137</t>
  </si>
  <si>
    <t>2023-11-13</t>
  </si>
  <si>
    <t>S0138</t>
  </si>
  <si>
    <t>2024-08-09</t>
  </si>
  <si>
    <t>S0139</t>
  </si>
  <si>
    <t>2024-11-21</t>
  </si>
  <si>
    <t>S0140</t>
  </si>
  <si>
    <t>2024-07-03</t>
  </si>
  <si>
    <t>S0141</t>
  </si>
  <si>
    <t>2023-12-19</t>
  </si>
  <si>
    <t>S0142</t>
  </si>
  <si>
    <t>2025-04-08</t>
  </si>
  <si>
    <t>S0143</t>
  </si>
  <si>
    <t>2023-11-04</t>
  </si>
  <si>
    <t>S0144</t>
  </si>
  <si>
    <t>2023-05-18</t>
  </si>
  <si>
    <t>S0145</t>
  </si>
  <si>
    <t>S0146</t>
  </si>
  <si>
    <t>2024-12-25</t>
  </si>
  <si>
    <t>S0147</t>
  </si>
  <si>
    <t>2023-05-15</t>
  </si>
  <si>
    <t>S0148</t>
  </si>
  <si>
    <t>S0149</t>
  </si>
  <si>
    <t>2024-06-06</t>
  </si>
  <si>
    <t>S0150</t>
  </si>
  <si>
    <t>2024-12-30</t>
  </si>
  <si>
    <t>S0151</t>
  </si>
  <si>
    <t>S0152</t>
  </si>
  <si>
    <t>2024-12-31</t>
  </si>
  <si>
    <t>S0153</t>
  </si>
  <si>
    <t>2023-07-26</t>
  </si>
  <si>
    <t>S0154</t>
  </si>
  <si>
    <t>2024-05-11</t>
  </si>
  <si>
    <t>S0155</t>
  </si>
  <si>
    <t>2024-10-18</t>
  </si>
  <si>
    <t>S0156</t>
  </si>
  <si>
    <t>2025-03-29</t>
  </si>
  <si>
    <t>S0157</t>
  </si>
  <si>
    <t>2025-01-20</t>
  </si>
  <si>
    <t>S0158</t>
  </si>
  <si>
    <t>2024-07-17</t>
  </si>
  <si>
    <t>S0159</t>
  </si>
  <si>
    <t>2023-04-27</t>
  </si>
  <si>
    <t>S0160</t>
  </si>
  <si>
    <t>2023-07-25</t>
  </si>
  <si>
    <t>S0161</t>
  </si>
  <si>
    <t>2023-08-10</t>
  </si>
  <si>
    <t>S0162</t>
  </si>
  <si>
    <t>2024-12-06</t>
  </si>
  <si>
    <t>S0163</t>
  </si>
  <si>
    <t>2025-01-29</t>
  </si>
  <si>
    <t>S0164</t>
  </si>
  <si>
    <t>2024-06-03</t>
  </si>
  <si>
    <t>S0165</t>
  </si>
  <si>
    <t>2023-03-09</t>
  </si>
  <si>
    <t>S0166</t>
  </si>
  <si>
    <t>2024-08-16</t>
  </si>
  <si>
    <t>S0167</t>
  </si>
  <si>
    <t>2024-02-27</t>
  </si>
  <si>
    <t>S0168</t>
  </si>
  <si>
    <t>2025-05-08</t>
  </si>
  <si>
    <t>S0169</t>
  </si>
  <si>
    <t>2024-08-11</t>
  </si>
  <si>
    <t>S0170</t>
  </si>
  <si>
    <t>2024-02-28</t>
  </si>
  <si>
    <t>S0171</t>
  </si>
  <si>
    <t>2023-08-15</t>
  </si>
  <si>
    <t>S0172</t>
  </si>
  <si>
    <t>S0173</t>
  </si>
  <si>
    <t>2023-12-12</t>
  </si>
  <si>
    <t>S0174</t>
  </si>
  <si>
    <t>2023-12-28</t>
  </si>
  <si>
    <t>S0175</t>
  </si>
  <si>
    <t>2024-10-03</t>
  </si>
  <si>
    <t>S0176</t>
  </si>
  <si>
    <t>2024-07-27</t>
  </si>
  <si>
    <t>S0177</t>
  </si>
  <si>
    <t>2023-12-07</t>
  </si>
  <si>
    <t>S0178</t>
  </si>
  <si>
    <t>S0179</t>
  </si>
  <si>
    <t>2024-03-21</t>
  </si>
  <si>
    <t>S0180</t>
  </si>
  <si>
    <t>2023-12-31</t>
  </si>
  <si>
    <t>S0181</t>
  </si>
  <si>
    <t>2024-03-16</t>
  </si>
  <si>
    <t>S0182</t>
  </si>
  <si>
    <t>2023-10-27</t>
  </si>
  <si>
    <t>S0183</t>
  </si>
  <si>
    <t>2024-10-25</t>
  </si>
  <si>
    <t>S0184</t>
  </si>
  <si>
    <t>2024-09-10</t>
  </si>
  <si>
    <t>S0185</t>
  </si>
  <si>
    <t>2023-01-27</t>
  </si>
  <si>
    <t>S0186</t>
  </si>
  <si>
    <t>2023-06-22</t>
  </si>
  <si>
    <t>S0187</t>
  </si>
  <si>
    <t>2025-09-11</t>
  </si>
  <si>
    <t>S0188</t>
  </si>
  <si>
    <t>S0189</t>
  </si>
  <si>
    <t>S0190</t>
  </si>
  <si>
    <t>S0191</t>
  </si>
  <si>
    <t>2025-08-04</t>
  </si>
  <si>
    <t>S0192</t>
  </si>
  <si>
    <t>2023-11-16</t>
  </si>
  <si>
    <t>S0193</t>
  </si>
  <si>
    <t>2025-02-22</t>
  </si>
  <si>
    <t>S0194</t>
  </si>
  <si>
    <t>2023-06-08</t>
  </si>
  <si>
    <t>S0195</t>
  </si>
  <si>
    <t>2024-04-20</t>
  </si>
  <si>
    <t>S0196</t>
  </si>
  <si>
    <t>2023-02-12</t>
  </si>
  <si>
    <t>S0197</t>
  </si>
  <si>
    <t>2023-10-21</t>
  </si>
  <si>
    <t>S0198</t>
  </si>
  <si>
    <t>S0199</t>
  </si>
  <si>
    <t>S0200</t>
  </si>
  <si>
    <t>2025-09-07</t>
  </si>
  <si>
    <t>S0201</t>
  </si>
  <si>
    <t>2025-09-22</t>
  </si>
  <si>
    <t>S0202</t>
  </si>
  <si>
    <t>2024-08-14</t>
  </si>
  <si>
    <t>S0203</t>
  </si>
  <si>
    <t>S0204</t>
  </si>
  <si>
    <t>2023-12-09</t>
  </si>
  <si>
    <t>S0205</t>
  </si>
  <si>
    <t>2023-05-03</t>
  </si>
  <si>
    <t>S0206</t>
  </si>
  <si>
    <t>2023-03-18</t>
  </si>
  <si>
    <t>S0207</t>
  </si>
  <si>
    <t>2024-09-14</t>
  </si>
  <si>
    <t>S0208</t>
  </si>
  <si>
    <t>2024-03-29</t>
  </si>
  <si>
    <t>S0209</t>
  </si>
  <si>
    <t>2025-07-06</t>
  </si>
  <si>
    <t>S0210</t>
  </si>
  <si>
    <t>S0211</t>
  </si>
  <si>
    <t>2024-01-22</t>
  </si>
  <si>
    <t>S0212</t>
  </si>
  <si>
    <t>2024-06-11</t>
  </si>
  <si>
    <t>S0213</t>
  </si>
  <si>
    <t>2023-05-23</t>
  </si>
  <si>
    <t>S0214</t>
  </si>
  <si>
    <t>2025-03-14</t>
  </si>
  <si>
    <t>S0215</t>
  </si>
  <si>
    <t>S0216</t>
  </si>
  <si>
    <t>S0217</t>
  </si>
  <si>
    <t>2023-06-17</t>
  </si>
  <si>
    <t>S0218</t>
  </si>
  <si>
    <t>2024-01-29</t>
  </si>
  <si>
    <t>S0219</t>
  </si>
  <si>
    <t>2024-06-23</t>
  </si>
  <si>
    <t>S0220</t>
  </si>
  <si>
    <t>2025-02-10</t>
  </si>
  <si>
    <t>S0221</t>
  </si>
  <si>
    <t>2024-05-05</t>
  </si>
  <si>
    <t>S0222</t>
  </si>
  <si>
    <t>2023-01-03</t>
  </si>
  <si>
    <t>S0223</t>
  </si>
  <si>
    <t>2024-03-22</t>
  </si>
  <si>
    <t>S0224</t>
  </si>
  <si>
    <t>2025-08-11</t>
  </si>
  <si>
    <t>S0225</t>
  </si>
  <si>
    <t>S0226</t>
  </si>
  <si>
    <t>2024-05-19</t>
  </si>
  <si>
    <t>S0227</t>
  </si>
  <si>
    <t>S0228</t>
  </si>
  <si>
    <t>2025-09-24</t>
  </si>
  <si>
    <t>S0229</t>
  </si>
  <si>
    <t>2025-08-18</t>
  </si>
  <si>
    <t>S0230</t>
  </si>
  <si>
    <t>2025-02-13</t>
  </si>
  <si>
    <t>S0231</t>
  </si>
  <si>
    <t>2025-07-01</t>
  </si>
  <si>
    <t>S0232</t>
  </si>
  <si>
    <t>S0233</t>
  </si>
  <si>
    <t>2023-02-08</t>
  </si>
  <si>
    <t>S0234</t>
  </si>
  <si>
    <t>2024-03-14</t>
  </si>
  <si>
    <t>S0235</t>
  </si>
  <si>
    <t>S0236</t>
  </si>
  <si>
    <t>2023-02-26</t>
  </si>
  <si>
    <t>S0237</t>
  </si>
  <si>
    <t>S0238</t>
  </si>
  <si>
    <t>2023-11-17</t>
  </si>
  <si>
    <t>S0239</t>
  </si>
  <si>
    <t>2024-10-21</t>
  </si>
  <si>
    <t>S0240</t>
  </si>
  <si>
    <t>2025-06-19</t>
  </si>
  <si>
    <t>S0241</t>
  </si>
  <si>
    <t>2023-07-02</t>
  </si>
  <si>
    <t>S0242</t>
  </si>
  <si>
    <t>2023-02-19</t>
  </si>
  <si>
    <t>S0243</t>
  </si>
  <si>
    <t>2024-01-07</t>
  </si>
  <si>
    <t>S0244</t>
  </si>
  <si>
    <t>2023-08-05</t>
  </si>
  <si>
    <t>S0245</t>
  </si>
  <si>
    <t>S0246</t>
  </si>
  <si>
    <t>2023-01-31</t>
  </si>
  <si>
    <t>S0247</t>
  </si>
  <si>
    <t>S0248</t>
  </si>
  <si>
    <t>2025-02-18</t>
  </si>
  <si>
    <t>S0249</t>
  </si>
  <si>
    <t>S0250</t>
  </si>
  <si>
    <t>2024-10-16</t>
  </si>
  <si>
    <t>S0251</t>
  </si>
  <si>
    <t>2025-09-25</t>
  </si>
  <si>
    <t>S0252</t>
  </si>
  <si>
    <t>2023-05-17</t>
  </si>
  <si>
    <t>S0253</t>
  </si>
  <si>
    <t>2023-11-29</t>
  </si>
  <si>
    <t>S0254</t>
  </si>
  <si>
    <t>2023-12-29</t>
  </si>
  <si>
    <t>S0255</t>
  </si>
  <si>
    <t>2025-09-14</t>
  </si>
  <si>
    <t>S0256</t>
  </si>
  <si>
    <t>S0257</t>
  </si>
  <si>
    <t>S0258</t>
  </si>
  <si>
    <t>S0259</t>
  </si>
  <si>
    <t>S0260</t>
  </si>
  <si>
    <t>S0261</t>
  </si>
  <si>
    <t>S0262</t>
  </si>
  <si>
    <t>2025-02-28</t>
  </si>
  <si>
    <t>S0263</t>
  </si>
  <si>
    <t>S0264</t>
  </si>
  <si>
    <t>2023-02-01</t>
  </si>
  <si>
    <t>S0265</t>
  </si>
  <si>
    <t>2025-01-14</t>
  </si>
  <si>
    <t>S0266</t>
  </si>
  <si>
    <t>S0267</t>
  </si>
  <si>
    <t>2023-02-17</t>
  </si>
  <si>
    <t>S0268</t>
  </si>
  <si>
    <t>2024-04-23</t>
  </si>
  <si>
    <t>S0269</t>
  </si>
  <si>
    <t>2023-10-26</t>
  </si>
  <si>
    <t>S0270</t>
  </si>
  <si>
    <t>2025-02-08</t>
  </si>
  <si>
    <t>S0271</t>
  </si>
  <si>
    <t>2023-12-16</t>
  </si>
  <si>
    <t>S0272</t>
  </si>
  <si>
    <t>2024-05-07</t>
  </si>
  <si>
    <t>S0273</t>
  </si>
  <si>
    <t>2023-09-15</t>
  </si>
  <si>
    <t>S0274</t>
  </si>
  <si>
    <t>S0275</t>
  </si>
  <si>
    <t>2024-06-05</t>
  </si>
  <si>
    <t>S0276</t>
  </si>
  <si>
    <t>S0277</t>
  </si>
  <si>
    <t>2023-11-05</t>
  </si>
  <si>
    <t>S0278</t>
  </si>
  <si>
    <t>2024-11-08</t>
  </si>
  <si>
    <t>S0279</t>
  </si>
  <si>
    <t>S0280</t>
  </si>
  <si>
    <t>2024-02-29</t>
  </si>
  <si>
    <t>S0281</t>
  </si>
  <si>
    <t>2025-01-02</t>
  </si>
  <si>
    <t>S0282</t>
  </si>
  <si>
    <t>2024-08-01</t>
  </si>
  <si>
    <t>S0283</t>
  </si>
  <si>
    <t>2024-09-06</t>
  </si>
  <si>
    <t>S0284</t>
  </si>
  <si>
    <t>S0285</t>
  </si>
  <si>
    <t>S0286</t>
  </si>
  <si>
    <t>2023-12-03</t>
  </si>
  <si>
    <t>S0287</t>
  </si>
  <si>
    <t>2024-02-26</t>
  </si>
  <si>
    <t>S0288</t>
  </si>
  <si>
    <t>2024-10-23</t>
  </si>
  <si>
    <t>S0289</t>
  </si>
  <si>
    <t>S0290</t>
  </si>
  <si>
    <t>2025-04-07</t>
  </si>
  <si>
    <t>S0291</t>
  </si>
  <si>
    <t>2024-12-03</t>
  </si>
  <si>
    <t>S0292</t>
  </si>
  <si>
    <t>2023-06-23</t>
  </si>
  <si>
    <t>S0293</t>
  </si>
  <si>
    <t>2025-08-02</t>
  </si>
  <si>
    <t>S0294</t>
  </si>
  <si>
    <t>2023-04-09</t>
  </si>
  <si>
    <t>S0295</t>
  </si>
  <si>
    <t>2024-01-14</t>
  </si>
  <si>
    <t>S0296</t>
  </si>
  <si>
    <t>2023-01-01</t>
  </si>
  <si>
    <t>S0297</t>
  </si>
  <si>
    <t>2024-09-21</t>
  </si>
  <si>
    <t>S0298</t>
  </si>
  <si>
    <t>S0299</t>
  </si>
  <si>
    <t>2024-01-02</t>
  </si>
  <si>
    <t>S0300</t>
  </si>
  <si>
    <t>2024-09-11</t>
  </si>
  <si>
    <t>S0301</t>
  </si>
  <si>
    <t>S0302</t>
  </si>
  <si>
    <t>2023-11-03</t>
  </si>
  <si>
    <t>S0303</t>
  </si>
  <si>
    <t>S0304</t>
  </si>
  <si>
    <t>2024-11-28</t>
  </si>
  <si>
    <t>S0305</t>
  </si>
  <si>
    <t>2023-06-27</t>
  </si>
  <si>
    <t>S0306</t>
  </si>
  <si>
    <t>2024-07-11</t>
  </si>
  <si>
    <t>S0307</t>
  </si>
  <si>
    <t>2025-01-19</t>
  </si>
  <si>
    <t>S0308</t>
  </si>
  <si>
    <t>2025-05-31</t>
  </si>
  <si>
    <t>S0309</t>
  </si>
  <si>
    <t>2024-03-19</t>
  </si>
  <si>
    <t>S0310</t>
  </si>
  <si>
    <t>S0311</t>
  </si>
  <si>
    <t>2023-08-01</t>
  </si>
  <si>
    <t>S0312</t>
  </si>
  <si>
    <t>2023-06-09</t>
  </si>
  <si>
    <t>S0313</t>
  </si>
  <si>
    <t>S0314</t>
  </si>
  <si>
    <t>2025-08-27</t>
  </si>
  <si>
    <t>S0315</t>
  </si>
  <si>
    <t>2025-02-02</t>
  </si>
  <si>
    <t>S0316</t>
  </si>
  <si>
    <t>2024-12-21</t>
  </si>
  <si>
    <t>S0317</t>
  </si>
  <si>
    <t>S0318</t>
  </si>
  <si>
    <t>2024-03-11</t>
  </si>
  <si>
    <t>S0319</t>
  </si>
  <si>
    <t>2023-12-21</t>
  </si>
  <si>
    <t>S0320</t>
  </si>
  <si>
    <t>2025-02-16</t>
  </si>
  <si>
    <t>S0321</t>
  </si>
  <si>
    <t>2024-08-24</t>
  </si>
  <si>
    <t>S0322</t>
  </si>
  <si>
    <t>2024-09-20</t>
  </si>
  <si>
    <t>S0323</t>
  </si>
  <si>
    <t>2024-05-16</t>
  </si>
  <si>
    <t>S0324</t>
  </si>
  <si>
    <t>2023-11-18</t>
  </si>
  <si>
    <t>S0325</t>
  </si>
  <si>
    <t>2025-05-13</t>
  </si>
  <si>
    <t>S0326</t>
  </si>
  <si>
    <t>2023-01-14</t>
  </si>
  <si>
    <t>S0327</t>
  </si>
  <si>
    <t>2024-03-25</t>
  </si>
  <si>
    <t>S0328</t>
  </si>
  <si>
    <t>2023-03-15</t>
  </si>
  <si>
    <t>S0329</t>
  </si>
  <si>
    <t>2024-08-13</t>
  </si>
  <si>
    <t>S0330</t>
  </si>
  <si>
    <t>2023-07-07</t>
  </si>
  <si>
    <t>S0331</t>
  </si>
  <si>
    <t>2024-08-19</t>
  </si>
  <si>
    <t>S0332</t>
  </si>
  <si>
    <t>2024-05-06</t>
  </si>
  <si>
    <t>S0333</t>
  </si>
  <si>
    <t>S0334</t>
  </si>
  <si>
    <t>2024-08-04</t>
  </si>
  <si>
    <t>S0335</t>
  </si>
  <si>
    <t>2023-12-17</t>
  </si>
  <si>
    <t>S0336</t>
  </si>
  <si>
    <t>2023-08-27</t>
  </si>
  <si>
    <t>S0337</t>
  </si>
  <si>
    <t>2024-07-05</t>
  </si>
  <si>
    <t>S0338</t>
  </si>
  <si>
    <t>2023-01-25</t>
  </si>
  <si>
    <t>S0339</t>
  </si>
  <si>
    <t>2023-03-01</t>
  </si>
  <si>
    <t>S0340</t>
  </si>
  <si>
    <t>2024-04-27</t>
  </si>
  <si>
    <t>S0341</t>
  </si>
  <si>
    <t>2023-03-23</t>
  </si>
  <si>
    <t>S0342</t>
  </si>
  <si>
    <t>2024-09-02</t>
  </si>
  <si>
    <t>S0343</t>
  </si>
  <si>
    <t>2024-12-22</t>
  </si>
  <si>
    <t>S0344</t>
  </si>
  <si>
    <t>2024-01-15</t>
  </si>
  <si>
    <t>S0345</t>
  </si>
  <si>
    <t>S0346</t>
  </si>
  <si>
    <t>2025-05-22</t>
  </si>
  <si>
    <t>S0347</t>
  </si>
  <si>
    <t>S0348</t>
  </si>
  <si>
    <t>S0349</t>
  </si>
  <si>
    <t>S0350</t>
  </si>
  <si>
    <t>S0351</t>
  </si>
  <si>
    <t>S0352</t>
  </si>
  <si>
    <t>2024-02-17</t>
  </si>
  <si>
    <t>S0353</t>
  </si>
  <si>
    <t>2023-11-21</t>
  </si>
  <si>
    <t>S0354</t>
  </si>
  <si>
    <t>2024-05-24</t>
  </si>
  <si>
    <t>S0355</t>
  </si>
  <si>
    <t>2024-06-27</t>
  </si>
  <si>
    <t>S0356</t>
  </si>
  <si>
    <t>S0357</t>
  </si>
  <si>
    <t>S0358</t>
  </si>
  <si>
    <t>2023-05-12</t>
  </si>
  <si>
    <t>S0359</t>
  </si>
  <si>
    <t>2025-09-01</t>
  </si>
  <si>
    <t>S0360</t>
  </si>
  <si>
    <t>2023-07-22</t>
  </si>
  <si>
    <t>S0361</t>
  </si>
  <si>
    <t>2023-01-11</t>
  </si>
  <si>
    <t>S0362</t>
  </si>
  <si>
    <t>2023-04-21</t>
  </si>
  <si>
    <t>S0363</t>
  </si>
  <si>
    <t>2023-03-26</t>
  </si>
  <si>
    <t>S0364</t>
  </si>
  <si>
    <t>2024-03-08</t>
  </si>
  <si>
    <t>S0365</t>
  </si>
  <si>
    <t>S0366</t>
  </si>
  <si>
    <t>2024-04-14</t>
  </si>
  <si>
    <t>S0367</t>
  </si>
  <si>
    <t>S0368</t>
  </si>
  <si>
    <t>2024-05-28</t>
  </si>
  <si>
    <t>S0369</t>
  </si>
  <si>
    <t>2024-05-01</t>
  </si>
  <si>
    <t>S0370</t>
  </si>
  <si>
    <t>2025-03-17</t>
  </si>
  <si>
    <t>S0371</t>
  </si>
  <si>
    <t>2023-12-02</t>
  </si>
  <si>
    <t>S0372</t>
  </si>
  <si>
    <t>2024-04-12</t>
  </si>
  <si>
    <t>S0373</t>
  </si>
  <si>
    <t>2024-01-20</t>
  </si>
  <si>
    <t>S0374</t>
  </si>
  <si>
    <t>2023-04-13</t>
  </si>
  <si>
    <t>S0375</t>
  </si>
  <si>
    <t>2023-07-09</t>
  </si>
  <si>
    <t>S0376</t>
  </si>
  <si>
    <t>2023-09-25</t>
  </si>
  <si>
    <t>S0377</t>
  </si>
  <si>
    <t>2024-11-11</t>
  </si>
  <si>
    <t>S0378</t>
  </si>
  <si>
    <t>2024-08-15</t>
  </si>
  <si>
    <t>S0379</t>
  </si>
  <si>
    <t>2024-02-15</t>
  </si>
  <si>
    <t>S0380</t>
  </si>
  <si>
    <t>2023-11-23</t>
  </si>
  <si>
    <t>S0381</t>
  </si>
  <si>
    <t>2025-08-09</t>
  </si>
  <si>
    <t>S0382</t>
  </si>
  <si>
    <t>2025-05-07</t>
  </si>
  <si>
    <t>S0383</t>
  </si>
  <si>
    <t>2025-01-07</t>
  </si>
  <si>
    <t>S0384</t>
  </si>
  <si>
    <t>2025-07-09</t>
  </si>
  <si>
    <t>S0385</t>
  </si>
  <si>
    <t>S0386</t>
  </si>
  <si>
    <t>2023-05-07</t>
  </si>
  <si>
    <t>S0387</t>
  </si>
  <si>
    <t>2024-03-09</t>
  </si>
  <si>
    <t>S0388</t>
  </si>
  <si>
    <t>2023-11-25</t>
  </si>
  <si>
    <t>S0389</t>
  </si>
  <si>
    <t>2024-01-23</t>
  </si>
  <si>
    <t>S0390</t>
  </si>
  <si>
    <t>2023-05-06</t>
  </si>
  <si>
    <t>S0391</t>
  </si>
  <si>
    <t>2024-02-25</t>
  </si>
  <si>
    <t>S0392</t>
  </si>
  <si>
    <t>2025-04-17</t>
  </si>
  <si>
    <t>S0393</t>
  </si>
  <si>
    <t>S0394</t>
  </si>
  <si>
    <t>2025-06-14</t>
  </si>
  <si>
    <t>S0395</t>
  </si>
  <si>
    <t>2023-01-08</t>
  </si>
  <si>
    <t>S0396</t>
  </si>
  <si>
    <t>2024-06-18</t>
  </si>
  <si>
    <t>S0397</t>
  </si>
  <si>
    <t>S0398</t>
  </si>
  <si>
    <t>2023-04-19</t>
  </si>
  <si>
    <t>S0399</t>
  </si>
  <si>
    <t>2023-01-07</t>
  </si>
  <si>
    <t>S0400</t>
  </si>
  <si>
    <t>2024-07-23</t>
  </si>
  <si>
    <t>S0401</t>
  </si>
  <si>
    <t>S0402</t>
  </si>
  <si>
    <t>S0403</t>
  </si>
  <si>
    <t>S0404</t>
  </si>
  <si>
    <t>2023-06-15</t>
  </si>
  <si>
    <t>S0405</t>
  </si>
  <si>
    <t>2023-12-18</t>
  </si>
  <si>
    <t>S0406</t>
  </si>
  <si>
    <t>2024-11-02</t>
  </si>
  <si>
    <t>S0407</t>
  </si>
  <si>
    <t>2025-07-05</t>
  </si>
  <si>
    <t>S0408</t>
  </si>
  <si>
    <t>2024-08-03</t>
  </si>
  <si>
    <t>S0409</t>
  </si>
  <si>
    <t>2024-12-15</t>
  </si>
  <si>
    <t>S0410</t>
  </si>
  <si>
    <t>S0411</t>
  </si>
  <si>
    <t>S0412</t>
  </si>
  <si>
    <t>S0413</t>
  </si>
  <si>
    <t>2025-05-04</t>
  </si>
  <si>
    <t>S0414</t>
  </si>
  <si>
    <t>2023-11-02</t>
  </si>
  <si>
    <t>S0415</t>
  </si>
  <si>
    <t>S0416</t>
  </si>
  <si>
    <t>2024-08-31</t>
  </si>
  <si>
    <t>S0417</t>
  </si>
  <si>
    <t>S0418</t>
  </si>
  <si>
    <t>2024-04-15</t>
  </si>
  <si>
    <t>S0419</t>
  </si>
  <si>
    <t>S0420</t>
  </si>
  <si>
    <t>S0421</t>
  </si>
  <si>
    <t>S0422</t>
  </si>
  <si>
    <t>S0423</t>
  </si>
  <si>
    <t>2023-04-08</t>
  </si>
  <si>
    <t>S0424</t>
  </si>
  <si>
    <t>S0425</t>
  </si>
  <si>
    <t>2024-06-10</t>
  </si>
  <si>
    <t>S0426</t>
  </si>
  <si>
    <t>2023-01-15</t>
  </si>
  <si>
    <t>S0427</t>
  </si>
  <si>
    <t>2025-02-06</t>
  </si>
  <si>
    <t>S0428</t>
  </si>
  <si>
    <t>S0429</t>
  </si>
  <si>
    <t>2024-07-26</t>
  </si>
  <si>
    <t>S0430</t>
  </si>
  <si>
    <t>S0431</t>
  </si>
  <si>
    <t>S0432</t>
  </si>
  <si>
    <t>2025-01-17</t>
  </si>
  <si>
    <t>S0433</t>
  </si>
  <si>
    <t>S0434</t>
  </si>
  <si>
    <t>2023-03-16</t>
  </si>
  <si>
    <t>S0435</t>
  </si>
  <si>
    <t>2023-08-13</t>
  </si>
  <si>
    <t>S0436</t>
  </si>
  <si>
    <t>S0437</t>
  </si>
  <si>
    <t>2025-01-04</t>
  </si>
  <si>
    <t>S0438</t>
  </si>
  <si>
    <t>2024-07-29</t>
  </si>
  <si>
    <t>S0439</t>
  </si>
  <si>
    <t>2024-10-27</t>
  </si>
  <si>
    <t>S0440</t>
  </si>
  <si>
    <t>S0441</t>
  </si>
  <si>
    <t>2023-10-18</t>
  </si>
  <si>
    <t>S0442</t>
  </si>
  <si>
    <t>S0443</t>
  </si>
  <si>
    <t>2024-01-04</t>
  </si>
  <si>
    <t>S0444</t>
  </si>
  <si>
    <t>2023-04-02</t>
  </si>
  <si>
    <t>S0445</t>
  </si>
  <si>
    <t>2024-09-18</t>
  </si>
  <si>
    <t>S0446</t>
  </si>
  <si>
    <t>2025-07-12</t>
  </si>
  <si>
    <t>S0447</t>
  </si>
  <si>
    <t>2025-07-11</t>
  </si>
  <si>
    <t>S0448</t>
  </si>
  <si>
    <t>S0449</t>
  </si>
  <si>
    <t>S0450</t>
  </si>
  <si>
    <t>2024-06-25</t>
  </si>
  <si>
    <t>S0451</t>
  </si>
  <si>
    <t>2024-09-26</t>
  </si>
  <si>
    <t>S0452</t>
  </si>
  <si>
    <t>2025-09-23</t>
  </si>
  <si>
    <t>S0453</t>
  </si>
  <si>
    <t>2024-09-07</t>
  </si>
  <si>
    <t>S0454</t>
  </si>
  <si>
    <t>2025-03-11</t>
  </si>
  <si>
    <t>S0455</t>
  </si>
  <si>
    <t>S0456</t>
  </si>
  <si>
    <t>2024-01-08</t>
  </si>
  <si>
    <t>S0457</t>
  </si>
  <si>
    <t>2024-01-17</t>
  </si>
  <si>
    <t>S0458</t>
  </si>
  <si>
    <t>S0459</t>
  </si>
  <si>
    <t>2024-12-28</t>
  </si>
  <si>
    <t>S0460</t>
  </si>
  <si>
    <t>S0461</t>
  </si>
  <si>
    <t>2024-12-12</t>
  </si>
  <si>
    <t>S0462</t>
  </si>
  <si>
    <t>2023-06-20</t>
  </si>
  <si>
    <t>S0463</t>
  </si>
  <si>
    <t>2024-05-23</t>
  </si>
  <si>
    <t>S0464</t>
  </si>
  <si>
    <t>2023-01-12</t>
  </si>
  <si>
    <t>S0465</t>
  </si>
  <si>
    <t>2024-01-11</t>
  </si>
  <si>
    <t>S0466</t>
  </si>
  <si>
    <t>S0467</t>
  </si>
  <si>
    <t>S0468</t>
  </si>
  <si>
    <t>2023-04-25</t>
  </si>
  <si>
    <t>S0469</t>
  </si>
  <si>
    <t>2024-01-31</t>
  </si>
  <si>
    <t>S0470</t>
  </si>
  <si>
    <t>S0471</t>
  </si>
  <si>
    <t>2025-03-31</t>
  </si>
  <si>
    <t>S0472</t>
  </si>
  <si>
    <t>2025-05-20</t>
  </si>
  <si>
    <t>S0473</t>
  </si>
  <si>
    <t>S0474</t>
  </si>
  <si>
    <t>2023-01-09</t>
  </si>
  <si>
    <t>S0475</t>
  </si>
  <si>
    <t>S0476</t>
  </si>
  <si>
    <t>S0477</t>
  </si>
  <si>
    <t>2024-06-24</t>
  </si>
  <si>
    <t>S0478</t>
  </si>
  <si>
    <t>S0479</t>
  </si>
  <si>
    <t>2024-09-19</t>
  </si>
  <si>
    <t>S0480</t>
  </si>
  <si>
    <t>2023-03-17</t>
  </si>
  <si>
    <t>S0481</t>
  </si>
  <si>
    <t>2023-04-12</t>
  </si>
  <si>
    <t>S0482</t>
  </si>
  <si>
    <t>S0483</t>
  </si>
  <si>
    <t>2025-07-18</t>
  </si>
  <si>
    <t>S0484</t>
  </si>
  <si>
    <t>2025-07-23</t>
  </si>
  <si>
    <t>S0485</t>
  </si>
  <si>
    <t>2024-10-14</t>
  </si>
  <si>
    <t>S0486</t>
  </si>
  <si>
    <t>2025-03-16</t>
  </si>
  <si>
    <t>S0487</t>
  </si>
  <si>
    <t>2024-02-20</t>
  </si>
  <si>
    <t>S0488</t>
  </si>
  <si>
    <t>2023-06-21</t>
  </si>
  <si>
    <t>S0489</t>
  </si>
  <si>
    <t>S0490</t>
  </si>
  <si>
    <t>2025-05-19</t>
  </si>
  <si>
    <t>S0491</t>
  </si>
  <si>
    <t>S0492</t>
  </si>
  <si>
    <t>S0493</t>
  </si>
  <si>
    <t>S0494</t>
  </si>
  <si>
    <t>2025-07-19</t>
  </si>
  <si>
    <t>S0495</t>
  </si>
  <si>
    <t>S0496</t>
  </si>
  <si>
    <t>S0497</t>
  </si>
  <si>
    <t>2024-10-15</t>
  </si>
  <si>
    <t>S0498</t>
  </si>
  <si>
    <t>S0499</t>
  </si>
  <si>
    <t>2025-06-05</t>
  </si>
  <si>
    <t>S0500</t>
  </si>
  <si>
    <t>&gt;=80</t>
  </si>
  <si>
    <t>Display only Female students from class 12</t>
  </si>
  <si>
    <t>Kuntal</t>
  </si>
  <si>
    <t>Result</t>
  </si>
  <si>
    <t>&gt;=40 Pass</t>
  </si>
  <si>
    <t>&lt;40 Fail</t>
  </si>
  <si>
    <t>90-100</t>
  </si>
  <si>
    <t>80-89</t>
  </si>
  <si>
    <t>70-79</t>
  </si>
  <si>
    <t>60-69</t>
  </si>
  <si>
    <t>40-59</t>
  </si>
  <si>
    <t>Below 40</t>
  </si>
  <si>
    <t>A+</t>
  </si>
  <si>
    <t>F</t>
  </si>
  <si>
    <t>Grade</t>
  </si>
  <si>
    <t>Calculate average marks of female students</t>
  </si>
  <si>
    <t>Calculate total marks of Class 10 students</t>
  </si>
  <si>
    <t>Calculate average age of students from Mumbai</t>
  </si>
  <si>
    <t>Grand Total</t>
  </si>
  <si>
    <t>Average of Marks</t>
  </si>
  <si>
    <t>Count of Student_ID</t>
  </si>
  <si>
    <t>Count the total number of students.</t>
  </si>
  <si>
    <t>Find the highest marks scored.</t>
  </si>
  <si>
    <t>Find the lowest marks scored.</t>
  </si>
  <si>
    <t>Calculate the average marks of all students.</t>
  </si>
  <si>
    <t>Count the number of male and female students.</t>
  </si>
  <si>
    <t>Find the average age of students.</t>
  </si>
  <si>
    <t>Highligh marks greater than 90.</t>
  </si>
  <si>
    <t>Highlight marks below 40.</t>
  </si>
  <si>
    <t>Apply color scales to marks.</t>
  </si>
  <si>
    <t>Highlight duplicate first names.</t>
  </si>
  <si>
    <t>Highlight students aged above 18.</t>
  </si>
  <si>
    <t>Create a new column named Result.</t>
  </si>
  <si>
    <t>Create a grade column.</t>
  </si>
  <si>
    <t>Count students from Kolkata.</t>
  </si>
  <si>
    <t>Count students scoring above 80.</t>
  </si>
  <si>
    <t>Count female students in class 12.</t>
  </si>
  <si>
    <t>Count male students from Delhi scoring above 70.</t>
  </si>
  <si>
    <t>Calculate average marks of students from Kolkata.</t>
  </si>
  <si>
    <t>Sort students by Marks (Highest to Lowest).</t>
  </si>
  <si>
    <t>Sort students by Age (Lowest by Highest).</t>
  </si>
  <si>
    <t>Filter students from Kolkata.</t>
  </si>
  <si>
    <t>Display student who scored above 80 marks.</t>
  </si>
  <si>
    <t>Average of Age</t>
  </si>
  <si>
    <t>Column Labels</t>
  </si>
  <si>
    <t>Average AGE by CLASS</t>
  </si>
  <si>
    <t>Average MARKS by CITY</t>
  </si>
  <si>
    <t>Total students by CITY and GENDER</t>
  </si>
  <si>
    <t>Student COUNT by GENDER</t>
  </si>
  <si>
    <t>Highest marks by Class</t>
  </si>
  <si>
    <t>Max of Marks</t>
  </si>
  <si>
    <t>&gt;80</t>
  </si>
  <si>
    <t>&lt;18</t>
  </si>
  <si>
    <t>&gt;16</t>
  </si>
  <si>
    <t>Fees</t>
  </si>
  <si>
    <t>Retrieve Fees Using VLOOKUP</t>
  </si>
  <si>
    <t>Retrieve Fees Using INDEX-MATCH</t>
  </si>
  <si>
    <t>Retrieve Fees Using XLOOKUP</t>
  </si>
  <si>
    <t>Extract students with Marks &gt; 80.</t>
  </si>
  <si>
    <t>Extracts Students from Kolkata.</t>
  </si>
  <si>
    <t>Extract female students from Class 12.</t>
  </si>
  <si>
    <t>Extract students from Mumbai or Delhi.</t>
  </si>
  <si>
    <t>Total Student</t>
  </si>
  <si>
    <t>Average Marks</t>
  </si>
  <si>
    <t>Highest Marks</t>
  </si>
  <si>
    <t>Min of Marks</t>
  </si>
  <si>
    <t>Lowest Marks</t>
  </si>
  <si>
    <t>Gender Distribution Chart</t>
  </si>
  <si>
    <t>City-wise Student Count</t>
  </si>
  <si>
    <t>Class-wise Average Marks</t>
  </si>
  <si>
    <t>Total Students</t>
  </si>
  <si>
    <t>Student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</si>
</sst>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3" fillId="3" borderId="0" xfId="0" applyFont="1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0" xfId="0" applyNumberFormat="1"/>
    <xf numFmtId="0" fontId="0" fillId="3" borderId="0" xfId="0" applyFill="1"/>
    <xf numFmtId="0" fontId="1" fillId="4" borderId="1" xfId="0" applyFont="1" applyFill="1" applyBorder="1"/>
    <xf numFmtId="0" fontId="2" fillId="2" borderId="1" xfId="0" applyFont="1" applyFill="1" applyBorder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NumberFormat="1"/>
    <xf numFmtId="0" fontId="0" fillId="5" borderId="0" xfId="0" applyFill="1"/>
    <xf numFmtId="0" fontId="0" fillId="6" borderId="9" xfId="0" applyFill="1" applyBorder="1"/>
    <xf numFmtId="0" fontId="0" fillId="6" borderId="10" xfId="0" applyFill="1" applyBorder="1"/>
    <xf numFmtId="0" fontId="0" fillId="6" borderId="7" xfId="0" applyFill="1" applyBorder="1"/>
    <xf numFmtId="0" fontId="0" fillId="6" borderId="12" xfId="0" applyFill="1" applyBorder="1"/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0" fillId="6" borderId="0" xfId="0" applyFill="1" applyBorder="1"/>
    <xf numFmtId="0" fontId="3" fillId="6" borderId="9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0" fillId="6" borderId="13" xfId="0" applyFill="1" applyBorder="1"/>
    <xf numFmtId="0" fontId="4" fillId="6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0" fillId="6" borderId="6" xfId="0" applyFill="1" applyBorder="1"/>
    <xf numFmtId="0" fontId="0" fillId="6" borderId="11" xfId="0" applyFill="1" applyBorder="1"/>
    <xf numFmtId="0" fontId="0" fillId="6" borderId="4" xfId="0" applyFill="1" applyBorder="1"/>
    <xf numFmtId="0" fontId="2" fillId="7" borderId="6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2" fontId="2" fillId="7" borderId="6" xfId="0" applyNumberFormat="1" applyFont="1" applyFill="1" applyBorder="1" applyAlignment="1">
      <alignment horizontal="center"/>
    </xf>
    <xf numFmtId="2" fontId="2" fillId="7" borderId="4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80"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[Solution of Student_dataset task.xlsx]28 Pivot!PivotTable5</c:name>
    <c:fmtId val="2"/>
  </c:pivotSource>
  <c:chart>
    <c:title>
      <c:layout>
        <c:manualLayout>
          <c:xMode val="edge"/>
          <c:yMode val="edge"/>
          <c:x val="0.43357199681782022"/>
          <c:y val="8.9710465879265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'28 Pivot'!$F$3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78-493D-B2C1-4636A66DD9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78-493D-B2C1-4636A66DD937}"/>
              </c:ext>
            </c:extLst>
          </c:dPt>
          <c:cat>
            <c:strRef>
              <c:f>'28 Pivot'!$E$4:$E$6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'28 Pivot'!$F$4:$F$6</c:f>
              <c:numCache>
                <c:formatCode>General</c:formatCode>
                <c:ptCount val="2"/>
                <c:pt idx="0">
                  <c:v>271</c:v>
                </c:pt>
                <c:pt idx="1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78-493D-B2C1-4636A66DD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[Solution of Student_dataset task.xlsx]28 Pivot!PivotTable6</c:name>
    <c:fmtId val="2"/>
  </c:pivotSource>
  <c:chart>
    <c:title>
      <c:layout>
        <c:manualLayout>
          <c:xMode val="edge"/>
          <c:yMode val="edge"/>
          <c:x val="0.50361111111111112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266447944006998"/>
          <c:y val="0.16606262758821813"/>
          <c:w val="0.70411329833770775"/>
          <c:h val="0.726537984835228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'28 Pivot'!$F$10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'28 Pivot'!$E$11:$E$19</c:f>
              <c:strCache>
                <c:ptCount val="8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Jaipur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</c:strCache>
            </c:strRef>
          </c:cat>
          <c:val>
            <c:numRef>
              <c:f>'28 Pivot'!$F$11:$F$19</c:f>
              <c:numCache>
                <c:formatCode>General</c:formatCode>
                <c:ptCount val="8"/>
                <c:pt idx="0">
                  <c:v>58</c:v>
                </c:pt>
                <c:pt idx="1">
                  <c:v>66</c:v>
                </c:pt>
                <c:pt idx="2">
                  <c:v>76</c:v>
                </c:pt>
                <c:pt idx="3">
                  <c:v>64</c:v>
                </c:pt>
                <c:pt idx="4">
                  <c:v>62</c:v>
                </c:pt>
                <c:pt idx="5">
                  <c:v>57</c:v>
                </c:pt>
                <c:pt idx="6">
                  <c:v>69</c:v>
                </c:pt>
                <c:pt idx="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6-4063-A38E-0BF2FA077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3671455"/>
        <c:axId val="983674335"/>
      </c:barChart>
      <c:catAx>
        <c:axId val="983671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674335"/>
        <c:crosses val="autoZero"/>
        <c:auto val="1"/>
        <c:lblAlgn val="ctr"/>
        <c:lblOffset val="100"/>
        <c:noMultiLvlLbl val="0"/>
      </c:catAx>
      <c:valAx>
        <c:axId val="98367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67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[Solution of Student_dataset task.xlsx]28 Pivot!PivotTable7</c:name>
    <c:fmtId val="2"/>
  </c:pivotSource>
  <c:chart>
    <c:title>
      <c:layout>
        <c:manualLayout>
          <c:xMode val="edge"/>
          <c:yMode val="edge"/>
          <c:x val="0.45361111111111119"/>
          <c:y val="7.94839916265527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219816272965874E-2"/>
          <c:y val="0.2622775138937592"/>
          <c:w val="0.75481714785651799"/>
          <c:h val="0.53544316575812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'28 Pivot'!$J$3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'28 Pivot'!$I$4:$I$8</c:f>
              <c:strCache>
                <c:ptCount val="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</c:strCache>
            </c:strRef>
          </c:cat>
          <c:val>
            <c:numRef>
              <c:f>'28 Pivot'!$J$4:$J$8</c:f>
              <c:numCache>
                <c:formatCode>0.00</c:formatCode>
                <c:ptCount val="4"/>
                <c:pt idx="0">
                  <c:v>65.442857142857136</c:v>
                </c:pt>
                <c:pt idx="1">
                  <c:v>66.295652173913041</c:v>
                </c:pt>
                <c:pt idx="2">
                  <c:v>68.593220338983045</c:v>
                </c:pt>
                <c:pt idx="3">
                  <c:v>65.937007874015748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A-4700-84CE-E52E9DD9C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660895"/>
        <c:axId val="983666175"/>
      </c:barChart>
      <c:catAx>
        <c:axId val="98366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666175"/>
        <c:crosses val="autoZero"/>
        <c:auto val="1"/>
        <c:lblAlgn val="ctr"/>
        <c:lblOffset val="100"/>
        <c:noMultiLvlLbl val="0"/>
      </c:catAx>
      <c:valAx>
        <c:axId val="98366617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66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4</xdr:row>
      <xdr:rowOff>114300</xdr:rowOff>
    </xdr:from>
    <xdr:to>
      <xdr:col>7</xdr:col>
      <xdr:colOff>152400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742B60-A529-4754-BEA2-FE502882D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4</xdr:row>
      <xdr:rowOff>99060</xdr:rowOff>
    </xdr:from>
    <xdr:to>
      <xdr:col>16</xdr:col>
      <xdr:colOff>7620</xdr:colOff>
      <xdr:row>15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9EE8F7-0DFB-40B0-8614-CFED7883C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7620</xdr:colOff>
      <xdr:row>16</xdr:row>
      <xdr:rowOff>114300</xdr:rowOff>
    </xdr:from>
    <xdr:to>
      <xdr:col>16</xdr:col>
      <xdr:colOff>22860</xdr:colOff>
      <xdr:row>26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9F5BDB-6FA7-473A-9C9A-009DDB1B5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RAN PARUA" refreshedDate="46175.51422986111" createdVersion="8" refreshedVersion="8" minRefreshableVersion="3" recordCount="500" xr:uid="{484BF852-EC11-4117-96FD-8909049B1114}">
  <cacheSource type="worksheet">
    <worksheetSource ref="A1:J501" sheet="Main data"/>
  </cacheSource>
  <cacheFields count="10">
    <cacheField name="Student_ID" numFmtId="0">
      <sharedItems count="500">
        <s v="S0001"/>
        <s v="S0002"/>
        <s v="S0003"/>
        <s v="S0004"/>
        <s v="S0005"/>
        <s v="S0006"/>
        <s v="S0007"/>
        <s v="S0008"/>
        <s v="S0009"/>
        <s v="S0010"/>
        <s v="S0011"/>
        <s v="S0012"/>
        <s v="S0013"/>
        <s v="S0014"/>
        <s v="S0015"/>
        <s v="S0016"/>
        <s v="S0017"/>
        <s v="S0018"/>
        <s v="S0019"/>
        <s v="S0020"/>
        <s v="S0021"/>
        <s v="S0022"/>
        <s v="S0023"/>
        <s v="S0024"/>
        <s v="S0025"/>
        <s v="S0026"/>
        <s v="S0027"/>
        <s v="S0028"/>
        <s v="S0029"/>
        <s v="S0030"/>
        <s v="S0031"/>
        <s v="S0032"/>
        <s v="S0033"/>
        <s v="S0034"/>
        <s v="S0035"/>
        <s v="S0036"/>
        <s v="S0037"/>
        <s v="S0038"/>
        <s v="S0039"/>
        <s v="S0040"/>
        <s v="S0041"/>
        <s v="S0042"/>
        <s v="S0043"/>
        <s v="S0044"/>
        <s v="S0045"/>
        <s v="S0046"/>
        <s v="S0047"/>
        <s v="S0048"/>
        <s v="S0049"/>
        <s v="S0050"/>
        <s v="S0051"/>
        <s v="S0052"/>
        <s v="S0053"/>
        <s v="S0054"/>
        <s v="S0055"/>
        <s v="S0056"/>
        <s v="S0057"/>
        <s v="S0058"/>
        <s v="S0059"/>
        <s v="S0060"/>
        <s v="S0061"/>
        <s v="S0062"/>
        <s v="S0063"/>
        <s v="S0064"/>
        <s v="S0065"/>
        <s v="S0066"/>
        <s v="S0067"/>
        <s v="S0068"/>
        <s v="S0069"/>
        <s v="S0070"/>
        <s v="S0071"/>
        <s v="S0072"/>
        <s v="S0073"/>
        <s v="S0074"/>
        <s v="S0075"/>
        <s v="S0076"/>
        <s v="S0077"/>
        <s v="S0078"/>
        <s v="S0079"/>
        <s v="S0080"/>
        <s v="S0081"/>
        <s v="S0082"/>
        <s v="S0083"/>
        <s v="S0084"/>
        <s v="S0085"/>
        <s v="S0086"/>
        <s v="S0087"/>
        <s v="S0088"/>
        <s v="S0089"/>
        <s v="S0090"/>
        <s v="S0091"/>
        <s v="S0092"/>
        <s v="S0093"/>
        <s v="S0094"/>
        <s v="S0095"/>
        <s v="S0096"/>
        <s v="S0097"/>
        <s v="S0098"/>
        <s v="S0099"/>
        <s v="S0100"/>
        <s v="S0101"/>
        <s v="S0102"/>
        <s v="S0103"/>
        <s v="S0104"/>
        <s v="S0105"/>
        <s v="S0106"/>
        <s v="S0107"/>
        <s v="S0108"/>
        <s v="S0109"/>
        <s v="S0110"/>
        <s v="S0111"/>
        <s v="S0112"/>
        <s v="S0113"/>
        <s v="S0114"/>
        <s v="S0115"/>
        <s v="S0116"/>
        <s v="S0117"/>
        <s v="S0118"/>
        <s v="S0119"/>
        <s v="S0120"/>
        <s v="S0121"/>
        <s v="S0122"/>
        <s v="S0123"/>
        <s v="S0124"/>
        <s v="S0125"/>
        <s v="S0126"/>
        <s v="S0127"/>
        <s v="S0128"/>
        <s v="S0129"/>
        <s v="S0130"/>
        <s v="S0131"/>
        <s v="S0132"/>
        <s v="S0133"/>
        <s v="S0134"/>
        <s v="S0135"/>
        <s v="S0136"/>
        <s v="S0137"/>
        <s v="S0138"/>
        <s v="S0139"/>
        <s v="S0140"/>
        <s v="S0141"/>
        <s v="S0142"/>
        <s v="S0143"/>
        <s v="S0144"/>
        <s v="S0145"/>
        <s v="S0146"/>
        <s v="S0147"/>
        <s v="S0148"/>
        <s v="S0149"/>
        <s v="S0150"/>
        <s v="S0151"/>
        <s v="S0152"/>
        <s v="S0153"/>
        <s v="S0154"/>
        <s v="S0155"/>
        <s v="S0156"/>
        <s v="S0157"/>
        <s v="S0158"/>
        <s v="S0159"/>
        <s v="S0160"/>
        <s v="S0161"/>
        <s v="S0162"/>
        <s v="S0163"/>
        <s v="S0164"/>
        <s v="S0165"/>
        <s v="S0166"/>
        <s v="S0167"/>
        <s v="S0168"/>
        <s v="S0169"/>
        <s v="S0170"/>
        <s v="S0171"/>
        <s v="S0172"/>
        <s v="S0173"/>
        <s v="S0174"/>
        <s v="S0175"/>
        <s v="S0176"/>
        <s v="S0177"/>
        <s v="S0178"/>
        <s v="S0179"/>
        <s v="S0180"/>
        <s v="S0181"/>
        <s v="S0182"/>
        <s v="S0183"/>
        <s v="S0184"/>
        <s v="S0185"/>
        <s v="S0186"/>
        <s v="S0187"/>
        <s v="S0188"/>
        <s v="S0189"/>
        <s v="S0190"/>
        <s v="S0191"/>
        <s v="S0192"/>
        <s v="S0193"/>
        <s v="S0194"/>
        <s v="S0195"/>
        <s v="S0196"/>
        <s v="S0197"/>
        <s v="S0198"/>
        <s v="S0199"/>
        <s v="S0200"/>
        <s v="S0201"/>
        <s v="S0202"/>
        <s v="S0203"/>
        <s v="S0204"/>
        <s v="S0205"/>
        <s v="S0206"/>
        <s v="S0207"/>
        <s v="S0208"/>
        <s v="S0209"/>
        <s v="S0210"/>
        <s v="S0211"/>
        <s v="S0212"/>
        <s v="S0213"/>
        <s v="S0214"/>
        <s v="S0215"/>
        <s v="S0216"/>
        <s v="S0217"/>
        <s v="S0218"/>
        <s v="S0219"/>
        <s v="S0220"/>
        <s v="S0221"/>
        <s v="S0222"/>
        <s v="S0223"/>
        <s v="S0224"/>
        <s v="S0225"/>
        <s v="S0226"/>
        <s v="S0227"/>
        <s v="S0228"/>
        <s v="S0229"/>
        <s v="S0230"/>
        <s v="S0231"/>
        <s v="S0232"/>
        <s v="S0233"/>
        <s v="S0234"/>
        <s v="S0235"/>
        <s v="S0236"/>
        <s v="S0237"/>
        <s v="S0238"/>
        <s v="S0239"/>
        <s v="S0240"/>
        <s v="S0241"/>
        <s v="S0242"/>
        <s v="S0243"/>
        <s v="S0244"/>
        <s v="S0245"/>
        <s v="S0246"/>
        <s v="S0247"/>
        <s v="S0248"/>
        <s v="S0249"/>
        <s v="S0250"/>
        <s v="S0251"/>
        <s v="S0252"/>
        <s v="S0253"/>
        <s v="S0254"/>
        <s v="S0255"/>
        <s v="S0256"/>
        <s v="S0257"/>
        <s v="S0258"/>
        <s v="S0259"/>
        <s v="S0260"/>
        <s v="S0261"/>
        <s v="S0262"/>
        <s v="S0263"/>
        <s v="S0264"/>
        <s v="S0265"/>
        <s v="S0266"/>
        <s v="S0267"/>
        <s v="S0268"/>
        <s v="S0269"/>
        <s v="S0270"/>
        <s v="S0271"/>
        <s v="S0272"/>
        <s v="S0273"/>
        <s v="S0274"/>
        <s v="S0275"/>
        <s v="S0276"/>
        <s v="S0277"/>
        <s v="S0278"/>
        <s v="S0279"/>
        <s v="S0280"/>
        <s v="S0281"/>
        <s v="S0282"/>
        <s v="S0283"/>
        <s v="S0284"/>
        <s v="S0285"/>
        <s v="S0286"/>
        <s v="S0287"/>
        <s v="S0288"/>
        <s v="S0289"/>
        <s v="S0290"/>
        <s v="S0291"/>
        <s v="S0292"/>
        <s v="S0293"/>
        <s v="S0294"/>
        <s v="S0295"/>
        <s v="S0296"/>
        <s v="S0297"/>
        <s v="S0298"/>
        <s v="S0299"/>
        <s v="S0300"/>
        <s v="S0301"/>
        <s v="S0302"/>
        <s v="S0303"/>
        <s v="S0304"/>
        <s v="S0305"/>
        <s v="S0306"/>
        <s v="S0307"/>
        <s v="S0308"/>
        <s v="S0309"/>
        <s v="S0310"/>
        <s v="S0311"/>
        <s v="S0312"/>
        <s v="S0313"/>
        <s v="S0314"/>
        <s v="S0315"/>
        <s v="S0316"/>
        <s v="S0317"/>
        <s v="S0318"/>
        <s v="S0319"/>
        <s v="S0320"/>
        <s v="S0321"/>
        <s v="S0322"/>
        <s v="S0323"/>
        <s v="S0324"/>
        <s v="S0325"/>
        <s v="S0326"/>
        <s v="S0327"/>
        <s v="S0328"/>
        <s v="S0329"/>
        <s v="S0330"/>
        <s v="S0331"/>
        <s v="S0332"/>
        <s v="S0333"/>
        <s v="S0334"/>
        <s v="S0335"/>
        <s v="S0336"/>
        <s v="S0337"/>
        <s v="S0338"/>
        <s v="S0339"/>
        <s v="S0340"/>
        <s v="S0341"/>
        <s v="S0342"/>
        <s v="S0343"/>
        <s v="S0344"/>
        <s v="S0345"/>
        <s v="S0346"/>
        <s v="S0347"/>
        <s v="S0348"/>
        <s v="S0349"/>
        <s v="S0350"/>
        <s v="S0351"/>
        <s v="S0352"/>
        <s v="S0353"/>
        <s v="S0354"/>
        <s v="S0355"/>
        <s v="S0356"/>
        <s v="S0357"/>
        <s v="S0358"/>
        <s v="S0359"/>
        <s v="S0360"/>
        <s v="S0361"/>
        <s v="S0362"/>
        <s v="S0363"/>
        <s v="S0364"/>
        <s v="S0365"/>
        <s v="S0366"/>
        <s v="S0367"/>
        <s v="S0368"/>
        <s v="S0369"/>
        <s v="S0370"/>
        <s v="S0371"/>
        <s v="S0372"/>
        <s v="S0373"/>
        <s v="S0374"/>
        <s v="S0375"/>
        <s v="S0376"/>
        <s v="S0377"/>
        <s v="S0378"/>
        <s v="S0379"/>
        <s v="S0380"/>
        <s v="S0381"/>
        <s v="S0382"/>
        <s v="S0383"/>
        <s v="S0384"/>
        <s v="S0385"/>
        <s v="S0386"/>
        <s v="S0387"/>
        <s v="S0388"/>
        <s v="S0389"/>
        <s v="S0390"/>
        <s v="S0391"/>
        <s v="S0392"/>
        <s v="S0393"/>
        <s v="S0394"/>
        <s v="S0395"/>
        <s v="S0396"/>
        <s v="S0397"/>
        <s v="S0398"/>
        <s v="S0399"/>
        <s v="S0400"/>
        <s v="S0401"/>
        <s v="S0402"/>
        <s v="S0403"/>
        <s v="S0404"/>
        <s v="S0405"/>
        <s v="S0406"/>
        <s v="S0407"/>
        <s v="S0408"/>
        <s v="S0409"/>
        <s v="S0410"/>
        <s v="S0411"/>
        <s v="S0412"/>
        <s v="S0413"/>
        <s v="S0414"/>
        <s v="S0415"/>
        <s v="S0416"/>
        <s v="S0417"/>
        <s v="S0418"/>
        <s v="S0419"/>
        <s v="S0420"/>
        <s v="S0421"/>
        <s v="S0422"/>
        <s v="S0423"/>
        <s v="S0424"/>
        <s v="S0425"/>
        <s v="S0426"/>
        <s v="S0427"/>
        <s v="S0428"/>
        <s v="S0429"/>
        <s v="S0430"/>
        <s v="S0431"/>
        <s v="S0432"/>
        <s v="S0433"/>
        <s v="S0434"/>
        <s v="S0435"/>
        <s v="S0436"/>
        <s v="S0437"/>
        <s v="S0438"/>
        <s v="S0439"/>
        <s v="S0440"/>
        <s v="S0441"/>
        <s v="S0442"/>
        <s v="S0443"/>
        <s v="S0444"/>
        <s v="S0445"/>
        <s v="S0446"/>
        <s v="S0447"/>
        <s v="S0448"/>
        <s v="S0449"/>
        <s v="S0450"/>
        <s v="S0451"/>
        <s v="S0452"/>
        <s v="S0453"/>
        <s v="S0454"/>
        <s v="S0455"/>
        <s v="S0456"/>
        <s v="S0457"/>
        <s v="S0458"/>
        <s v="S0459"/>
        <s v="S0460"/>
        <s v="S0461"/>
        <s v="S0462"/>
        <s v="S0463"/>
        <s v="S0464"/>
        <s v="S0465"/>
        <s v="S0466"/>
        <s v="S0467"/>
        <s v="S0468"/>
        <s v="S0469"/>
        <s v="S0470"/>
        <s v="S0471"/>
        <s v="S0472"/>
        <s v="S0473"/>
        <s v="S0474"/>
        <s v="S0475"/>
        <s v="S0476"/>
        <s v="S0477"/>
        <s v="S0478"/>
        <s v="S0479"/>
        <s v="S0480"/>
        <s v="S0481"/>
        <s v="S0482"/>
        <s v="S0483"/>
        <s v="S0484"/>
        <s v="S0485"/>
        <s v="S0486"/>
        <s v="S0487"/>
        <s v="S0488"/>
        <s v="S0489"/>
        <s v="S0490"/>
        <s v="S0491"/>
        <s v="S0492"/>
        <s v="S0493"/>
        <s v="S0494"/>
        <s v="S0495"/>
        <s v="S0496"/>
        <s v="S0497"/>
        <s v="S0498"/>
        <s v="S0499"/>
        <s v="S0500"/>
      </sharedItems>
    </cacheField>
    <cacheField name="First_Name" numFmtId="0">
      <sharedItems/>
    </cacheField>
    <cacheField name="Last_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4" maxValue="20"/>
    </cacheField>
    <cacheField name="Class" numFmtId="0">
      <sharedItems containsSemiMixedTypes="0" containsString="0" containsNumber="1" containsInteger="1" minValue="9" maxValue="12" count="4">
        <n v="10"/>
        <n v="12"/>
        <n v="9"/>
        <n v="11"/>
      </sharedItems>
    </cacheField>
    <cacheField name="Section" numFmtId="0">
      <sharedItems/>
    </cacheField>
    <cacheField name="City" numFmtId="0">
      <sharedItems count="8">
        <s v="Pune"/>
        <s v="Jaipur"/>
        <s v="Kolkata"/>
        <s v="Bengaluru"/>
        <s v="Hyderabad"/>
        <s v="Mumbai"/>
        <s v="Delhi"/>
        <s v="Chennai"/>
      </sharedItems>
    </cacheField>
    <cacheField name="Admission_Date" numFmtId="0">
      <sharedItems/>
    </cacheField>
    <cacheField name="Marks" numFmtId="0">
      <sharedItems containsSemiMixedTypes="0" containsString="0" containsNumber="1" containsInteger="1" minValue="3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Sneha"/>
    <s v="Paul"/>
    <x v="0"/>
    <n v="16"/>
    <x v="0"/>
    <s v="B"/>
    <x v="0"/>
    <s v="2024-10-06"/>
    <n v="37"/>
  </r>
  <r>
    <x v="1"/>
    <s v="Amit"/>
    <s v="Das"/>
    <x v="0"/>
    <n v="15"/>
    <x v="1"/>
    <s v="B"/>
    <x v="1"/>
    <s v="2024-11-06"/>
    <n v="98"/>
  </r>
  <r>
    <x v="2"/>
    <s v="Karan"/>
    <s v="Roy"/>
    <x v="0"/>
    <n v="14"/>
    <x v="1"/>
    <s v="D"/>
    <x v="2"/>
    <s v="2024-10-12"/>
    <n v="38"/>
  </r>
  <r>
    <x v="3"/>
    <s v="Priya"/>
    <s v="Singh"/>
    <x v="1"/>
    <n v="20"/>
    <x v="2"/>
    <s v="A"/>
    <x v="2"/>
    <s v="2023-06-14"/>
    <n v="84"/>
  </r>
  <r>
    <x v="4"/>
    <s v="Neha"/>
    <s v="Kumar"/>
    <x v="1"/>
    <n v="17"/>
    <x v="0"/>
    <s v="A"/>
    <x v="3"/>
    <s v="2023-09-21"/>
    <n v="45"/>
  </r>
  <r>
    <x v="5"/>
    <s v="Sneha"/>
    <s v="Paul"/>
    <x v="1"/>
    <n v="19"/>
    <x v="0"/>
    <s v="B"/>
    <x v="4"/>
    <s v="2023-09-12"/>
    <n v="36"/>
  </r>
  <r>
    <x v="6"/>
    <s v="Priya"/>
    <s v="Roy"/>
    <x v="1"/>
    <n v="20"/>
    <x v="2"/>
    <s v="C"/>
    <x v="4"/>
    <s v="2025-08-17"/>
    <n v="88"/>
  </r>
  <r>
    <x v="7"/>
    <s v="Neha"/>
    <s v="Paul"/>
    <x v="0"/>
    <n v="19"/>
    <x v="1"/>
    <s v="A"/>
    <x v="5"/>
    <s v="2025-01-28"/>
    <n v="60"/>
  </r>
  <r>
    <x v="8"/>
    <s v="Amit"/>
    <s v="Singh"/>
    <x v="1"/>
    <n v="19"/>
    <x v="1"/>
    <s v="B"/>
    <x v="5"/>
    <s v="2023-06-04"/>
    <n v="92"/>
  </r>
  <r>
    <x v="9"/>
    <s v="Arjun"/>
    <s v="Roy"/>
    <x v="1"/>
    <n v="15"/>
    <x v="2"/>
    <s v="C"/>
    <x v="0"/>
    <s v="2025-03-19"/>
    <n v="90"/>
  </r>
  <r>
    <x v="10"/>
    <s v="Riya"/>
    <s v="Gupta"/>
    <x v="1"/>
    <n v="20"/>
    <x v="0"/>
    <s v="D"/>
    <x v="4"/>
    <s v="2024-10-08"/>
    <n v="59"/>
  </r>
  <r>
    <x v="11"/>
    <s v="Arjun"/>
    <s v="Patel"/>
    <x v="0"/>
    <n v="14"/>
    <x v="1"/>
    <s v="A"/>
    <x v="4"/>
    <s v="2024-08-18"/>
    <n v="43"/>
  </r>
  <r>
    <x v="12"/>
    <s v="Neha"/>
    <s v="Gupta"/>
    <x v="0"/>
    <n v="15"/>
    <x v="1"/>
    <s v="B"/>
    <x v="6"/>
    <s v="2024-04-25"/>
    <n v="51"/>
  </r>
  <r>
    <x v="13"/>
    <s v="Sneha"/>
    <s v="Gupta"/>
    <x v="0"/>
    <n v="16"/>
    <x v="0"/>
    <s v="D"/>
    <x v="2"/>
    <s v="2023-04-30"/>
    <n v="42"/>
  </r>
  <r>
    <x v="14"/>
    <s v="Karan"/>
    <s v="Singh"/>
    <x v="0"/>
    <n v="20"/>
    <x v="1"/>
    <s v="B"/>
    <x v="4"/>
    <s v="2024-02-05"/>
    <n v="62"/>
  </r>
  <r>
    <x v="15"/>
    <s v="Vikram"/>
    <s v="Das"/>
    <x v="0"/>
    <n v="20"/>
    <x v="2"/>
    <s v="B"/>
    <x v="1"/>
    <s v="2025-08-10"/>
    <n v="55"/>
  </r>
  <r>
    <x v="16"/>
    <s v="Arjun"/>
    <s v="Kumar"/>
    <x v="0"/>
    <n v="14"/>
    <x v="1"/>
    <s v="D"/>
    <x v="3"/>
    <s v="2023-09-19"/>
    <n v="42"/>
  </r>
  <r>
    <x v="17"/>
    <s v="Pooja"/>
    <s v="Patel"/>
    <x v="1"/>
    <n v="19"/>
    <x v="2"/>
    <s v="A"/>
    <x v="5"/>
    <s v="2024-05-30"/>
    <n v="76"/>
  </r>
  <r>
    <x v="18"/>
    <s v="Priya"/>
    <s v="Patel"/>
    <x v="1"/>
    <n v="17"/>
    <x v="1"/>
    <s v="A"/>
    <x v="7"/>
    <s v="2025-04-12"/>
    <n v="66"/>
  </r>
  <r>
    <x v="19"/>
    <s v="Vikram"/>
    <s v="Ghosh"/>
    <x v="1"/>
    <n v="15"/>
    <x v="0"/>
    <s v="B"/>
    <x v="1"/>
    <s v="2023-11-01"/>
    <n v="59"/>
  </r>
  <r>
    <x v="20"/>
    <s v="Priya"/>
    <s v="Patel"/>
    <x v="1"/>
    <n v="19"/>
    <x v="2"/>
    <s v="B"/>
    <x v="6"/>
    <s v="2025-08-12"/>
    <n v="50"/>
  </r>
  <r>
    <x v="21"/>
    <s v="Rahul"/>
    <s v="Sharma"/>
    <x v="1"/>
    <n v="16"/>
    <x v="2"/>
    <s v="C"/>
    <x v="3"/>
    <s v="2025-02-24"/>
    <n v="52"/>
  </r>
  <r>
    <x v="22"/>
    <s v="Amit"/>
    <s v="Paul"/>
    <x v="0"/>
    <n v="20"/>
    <x v="1"/>
    <s v="A"/>
    <x v="2"/>
    <s v="2024-05-03"/>
    <n v="86"/>
  </r>
  <r>
    <x v="23"/>
    <s v="Vikram"/>
    <s v="Sharma"/>
    <x v="1"/>
    <n v="16"/>
    <x v="2"/>
    <s v="C"/>
    <x v="1"/>
    <s v="2025-08-25"/>
    <n v="52"/>
  </r>
  <r>
    <x v="24"/>
    <s v="Pooja"/>
    <s v="Paul"/>
    <x v="0"/>
    <n v="20"/>
    <x v="0"/>
    <s v="C"/>
    <x v="5"/>
    <s v="2025-09-27"/>
    <n v="82"/>
  </r>
  <r>
    <x v="25"/>
    <s v="Priya"/>
    <s v="Roy"/>
    <x v="1"/>
    <n v="14"/>
    <x v="1"/>
    <s v="A"/>
    <x v="6"/>
    <s v="2023-11-06"/>
    <n v="72"/>
  </r>
  <r>
    <x v="26"/>
    <s v="Amit"/>
    <s v="Mishra"/>
    <x v="0"/>
    <n v="19"/>
    <x v="1"/>
    <s v="B"/>
    <x v="0"/>
    <s v="2024-01-03"/>
    <n v="56"/>
  </r>
  <r>
    <x v="27"/>
    <s v="Vikram"/>
    <s v="Gupta"/>
    <x v="0"/>
    <n v="19"/>
    <x v="3"/>
    <s v="C"/>
    <x v="0"/>
    <s v="2025-03-20"/>
    <n v="56"/>
  </r>
  <r>
    <x v="28"/>
    <s v="Neha"/>
    <s v="Paul"/>
    <x v="1"/>
    <n v="19"/>
    <x v="1"/>
    <s v="D"/>
    <x v="7"/>
    <s v="2024-06-26"/>
    <n v="54"/>
  </r>
  <r>
    <x v="29"/>
    <s v="Neha"/>
    <s v="Paul"/>
    <x v="0"/>
    <n v="20"/>
    <x v="3"/>
    <s v="B"/>
    <x v="2"/>
    <s v="2024-05-26"/>
    <n v="70"/>
  </r>
  <r>
    <x v="30"/>
    <s v="Priya"/>
    <s v="Ghosh"/>
    <x v="1"/>
    <n v="18"/>
    <x v="0"/>
    <s v="D"/>
    <x v="6"/>
    <s v="2024-12-14"/>
    <n v="57"/>
  </r>
  <r>
    <x v="31"/>
    <s v="Arjun"/>
    <s v="Gupta"/>
    <x v="0"/>
    <n v="20"/>
    <x v="2"/>
    <s v="A"/>
    <x v="2"/>
    <s v="2023-02-24"/>
    <n v="91"/>
  </r>
  <r>
    <x v="32"/>
    <s v="Priya"/>
    <s v="Mishra"/>
    <x v="1"/>
    <n v="15"/>
    <x v="3"/>
    <s v="C"/>
    <x v="2"/>
    <s v="2023-03-14"/>
    <n v="77"/>
  </r>
  <r>
    <x v="33"/>
    <s v="Arjun"/>
    <s v="Patel"/>
    <x v="1"/>
    <n v="14"/>
    <x v="0"/>
    <s v="A"/>
    <x v="7"/>
    <s v="2023-10-12"/>
    <n v="60"/>
  </r>
  <r>
    <x v="34"/>
    <s v="Pooja"/>
    <s v="Singh"/>
    <x v="0"/>
    <n v="15"/>
    <x v="2"/>
    <s v="B"/>
    <x v="2"/>
    <s v="2025-03-27"/>
    <n v="58"/>
  </r>
  <r>
    <x v="35"/>
    <s v="Pooja"/>
    <s v="Patel"/>
    <x v="0"/>
    <n v="20"/>
    <x v="2"/>
    <s v="D"/>
    <x v="5"/>
    <s v="2024-09-17"/>
    <n v="40"/>
  </r>
  <r>
    <x v="36"/>
    <s v="Rahul"/>
    <s v="Das"/>
    <x v="0"/>
    <n v="19"/>
    <x v="1"/>
    <s v="B"/>
    <x v="1"/>
    <s v="2025-04-09"/>
    <n v="56"/>
  </r>
  <r>
    <x v="37"/>
    <s v="Rahul"/>
    <s v="Patel"/>
    <x v="1"/>
    <n v="20"/>
    <x v="0"/>
    <s v="A"/>
    <x v="2"/>
    <s v="2023-09-23"/>
    <n v="52"/>
  </r>
  <r>
    <x v="38"/>
    <s v="Neha"/>
    <s v="Kumar"/>
    <x v="1"/>
    <n v="20"/>
    <x v="0"/>
    <s v="C"/>
    <x v="6"/>
    <s v="2023-12-22"/>
    <n v="37"/>
  </r>
  <r>
    <x v="39"/>
    <s v="Amit"/>
    <s v="Das"/>
    <x v="0"/>
    <n v="15"/>
    <x v="0"/>
    <s v="A"/>
    <x v="1"/>
    <s v="2023-10-05"/>
    <n v="51"/>
  </r>
  <r>
    <x v="40"/>
    <s v="Vikram"/>
    <s v="Kumar"/>
    <x v="0"/>
    <n v="18"/>
    <x v="0"/>
    <s v="C"/>
    <x v="1"/>
    <s v="2024-05-20"/>
    <n v="66"/>
  </r>
  <r>
    <x v="41"/>
    <s v="Amit"/>
    <s v="Roy"/>
    <x v="0"/>
    <n v="15"/>
    <x v="2"/>
    <s v="D"/>
    <x v="7"/>
    <s v="2025-04-13"/>
    <n v="59"/>
  </r>
  <r>
    <x v="42"/>
    <s v="Sneha"/>
    <s v="Roy"/>
    <x v="1"/>
    <n v="17"/>
    <x v="1"/>
    <s v="A"/>
    <x v="0"/>
    <s v="2025-05-29"/>
    <n v="68"/>
  </r>
  <r>
    <x v="43"/>
    <s v="Pooja"/>
    <s v="Singh"/>
    <x v="0"/>
    <n v="17"/>
    <x v="1"/>
    <s v="D"/>
    <x v="4"/>
    <s v="2025-09-16"/>
    <n v="82"/>
  </r>
  <r>
    <x v="44"/>
    <s v="Priya"/>
    <s v="Paul"/>
    <x v="0"/>
    <n v="17"/>
    <x v="0"/>
    <s v="D"/>
    <x v="3"/>
    <s v="2023-04-05"/>
    <n v="88"/>
  </r>
  <r>
    <x v="45"/>
    <s v="Karan"/>
    <s v="Singh"/>
    <x v="1"/>
    <n v="20"/>
    <x v="2"/>
    <s v="B"/>
    <x v="0"/>
    <s v="2024-10-29"/>
    <n v="50"/>
  </r>
  <r>
    <x v="46"/>
    <s v="Sneha"/>
    <s v="Ghosh"/>
    <x v="0"/>
    <n v="14"/>
    <x v="0"/>
    <s v="C"/>
    <x v="6"/>
    <s v="2024-09-04"/>
    <n v="65"/>
  </r>
  <r>
    <x v="47"/>
    <s v="Arjun"/>
    <s v="Sharma"/>
    <x v="0"/>
    <n v="18"/>
    <x v="3"/>
    <s v="C"/>
    <x v="6"/>
    <s v="2024-08-25"/>
    <n v="100"/>
  </r>
  <r>
    <x v="48"/>
    <s v="Neha"/>
    <s v="Singh"/>
    <x v="1"/>
    <n v="19"/>
    <x v="0"/>
    <s v="A"/>
    <x v="7"/>
    <s v="2023-04-24"/>
    <n v="93"/>
  </r>
  <r>
    <x v="49"/>
    <s v="Priya"/>
    <s v="Mishra"/>
    <x v="1"/>
    <n v="16"/>
    <x v="1"/>
    <s v="B"/>
    <x v="3"/>
    <s v="2024-12-19"/>
    <n v="85"/>
  </r>
  <r>
    <x v="50"/>
    <s v="Pooja"/>
    <s v="Paul"/>
    <x v="1"/>
    <n v="20"/>
    <x v="0"/>
    <s v="B"/>
    <x v="2"/>
    <s v="2025-07-27"/>
    <n v="71"/>
  </r>
  <r>
    <x v="51"/>
    <s v="Neha"/>
    <s v="Singh"/>
    <x v="1"/>
    <n v="20"/>
    <x v="2"/>
    <s v="C"/>
    <x v="0"/>
    <s v="2024-02-10"/>
    <n v="40"/>
  </r>
  <r>
    <x v="52"/>
    <s v="Arjun"/>
    <s v="Mishra"/>
    <x v="0"/>
    <n v="19"/>
    <x v="3"/>
    <s v="B"/>
    <x v="7"/>
    <s v="2024-11-17"/>
    <n v="83"/>
  </r>
  <r>
    <x v="53"/>
    <s v="Karan"/>
    <s v="Gupta"/>
    <x v="1"/>
    <n v="17"/>
    <x v="2"/>
    <s v="D"/>
    <x v="1"/>
    <s v="2024-02-22"/>
    <n v="55"/>
  </r>
  <r>
    <x v="54"/>
    <s v="Karan"/>
    <s v="Gupta"/>
    <x v="0"/>
    <n v="17"/>
    <x v="1"/>
    <s v="A"/>
    <x v="5"/>
    <s v="2023-09-22"/>
    <n v="39"/>
  </r>
  <r>
    <x v="55"/>
    <s v="Arjun"/>
    <s v="Kumar"/>
    <x v="1"/>
    <n v="18"/>
    <x v="1"/>
    <s v="C"/>
    <x v="7"/>
    <s v="2023-12-10"/>
    <n v="77"/>
  </r>
  <r>
    <x v="56"/>
    <s v="Neha"/>
    <s v="Gupta"/>
    <x v="0"/>
    <n v="19"/>
    <x v="3"/>
    <s v="B"/>
    <x v="4"/>
    <s v="2024-02-11"/>
    <n v="63"/>
  </r>
  <r>
    <x v="57"/>
    <s v="Amit"/>
    <s v="Das"/>
    <x v="0"/>
    <n v="16"/>
    <x v="1"/>
    <s v="C"/>
    <x v="4"/>
    <s v="2023-05-14"/>
    <n v="36"/>
  </r>
  <r>
    <x v="58"/>
    <s v="Arjun"/>
    <s v="Sharma"/>
    <x v="1"/>
    <n v="17"/>
    <x v="3"/>
    <s v="C"/>
    <x v="3"/>
    <s v="2024-05-21"/>
    <n v="99"/>
  </r>
  <r>
    <x v="59"/>
    <s v="Pooja"/>
    <s v="Kumar"/>
    <x v="1"/>
    <n v="20"/>
    <x v="2"/>
    <s v="A"/>
    <x v="1"/>
    <s v="2024-01-01"/>
    <n v="49"/>
  </r>
  <r>
    <x v="60"/>
    <s v="Karan"/>
    <s v="Das"/>
    <x v="1"/>
    <n v="17"/>
    <x v="2"/>
    <s v="D"/>
    <x v="0"/>
    <s v="2025-07-17"/>
    <n v="64"/>
  </r>
  <r>
    <x v="61"/>
    <s v="Rahul"/>
    <s v="Roy"/>
    <x v="0"/>
    <n v="14"/>
    <x v="0"/>
    <s v="C"/>
    <x v="0"/>
    <s v="2024-10-01"/>
    <n v="45"/>
  </r>
  <r>
    <x v="62"/>
    <s v="Amit"/>
    <s v="Ghosh"/>
    <x v="0"/>
    <n v="17"/>
    <x v="1"/>
    <s v="D"/>
    <x v="2"/>
    <s v="2024-09-04"/>
    <n v="82"/>
  </r>
  <r>
    <x v="63"/>
    <s v="Sneha"/>
    <s v="Singh"/>
    <x v="1"/>
    <n v="18"/>
    <x v="2"/>
    <s v="D"/>
    <x v="5"/>
    <s v="2025-06-06"/>
    <n v="60"/>
  </r>
  <r>
    <x v="64"/>
    <s v="Priya"/>
    <s v="Sharma"/>
    <x v="0"/>
    <n v="14"/>
    <x v="0"/>
    <s v="A"/>
    <x v="6"/>
    <s v="2023-01-05"/>
    <n v="51"/>
  </r>
  <r>
    <x v="65"/>
    <s v="Riya"/>
    <s v="Singh"/>
    <x v="1"/>
    <n v="18"/>
    <x v="2"/>
    <s v="A"/>
    <x v="4"/>
    <s v="2025-05-24"/>
    <n v="54"/>
  </r>
  <r>
    <x v="66"/>
    <s v="Neha"/>
    <s v="Singh"/>
    <x v="1"/>
    <n v="20"/>
    <x v="2"/>
    <s v="B"/>
    <x v="6"/>
    <s v="2024-12-01"/>
    <n v="76"/>
  </r>
  <r>
    <x v="67"/>
    <s v="Priya"/>
    <s v="Patel"/>
    <x v="1"/>
    <n v="19"/>
    <x v="1"/>
    <s v="C"/>
    <x v="6"/>
    <s v="2025-07-15"/>
    <n v="99"/>
  </r>
  <r>
    <x v="68"/>
    <s v="Priya"/>
    <s v="Patel"/>
    <x v="1"/>
    <n v="16"/>
    <x v="3"/>
    <s v="D"/>
    <x v="2"/>
    <s v="2023-07-19"/>
    <n v="75"/>
  </r>
  <r>
    <x v="69"/>
    <s v="Sneha"/>
    <s v="Gupta"/>
    <x v="1"/>
    <n v="18"/>
    <x v="0"/>
    <s v="D"/>
    <x v="5"/>
    <s v="2024-07-07"/>
    <n v="98"/>
  </r>
  <r>
    <x v="70"/>
    <s v="Sneha"/>
    <s v="Singh"/>
    <x v="1"/>
    <n v="17"/>
    <x v="1"/>
    <s v="B"/>
    <x v="3"/>
    <s v="2024-01-25"/>
    <n v="49"/>
  </r>
  <r>
    <x v="71"/>
    <s v="Neha"/>
    <s v="Singh"/>
    <x v="1"/>
    <n v="14"/>
    <x v="1"/>
    <s v="C"/>
    <x v="6"/>
    <s v="2025-08-28"/>
    <n v="45"/>
  </r>
  <r>
    <x v="72"/>
    <s v="Arjun"/>
    <s v="Paul"/>
    <x v="1"/>
    <n v="17"/>
    <x v="0"/>
    <s v="C"/>
    <x v="5"/>
    <s v="2024-06-26"/>
    <n v="66"/>
  </r>
  <r>
    <x v="73"/>
    <s v="Karan"/>
    <s v="Gupta"/>
    <x v="1"/>
    <n v="15"/>
    <x v="2"/>
    <s v="C"/>
    <x v="1"/>
    <s v="2023-08-21"/>
    <n v="88"/>
  </r>
  <r>
    <x v="74"/>
    <s v="Amit"/>
    <s v="Das"/>
    <x v="1"/>
    <n v="14"/>
    <x v="1"/>
    <s v="A"/>
    <x v="3"/>
    <s v="2025-02-17"/>
    <n v="63"/>
  </r>
  <r>
    <x v="75"/>
    <s v="Vikram"/>
    <s v="Sharma"/>
    <x v="0"/>
    <n v="19"/>
    <x v="3"/>
    <s v="C"/>
    <x v="6"/>
    <s v="2024-11-20"/>
    <n v="78"/>
  </r>
  <r>
    <x v="76"/>
    <s v="Karan"/>
    <s v="Das"/>
    <x v="1"/>
    <n v="20"/>
    <x v="2"/>
    <s v="D"/>
    <x v="7"/>
    <s v="2024-09-25"/>
    <n v="76"/>
  </r>
  <r>
    <x v="77"/>
    <s v="Karan"/>
    <s v="Ghosh"/>
    <x v="0"/>
    <n v="18"/>
    <x v="1"/>
    <s v="C"/>
    <x v="7"/>
    <s v="2024-04-10"/>
    <n v="67"/>
  </r>
  <r>
    <x v="78"/>
    <s v="Sneha"/>
    <s v="Sharma"/>
    <x v="1"/>
    <n v="14"/>
    <x v="0"/>
    <s v="D"/>
    <x v="6"/>
    <s v="2024-01-21"/>
    <n v="97"/>
  </r>
  <r>
    <x v="79"/>
    <s v="Priya"/>
    <s v="Paul"/>
    <x v="0"/>
    <n v="18"/>
    <x v="1"/>
    <s v="D"/>
    <x v="2"/>
    <s v="2025-06-29"/>
    <n v="89"/>
  </r>
  <r>
    <x v="80"/>
    <s v="Arjun"/>
    <s v="Gupta"/>
    <x v="1"/>
    <n v="15"/>
    <x v="2"/>
    <s v="B"/>
    <x v="4"/>
    <s v="2023-10-12"/>
    <n v="70"/>
  </r>
  <r>
    <x v="81"/>
    <s v="Neha"/>
    <s v="Mishra"/>
    <x v="0"/>
    <n v="17"/>
    <x v="1"/>
    <s v="D"/>
    <x v="1"/>
    <s v="2025-01-16"/>
    <n v="90"/>
  </r>
  <r>
    <x v="82"/>
    <s v="Pooja"/>
    <s v="Roy"/>
    <x v="0"/>
    <n v="17"/>
    <x v="2"/>
    <s v="B"/>
    <x v="5"/>
    <s v="2024-03-04"/>
    <n v="59"/>
  </r>
  <r>
    <x v="83"/>
    <s v="Riya"/>
    <s v="Das"/>
    <x v="1"/>
    <n v="19"/>
    <x v="2"/>
    <s v="B"/>
    <x v="6"/>
    <s v="2025-08-07"/>
    <n v="76"/>
  </r>
  <r>
    <x v="84"/>
    <s v="Priya"/>
    <s v="Singh"/>
    <x v="1"/>
    <n v="18"/>
    <x v="3"/>
    <s v="C"/>
    <x v="1"/>
    <s v="2023-12-24"/>
    <n v="78"/>
  </r>
  <r>
    <x v="85"/>
    <s v="Neha"/>
    <s v="Das"/>
    <x v="1"/>
    <n v="16"/>
    <x v="2"/>
    <s v="B"/>
    <x v="3"/>
    <s v="2024-08-28"/>
    <n v="57"/>
  </r>
  <r>
    <x v="86"/>
    <s v="Priya"/>
    <s v="Roy"/>
    <x v="1"/>
    <n v="17"/>
    <x v="3"/>
    <s v="B"/>
    <x v="7"/>
    <s v="2025-07-13"/>
    <n v="74"/>
  </r>
  <r>
    <x v="87"/>
    <s v="Rahul"/>
    <s v="Kumar"/>
    <x v="1"/>
    <n v="19"/>
    <x v="1"/>
    <s v="B"/>
    <x v="3"/>
    <s v="2023-06-28"/>
    <n v="84"/>
  </r>
  <r>
    <x v="88"/>
    <s v="Rahul"/>
    <s v="Mishra"/>
    <x v="1"/>
    <n v="17"/>
    <x v="0"/>
    <s v="C"/>
    <x v="5"/>
    <s v="2025-01-25"/>
    <n v="46"/>
  </r>
  <r>
    <x v="89"/>
    <s v="Vikram"/>
    <s v="Das"/>
    <x v="0"/>
    <n v="19"/>
    <x v="2"/>
    <s v="B"/>
    <x v="4"/>
    <s v="2025-08-01"/>
    <n v="63"/>
  </r>
  <r>
    <x v="90"/>
    <s v="Arjun"/>
    <s v="Gupta"/>
    <x v="0"/>
    <n v="14"/>
    <x v="0"/>
    <s v="C"/>
    <x v="6"/>
    <s v="2025-04-15"/>
    <n v="72"/>
  </r>
  <r>
    <x v="91"/>
    <s v="Vikram"/>
    <s v="Roy"/>
    <x v="0"/>
    <n v="18"/>
    <x v="3"/>
    <s v="A"/>
    <x v="4"/>
    <s v="2023-07-28"/>
    <n v="87"/>
  </r>
  <r>
    <x v="92"/>
    <s v="Neha"/>
    <s v="Sharma"/>
    <x v="0"/>
    <n v="20"/>
    <x v="2"/>
    <s v="B"/>
    <x v="4"/>
    <s v="2024-11-23"/>
    <n v="55"/>
  </r>
  <r>
    <x v="93"/>
    <s v="Vikram"/>
    <s v="Patel"/>
    <x v="0"/>
    <n v="17"/>
    <x v="1"/>
    <s v="A"/>
    <x v="2"/>
    <s v="2024-02-21"/>
    <n v="37"/>
  </r>
  <r>
    <x v="94"/>
    <s v="Vikram"/>
    <s v="Roy"/>
    <x v="0"/>
    <n v="17"/>
    <x v="3"/>
    <s v="C"/>
    <x v="2"/>
    <s v="2024-10-10"/>
    <n v="53"/>
  </r>
  <r>
    <x v="95"/>
    <s v="Karan"/>
    <s v="Roy"/>
    <x v="1"/>
    <n v="18"/>
    <x v="2"/>
    <s v="D"/>
    <x v="6"/>
    <s v="2023-03-29"/>
    <n v="88"/>
  </r>
  <r>
    <x v="96"/>
    <s v="Sneha"/>
    <s v="Gupta"/>
    <x v="0"/>
    <n v="14"/>
    <x v="2"/>
    <s v="D"/>
    <x v="3"/>
    <s v="2025-09-05"/>
    <n v="66"/>
  </r>
  <r>
    <x v="97"/>
    <s v="Sneha"/>
    <s v="Kumar"/>
    <x v="1"/>
    <n v="14"/>
    <x v="1"/>
    <s v="C"/>
    <x v="4"/>
    <s v="2024-04-17"/>
    <n v="65"/>
  </r>
  <r>
    <x v="98"/>
    <s v="Karan"/>
    <s v="Roy"/>
    <x v="1"/>
    <n v="16"/>
    <x v="0"/>
    <s v="C"/>
    <x v="1"/>
    <s v="2024-04-04"/>
    <n v="71"/>
  </r>
  <r>
    <x v="99"/>
    <s v="Vikram"/>
    <s v="Patel"/>
    <x v="0"/>
    <n v="18"/>
    <x v="3"/>
    <s v="D"/>
    <x v="0"/>
    <s v="2023-08-07"/>
    <n v="48"/>
  </r>
  <r>
    <x v="100"/>
    <s v="Riya"/>
    <s v="Sharma"/>
    <x v="1"/>
    <n v="15"/>
    <x v="1"/>
    <s v="B"/>
    <x v="4"/>
    <s v="2024-05-22"/>
    <n v="100"/>
  </r>
  <r>
    <x v="101"/>
    <s v="Karan"/>
    <s v="Mishra"/>
    <x v="1"/>
    <n v="15"/>
    <x v="3"/>
    <s v="D"/>
    <x v="6"/>
    <s v="2025-04-25"/>
    <n v="72"/>
  </r>
  <r>
    <x v="102"/>
    <s v="Riya"/>
    <s v="Das"/>
    <x v="1"/>
    <n v="18"/>
    <x v="1"/>
    <s v="A"/>
    <x v="2"/>
    <s v="2025-07-22"/>
    <n v="74"/>
  </r>
  <r>
    <x v="103"/>
    <s v="Priya"/>
    <s v="Patel"/>
    <x v="1"/>
    <n v="14"/>
    <x v="1"/>
    <s v="B"/>
    <x v="4"/>
    <s v="2025-08-30"/>
    <n v="66"/>
  </r>
  <r>
    <x v="104"/>
    <s v="Vikram"/>
    <s v="Singh"/>
    <x v="1"/>
    <n v="16"/>
    <x v="3"/>
    <s v="A"/>
    <x v="1"/>
    <s v="2023-02-23"/>
    <n v="90"/>
  </r>
  <r>
    <x v="105"/>
    <s v="Karan"/>
    <s v="Roy"/>
    <x v="0"/>
    <n v="16"/>
    <x v="1"/>
    <s v="C"/>
    <x v="4"/>
    <s v="2025-03-04"/>
    <n v="50"/>
  </r>
  <r>
    <x v="106"/>
    <s v="Amit"/>
    <s v="Roy"/>
    <x v="0"/>
    <n v="15"/>
    <x v="2"/>
    <s v="D"/>
    <x v="1"/>
    <s v="2023-11-11"/>
    <n v="36"/>
  </r>
  <r>
    <x v="107"/>
    <s v="Arjun"/>
    <s v="Ghosh"/>
    <x v="1"/>
    <n v="20"/>
    <x v="1"/>
    <s v="C"/>
    <x v="4"/>
    <s v="2024-08-12"/>
    <n v="48"/>
  </r>
  <r>
    <x v="108"/>
    <s v="Vikram"/>
    <s v="Ghosh"/>
    <x v="1"/>
    <n v="20"/>
    <x v="3"/>
    <s v="C"/>
    <x v="5"/>
    <s v="2025-07-08"/>
    <n v="52"/>
  </r>
  <r>
    <x v="109"/>
    <s v="Riya"/>
    <s v="Sharma"/>
    <x v="0"/>
    <n v="14"/>
    <x v="3"/>
    <s v="C"/>
    <x v="5"/>
    <s v="2023-01-10"/>
    <n v="62"/>
  </r>
  <r>
    <x v="110"/>
    <s v="Karan"/>
    <s v="Kumar"/>
    <x v="0"/>
    <n v="15"/>
    <x v="3"/>
    <s v="D"/>
    <x v="2"/>
    <s v="2023-12-04"/>
    <n v="63"/>
  </r>
  <r>
    <x v="111"/>
    <s v="Priya"/>
    <s v="Das"/>
    <x v="0"/>
    <n v="15"/>
    <x v="3"/>
    <s v="D"/>
    <x v="5"/>
    <s v="2024-05-12"/>
    <n v="58"/>
  </r>
  <r>
    <x v="112"/>
    <s v="Sneha"/>
    <s v="Sharma"/>
    <x v="1"/>
    <n v="14"/>
    <x v="2"/>
    <s v="C"/>
    <x v="6"/>
    <s v="2024-10-08"/>
    <n v="41"/>
  </r>
  <r>
    <x v="113"/>
    <s v="Riya"/>
    <s v="Patel"/>
    <x v="0"/>
    <n v="19"/>
    <x v="3"/>
    <s v="B"/>
    <x v="4"/>
    <s v="2023-04-03"/>
    <n v="41"/>
  </r>
  <r>
    <x v="114"/>
    <s v="Vikram"/>
    <s v="Roy"/>
    <x v="1"/>
    <n v="16"/>
    <x v="1"/>
    <s v="C"/>
    <x v="2"/>
    <s v="2023-08-18"/>
    <n v="47"/>
  </r>
  <r>
    <x v="115"/>
    <s v="Pooja"/>
    <s v="Singh"/>
    <x v="1"/>
    <n v="15"/>
    <x v="2"/>
    <s v="C"/>
    <x v="2"/>
    <s v="2023-07-21"/>
    <n v="76"/>
  </r>
  <r>
    <x v="116"/>
    <s v="Riya"/>
    <s v="Roy"/>
    <x v="0"/>
    <n v="15"/>
    <x v="2"/>
    <s v="C"/>
    <x v="1"/>
    <s v="2023-08-11"/>
    <n v="50"/>
  </r>
  <r>
    <x v="117"/>
    <s v="Neha"/>
    <s v="Kumar"/>
    <x v="0"/>
    <n v="19"/>
    <x v="2"/>
    <s v="A"/>
    <x v="6"/>
    <s v="2025-06-09"/>
    <n v="63"/>
  </r>
  <r>
    <x v="118"/>
    <s v="Rahul"/>
    <s v="Singh"/>
    <x v="1"/>
    <n v="14"/>
    <x v="1"/>
    <s v="B"/>
    <x v="2"/>
    <s v="2024-03-27"/>
    <n v="62"/>
  </r>
  <r>
    <x v="119"/>
    <s v="Pooja"/>
    <s v="Kumar"/>
    <x v="0"/>
    <n v="14"/>
    <x v="3"/>
    <s v="A"/>
    <x v="3"/>
    <s v="2023-12-27"/>
    <n v="51"/>
  </r>
  <r>
    <x v="120"/>
    <s v="Rahul"/>
    <s v="Patel"/>
    <x v="0"/>
    <n v="18"/>
    <x v="1"/>
    <s v="A"/>
    <x v="7"/>
    <s v="2023-05-14"/>
    <n v="98"/>
  </r>
  <r>
    <x v="121"/>
    <s v="Arjun"/>
    <s v="Kumar"/>
    <x v="1"/>
    <n v="15"/>
    <x v="3"/>
    <s v="C"/>
    <x v="3"/>
    <s v="2024-12-09"/>
    <n v="66"/>
  </r>
  <r>
    <x v="122"/>
    <s v="Vikram"/>
    <s v="Ghosh"/>
    <x v="1"/>
    <n v="16"/>
    <x v="3"/>
    <s v="A"/>
    <x v="4"/>
    <s v="2024-08-27"/>
    <n v="95"/>
  </r>
  <r>
    <x v="123"/>
    <s v="Amit"/>
    <s v="Kumar"/>
    <x v="1"/>
    <n v="14"/>
    <x v="3"/>
    <s v="D"/>
    <x v="5"/>
    <s v="2023-01-30"/>
    <n v="64"/>
  </r>
  <r>
    <x v="124"/>
    <s v="Riya"/>
    <s v="Roy"/>
    <x v="1"/>
    <n v="14"/>
    <x v="1"/>
    <s v="A"/>
    <x v="7"/>
    <s v="2023-04-04"/>
    <n v="48"/>
  </r>
  <r>
    <x v="125"/>
    <s v="Karan"/>
    <s v="Ghosh"/>
    <x v="1"/>
    <n v="17"/>
    <x v="2"/>
    <s v="D"/>
    <x v="3"/>
    <s v="2024-01-06"/>
    <n v="62"/>
  </r>
  <r>
    <x v="126"/>
    <s v="Sneha"/>
    <s v="Singh"/>
    <x v="1"/>
    <n v="16"/>
    <x v="2"/>
    <s v="D"/>
    <x v="6"/>
    <s v="2023-08-29"/>
    <n v="97"/>
  </r>
  <r>
    <x v="127"/>
    <s v="Pooja"/>
    <s v="Mishra"/>
    <x v="1"/>
    <n v="20"/>
    <x v="2"/>
    <s v="C"/>
    <x v="2"/>
    <s v="2024-05-30"/>
    <n v="100"/>
  </r>
  <r>
    <x v="128"/>
    <s v="Neha"/>
    <s v="Gupta"/>
    <x v="0"/>
    <n v="20"/>
    <x v="2"/>
    <s v="D"/>
    <x v="5"/>
    <s v="2024-07-16"/>
    <n v="99"/>
  </r>
  <r>
    <x v="129"/>
    <s v="Rahul"/>
    <s v="Das"/>
    <x v="1"/>
    <n v="20"/>
    <x v="0"/>
    <s v="C"/>
    <x v="1"/>
    <s v="2025-08-05"/>
    <n v="100"/>
  </r>
  <r>
    <x v="130"/>
    <s v="Priya"/>
    <s v="Mishra"/>
    <x v="1"/>
    <n v="20"/>
    <x v="0"/>
    <s v="A"/>
    <x v="2"/>
    <s v="2025-08-29"/>
    <n v="56"/>
  </r>
  <r>
    <x v="131"/>
    <s v="Sneha"/>
    <s v="Ghosh"/>
    <x v="1"/>
    <n v="18"/>
    <x v="2"/>
    <s v="B"/>
    <x v="1"/>
    <s v="2023-11-08"/>
    <n v="66"/>
  </r>
  <r>
    <x v="132"/>
    <s v="Priya"/>
    <s v="Ghosh"/>
    <x v="0"/>
    <n v="14"/>
    <x v="1"/>
    <s v="B"/>
    <x v="1"/>
    <s v="2023-05-13"/>
    <n v="66"/>
  </r>
  <r>
    <x v="133"/>
    <s v="Arjun"/>
    <s v="Kumar"/>
    <x v="1"/>
    <n v="15"/>
    <x v="1"/>
    <s v="A"/>
    <x v="5"/>
    <s v="2024-11-01"/>
    <n v="77"/>
  </r>
  <r>
    <x v="134"/>
    <s v="Karan"/>
    <s v="Das"/>
    <x v="1"/>
    <n v="16"/>
    <x v="0"/>
    <s v="C"/>
    <x v="6"/>
    <s v="2023-01-20"/>
    <n v="47"/>
  </r>
  <r>
    <x v="135"/>
    <s v="Karan"/>
    <s v="Kumar"/>
    <x v="0"/>
    <n v="18"/>
    <x v="0"/>
    <s v="C"/>
    <x v="4"/>
    <s v="2023-05-31"/>
    <n v="57"/>
  </r>
  <r>
    <x v="136"/>
    <s v="Priya"/>
    <s v="Mishra"/>
    <x v="1"/>
    <n v="16"/>
    <x v="2"/>
    <s v="A"/>
    <x v="5"/>
    <s v="2023-11-13"/>
    <n v="67"/>
  </r>
  <r>
    <x v="137"/>
    <s v="Priya"/>
    <s v="Paul"/>
    <x v="1"/>
    <n v="14"/>
    <x v="1"/>
    <s v="C"/>
    <x v="6"/>
    <s v="2024-08-09"/>
    <n v="44"/>
  </r>
  <r>
    <x v="138"/>
    <s v="Vikram"/>
    <s v="Ghosh"/>
    <x v="0"/>
    <n v="15"/>
    <x v="3"/>
    <s v="B"/>
    <x v="5"/>
    <s v="2024-11-21"/>
    <n v="35"/>
  </r>
  <r>
    <x v="139"/>
    <s v="Karan"/>
    <s v="Kumar"/>
    <x v="1"/>
    <n v="20"/>
    <x v="3"/>
    <s v="B"/>
    <x v="3"/>
    <s v="2024-07-03"/>
    <n v="52"/>
  </r>
  <r>
    <x v="140"/>
    <s v="Riya"/>
    <s v="Mishra"/>
    <x v="0"/>
    <n v="18"/>
    <x v="2"/>
    <s v="A"/>
    <x v="7"/>
    <s v="2023-12-19"/>
    <n v="86"/>
  </r>
  <r>
    <x v="141"/>
    <s v="Rahul"/>
    <s v="Gupta"/>
    <x v="1"/>
    <n v="16"/>
    <x v="1"/>
    <s v="A"/>
    <x v="7"/>
    <s v="2025-04-08"/>
    <n v="66"/>
  </r>
  <r>
    <x v="142"/>
    <s v="Neha"/>
    <s v="Paul"/>
    <x v="0"/>
    <n v="14"/>
    <x v="3"/>
    <s v="B"/>
    <x v="2"/>
    <s v="2023-11-04"/>
    <n v="93"/>
  </r>
  <r>
    <x v="143"/>
    <s v="Karan"/>
    <s v="Sharma"/>
    <x v="1"/>
    <n v="16"/>
    <x v="2"/>
    <s v="A"/>
    <x v="6"/>
    <s v="2023-05-18"/>
    <n v="54"/>
  </r>
  <r>
    <x v="144"/>
    <s v="Riya"/>
    <s v="Gupta"/>
    <x v="0"/>
    <n v="20"/>
    <x v="2"/>
    <s v="A"/>
    <x v="0"/>
    <s v="2025-04-12"/>
    <n v="75"/>
  </r>
  <r>
    <x v="145"/>
    <s v="Pooja"/>
    <s v="Mishra"/>
    <x v="0"/>
    <n v="20"/>
    <x v="2"/>
    <s v="A"/>
    <x v="6"/>
    <s v="2024-12-25"/>
    <n v="40"/>
  </r>
  <r>
    <x v="146"/>
    <s v="Sneha"/>
    <s v="Roy"/>
    <x v="1"/>
    <n v="15"/>
    <x v="2"/>
    <s v="C"/>
    <x v="6"/>
    <s v="2023-05-15"/>
    <n v="83"/>
  </r>
  <r>
    <x v="147"/>
    <s v="Pooja"/>
    <s v="Singh"/>
    <x v="1"/>
    <n v="19"/>
    <x v="0"/>
    <s v="C"/>
    <x v="1"/>
    <s v="2025-02-17"/>
    <n v="93"/>
  </r>
  <r>
    <x v="148"/>
    <s v="Priya"/>
    <s v="Paul"/>
    <x v="1"/>
    <n v="16"/>
    <x v="3"/>
    <s v="A"/>
    <x v="7"/>
    <s v="2024-06-06"/>
    <n v="42"/>
  </r>
  <r>
    <x v="149"/>
    <s v="Pooja"/>
    <s v="Paul"/>
    <x v="1"/>
    <n v="18"/>
    <x v="3"/>
    <s v="A"/>
    <x v="7"/>
    <s v="2024-12-30"/>
    <n v="97"/>
  </r>
  <r>
    <x v="150"/>
    <s v="Sneha"/>
    <s v="Patel"/>
    <x v="1"/>
    <n v="19"/>
    <x v="1"/>
    <s v="D"/>
    <x v="6"/>
    <s v="2025-01-25"/>
    <n v="68"/>
  </r>
  <r>
    <x v="151"/>
    <s v="Karan"/>
    <s v="Singh"/>
    <x v="1"/>
    <n v="19"/>
    <x v="2"/>
    <s v="A"/>
    <x v="6"/>
    <s v="2024-12-31"/>
    <n v="51"/>
  </r>
  <r>
    <x v="152"/>
    <s v="Karan"/>
    <s v="Kumar"/>
    <x v="0"/>
    <n v="18"/>
    <x v="2"/>
    <s v="A"/>
    <x v="3"/>
    <s v="2023-07-26"/>
    <n v="64"/>
  </r>
  <r>
    <x v="153"/>
    <s v="Riya"/>
    <s v="Gupta"/>
    <x v="0"/>
    <n v="14"/>
    <x v="2"/>
    <s v="D"/>
    <x v="3"/>
    <s v="2024-05-11"/>
    <n v="82"/>
  </r>
  <r>
    <x v="154"/>
    <s v="Vikram"/>
    <s v="Ghosh"/>
    <x v="0"/>
    <n v="19"/>
    <x v="3"/>
    <s v="B"/>
    <x v="4"/>
    <s v="2024-10-18"/>
    <n v="35"/>
  </r>
  <r>
    <x v="155"/>
    <s v="Priya"/>
    <s v="Roy"/>
    <x v="1"/>
    <n v="15"/>
    <x v="2"/>
    <s v="B"/>
    <x v="2"/>
    <s v="2025-03-29"/>
    <n v="49"/>
  </r>
  <r>
    <x v="156"/>
    <s v="Karan"/>
    <s v="Sharma"/>
    <x v="1"/>
    <n v="15"/>
    <x v="3"/>
    <s v="A"/>
    <x v="2"/>
    <s v="2025-01-20"/>
    <n v="37"/>
  </r>
  <r>
    <x v="157"/>
    <s v="Neha"/>
    <s v="Singh"/>
    <x v="1"/>
    <n v="18"/>
    <x v="1"/>
    <s v="C"/>
    <x v="3"/>
    <s v="2024-07-17"/>
    <n v="53"/>
  </r>
  <r>
    <x v="158"/>
    <s v="Vikram"/>
    <s v="Mishra"/>
    <x v="0"/>
    <n v="15"/>
    <x v="0"/>
    <s v="D"/>
    <x v="1"/>
    <s v="2023-04-27"/>
    <n v="50"/>
  </r>
  <r>
    <x v="159"/>
    <s v="Arjun"/>
    <s v="Gupta"/>
    <x v="1"/>
    <n v="20"/>
    <x v="2"/>
    <s v="D"/>
    <x v="5"/>
    <s v="2023-07-25"/>
    <n v="53"/>
  </r>
  <r>
    <x v="160"/>
    <s v="Vikram"/>
    <s v="Ghosh"/>
    <x v="0"/>
    <n v="15"/>
    <x v="1"/>
    <s v="B"/>
    <x v="1"/>
    <s v="2023-08-10"/>
    <n v="37"/>
  </r>
  <r>
    <x v="161"/>
    <s v="Karan"/>
    <s v="Roy"/>
    <x v="0"/>
    <n v="16"/>
    <x v="2"/>
    <s v="D"/>
    <x v="1"/>
    <s v="2024-12-06"/>
    <n v="66"/>
  </r>
  <r>
    <x v="162"/>
    <s v="Vikram"/>
    <s v="Sharma"/>
    <x v="0"/>
    <n v="19"/>
    <x v="3"/>
    <s v="C"/>
    <x v="7"/>
    <s v="2025-01-29"/>
    <n v="64"/>
  </r>
  <r>
    <x v="163"/>
    <s v="Sneha"/>
    <s v="Singh"/>
    <x v="0"/>
    <n v="20"/>
    <x v="0"/>
    <s v="A"/>
    <x v="0"/>
    <s v="2024-06-03"/>
    <n v="49"/>
  </r>
  <r>
    <x v="164"/>
    <s v="Sneha"/>
    <s v="Sharma"/>
    <x v="1"/>
    <n v="15"/>
    <x v="0"/>
    <s v="B"/>
    <x v="3"/>
    <s v="2023-03-09"/>
    <n v="71"/>
  </r>
  <r>
    <x v="165"/>
    <s v="Sneha"/>
    <s v="Gupta"/>
    <x v="0"/>
    <n v="16"/>
    <x v="0"/>
    <s v="A"/>
    <x v="0"/>
    <s v="2024-08-16"/>
    <n v="72"/>
  </r>
  <r>
    <x v="166"/>
    <s v="Neha"/>
    <s v="Paul"/>
    <x v="1"/>
    <n v="15"/>
    <x v="0"/>
    <s v="A"/>
    <x v="1"/>
    <s v="2024-02-27"/>
    <n v="99"/>
  </r>
  <r>
    <x v="167"/>
    <s v="Karan"/>
    <s v="Roy"/>
    <x v="1"/>
    <n v="17"/>
    <x v="1"/>
    <s v="C"/>
    <x v="6"/>
    <s v="2025-05-08"/>
    <n v="96"/>
  </r>
  <r>
    <x v="168"/>
    <s v="Neha"/>
    <s v="Patel"/>
    <x v="1"/>
    <n v="19"/>
    <x v="2"/>
    <s v="B"/>
    <x v="1"/>
    <s v="2024-08-11"/>
    <n v="87"/>
  </r>
  <r>
    <x v="169"/>
    <s v="Arjun"/>
    <s v="Das"/>
    <x v="0"/>
    <n v="15"/>
    <x v="3"/>
    <s v="B"/>
    <x v="6"/>
    <s v="2024-02-28"/>
    <n v="78"/>
  </r>
  <r>
    <x v="170"/>
    <s v="Neha"/>
    <s v="Kumar"/>
    <x v="0"/>
    <n v="18"/>
    <x v="3"/>
    <s v="D"/>
    <x v="4"/>
    <s v="2023-08-15"/>
    <n v="62"/>
  </r>
  <r>
    <x v="171"/>
    <s v="Neha"/>
    <s v="Singh"/>
    <x v="0"/>
    <n v="20"/>
    <x v="3"/>
    <s v="A"/>
    <x v="3"/>
    <s v="2023-08-21"/>
    <n v="79"/>
  </r>
  <r>
    <x v="172"/>
    <s v="Amit"/>
    <s v="Gupta"/>
    <x v="1"/>
    <n v="17"/>
    <x v="2"/>
    <s v="A"/>
    <x v="2"/>
    <s v="2023-12-12"/>
    <n v="66"/>
  </r>
  <r>
    <x v="173"/>
    <s v="Sneha"/>
    <s v="Roy"/>
    <x v="1"/>
    <n v="18"/>
    <x v="3"/>
    <s v="A"/>
    <x v="6"/>
    <s v="2023-12-28"/>
    <n v="67"/>
  </r>
  <r>
    <x v="174"/>
    <s v="Arjun"/>
    <s v="Sharma"/>
    <x v="0"/>
    <n v="16"/>
    <x v="0"/>
    <s v="C"/>
    <x v="6"/>
    <s v="2024-10-03"/>
    <n v="72"/>
  </r>
  <r>
    <x v="175"/>
    <s v="Riya"/>
    <s v="Das"/>
    <x v="1"/>
    <n v="16"/>
    <x v="1"/>
    <s v="D"/>
    <x v="1"/>
    <s v="2024-07-27"/>
    <n v="39"/>
  </r>
  <r>
    <x v="176"/>
    <s v="Vikram"/>
    <s v="Mishra"/>
    <x v="0"/>
    <n v="18"/>
    <x v="2"/>
    <s v="D"/>
    <x v="5"/>
    <s v="2023-12-07"/>
    <n v="74"/>
  </r>
  <r>
    <x v="177"/>
    <s v="Pooja"/>
    <s v="Paul"/>
    <x v="1"/>
    <n v="19"/>
    <x v="3"/>
    <s v="C"/>
    <x v="6"/>
    <s v="2025-07-13"/>
    <n v="88"/>
  </r>
  <r>
    <x v="178"/>
    <s v="Riya"/>
    <s v="Patel"/>
    <x v="1"/>
    <n v="14"/>
    <x v="3"/>
    <s v="A"/>
    <x v="7"/>
    <s v="2024-03-21"/>
    <n v="54"/>
  </r>
  <r>
    <x v="179"/>
    <s v="Vikram"/>
    <s v="Das"/>
    <x v="0"/>
    <n v="19"/>
    <x v="1"/>
    <s v="D"/>
    <x v="5"/>
    <s v="2023-12-31"/>
    <n v="46"/>
  </r>
  <r>
    <x v="180"/>
    <s v="Vikram"/>
    <s v="Sharma"/>
    <x v="0"/>
    <n v="15"/>
    <x v="0"/>
    <s v="A"/>
    <x v="3"/>
    <s v="2024-03-16"/>
    <n v="89"/>
  </r>
  <r>
    <x v="181"/>
    <s v="Sneha"/>
    <s v="Mishra"/>
    <x v="0"/>
    <n v="18"/>
    <x v="3"/>
    <s v="D"/>
    <x v="3"/>
    <s v="2023-10-27"/>
    <n v="65"/>
  </r>
  <r>
    <x v="182"/>
    <s v="Karan"/>
    <s v="Paul"/>
    <x v="0"/>
    <n v="20"/>
    <x v="2"/>
    <s v="D"/>
    <x v="5"/>
    <s v="2024-10-25"/>
    <n v="91"/>
  </r>
  <r>
    <x v="183"/>
    <s v="Neha"/>
    <s v="Ghosh"/>
    <x v="0"/>
    <n v="17"/>
    <x v="0"/>
    <s v="C"/>
    <x v="3"/>
    <s v="2024-09-10"/>
    <n v="78"/>
  </r>
  <r>
    <x v="184"/>
    <s v="Sneha"/>
    <s v="Ghosh"/>
    <x v="1"/>
    <n v="15"/>
    <x v="3"/>
    <s v="C"/>
    <x v="4"/>
    <s v="2023-01-27"/>
    <n v="84"/>
  </r>
  <r>
    <x v="185"/>
    <s v="Sneha"/>
    <s v="Paul"/>
    <x v="1"/>
    <n v="19"/>
    <x v="2"/>
    <s v="C"/>
    <x v="5"/>
    <s v="2023-06-22"/>
    <n v="37"/>
  </r>
  <r>
    <x v="186"/>
    <s v="Amit"/>
    <s v="Das"/>
    <x v="1"/>
    <n v="18"/>
    <x v="1"/>
    <s v="D"/>
    <x v="3"/>
    <s v="2025-09-11"/>
    <n v="70"/>
  </r>
  <r>
    <x v="187"/>
    <s v="Priya"/>
    <s v="Paul"/>
    <x v="1"/>
    <n v="16"/>
    <x v="0"/>
    <s v="B"/>
    <x v="4"/>
    <s v="2023-09-19"/>
    <n v="100"/>
  </r>
  <r>
    <x v="188"/>
    <s v="Arjun"/>
    <s v="Sharma"/>
    <x v="0"/>
    <n v="17"/>
    <x v="3"/>
    <s v="D"/>
    <x v="5"/>
    <s v="2025-03-19"/>
    <n v="42"/>
  </r>
  <r>
    <x v="189"/>
    <s v="Rahul"/>
    <s v="Roy"/>
    <x v="0"/>
    <n v="20"/>
    <x v="2"/>
    <s v="D"/>
    <x v="5"/>
    <s v="2024-01-06"/>
    <n v="68"/>
  </r>
  <r>
    <x v="190"/>
    <s v="Amit"/>
    <s v="Gupta"/>
    <x v="1"/>
    <n v="20"/>
    <x v="0"/>
    <s v="C"/>
    <x v="4"/>
    <s v="2025-08-04"/>
    <n v="59"/>
  </r>
  <r>
    <x v="191"/>
    <s v="Pooja"/>
    <s v="Gupta"/>
    <x v="0"/>
    <n v="16"/>
    <x v="1"/>
    <s v="A"/>
    <x v="5"/>
    <s v="2023-11-16"/>
    <n v="85"/>
  </r>
  <r>
    <x v="192"/>
    <s v="Sneha"/>
    <s v="Gupta"/>
    <x v="0"/>
    <n v="16"/>
    <x v="1"/>
    <s v="A"/>
    <x v="3"/>
    <s v="2025-02-22"/>
    <n v="47"/>
  </r>
  <r>
    <x v="193"/>
    <s v="Amit"/>
    <s v="Ghosh"/>
    <x v="1"/>
    <n v="20"/>
    <x v="2"/>
    <s v="D"/>
    <x v="3"/>
    <s v="2023-06-08"/>
    <n v="53"/>
  </r>
  <r>
    <x v="194"/>
    <s v="Rahul"/>
    <s v="Roy"/>
    <x v="0"/>
    <n v="15"/>
    <x v="2"/>
    <s v="D"/>
    <x v="1"/>
    <s v="2024-04-20"/>
    <n v="63"/>
  </r>
  <r>
    <x v="195"/>
    <s v="Pooja"/>
    <s v="Sharma"/>
    <x v="0"/>
    <n v="16"/>
    <x v="3"/>
    <s v="C"/>
    <x v="5"/>
    <s v="2023-02-12"/>
    <n v="55"/>
  </r>
  <r>
    <x v="196"/>
    <s v="Pooja"/>
    <s v="Mishra"/>
    <x v="0"/>
    <n v="14"/>
    <x v="0"/>
    <s v="D"/>
    <x v="0"/>
    <s v="2023-10-21"/>
    <n v="99"/>
  </r>
  <r>
    <x v="197"/>
    <s v="Priya"/>
    <s v="Kumar"/>
    <x v="1"/>
    <n v="16"/>
    <x v="1"/>
    <s v="A"/>
    <x v="3"/>
    <s v="2023-07-19"/>
    <n v="89"/>
  </r>
  <r>
    <x v="198"/>
    <s v="Pooja"/>
    <s v="Singh"/>
    <x v="1"/>
    <n v="15"/>
    <x v="2"/>
    <s v="B"/>
    <x v="7"/>
    <s v="2024-11-17"/>
    <n v="54"/>
  </r>
  <r>
    <x v="199"/>
    <s v="Riya"/>
    <s v="Mishra"/>
    <x v="1"/>
    <n v="16"/>
    <x v="1"/>
    <s v="D"/>
    <x v="1"/>
    <s v="2025-09-07"/>
    <n v="82"/>
  </r>
  <r>
    <x v="200"/>
    <s v="Riya"/>
    <s v="Gupta"/>
    <x v="0"/>
    <n v="16"/>
    <x v="3"/>
    <s v="D"/>
    <x v="0"/>
    <s v="2025-09-22"/>
    <n v="86"/>
  </r>
  <r>
    <x v="201"/>
    <s v="Riya"/>
    <s v="Singh"/>
    <x v="0"/>
    <n v="18"/>
    <x v="3"/>
    <s v="D"/>
    <x v="2"/>
    <s v="2024-08-14"/>
    <n v="91"/>
  </r>
  <r>
    <x v="202"/>
    <s v="Arjun"/>
    <s v="Roy"/>
    <x v="1"/>
    <n v="17"/>
    <x v="3"/>
    <s v="C"/>
    <x v="0"/>
    <s v="2024-09-10"/>
    <n v="53"/>
  </r>
  <r>
    <x v="203"/>
    <s v="Rahul"/>
    <s v="Kumar"/>
    <x v="0"/>
    <n v="14"/>
    <x v="2"/>
    <s v="A"/>
    <x v="0"/>
    <s v="2023-12-09"/>
    <n v="47"/>
  </r>
  <r>
    <x v="204"/>
    <s v="Priya"/>
    <s v="Singh"/>
    <x v="1"/>
    <n v="20"/>
    <x v="1"/>
    <s v="C"/>
    <x v="2"/>
    <s v="2023-05-03"/>
    <n v="36"/>
  </r>
  <r>
    <x v="205"/>
    <s v="Pooja"/>
    <s v="Singh"/>
    <x v="0"/>
    <n v="14"/>
    <x v="3"/>
    <s v="A"/>
    <x v="7"/>
    <s v="2023-03-18"/>
    <n v="62"/>
  </r>
  <r>
    <x v="206"/>
    <s v="Sneha"/>
    <s v="Paul"/>
    <x v="0"/>
    <n v="15"/>
    <x v="2"/>
    <s v="D"/>
    <x v="0"/>
    <s v="2024-09-14"/>
    <n v="90"/>
  </r>
  <r>
    <x v="207"/>
    <s v="Neha"/>
    <s v="Paul"/>
    <x v="0"/>
    <n v="17"/>
    <x v="0"/>
    <s v="A"/>
    <x v="0"/>
    <s v="2024-03-29"/>
    <n v="91"/>
  </r>
  <r>
    <x v="208"/>
    <s v="Amit"/>
    <s v="Mishra"/>
    <x v="0"/>
    <n v="17"/>
    <x v="2"/>
    <s v="C"/>
    <x v="3"/>
    <s v="2025-07-06"/>
    <n v="60"/>
  </r>
  <r>
    <x v="209"/>
    <s v="Riya"/>
    <s v="Mishra"/>
    <x v="0"/>
    <n v="20"/>
    <x v="0"/>
    <s v="A"/>
    <x v="5"/>
    <s v="2024-07-07"/>
    <n v="85"/>
  </r>
  <r>
    <x v="210"/>
    <s v="Pooja"/>
    <s v="Roy"/>
    <x v="0"/>
    <n v="17"/>
    <x v="0"/>
    <s v="B"/>
    <x v="1"/>
    <s v="2024-01-22"/>
    <n v="58"/>
  </r>
  <r>
    <x v="211"/>
    <s v="Pooja"/>
    <s v="Kumar"/>
    <x v="1"/>
    <n v="19"/>
    <x v="1"/>
    <s v="B"/>
    <x v="3"/>
    <s v="2024-06-11"/>
    <n v="65"/>
  </r>
  <r>
    <x v="212"/>
    <s v="Riya"/>
    <s v="Gupta"/>
    <x v="1"/>
    <n v="19"/>
    <x v="1"/>
    <s v="C"/>
    <x v="1"/>
    <s v="2023-05-23"/>
    <n v="58"/>
  </r>
  <r>
    <x v="213"/>
    <s v="Arjun"/>
    <s v="Paul"/>
    <x v="0"/>
    <n v="18"/>
    <x v="2"/>
    <s v="A"/>
    <x v="7"/>
    <s v="2025-03-14"/>
    <n v="35"/>
  </r>
  <r>
    <x v="214"/>
    <s v="Priya"/>
    <s v="Paul"/>
    <x v="1"/>
    <n v="16"/>
    <x v="3"/>
    <s v="C"/>
    <x v="6"/>
    <s v="2024-07-27"/>
    <n v="40"/>
  </r>
  <r>
    <x v="215"/>
    <s v="Priya"/>
    <s v="Singh"/>
    <x v="0"/>
    <n v="16"/>
    <x v="2"/>
    <s v="B"/>
    <x v="6"/>
    <s v="2024-01-22"/>
    <n v="60"/>
  </r>
  <r>
    <x v="216"/>
    <s v="Sneha"/>
    <s v="Gupta"/>
    <x v="0"/>
    <n v="15"/>
    <x v="2"/>
    <s v="A"/>
    <x v="6"/>
    <s v="2023-06-17"/>
    <n v="97"/>
  </r>
  <r>
    <x v="217"/>
    <s v="Sneha"/>
    <s v="Gupta"/>
    <x v="0"/>
    <n v="19"/>
    <x v="3"/>
    <s v="B"/>
    <x v="5"/>
    <s v="2024-01-29"/>
    <n v="81"/>
  </r>
  <r>
    <x v="218"/>
    <s v="Arjun"/>
    <s v="Mishra"/>
    <x v="1"/>
    <n v="16"/>
    <x v="1"/>
    <s v="C"/>
    <x v="0"/>
    <s v="2024-06-23"/>
    <n v="65"/>
  </r>
  <r>
    <x v="219"/>
    <s v="Sneha"/>
    <s v="Roy"/>
    <x v="1"/>
    <n v="19"/>
    <x v="1"/>
    <s v="C"/>
    <x v="3"/>
    <s v="2025-02-10"/>
    <n v="45"/>
  </r>
  <r>
    <x v="220"/>
    <s v="Sneha"/>
    <s v="Kumar"/>
    <x v="0"/>
    <n v="16"/>
    <x v="3"/>
    <s v="D"/>
    <x v="4"/>
    <s v="2024-05-05"/>
    <n v="79"/>
  </r>
  <r>
    <x v="221"/>
    <s v="Sneha"/>
    <s v="Gupta"/>
    <x v="1"/>
    <n v="20"/>
    <x v="3"/>
    <s v="A"/>
    <x v="4"/>
    <s v="2023-01-03"/>
    <n v="46"/>
  </r>
  <r>
    <x v="222"/>
    <s v="Pooja"/>
    <s v="Paul"/>
    <x v="0"/>
    <n v="17"/>
    <x v="0"/>
    <s v="C"/>
    <x v="0"/>
    <s v="2024-03-22"/>
    <n v="75"/>
  </r>
  <r>
    <x v="223"/>
    <s v="Neha"/>
    <s v="Mishra"/>
    <x v="1"/>
    <n v="16"/>
    <x v="3"/>
    <s v="A"/>
    <x v="6"/>
    <s v="2025-08-11"/>
    <n v="65"/>
  </r>
  <r>
    <x v="224"/>
    <s v="Rahul"/>
    <s v="Ghosh"/>
    <x v="1"/>
    <n v="15"/>
    <x v="3"/>
    <s v="B"/>
    <x v="4"/>
    <s v="2024-07-03"/>
    <n v="72"/>
  </r>
  <r>
    <x v="225"/>
    <s v="Amit"/>
    <s v="Das"/>
    <x v="1"/>
    <n v="16"/>
    <x v="3"/>
    <s v="B"/>
    <x v="6"/>
    <s v="2024-05-19"/>
    <n v="75"/>
  </r>
  <r>
    <x v="226"/>
    <s v="Neha"/>
    <s v="Ghosh"/>
    <x v="0"/>
    <n v="17"/>
    <x v="2"/>
    <s v="A"/>
    <x v="0"/>
    <s v="2025-08-30"/>
    <n v="50"/>
  </r>
  <r>
    <x v="227"/>
    <s v="Priya"/>
    <s v="Gupta"/>
    <x v="0"/>
    <n v="19"/>
    <x v="0"/>
    <s v="C"/>
    <x v="2"/>
    <s v="2025-09-24"/>
    <n v="88"/>
  </r>
  <r>
    <x v="228"/>
    <s v="Sneha"/>
    <s v="Kumar"/>
    <x v="0"/>
    <n v="17"/>
    <x v="1"/>
    <s v="B"/>
    <x v="3"/>
    <s v="2025-08-18"/>
    <n v="63"/>
  </r>
  <r>
    <x v="229"/>
    <s v="Neha"/>
    <s v="Paul"/>
    <x v="1"/>
    <n v="18"/>
    <x v="0"/>
    <s v="B"/>
    <x v="3"/>
    <s v="2025-02-13"/>
    <n v="36"/>
  </r>
  <r>
    <x v="230"/>
    <s v="Neha"/>
    <s v="Roy"/>
    <x v="0"/>
    <n v="18"/>
    <x v="3"/>
    <s v="B"/>
    <x v="6"/>
    <s v="2025-07-01"/>
    <n v="86"/>
  </r>
  <r>
    <x v="231"/>
    <s v="Priya"/>
    <s v="Ghosh"/>
    <x v="1"/>
    <n v="14"/>
    <x v="3"/>
    <s v="A"/>
    <x v="4"/>
    <s v="2024-01-25"/>
    <n v="42"/>
  </r>
  <r>
    <x v="232"/>
    <s v="Amit"/>
    <s v="Paul"/>
    <x v="1"/>
    <n v="16"/>
    <x v="1"/>
    <s v="B"/>
    <x v="7"/>
    <s v="2023-02-08"/>
    <n v="70"/>
  </r>
  <r>
    <x v="233"/>
    <s v="Amit"/>
    <s v="Ghosh"/>
    <x v="0"/>
    <n v="16"/>
    <x v="3"/>
    <s v="C"/>
    <x v="6"/>
    <s v="2024-03-14"/>
    <n v="86"/>
  </r>
  <r>
    <x v="234"/>
    <s v="Vikram"/>
    <s v="Patel"/>
    <x v="1"/>
    <n v="20"/>
    <x v="0"/>
    <s v="A"/>
    <x v="1"/>
    <s v="2025-05-08"/>
    <n v="93"/>
  </r>
  <r>
    <x v="235"/>
    <s v="Pooja"/>
    <s v="Mishra"/>
    <x v="0"/>
    <n v="17"/>
    <x v="0"/>
    <s v="A"/>
    <x v="6"/>
    <s v="2023-02-26"/>
    <n v="60"/>
  </r>
  <r>
    <x v="236"/>
    <s v="Amit"/>
    <s v="Sharma"/>
    <x v="1"/>
    <n v="19"/>
    <x v="3"/>
    <s v="C"/>
    <x v="0"/>
    <s v="2024-03-16"/>
    <n v="50"/>
  </r>
  <r>
    <x v="237"/>
    <s v="Arjun"/>
    <s v="Mishra"/>
    <x v="1"/>
    <n v="14"/>
    <x v="1"/>
    <s v="B"/>
    <x v="2"/>
    <s v="2023-11-17"/>
    <n v="47"/>
  </r>
  <r>
    <x v="238"/>
    <s v="Neha"/>
    <s v="Paul"/>
    <x v="0"/>
    <n v="15"/>
    <x v="1"/>
    <s v="C"/>
    <x v="1"/>
    <s v="2024-10-21"/>
    <n v="49"/>
  </r>
  <r>
    <x v="239"/>
    <s v="Arjun"/>
    <s v="Mishra"/>
    <x v="0"/>
    <n v="16"/>
    <x v="2"/>
    <s v="D"/>
    <x v="2"/>
    <s v="2025-06-19"/>
    <n v="42"/>
  </r>
  <r>
    <x v="240"/>
    <s v="Riya"/>
    <s v="Das"/>
    <x v="1"/>
    <n v="20"/>
    <x v="2"/>
    <s v="A"/>
    <x v="5"/>
    <s v="2023-07-02"/>
    <n v="42"/>
  </r>
  <r>
    <x v="241"/>
    <s v="Rahul"/>
    <s v="Das"/>
    <x v="0"/>
    <n v="18"/>
    <x v="0"/>
    <s v="B"/>
    <x v="6"/>
    <s v="2023-02-19"/>
    <n v="76"/>
  </r>
  <r>
    <x v="242"/>
    <s v="Rahul"/>
    <s v="Das"/>
    <x v="1"/>
    <n v="15"/>
    <x v="0"/>
    <s v="C"/>
    <x v="6"/>
    <s v="2024-01-07"/>
    <n v="44"/>
  </r>
  <r>
    <x v="243"/>
    <s v="Sneha"/>
    <s v="Paul"/>
    <x v="1"/>
    <n v="19"/>
    <x v="0"/>
    <s v="B"/>
    <x v="4"/>
    <s v="2023-08-05"/>
    <n v="77"/>
  </r>
  <r>
    <x v="244"/>
    <s v="Riya"/>
    <s v="Paul"/>
    <x v="1"/>
    <n v="16"/>
    <x v="1"/>
    <s v="C"/>
    <x v="6"/>
    <s v="2025-07-01"/>
    <n v="45"/>
  </r>
  <r>
    <x v="245"/>
    <s v="Pooja"/>
    <s v="Gupta"/>
    <x v="0"/>
    <n v="15"/>
    <x v="3"/>
    <s v="C"/>
    <x v="5"/>
    <s v="2023-01-31"/>
    <n v="54"/>
  </r>
  <r>
    <x v="246"/>
    <s v="Riya"/>
    <s v="Ghosh"/>
    <x v="1"/>
    <n v="15"/>
    <x v="2"/>
    <s v="B"/>
    <x v="4"/>
    <s v="2025-08-18"/>
    <n v="66"/>
  </r>
  <r>
    <x v="247"/>
    <s v="Neha"/>
    <s v="Das"/>
    <x v="1"/>
    <n v="15"/>
    <x v="2"/>
    <s v="D"/>
    <x v="0"/>
    <s v="2025-02-18"/>
    <n v="95"/>
  </r>
  <r>
    <x v="248"/>
    <s v="Sneha"/>
    <s v="Das"/>
    <x v="1"/>
    <n v="14"/>
    <x v="1"/>
    <s v="A"/>
    <x v="0"/>
    <s v="2023-12-28"/>
    <n v="65"/>
  </r>
  <r>
    <x v="249"/>
    <s v="Sneha"/>
    <s v="Paul"/>
    <x v="1"/>
    <n v="15"/>
    <x v="3"/>
    <s v="D"/>
    <x v="1"/>
    <s v="2024-10-16"/>
    <n v="61"/>
  </r>
  <r>
    <x v="250"/>
    <s v="Amit"/>
    <s v="Mishra"/>
    <x v="1"/>
    <n v="14"/>
    <x v="3"/>
    <s v="A"/>
    <x v="5"/>
    <s v="2025-09-25"/>
    <n v="86"/>
  </r>
  <r>
    <x v="251"/>
    <s v="Arjun"/>
    <s v="Mishra"/>
    <x v="1"/>
    <n v="17"/>
    <x v="3"/>
    <s v="D"/>
    <x v="6"/>
    <s v="2023-05-17"/>
    <n v="52"/>
  </r>
  <r>
    <x v="252"/>
    <s v="Vikram"/>
    <s v="Paul"/>
    <x v="1"/>
    <n v="20"/>
    <x v="0"/>
    <s v="A"/>
    <x v="2"/>
    <s v="2023-11-29"/>
    <n v="42"/>
  </r>
  <r>
    <x v="253"/>
    <s v="Riya"/>
    <s v="Ghosh"/>
    <x v="1"/>
    <n v="18"/>
    <x v="0"/>
    <s v="B"/>
    <x v="6"/>
    <s v="2023-12-29"/>
    <n v="82"/>
  </r>
  <r>
    <x v="254"/>
    <s v="Neha"/>
    <s v="Sharma"/>
    <x v="0"/>
    <n v="20"/>
    <x v="0"/>
    <s v="B"/>
    <x v="4"/>
    <s v="2025-09-14"/>
    <n v="92"/>
  </r>
  <r>
    <x v="255"/>
    <s v="Amit"/>
    <s v="Paul"/>
    <x v="1"/>
    <n v="18"/>
    <x v="2"/>
    <s v="B"/>
    <x v="0"/>
    <s v="2025-03-29"/>
    <n v="59"/>
  </r>
  <r>
    <x v="256"/>
    <s v="Sneha"/>
    <s v="Sharma"/>
    <x v="0"/>
    <n v="20"/>
    <x v="1"/>
    <s v="D"/>
    <x v="5"/>
    <s v="2023-05-23"/>
    <n v="86"/>
  </r>
  <r>
    <x v="257"/>
    <s v="Arjun"/>
    <s v="Das"/>
    <x v="0"/>
    <n v="19"/>
    <x v="2"/>
    <s v="C"/>
    <x v="5"/>
    <s v="2025-04-15"/>
    <n v="46"/>
  </r>
  <r>
    <x v="258"/>
    <s v="Rahul"/>
    <s v="Roy"/>
    <x v="1"/>
    <n v="20"/>
    <x v="1"/>
    <s v="D"/>
    <x v="7"/>
    <s v="2025-08-28"/>
    <n v="51"/>
  </r>
  <r>
    <x v="259"/>
    <s v="Riya"/>
    <s v="Patel"/>
    <x v="0"/>
    <n v="17"/>
    <x v="0"/>
    <s v="A"/>
    <x v="0"/>
    <s v="2023-04-30"/>
    <n v="46"/>
  </r>
  <r>
    <x v="260"/>
    <s v="Karan"/>
    <s v="Kumar"/>
    <x v="0"/>
    <n v="20"/>
    <x v="3"/>
    <s v="C"/>
    <x v="1"/>
    <s v="2025-07-15"/>
    <n v="44"/>
  </r>
  <r>
    <x v="261"/>
    <s v="Arjun"/>
    <s v="Das"/>
    <x v="1"/>
    <n v="14"/>
    <x v="3"/>
    <s v="C"/>
    <x v="1"/>
    <s v="2025-02-28"/>
    <n v="93"/>
  </r>
  <r>
    <x v="262"/>
    <s v="Karan"/>
    <s v="Das"/>
    <x v="0"/>
    <n v="20"/>
    <x v="3"/>
    <s v="A"/>
    <x v="7"/>
    <s v="2024-12-06"/>
    <n v="41"/>
  </r>
  <r>
    <x v="263"/>
    <s v="Rahul"/>
    <s v="Patel"/>
    <x v="0"/>
    <n v="20"/>
    <x v="2"/>
    <s v="D"/>
    <x v="5"/>
    <s v="2023-02-01"/>
    <n v="58"/>
  </r>
  <r>
    <x v="264"/>
    <s v="Vikram"/>
    <s v="Kumar"/>
    <x v="1"/>
    <n v="16"/>
    <x v="1"/>
    <s v="D"/>
    <x v="2"/>
    <s v="2025-01-14"/>
    <n v="42"/>
  </r>
  <r>
    <x v="265"/>
    <s v="Pooja"/>
    <s v="Kumar"/>
    <x v="1"/>
    <n v="14"/>
    <x v="1"/>
    <s v="C"/>
    <x v="6"/>
    <s v="2023-12-07"/>
    <n v="37"/>
  </r>
  <r>
    <x v="266"/>
    <s v="Arjun"/>
    <s v="Sharma"/>
    <x v="0"/>
    <n v="18"/>
    <x v="0"/>
    <s v="B"/>
    <x v="5"/>
    <s v="2023-02-17"/>
    <n v="63"/>
  </r>
  <r>
    <x v="267"/>
    <s v="Rahul"/>
    <s v="Gupta"/>
    <x v="1"/>
    <n v="18"/>
    <x v="1"/>
    <s v="A"/>
    <x v="4"/>
    <s v="2024-04-23"/>
    <n v="51"/>
  </r>
  <r>
    <x v="268"/>
    <s v="Vikram"/>
    <s v="Das"/>
    <x v="1"/>
    <n v="16"/>
    <x v="2"/>
    <s v="B"/>
    <x v="4"/>
    <s v="2023-10-26"/>
    <n v="37"/>
  </r>
  <r>
    <x v="269"/>
    <s v="Arjun"/>
    <s v="Kumar"/>
    <x v="1"/>
    <n v="14"/>
    <x v="2"/>
    <s v="B"/>
    <x v="5"/>
    <s v="2025-02-08"/>
    <n v="81"/>
  </r>
  <r>
    <x v="270"/>
    <s v="Arjun"/>
    <s v="Roy"/>
    <x v="1"/>
    <n v="15"/>
    <x v="3"/>
    <s v="A"/>
    <x v="4"/>
    <s v="2023-12-16"/>
    <n v="90"/>
  </r>
  <r>
    <x v="271"/>
    <s v="Pooja"/>
    <s v="Das"/>
    <x v="0"/>
    <n v="14"/>
    <x v="3"/>
    <s v="A"/>
    <x v="2"/>
    <s v="2024-05-07"/>
    <n v="90"/>
  </r>
  <r>
    <x v="272"/>
    <s v="Neha"/>
    <s v="Singh"/>
    <x v="0"/>
    <n v="19"/>
    <x v="3"/>
    <s v="B"/>
    <x v="7"/>
    <s v="2023-09-15"/>
    <n v="81"/>
  </r>
  <r>
    <x v="273"/>
    <s v="Priya"/>
    <s v="Ghosh"/>
    <x v="0"/>
    <n v="15"/>
    <x v="2"/>
    <s v="A"/>
    <x v="7"/>
    <s v="2024-01-25"/>
    <n v="53"/>
  </r>
  <r>
    <x v="274"/>
    <s v="Pooja"/>
    <s v="Gupta"/>
    <x v="1"/>
    <n v="16"/>
    <x v="2"/>
    <s v="B"/>
    <x v="7"/>
    <s v="2024-06-05"/>
    <n v="93"/>
  </r>
  <r>
    <x v="275"/>
    <s v="Karan"/>
    <s v="Mishra"/>
    <x v="0"/>
    <n v="18"/>
    <x v="3"/>
    <s v="D"/>
    <x v="7"/>
    <s v="2024-07-07"/>
    <n v="77"/>
  </r>
  <r>
    <x v="276"/>
    <s v="Riya"/>
    <s v="Singh"/>
    <x v="1"/>
    <n v="19"/>
    <x v="0"/>
    <s v="C"/>
    <x v="7"/>
    <s v="2023-11-05"/>
    <n v="40"/>
  </r>
  <r>
    <x v="277"/>
    <s v="Vikram"/>
    <s v="Sharma"/>
    <x v="1"/>
    <n v="15"/>
    <x v="0"/>
    <s v="C"/>
    <x v="2"/>
    <s v="2024-11-08"/>
    <n v="63"/>
  </r>
  <r>
    <x v="278"/>
    <s v="Priya"/>
    <s v="Ghosh"/>
    <x v="1"/>
    <n v="15"/>
    <x v="1"/>
    <s v="A"/>
    <x v="5"/>
    <s v="2023-12-22"/>
    <n v="53"/>
  </r>
  <r>
    <x v="279"/>
    <s v="Neha"/>
    <s v="Gupta"/>
    <x v="1"/>
    <n v="19"/>
    <x v="0"/>
    <s v="C"/>
    <x v="5"/>
    <s v="2024-02-29"/>
    <n v="72"/>
  </r>
  <r>
    <x v="280"/>
    <s v="Riya"/>
    <s v="Ghosh"/>
    <x v="1"/>
    <n v="20"/>
    <x v="2"/>
    <s v="C"/>
    <x v="1"/>
    <s v="2025-01-02"/>
    <n v="67"/>
  </r>
  <r>
    <x v="281"/>
    <s v="Riya"/>
    <s v="Paul"/>
    <x v="1"/>
    <n v="18"/>
    <x v="1"/>
    <s v="D"/>
    <x v="2"/>
    <s v="2024-08-01"/>
    <n v="96"/>
  </r>
  <r>
    <x v="282"/>
    <s v="Riya"/>
    <s v="Paul"/>
    <x v="1"/>
    <n v="17"/>
    <x v="2"/>
    <s v="D"/>
    <x v="3"/>
    <s v="2024-09-06"/>
    <n v="100"/>
  </r>
  <r>
    <x v="283"/>
    <s v="Vikram"/>
    <s v="Paul"/>
    <x v="0"/>
    <n v="16"/>
    <x v="0"/>
    <s v="D"/>
    <x v="2"/>
    <s v="2023-12-09"/>
    <n v="63"/>
  </r>
  <r>
    <x v="284"/>
    <s v="Karan"/>
    <s v="Das"/>
    <x v="1"/>
    <n v="19"/>
    <x v="0"/>
    <s v="A"/>
    <x v="1"/>
    <s v="2024-09-10"/>
    <n v="53"/>
  </r>
  <r>
    <x v="285"/>
    <s v="Riya"/>
    <s v="Roy"/>
    <x v="0"/>
    <n v="19"/>
    <x v="2"/>
    <s v="C"/>
    <x v="5"/>
    <s v="2023-12-03"/>
    <n v="94"/>
  </r>
  <r>
    <x v="286"/>
    <s v="Neha"/>
    <s v="Singh"/>
    <x v="1"/>
    <n v="14"/>
    <x v="0"/>
    <s v="A"/>
    <x v="4"/>
    <s v="2024-02-26"/>
    <n v="50"/>
  </r>
  <r>
    <x v="287"/>
    <s v="Rahul"/>
    <s v="Ghosh"/>
    <x v="1"/>
    <n v="15"/>
    <x v="3"/>
    <s v="D"/>
    <x v="4"/>
    <s v="2024-10-23"/>
    <n v="72"/>
  </r>
  <r>
    <x v="288"/>
    <s v="Arjun"/>
    <s v="Gupta"/>
    <x v="1"/>
    <n v="20"/>
    <x v="2"/>
    <s v="D"/>
    <x v="2"/>
    <s v="2024-08-28"/>
    <n v="35"/>
  </r>
  <r>
    <x v="289"/>
    <s v="Priya"/>
    <s v="Kumar"/>
    <x v="0"/>
    <n v="17"/>
    <x v="0"/>
    <s v="A"/>
    <x v="0"/>
    <s v="2025-04-07"/>
    <n v="37"/>
  </r>
  <r>
    <x v="290"/>
    <s v="Arjun"/>
    <s v="Gupta"/>
    <x v="1"/>
    <n v="14"/>
    <x v="3"/>
    <s v="D"/>
    <x v="3"/>
    <s v="2024-12-03"/>
    <n v="47"/>
  </r>
  <r>
    <x v="291"/>
    <s v="Vikram"/>
    <s v="Gupta"/>
    <x v="1"/>
    <n v="16"/>
    <x v="2"/>
    <s v="B"/>
    <x v="6"/>
    <s v="2023-06-23"/>
    <n v="59"/>
  </r>
  <r>
    <x v="292"/>
    <s v="Sneha"/>
    <s v="Roy"/>
    <x v="1"/>
    <n v="17"/>
    <x v="3"/>
    <s v="C"/>
    <x v="6"/>
    <s v="2025-08-02"/>
    <n v="73"/>
  </r>
  <r>
    <x v="293"/>
    <s v="Vikram"/>
    <s v="Sharma"/>
    <x v="1"/>
    <n v="17"/>
    <x v="2"/>
    <s v="D"/>
    <x v="6"/>
    <s v="2023-04-09"/>
    <n v="45"/>
  </r>
  <r>
    <x v="294"/>
    <s v="Neha"/>
    <s v="Paul"/>
    <x v="0"/>
    <n v="14"/>
    <x v="3"/>
    <s v="D"/>
    <x v="1"/>
    <s v="2024-01-14"/>
    <n v="64"/>
  </r>
  <r>
    <x v="295"/>
    <s v="Arjun"/>
    <s v="Das"/>
    <x v="1"/>
    <n v="18"/>
    <x v="0"/>
    <s v="C"/>
    <x v="7"/>
    <s v="2023-01-01"/>
    <n v="98"/>
  </r>
  <r>
    <x v="296"/>
    <s v="Riya"/>
    <s v="Gupta"/>
    <x v="0"/>
    <n v="20"/>
    <x v="3"/>
    <s v="C"/>
    <x v="4"/>
    <s v="2024-09-21"/>
    <n v="84"/>
  </r>
  <r>
    <x v="297"/>
    <s v="Sneha"/>
    <s v="Singh"/>
    <x v="0"/>
    <n v="14"/>
    <x v="2"/>
    <s v="D"/>
    <x v="7"/>
    <s v="2024-01-22"/>
    <n v="62"/>
  </r>
  <r>
    <x v="298"/>
    <s v="Amit"/>
    <s v="Sharma"/>
    <x v="1"/>
    <n v="18"/>
    <x v="3"/>
    <s v="C"/>
    <x v="4"/>
    <s v="2024-01-02"/>
    <n v="55"/>
  </r>
  <r>
    <x v="299"/>
    <s v="Rahul"/>
    <s v="Singh"/>
    <x v="0"/>
    <n v="17"/>
    <x v="3"/>
    <s v="C"/>
    <x v="0"/>
    <s v="2024-09-11"/>
    <n v="73"/>
  </r>
  <r>
    <x v="300"/>
    <s v="Pooja"/>
    <s v="Gupta"/>
    <x v="1"/>
    <n v="17"/>
    <x v="3"/>
    <s v="C"/>
    <x v="6"/>
    <s v="2023-02-19"/>
    <n v="76"/>
  </r>
  <r>
    <x v="301"/>
    <s v="Karan"/>
    <s v="Das"/>
    <x v="0"/>
    <n v="15"/>
    <x v="1"/>
    <s v="B"/>
    <x v="6"/>
    <s v="2023-11-03"/>
    <n v="54"/>
  </r>
  <r>
    <x v="302"/>
    <s v="Arjun"/>
    <s v="Sharma"/>
    <x v="1"/>
    <n v="20"/>
    <x v="1"/>
    <s v="D"/>
    <x v="2"/>
    <s v="2025-08-29"/>
    <n v="69"/>
  </r>
  <r>
    <x v="303"/>
    <s v="Riya"/>
    <s v="Das"/>
    <x v="1"/>
    <n v="20"/>
    <x v="0"/>
    <s v="C"/>
    <x v="3"/>
    <s v="2024-11-28"/>
    <n v="99"/>
  </r>
  <r>
    <x v="304"/>
    <s v="Vikram"/>
    <s v="Gupta"/>
    <x v="0"/>
    <n v="19"/>
    <x v="3"/>
    <s v="D"/>
    <x v="1"/>
    <s v="2023-06-27"/>
    <n v="43"/>
  </r>
  <r>
    <x v="305"/>
    <s v="Vikram"/>
    <s v="Patel"/>
    <x v="0"/>
    <n v="14"/>
    <x v="0"/>
    <s v="D"/>
    <x v="3"/>
    <s v="2024-07-11"/>
    <n v="90"/>
  </r>
  <r>
    <x v="306"/>
    <s v="Amit"/>
    <s v="Roy"/>
    <x v="1"/>
    <n v="19"/>
    <x v="1"/>
    <s v="C"/>
    <x v="2"/>
    <s v="2025-01-19"/>
    <n v="82"/>
  </r>
  <r>
    <x v="307"/>
    <s v="Vikram"/>
    <s v="Sharma"/>
    <x v="1"/>
    <n v="15"/>
    <x v="2"/>
    <s v="A"/>
    <x v="3"/>
    <s v="2025-05-31"/>
    <n v="39"/>
  </r>
  <r>
    <x v="308"/>
    <s v="Amit"/>
    <s v="Paul"/>
    <x v="0"/>
    <n v="17"/>
    <x v="1"/>
    <s v="B"/>
    <x v="6"/>
    <s v="2024-03-19"/>
    <n v="99"/>
  </r>
  <r>
    <x v="309"/>
    <s v="Neha"/>
    <s v="Paul"/>
    <x v="0"/>
    <n v="15"/>
    <x v="2"/>
    <s v="D"/>
    <x v="5"/>
    <s v="2023-12-10"/>
    <n v="85"/>
  </r>
  <r>
    <x v="310"/>
    <s v="Pooja"/>
    <s v="Sharma"/>
    <x v="1"/>
    <n v="14"/>
    <x v="3"/>
    <s v="D"/>
    <x v="1"/>
    <s v="2023-08-01"/>
    <n v="67"/>
  </r>
  <r>
    <x v="311"/>
    <s v="Rahul"/>
    <s v="Roy"/>
    <x v="1"/>
    <n v="19"/>
    <x v="1"/>
    <s v="B"/>
    <x v="6"/>
    <s v="2023-06-09"/>
    <n v="77"/>
  </r>
  <r>
    <x v="312"/>
    <s v="Karan"/>
    <s v="Mishra"/>
    <x v="1"/>
    <n v="17"/>
    <x v="1"/>
    <s v="C"/>
    <x v="5"/>
    <s v="2025-06-06"/>
    <n v="62"/>
  </r>
  <r>
    <x v="313"/>
    <s v="Priya"/>
    <s v="Paul"/>
    <x v="1"/>
    <n v="19"/>
    <x v="3"/>
    <s v="D"/>
    <x v="7"/>
    <s v="2025-08-27"/>
    <n v="49"/>
  </r>
  <r>
    <x v="314"/>
    <s v="Vikram"/>
    <s v="Mishra"/>
    <x v="1"/>
    <n v="19"/>
    <x v="1"/>
    <s v="A"/>
    <x v="0"/>
    <s v="2025-02-02"/>
    <n v="86"/>
  </r>
  <r>
    <x v="315"/>
    <s v="Neha"/>
    <s v="Sharma"/>
    <x v="1"/>
    <n v="16"/>
    <x v="2"/>
    <s v="C"/>
    <x v="1"/>
    <s v="2024-12-21"/>
    <n v="84"/>
  </r>
  <r>
    <x v="316"/>
    <s v="Neha"/>
    <s v="Patel"/>
    <x v="0"/>
    <n v="18"/>
    <x v="2"/>
    <s v="D"/>
    <x v="7"/>
    <s v="2024-12-14"/>
    <n v="82"/>
  </r>
  <r>
    <x v="317"/>
    <s v="Rahul"/>
    <s v="Mishra"/>
    <x v="1"/>
    <n v="19"/>
    <x v="0"/>
    <s v="C"/>
    <x v="1"/>
    <s v="2024-03-11"/>
    <n v="63"/>
  </r>
  <r>
    <x v="318"/>
    <s v="Riya"/>
    <s v="Gupta"/>
    <x v="1"/>
    <n v="19"/>
    <x v="3"/>
    <s v="D"/>
    <x v="6"/>
    <s v="2023-12-21"/>
    <n v="82"/>
  </r>
  <r>
    <x v="319"/>
    <s v="Riya"/>
    <s v="Singh"/>
    <x v="1"/>
    <n v="15"/>
    <x v="2"/>
    <s v="D"/>
    <x v="4"/>
    <s v="2025-02-16"/>
    <n v="53"/>
  </r>
  <r>
    <x v="320"/>
    <s v="Sneha"/>
    <s v="Ghosh"/>
    <x v="0"/>
    <n v="19"/>
    <x v="2"/>
    <s v="A"/>
    <x v="7"/>
    <s v="2024-08-24"/>
    <n v="97"/>
  </r>
  <r>
    <x v="321"/>
    <s v="Riya"/>
    <s v="Paul"/>
    <x v="1"/>
    <n v="15"/>
    <x v="1"/>
    <s v="C"/>
    <x v="7"/>
    <s v="2024-09-20"/>
    <n v="51"/>
  </r>
  <r>
    <x v="322"/>
    <s v="Rahul"/>
    <s v="Ghosh"/>
    <x v="1"/>
    <n v="14"/>
    <x v="2"/>
    <s v="B"/>
    <x v="3"/>
    <s v="2024-05-16"/>
    <n v="43"/>
  </r>
  <r>
    <x v="323"/>
    <s v="Amit"/>
    <s v="Das"/>
    <x v="0"/>
    <n v="14"/>
    <x v="2"/>
    <s v="C"/>
    <x v="1"/>
    <s v="2023-11-18"/>
    <n v="57"/>
  </r>
  <r>
    <x v="324"/>
    <s v="Arjun"/>
    <s v="Kumar"/>
    <x v="1"/>
    <n v="16"/>
    <x v="3"/>
    <s v="C"/>
    <x v="1"/>
    <s v="2025-05-13"/>
    <n v="81"/>
  </r>
  <r>
    <x v="325"/>
    <s v="Rahul"/>
    <s v="Paul"/>
    <x v="1"/>
    <n v="17"/>
    <x v="1"/>
    <s v="D"/>
    <x v="7"/>
    <s v="2023-01-14"/>
    <n v="83"/>
  </r>
  <r>
    <x v="326"/>
    <s v="Arjun"/>
    <s v="Ghosh"/>
    <x v="0"/>
    <n v="14"/>
    <x v="2"/>
    <s v="D"/>
    <x v="0"/>
    <s v="2024-03-25"/>
    <n v="77"/>
  </r>
  <r>
    <x v="327"/>
    <s v="Karan"/>
    <s v="Roy"/>
    <x v="0"/>
    <n v="17"/>
    <x v="1"/>
    <s v="D"/>
    <x v="5"/>
    <s v="2023-03-15"/>
    <n v="45"/>
  </r>
  <r>
    <x v="328"/>
    <s v="Arjun"/>
    <s v="Gupta"/>
    <x v="0"/>
    <n v="16"/>
    <x v="1"/>
    <s v="A"/>
    <x v="6"/>
    <s v="2024-08-13"/>
    <n v="45"/>
  </r>
  <r>
    <x v="329"/>
    <s v="Amit"/>
    <s v="Roy"/>
    <x v="1"/>
    <n v="14"/>
    <x v="1"/>
    <s v="B"/>
    <x v="5"/>
    <s v="2023-07-07"/>
    <n v="42"/>
  </r>
  <r>
    <x v="330"/>
    <s v="Priya"/>
    <s v="Singh"/>
    <x v="0"/>
    <n v="19"/>
    <x v="0"/>
    <s v="C"/>
    <x v="0"/>
    <s v="2024-08-19"/>
    <n v="85"/>
  </r>
  <r>
    <x v="331"/>
    <s v="Sneha"/>
    <s v="Mishra"/>
    <x v="1"/>
    <n v="20"/>
    <x v="0"/>
    <s v="C"/>
    <x v="3"/>
    <s v="2024-05-06"/>
    <n v="62"/>
  </r>
  <r>
    <x v="332"/>
    <s v="Karan"/>
    <s v="Paul"/>
    <x v="0"/>
    <n v="16"/>
    <x v="3"/>
    <s v="D"/>
    <x v="4"/>
    <s v="2023-09-12"/>
    <n v="86"/>
  </r>
  <r>
    <x v="333"/>
    <s v="Riya"/>
    <s v="Paul"/>
    <x v="1"/>
    <n v="19"/>
    <x v="0"/>
    <s v="B"/>
    <x v="7"/>
    <s v="2024-08-04"/>
    <n v="54"/>
  </r>
  <r>
    <x v="334"/>
    <s v="Pooja"/>
    <s v="Kumar"/>
    <x v="0"/>
    <n v="20"/>
    <x v="1"/>
    <s v="D"/>
    <x v="4"/>
    <s v="2023-12-17"/>
    <n v="50"/>
  </r>
  <r>
    <x v="335"/>
    <s v="Arjun"/>
    <s v="Mishra"/>
    <x v="0"/>
    <n v="14"/>
    <x v="0"/>
    <s v="B"/>
    <x v="3"/>
    <s v="2023-08-27"/>
    <n v="68"/>
  </r>
  <r>
    <x v="336"/>
    <s v="Neha"/>
    <s v="Paul"/>
    <x v="1"/>
    <n v="15"/>
    <x v="1"/>
    <s v="B"/>
    <x v="5"/>
    <s v="2024-07-05"/>
    <n v="82"/>
  </r>
  <r>
    <x v="337"/>
    <s v="Sneha"/>
    <s v="Roy"/>
    <x v="0"/>
    <n v="19"/>
    <x v="2"/>
    <s v="A"/>
    <x v="4"/>
    <s v="2023-01-25"/>
    <n v="51"/>
  </r>
  <r>
    <x v="338"/>
    <s v="Sneha"/>
    <s v="Kumar"/>
    <x v="0"/>
    <n v="14"/>
    <x v="0"/>
    <s v="A"/>
    <x v="4"/>
    <s v="2023-03-01"/>
    <n v="64"/>
  </r>
  <r>
    <x v="339"/>
    <s v="Sneha"/>
    <s v="Das"/>
    <x v="1"/>
    <n v="17"/>
    <x v="0"/>
    <s v="A"/>
    <x v="5"/>
    <s v="2024-04-27"/>
    <n v="85"/>
  </r>
  <r>
    <x v="340"/>
    <s v="Pooja"/>
    <s v="Roy"/>
    <x v="0"/>
    <n v="19"/>
    <x v="3"/>
    <s v="B"/>
    <x v="3"/>
    <s v="2023-03-23"/>
    <n v="51"/>
  </r>
  <r>
    <x v="341"/>
    <s v="Karan"/>
    <s v="Sharma"/>
    <x v="0"/>
    <n v="20"/>
    <x v="0"/>
    <s v="A"/>
    <x v="4"/>
    <s v="2024-09-02"/>
    <n v="56"/>
  </r>
  <r>
    <x v="342"/>
    <s v="Amit"/>
    <s v="Mishra"/>
    <x v="0"/>
    <n v="14"/>
    <x v="1"/>
    <s v="A"/>
    <x v="5"/>
    <s v="2024-12-22"/>
    <n v="44"/>
  </r>
  <r>
    <x v="343"/>
    <s v="Neha"/>
    <s v="Kumar"/>
    <x v="0"/>
    <n v="14"/>
    <x v="2"/>
    <s v="C"/>
    <x v="5"/>
    <s v="2024-01-15"/>
    <n v="67"/>
  </r>
  <r>
    <x v="344"/>
    <s v="Rahul"/>
    <s v="Gupta"/>
    <x v="1"/>
    <n v="16"/>
    <x v="1"/>
    <s v="B"/>
    <x v="7"/>
    <s v="2024-05-20"/>
    <n v="60"/>
  </r>
  <r>
    <x v="345"/>
    <s v="Riya"/>
    <s v="Roy"/>
    <x v="1"/>
    <n v="17"/>
    <x v="0"/>
    <s v="C"/>
    <x v="5"/>
    <s v="2025-05-22"/>
    <n v="74"/>
  </r>
  <r>
    <x v="346"/>
    <s v="Karan"/>
    <s v="Mishra"/>
    <x v="1"/>
    <n v="16"/>
    <x v="2"/>
    <s v="D"/>
    <x v="1"/>
    <s v="2024-03-27"/>
    <n v="71"/>
  </r>
  <r>
    <x v="347"/>
    <s v="Rahul"/>
    <s v="Das"/>
    <x v="0"/>
    <n v="16"/>
    <x v="0"/>
    <s v="D"/>
    <x v="5"/>
    <s v="2024-02-29"/>
    <n v="52"/>
  </r>
  <r>
    <x v="348"/>
    <s v="Karan"/>
    <s v="Mishra"/>
    <x v="1"/>
    <n v="19"/>
    <x v="0"/>
    <s v="D"/>
    <x v="4"/>
    <s v="2024-09-25"/>
    <n v="55"/>
  </r>
  <r>
    <x v="349"/>
    <s v="Vikram"/>
    <s v="Mishra"/>
    <x v="0"/>
    <n v="20"/>
    <x v="1"/>
    <s v="C"/>
    <x v="1"/>
    <s v="2025-02-02"/>
    <n v="48"/>
  </r>
  <r>
    <x v="350"/>
    <s v="Karan"/>
    <s v="Sharma"/>
    <x v="0"/>
    <n v="19"/>
    <x v="2"/>
    <s v="B"/>
    <x v="7"/>
    <s v="2025-02-16"/>
    <n v="91"/>
  </r>
  <r>
    <x v="351"/>
    <s v="Rahul"/>
    <s v="Gupta"/>
    <x v="0"/>
    <n v="16"/>
    <x v="0"/>
    <s v="C"/>
    <x v="5"/>
    <s v="2024-02-17"/>
    <n v="91"/>
  </r>
  <r>
    <x v="352"/>
    <s v="Pooja"/>
    <s v="Patel"/>
    <x v="1"/>
    <n v="16"/>
    <x v="3"/>
    <s v="D"/>
    <x v="3"/>
    <s v="2023-11-21"/>
    <n v="65"/>
  </r>
  <r>
    <x v="353"/>
    <s v="Arjun"/>
    <s v="Roy"/>
    <x v="0"/>
    <n v="17"/>
    <x v="2"/>
    <s v="A"/>
    <x v="0"/>
    <s v="2024-05-24"/>
    <n v="69"/>
  </r>
  <r>
    <x v="354"/>
    <s v="Priya"/>
    <s v="Singh"/>
    <x v="1"/>
    <n v="19"/>
    <x v="0"/>
    <s v="D"/>
    <x v="6"/>
    <s v="2024-06-27"/>
    <n v="75"/>
  </r>
  <r>
    <x v="355"/>
    <s v="Sneha"/>
    <s v="Singh"/>
    <x v="1"/>
    <n v="16"/>
    <x v="3"/>
    <s v="C"/>
    <x v="4"/>
    <s v="2024-01-03"/>
    <n v="72"/>
  </r>
  <r>
    <x v="356"/>
    <s v="Karan"/>
    <s v="Gupta"/>
    <x v="1"/>
    <n v="20"/>
    <x v="0"/>
    <s v="B"/>
    <x v="0"/>
    <s v="2024-09-02"/>
    <n v="59"/>
  </r>
  <r>
    <x v="357"/>
    <s v="Riya"/>
    <s v="Singh"/>
    <x v="1"/>
    <n v="15"/>
    <x v="3"/>
    <s v="B"/>
    <x v="7"/>
    <s v="2023-05-12"/>
    <n v="42"/>
  </r>
  <r>
    <x v="358"/>
    <s v="Pooja"/>
    <s v="Singh"/>
    <x v="1"/>
    <n v="17"/>
    <x v="1"/>
    <s v="A"/>
    <x v="4"/>
    <s v="2025-09-01"/>
    <n v="93"/>
  </r>
  <r>
    <x v="359"/>
    <s v="Rahul"/>
    <s v="Gupta"/>
    <x v="1"/>
    <n v="14"/>
    <x v="1"/>
    <s v="C"/>
    <x v="7"/>
    <s v="2023-07-22"/>
    <n v="63"/>
  </r>
  <r>
    <x v="360"/>
    <s v="Vikram"/>
    <s v="Mishra"/>
    <x v="1"/>
    <n v="20"/>
    <x v="1"/>
    <s v="C"/>
    <x v="3"/>
    <s v="2023-01-11"/>
    <n v="35"/>
  </r>
  <r>
    <x v="361"/>
    <s v="Riya"/>
    <s v="Das"/>
    <x v="1"/>
    <n v="18"/>
    <x v="0"/>
    <s v="C"/>
    <x v="3"/>
    <s v="2023-04-21"/>
    <n v="89"/>
  </r>
  <r>
    <x v="362"/>
    <s v="Priya"/>
    <s v="Ghosh"/>
    <x v="0"/>
    <n v="14"/>
    <x v="2"/>
    <s v="A"/>
    <x v="0"/>
    <s v="2023-03-26"/>
    <n v="72"/>
  </r>
  <r>
    <x v="363"/>
    <s v="Priya"/>
    <s v="Roy"/>
    <x v="1"/>
    <n v="16"/>
    <x v="1"/>
    <s v="A"/>
    <x v="2"/>
    <s v="2024-03-08"/>
    <n v="57"/>
  </r>
  <r>
    <x v="364"/>
    <s v="Arjun"/>
    <s v="Ghosh"/>
    <x v="0"/>
    <n v="19"/>
    <x v="0"/>
    <s v="A"/>
    <x v="4"/>
    <s v="2023-05-12"/>
    <n v="84"/>
  </r>
  <r>
    <x v="365"/>
    <s v="Karan"/>
    <s v="Patel"/>
    <x v="1"/>
    <n v="17"/>
    <x v="2"/>
    <s v="D"/>
    <x v="0"/>
    <s v="2024-04-14"/>
    <n v="51"/>
  </r>
  <r>
    <x v="366"/>
    <s v="Rahul"/>
    <s v="Paul"/>
    <x v="1"/>
    <n v="20"/>
    <x v="0"/>
    <s v="D"/>
    <x v="6"/>
    <s v="2024-09-20"/>
    <n v="35"/>
  </r>
  <r>
    <x v="367"/>
    <s v="Amit"/>
    <s v="Roy"/>
    <x v="1"/>
    <n v="18"/>
    <x v="3"/>
    <s v="C"/>
    <x v="4"/>
    <s v="2024-05-28"/>
    <n v="83"/>
  </r>
  <r>
    <x v="368"/>
    <s v="Karan"/>
    <s v="Das"/>
    <x v="1"/>
    <n v="18"/>
    <x v="0"/>
    <s v="B"/>
    <x v="2"/>
    <s v="2024-05-01"/>
    <n v="43"/>
  </r>
  <r>
    <x v="369"/>
    <s v="Vikram"/>
    <s v="Ghosh"/>
    <x v="1"/>
    <n v="19"/>
    <x v="1"/>
    <s v="D"/>
    <x v="4"/>
    <s v="2025-03-17"/>
    <n v="65"/>
  </r>
  <r>
    <x v="370"/>
    <s v="Sneha"/>
    <s v="Gupta"/>
    <x v="1"/>
    <n v="15"/>
    <x v="2"/>
    <s v="D"/>
    <x v="3"/>
    <s v="2023-12-02"/>
    <n v="72"/>
  </r>
  <r>
    <x v="371"/>
    <s v="Vikram"/>
    <s v="Paul"/>
    <x v="0"/>
    <n v="14"/>
    <x v="2"/>
    <s v="B"/>
    <x v="1"/>
    <s v="2024-04-12"/>
    <n v="68"/>
  </r>
  <r>
    <x v="372"/>
    <s v="Neha"/>
    <s v="Ghosh"/>
    <x v="0"/>
    <n v="15"/>
    <x v="2"/>
    <s v="C"/>
    <x v="7"/>
    <s v="2024-01-20"/>
    <n v="39"/>
  </r>
  <r>
    <x v="373"/>
    <s v="Rahul"/>
    <s v="Sharma"/>
    <x v="1"/>
    <n v="17"/>
    <x v="2"/>
    <s v="C"/>
    <x v="7"/>
    <s v="2023-04-13"/>
    <n v="97"/>
  </r>
  <r>
    <x v="374"/>
    <s v="Rahul"/>
    <s v="Sharma"/>
    <x v="1"/>
    <n v="17"/>
    <x v="1"/>
    <s v="C"/>
    <x v="0"/>
    <s v="2023-07-09"/>
    <n v="77"/>
  </r>
  <r>
    <x v="375"/>
    <s v="Vikram"/>
    <s v="Roy"/>
    <x v="1"/>
    <n v="16"/>
    <x v="1"/>
    <s v="C"/>
    <x v="2"/>
    <s v="2023-09-25"/>
    <n v="85"/>
  </r>
  <r>
    <x v="376"/>
    <s v="Riya"/>
    <s v="Mishra"/>
    <x v="0"/>
    <n v="19"/>
    <x v="1"/>
    <s v="D"/>
    <x v="1"/>
    <s v="2024-11-11"/>
    <n v="85"/>
  </r>
  <r>
    <x v="377"/>
    <s v="Amit"/>
    <s v="Ghosh"/>
    <x v="1"/>
    <n v="14"/>
    <x v="0"/>
    <s v="A"/>
    <x v="1"/>
    <s v="2024-08-15"/>
    <n v="99"/>
  </r>
  <r>
    <x v="378"/>
    <s v="Riya"/>
    <s v="Roy"/>
    <x v="0"/>
    <n v="14"/>
    <x v="2"/>
    <s v="B"/>
    <x v="7"/>
    <s v="2024-02-15"/>
    <n v="55"/>
  </r>
  <r>
    <x v="379"/>
    <s v="Rahul"/>
    <s v="Das"/>
    <x v="0"/>
    <n v="15"/>
    <x v="0"/>
    <s v="C"/>
    <x v="2"/>
    <s v="2023-11-23"/>
    <n v="60"/>
  </r>
  <r>
    <x v="380"/>
    <s v="Pooja"/>
    <s v="Kumar"/>
    <x v="0"/>
    <n v="16"/>
    <x v="2"/>
    <s v="A"/>
    <x v="7"/>
    <s v="2025-08-09"/>
    <n v="38"/>
  </r>
  <r>
    <x v="381"/>
    <s v="Arjun"/>
    <s v="Mishra"/>
    <x v="0"/>
    <n v="17"/>
    <x v="1"/>
    <s v="B"/>
    <x v="2"/>
    <s v="2025-05-07"/>
    <n v="67"/>
  </r>
  <r>
    <x v="382"/>
    <s v="Rahul"/>
    <s v="Singh"/>
    <x v="0"/>
    <n v="15"/>
    <x v="1"/>
    <s v="D"/>
    <x v="6"/>
    <s v="2025-01-07"/>
    <n v="95"/>
  </r>
  <r>
    <x v="383"/>
    <s v="Pooja"/>
    <s v="Ghosh"/>
    <x v="1"/>
    <n v="20"/>
    <x v="1"/>
    <s v="D"/>
    <x v="7"/>
    <s v="2025-07-09"/>
    <n v="91"/>
  </r>
  <r>
    <x v="384"/>
    <s v="Pooja"/>
    <s v="Roy"/>
    <x v="0"/>
    <n v="18"/>
    <x v="3"/>
    <s v="A"/>
    <x v="4"/>
    <s v="2024-08-09"/>
    <n v="58"/>
  </r>
  <r>
    <x v="385"/>
    <s v="Riya"/>
    <s v="Paul"/>
    <x v="0"/>
    <n v="14"/>
    <x v="1"/>
    <s v="A"/>
    <x v="1"/>
    <s v="2023-05-07"/>
    <n v="98"/>
  </r>
  <r>
    <x v="386"/>
    <s v="Sneha"/>
    <s v="Singh"/>
    <x v="0"/>
    <n v="15"/>
    <x v="3"/>
    <s v="B"/>
    <x v="7"/>
    <s v="2024-03-09"/>
    <n v="39"/>
  </r>
  <r>
    <x v="387"/>
    <s v="Pooja"/>
    <s v="Paul"/>
    <x v="1"/>
    <n v="16"/>
    <x v="3"/>
    <s v="C"/>
    <x v="4"/>
    <s v="2023-11-25"/>
    <n v="70"/>
  </r>
  <r>
    <x v="388"/>
    <s v="Rahul"/>
    <s v="Mishra"/>
    <x v="1"/>
    <n v="16"/>
    <x v="3"/>
    <s v="A"/>
    <x v="7"/>
    <s v="2024-01-23"/>
    <n v="83"/>
  </r>
  <r>
    <x v="389"/>
    <s v="Vikram"/>
    <s v="Sharma"/>
    <x v="1"/>
    <n v="20"/>
    <x v="1"/>
    <s v="C"/>
    <x v="1"/>
    <s v="2023-05-06"/>
    <n v="82"/>
  </r>
  <r>
    <x v="390"/>
    <s v="Amit"/>
    <s v="Gupta"/>
    <x v="0"/>
    <n v="16"/>
    <x v="1"/>
    <s v="B"/>
    <x v="4"/>
    <s v="2024-02-25"/>
    <n v="61"/>
  </r>
  <r>
    <x v="391"/>
    <s v="Neha"/>
    <s v="Patel"/>
    <x v="0"/>
    <n v="20"/>
    <x v="3"/>
    <s v="A"/>
    <x v="5"/>
    <s v="2025-04-17"/>
    <n v="54"/>
  </r>
  <r>
    <x v="392"/>
    <s v="Karan"/>
    <s v="Roy"/>
    <x v="0"/>
    <n v="17"/>
    <x v="3"/>
    <s v="D"/>
    <x v="4"/>
    <s v="2025-07-08"/>
    <n v="61"/>
  </r>
  <r>
    <x v="393"/>
    <s v="Neha"/>
    <s v="Singh"/>
    <x v="0"/>
    <n v="16"/>
    <x v="3"/>
    <s v="A"/>
    <x v="5"/>
    <s v="2025-06-14"/>
    <n v="85"/>
  </r>
  <r>
    <x v="394"/>
    <s v="Karan"/>
    <s v="Roy"/>
    <x v="1"/>
    <n v="18"/>
    <x v="3"/>
    <s v="D"/>
    <x v="5"/>
    <s v="2023-01-08"/>
    <n v="89"/>
  </r>
  <r>
    <x v="395"/>
    <s v="Vikram"/>
    <s v="Das"/>
    <x v="0"/>
    <n v="14"/>
    <x v="3"/>
    <s v="B"/>
    <x v="1"/>
    <s v="2024-06-18"/>
    <n v="72"/>
  </r>
  <r>
    <x v="396"/>
    <s v="Priya"/>
    <s v="Sharma"/>
    <x v="1"/>
    <n v="20"/>
    <x v="0"/>
    <s v="B"/>
    <x v="5"/>
    <s v="2024-08-16"/>
    <n v="100"/>
  </r>
  <r>
    <x v="397"/>
    <s v="Sneha"/>
    <s v="Paul"/>
    <x v="1"/>
    <n v="20"/>
    <x v="2"/>
    <s v="B"/>
    <x v="7"/>
    <s v="2023-04-19"/>
    <n v="84"/>
  </r>
  <r>
    <x v="398"/>
    <s v="Pooja"/>
    <s v="Das"/>
    <x v="0"/>
    <n v="17"/>
    <x v="1"/>
    <s v="B"/>
    <x v="3"/>
    <s v="2023-01-07"/>
    <n v="76"/>
  </r>
  <r>
    <x v="399"/>
    <s v="Neha"/>
    <s v="Kumar"/>
    <x v="1"/>
    <n v="14"/>
    <x v="2"/>
    <s v="D"/>
    <x v="4"/>
    <s v="2024-07-23"/>
    <n v="36"/>
  </r>
  <r>
    <x v="400"/>
    <s v="Rahul"/>
    <s v="Paul"/>
    <x v="1"/>
    <n v="14"/>
    <x v="3"/>
    <s v="B"/>
    <x v="3"/>
    <s v="2025-03-04"/>
    <n v="95"/>
  </r>
  <r>
    <x v="401"/>
    <s v="Riya"/>
    <s v="Ghosh"/>
    <x v="1"/>
    <n v="15"/>
    <x v="3"/>
    <s v="D"/>
    <x v="6"/>
    <s v="2024-12-21"/>
    <n v="39"/>
  </r>
  <r>
    <x v="402"/>
    <s v="Rahul"/>
    <s v="Paul"/>
    <x v="0"/>
    <n v="17"/>
    <x v="2"/>
    <s v="C"/>
    <x v="7"/>
    <s v="2025-05-22"/>
    <n v="89"/>
  </r>
  <r>
    <x v="403"/>
    <s v="Neha"/>
    <s v="Patel"/>
    <x v="0"/>
    <n v="18"/>
    <x v="1"/>
    <s v="C"/>
    <x v="1"/>
    <s v="2023-06-15"/>
    <n v="93"/>
  </r>
  <r>
    <x v="404"/>
    <s v="Amit"/>
    <s v="Kumar"/>
    <x v="1"/>
    <n v="16"/>
    <x v="2"/>
    <s v="B"/>
    <x v="7"/>
    <s v="2023-12-18"/>
    <n v="88"/>
  </r>
  <r>
    <x v="405"/>
    <s v="Riya"/>
    <s v="Paul"/>
    <x v="1"/>
    <n v="18"/>
    <x v="0"/>
    <s v="D"/>
    <x v="0"/>
    <s v="2024-11-02"/>
    <n v="95"/>
  </r>
  <r>
    <x v="406"/>
    <s v="Arjun"/>
    <s v="Sharma"/>
    <x v="0"/>
    <n v="14"/>
    <x v="2"/>
    <s v="C"/>
    <x v="6"/>
    <s v="2025-07-05"/>
    <n v="96"/>
  </r>
  <r>
    <x v="407"/>
    <s v="Neha"/>
    <s v="Das"/>
    <x v="1"/>
    <n v="20"/>
    <x v="3"/>
    <s v="A"/>
    <x v="1"/>
    <s v="2024-08-03"/>
    <n v="74"/>
  </r>
  <r>
    <x v="408"/>
    <s v="Riya"/>
    <s v="Singh"/>
    <x v="0"/>
    <n v="18"/>
    <x v="1"/>
    <s v="A"/>
    <x v="1"/>
    <s v="2024-12-15"/>
    <n v="55"/>
  </r>
  <r>
    <x v="409"/>
    <s v="Karan"/>
    <s v="Sharma"/>
    <x v="0"/>
    <n v="17"/>
    <x v="1"/>
    <s v="B"/>
    <x v="7"/>
    <s v="2023-09-19"/>
    <n v="77"/>
  </r>
  <r>
    <x v="410"/>
    <s v="Karan"/>
    <s v="Das"/>
    <x v="0"/>
    <n v="17"/>
    <x v="1"/>
    <s v="B"/>
    <x v="4"/>
    <s v="2023-05-14"/>
    <n v="95"/>
  </r>
  <r>
    <x v="411"/>
    <s v="Riya"/>
    <s v="Kumar"/>
    <x v="1"/>
    <n v="17"/>
    <x v="1"/>
    <s v="B"/>
    <x v="5"/>
    <s v="2025-02-28"/>
    <n v="59"/>
  </r>
  <r>
    <x v="412"/>
    <s v="Karan"/>
    <s v="Ghosh"/>
    <x v="1"/>
    <n v="18"/>
    <x v="3"/>
    <s v="A"/>
    <x v="7"/>
    <s v="2025-05-04"/>
    <n v="97"/>
  </r>
  <r>
    <x v="413"/>
    <s v="Priya"/>
    <s v="Mishra"/>
    <x v="0"/>
    <n v="14"/>
    <x v="0"/>
    <s v="D"/>
    <x v="6"/>
    <s v="2023-11-02"/>
    <n v="89"/>
  </r>
  <r>
    <x v="414"/>
    <s v="Riya"/>
    <s v="Ghosh"/>
    <x v="0"/>
    <n v="19"/>
    <x v="2"/>
    <s v="D"/>
    <x v="6"/>
    <s v="2024-10-08"/>
    <n v="43"/>
  </r>
  <r>
    <x v="415"/>
    <s v="Priya"/>
    <s v="Kumar"/>
    <x v="1"/>
    <n v="17"/>
    <x v="0"/>
    <s v="D"/>
    <x v="0"/>
    <s v="2024-08-31"/>
    <n v="59"/>
  </r>
  <r>
    <x v="416"/>
    <s v="Vikram"/>
    <s v="Ghosh"/>
    <x v="1"/>
    <n v="16"/>
    <x v="0"/>
    <s v="C"/>
    <x v="7"/>
    <s v="2024-11-01"/>
    <n v="40"/>
  </r>
  <r>
    <x v="417"/>
    <s v="Riya"/>
    <s v="Roy"/>
    <x v="0"/>
    <n v="14"/>
    <x v="2"/>
    <s v="D"/>
    <x v="5"/>
    <s v="2024-04-15"/>
    <n v="92"/>
  </r>
  <r>
    <x v="418"/>
    <s v="Pooja"/>
    <s v="Paul"/>
    <x v="0"/>
    <n v="14"/>
    <x v="0"/>
    <s v="B"/>
    <x v="5"/>
    <s v="2024-07-27"/>
    <n v="49"/>
  </r>
  <r>
    <x v="419"/>
    <s v="Priya"/>
    <s v="Patel"/>
    <x v="0"/>
    <n v="20"/>
    <x v="3"/>
    <s v="B"/>
    <x v="6"/>
    <s v="2024-12-06"/>
    <n v="44"/>
  </r>
  <r>
    <x v="420"/>
    <s v="Arjun"/>
    <s v="Gupta"/>
    <x v="0"/>
    <n v="15"/>
    <x v="0"/>
    <s v="C"/>
    <x v="5"/>
    <s v="2025-08-12"/>
    <n v="62"/>
  </r>
  <r>
    <x v="421"/>
    <s v="Pooja"/>
    <s v="Patel"/>
    <x v="0"/>
    <n v="17"/>
    <x v="1"/>
    <s v="A"/>
    <x v="5"/>
    <s v="2025-03-29"/>
    <n v="60"/>
  </r>
  <r>
    <x v="422"/>
    <s v="Amit"/>
    <s v="Roy"/>
    <x v="1"/>
    <n v="17"/>
    <x v="0"/>
    <s v="B"/>
    <x v="7"/>
    <s v="2023-04-08"/>
    <n v="47"/>
  </r>
  <r>
    <x v="423"/>
    <s v="Karan"/>
    <s v="Ghosh"/>
    <x v="1"/>
    <n v="15"/>
    <x v="2"/>
    <s v="D"/>
    <x v="7"/>
    <s v="2024-11-17"/>
    <n v="79"/>
  </r>
  <r>
    <x v="424"/>
    <s v="Arjun"/>
    <s v="Gupta"/>
    <x v="1"/>
    <n v="19"/>
    <x v="3"/>
    <s v="B"/>
    <x v="2"/>
    <s v="2024-06-10"/>
    <n v="56"/>
  </r>
  <r>
    <x v="425"/>
    <s v="Amit"/>
    <s v="Kumar"/>
    <x v="1"/>
    <n v="14"/>
    <x v="0"/>
    <s v="C"/>
    <x v="7"/>
    <s v="2023-01-15"/>
    <n v="56"/>
  </r>
  <r>
    <x v="426"/>
    <s v="Amit"/>
    <s v="Ghosh"/>
    <x v="0"/>
    <n v="20"/>
    <x v="1"/>
    <s v="A"/>
    <x v="2"/>
    <s v="2025-02-06"/>
    <n v="52"/>
  </r>
  <r>
    <x v="427"/>
    <s v="Sneha"/>
    <s v="Ghosh"/>
    <x v="1"/>
    <n v="18"/>
    <x v="1"/>
    <s v="C"/>
    <x v="3"/>
    <s v="2023-08-29"/>
    <n v="94"/>
  </r>
  <r>
    <x v="428"/>
    <s v="Riya"/>
    <s v="Das"/>
    <x v="1"/>
    <n v="20"/>
    <x v="2"/>
    <s v="B"/>
    <x v="3"/>
    <s v="2024-07-26"/>
    <n v="43"/>
  </r>
  <r>
    <x v="429"/>
    <s v="Arjun"/>
    <s v="Gupta"/>
    <x v="1"/>
    <n v="15"/>
    <x v="0"/>
    <s v="C"/>
    <x v="3"/>
    <s v="2025-05-24"/>
    <n v="42"/>
  </r>
  <r>
    <x v="430"/>
    <s v="Neha"/>
    <s v="Paul"/>
    <x v="0"/>
    <n v="14"/>
    <x v="1"/>
    <s v="D"/>
    <x v="6"/>
    <s v="2024-09-06"/>
    <n v="65"/>
  </r>
  <r>
    <x v="431"/>
    <s v="Priya"/>
    <s v="Gupta"/>
    <x v="0"/>
    <n v="15"/>
    <x v="2"/>
    <s v="A"/>
    <x v="4"/>
    <s v="2025-01-17"/>
    <n v="64"/>
  </r>
  <r>
    <x v="432"/>
    <s v="Karan"/>
    <s v="Patel"/>
    <x v="1"/>
    <n v="17"/>
    <x v="2"/>
    <s v="C"/>
    <x v="6"/>
    <s v="2023-01-15"/>
    <n v="59"/>
  </r>
  <r>
    <x v="433"/>
    <s v="Riya"/>
    <s v="Kumar"/>
    <x v="1"/>
    <n v="19"/>
    <x v="2"/>
    <s v="A"/>
    <x v="0"/>
    <s v="2023-03-16"/>
    <n v="35"/>
  </r>
  <r>
    <x v="434"/>
    <s v="Pooja"/>
    <s v="Mishra"/>
    <x v="1"/>
    <n v="15"/>
    <x v="0"/>
    <s v="C"/>
    <x v="7"/>
    <s v="2023-08-13"/>
    <n v="37"/>
  </r>
  <r>
    <x v="435"/>
    <s v="Amit"/>
    <s v="Gupta"/>
    <x v="1"/>
    <n v="16"/>
    <x v="0"/>
    <s v="B"/>
    <x v="6"/>
    <s v="2025-08-04"/>
    <n v="52"/>
  </r>
  <r>
    <x v="436"/>
    <s v="Amit"/>
    <s v="Patel"/>
    <x v="0"/>
    <n v="16"/>
    <x v="2"/>
    <s v="B"/>
    <x v="3"/>
    <s v="2025-01-04"/>
    <n v="64"/>
  </r>
  <r>
    <x v="437"/>
    <s v="Priya"/>
    <s v="Kumar"/>
    <x v="1"/>
    <n v="17"/>
    <x v="0"/>
    <s v="D"/>
    <x v="0"/>
    <s v="2024-07-29"/>
    <n v="35"/>
  </r>
  <r>
    <x v="438"/>
    <s v="Priya"/>
    <s v="Paul"/>
    <x v="1"/>
    <n v="20"/>
    <x v="0"/>
    <s v="C"/>
    <x v="0"/>
    <s v="2024-10-27"/>
    <n v="37"/>
  </r>
  <r>
    <x v="439"/>
    <s v="Karan"/>
    <s v="Singh"/>
    <x v="0"/>
    <n v="15"/>
    <x v="2"/>
    <s v="A"/>
    <x v="3"/>
    <s v="2025-09-24"/>
    <n v="51"/>
  </r>
  <r>
    <x v="440"/>
    <s v="Riya"/>
    <s v="Paul"/>
    <x v="1"/>
    <n v="17"/>
    <x v="0"/>
    <s v="D"/>
    <x v="4"/>
    <s v="2023-10-18"/>
    <n v="43"/>
  </r>
  <r>
    <x v="441"/>
    <s v="Sneha"/>
    <s v="Das"/>
    <x v="1"/>
    <n v="19"/>
    <x v="3"/>
    <s v="C"/>
    <x v="7"/>
    <s v="2024-12-09"/>
    <n v="44"/>
  </r>
  <r>
    <x v="442"/>
    <s v="Neha"/>
    <s v="Ghosh"/>
    <x v="0"/>
    <n v="17"/>
    <x v="1"/>
    <s v="D"/>
    <x v="5"/>
    <s v="2024-01-04"/>
    <n v="41"/>
  </r>
  <r>
    <x v="443"/>
    <s v="Amit"/>
    <s v="Roy"/>
    <x v="1"/>
    <n v="16"/>
    <x v="0"/>
    <s v="D"/>
    <x v="6"/>
    <s v="2023-04-02"/>
    <n v="78"/>
  </r>
  <r>
    <x v="444"/>
    <s v="Arjun"/>
    <s v="Mishra"/>
    <x v="0"/>
    <n v="14"/>
    <x v="2"/>
    <s v="D"/>
    <x v="2"/>
    <s v="2024-09-18"/>
    <n v="90"/>
  </r>
  <r>
    <x v="445"/>
    <s v="Priya"/>
    <s v="Gupta"/>
    <x v="0"/>
    <n v="15"/>
    <x v="2"/>
    <s v="B"/>
    <x v="1"/>
    <s v="2025-07-12"/>
    <n v="74"/>
  </r>
  <r>
    <x v="446"/>
    <s v="Arjun"/>
    <s v="Gupta"/>
    <x v="0"/>
    <n v="15"/>
    <x v="3"/>
    <s v="B"/>
    <x v="6"/>
    <s v="2025-07-11"/>
    <n v="84"/>
  </r>
  <r>
    <x v="447"/>
    <s v="Priya"/>
    <s v="Sharma"/>
    <x v="0"/>
    <n v="16"/>
    <x v="2"/>
    <s v="B"/>
    <x v="6"/>
    <s v="2023-12-04"/>
    <n v="78"/>
  </r>
  <r>
    <x v="448"/>
    <s v="Amit"/>
    <s v="Mishra"/>
    <x v="0"/>
    <n v="20"/>
    <x v="3"/>
    <s v="A"/>
    <x v="6"/>
    <s v="2024-09-06"/>
    <n v="94"/>
  </r>
  <r>
    <x v="449"/>
    <s v="Neha"/>
    <s v="Paul"/>
    <x v="1"/>
    <n v="19"/>
    <x v="2"/>
    <s v="C"/>
    <x v="2"/>
    <s v="2024-06-25"/>
    <n v="88"/>
  </r>
  <r>
    <x v="450"/>
    <s v="Vikram"/>
    <s v="Paul"/>
    <x v="0"/>
    <n v="16"/>
    <x v="1"/>
    <s v="B"/>
    <x v="3"/>
    <s v="2024-09-26"/>
    <n v="84"/>
  </r>
  <r>
    <x v="451"/>
    <s v="Arjun"/>
    <s v="Roy"/>
    <x v="0"/>
    <n v="17"/>
    <x v="2"/>
    <s v="C"/>
    <x v="0"/>
    <s v="2025-09-23"/>
    <n v="86"/>
  </r>
  <r>
    <x v="452"/>
    <s v="Neha"/>
    <s v="Patel"/>
    <x v="0"/>
    <n v="17"/>
    <x v="0"/>
    <s v="B"/>
    <x v="1"/>
    <s v="2024-09-07"/>
    <n v="92"/>
  </r>
  <r>
    <x v="453"/>
    <s v="Amit"/>
    <s v="Roy"/>
    <x v="0"/>
    <n v="15"/>
    <x v="3"/>
    <s v="B"/>
    <x v="6"/>
    <s v="2025-03-11"/>
    <n v="97"/>
  </r>
  <r>
    <x v="454"/>
    <s v="Rahul"/>
    <s v="Singh"/>
    <x v="1"/>
    <n v="15"/>
    <x v="2"/>
    <s v="C"/>
    <x v="6"/>
    <s v="2024-02-22"/>
    <n v="45"/>
  </r>
  <r>
    <x v="455"/>
    <s v="Pooja"/>
    <s v="Mishra"/>
    <x v="1"/>
    <n v="17"/>
    <x v="2"/>
    <s v="C"/>
    <x v="2"/>
    <s v="2024-01-08"/>
    <n v="53"/>
  </r>
  <r>
    <x v="456"/>
    <s v="Sneha"/>
    <s v="Paul"/>
    <x v="0"/>
    <n v="20"/>
    <x v="0"/>
    <s v="D"/>
    <x v="7"/>
    <s v="2024-01-17"/>
    <n v="66"/>
  </r>
  <r>
    <x v="457"/>
    <s v="Amit"/>
    <s v="Ghosh"/>
    <x v="1"/>
    <n v="19"/>
    <x v="1"/>
    <s v="A"/>
    <x v="7"/>
    <s v="2024-02-15"/>
    <n v="83"/>
  </r>
  <r>
    <x v="458"/>
    <s v="Neha"/>
    <s v="Kumar"/>
    <x v="0"/>
    <n v="16"/>
    <x v="0"/>
    <s v="B"/>
    <x v="6"/>
    <s v="2024-12-28"/>
    <n v="35"/>
  </r>
  <r>
    <x v="459"/>
    <s v="Amit"/>
    <s v="Roy"/>
    <x v="1"/>
    <n v="16"/>
    <x v="2"/>
    <s v="C"/>
    <x v="2"/>
    <s v="2024-10-16"/>
    <n v="48"/>
  </r>
  <r>
    <x v="460"/>
    <s v="Pooja"/>
    <s v="Sharma"/>
    <x v="0"/>
    <n v="19"/>
    <x v="0"/>
    <s v="D"/>
    <x v="2"/>
    <s v="2024-12-12"/>
    <n v="81"/>
  </r>
  <r>
    <x v="461"/>
    <s v="Amit"/>
    <s v="Sharma"/>
    <x v="0"/>
    <n v="15"/>
    <x v="3"/>
    <s v="A"/>
    <x v="3"/>
    <s v="2023-06-20"/>
    <n v="86"/>
  </r>
  <r>
    <x v="462"/>
    <s v="Pooja"/>
    <s v="Roy"/>
    <x v="1"/>
    <n v="14"/>
    <x v="1"/>
    <s v="D"/>
    <x v="5"/>
    <s v="2024-05-23"/>
    <n v="58"/>
  </r>
  <r>
    <x v="463"/>
    <s v="Karan"/>
    <s v="Sharma"/>
    <x v="0"/>
    <n v="19"/>
    <x v="2"/>
    <s v="C"/>
    <x v="1"/>
    <s v="2023-01-12"/>
    <n v="69"/>
  </r>
  <r>
    <x v="464"/>
    <s v="Arjun"/>
    <s v="Gupta"/>
    <x v="0"/>
    <n v="16"/>
    <x v="3"/>
    <s v="A"/>
    <x v="7"/>
    <s v="2024-01-11"/>
    <n v="65"/>
  </r>
  <r>
    <x v="465"/>
    <s v="Sneha"/>
    <s v="Singh"/>
    <x v="1"/>
    <n v="17"/>
    <x v="2"/>
    <s v="B"/>
    <x v="7"/>
    <s v="2024-08-13"/>
    <n v="53"/>
  </r>
  <r>
    <x v="466"/>
    <s v="Karan"/>
    <s v="Patel"/>
    <x v="1"/>
    <n v="18"/>
    <x v="0"/>
    <s v="B"/>
    <x v="1"/>
    <s v="2023-09-22"/>
    <n v="92"/>
  </r>
  <r>
    <x v="467"/>
    <s v="Vikram"/>
    <s v="Das"/>
    <x v="1"/>
    <n v="18"/>
    <x v="1"/>
    <s v="A"/>
    <x v="5"/>
    <s v="2023-04-25"/>
    <n v="88"/>
  </r>
  <r>
    <x v="468"/>
    <s v="Vikram"/>
    <s v="Ghosh"/>
    <x v="1"/>
    <n v="17"/>
    <x v="0"/>
    <s v="A"/>
    <x v="6"/>
    <s v="2024-01-31"/>
    <n v="56"/>
  </r>
  <r>
    <x v="469"/>
    <s v="Priya"/>
    <s v="Singh"/>
    <x v="0"/>
    <n v="17"/>
    <x v="2"/>
    <s v="B"/>
    <x v="5"/>
    <s v="2023-10-21"/>
    <n v="46"/>
  </r>
  <r>
    <x v="470"/>
    <s v="Karan"/>
    <s v="Ghosh"/>
    <x v="1"/>
    <n v="20"/>
    <x v="2"/>
    <s v="B"/>
    <x v="2"/>
    <s v="2025-03-31"/>
    <n v="36"/>
  </r>
  <r>
    <x v="471"/>
    <s v="Sneha"/>
    <s v="Kumar"/>
    <x v="0"/>
    <n v="15"/>
    <x v="3"/>
    <s v="B"/>
    <x v="2"/>
    <s v="2025-05-20"/>
    <n v="95"/>
  </r>
  <r>
    <x v="472"/>
    <s v="Amit"/>
    <s v="Das"/>
    <x v="0"/>
    <n v="17"/>
    <x v="0"/>
    <s v="D"/>
    <x v="6"/>
    <s v="2025-08-11"/>
    <n v="58"/>
  </r>
  <r>
    <x v="473"/>
    <s v="Sneha"/>
    <s v="Ghosh"/>
    <x v="0"/>
    <n v="15"/>
    <x v="0"/>
    <s v="B"/>
    <x v="3"/>
    <s v="2023-01-09"/>
    <n v="88"/>
  </r>
  <r>
    <x v="474"/>
    <s v="Vikram"/>
    <s v="Das"/>
    <x v="1"/>
    <n v="18"/>
    <x v="3"/>
    <s v="B"/>
    <x v="4"/>
    <s v="2024-08-25"/>
    <n v="75"/>
  </r>
  <r>
    <x v="475"/>
    <s v="Neha"/>
    <s v="Paul"/>
    <x v="1"/>
    <n v="14"/>
    <x v="3"/>
    <s v="B"/>
    <x v="3"/>
    <s v="2023-07-21"/>
    <n v="59"/>
  </r>
  <r>
    <x v="476"/>
    <s v="Riya"/>
    <s v="Singh"/>
    <x v="1"/>
    <n v="20"/>
    <x v="1"/>
    <s v="C"/>
    <x v="4"/>
    <s v="2024-06-24"/>
    <n v="55"/>
  </r>
  <r>
    <x v="477"/>
    <s v="Riya"/>
    <s v="Singh"/>
    <x v="0"/>
    <n v="16"/>
    <x v="1"/>
    <s v="C"/>
    <x v="4"/>
    <s v="2024-06-05"/>
    <n v="81"/>
  </r>
  <r>
    <x v="478"/>
    <s v="Pooja"/>
    <s v="Kumar"/>
    <x v="0"/>
    <n v="17"/>
    <x v="1"/>
    <s v="D"/>
    <x v="7"/>
    <s v="2024-09-19"/>
    <n v="75"/>
  </r>
  <r>
    <x v="479"/>
    <s v="Sneha"/>
    <s v="Ghosh"/>
    <x v="1"/>
    <n v="14"/>
    <x v="0"/>
    <s v="B"/>
    <x v="5"/>
    <s v="2023-03-17"/>
    <n v="55"/>
  </r>
  <r>
    <x v="480"/>
    <s v="Rahul"/>
    <s v="Paul"/>
    <x v="1"/>
    <n v="18"/>
    <x v="3"/>
    <s v="D"/>
    <x v="0"/>
    <s v="2023-04-12"/>
    <n v="87"/>
  </r>
  <r>
    <x v="481"/>
    <s v="Karan"/>
    <s v="Ghosh"/>
    <x v="1"/>
    <n v="17"/>
    <x v="1"/>
    <s v="A"/>
    <x v="5"/>
    <s v="2024-09-10"/>
    <n v="70"/>
  </r>
  <r>
    <x v="482"/>
    <s v="Vikram"/>
    <s v="Patel"/>
    <x v="0"/>
    <n v="14"/>
    <x v="0"/>
    <s v="B"/>
    <x v="0"/>
    <s v="2025-07-18"/>
    <n v="69"/>
  </r>
  <r>
    <x v="483"/>
    <s v="Karan"/>
    <s v="Patel"/>
    <x v="1"/>
    <n v="17"/>
    <x v="2"/>
    <s v="D"/>
    <x v="5"/>
    <s v="2025-07-23"/>
    <n v="85"/>
  </r>
  <r>
    <x v="484"/>
    <s v="Sneha"/>
    <s v="Mishra"/>
    <x v="1"/>
    <n v="19"/>
    <x v="3"/>
    <s v="C"/>
    <x v="2"/>
    <s v="2024-10-14"/>
    <n v="87"/>
  </r>
  <r>
    <x v="485"/>
    <s v="Karan"/>
    <s v="Das"/>
    <x v="0"/>
    <n v="14"/>
    <x v="1"/>
    <s v="B"/>
    <x v="0"/>
    <s v="2025-03-16"/>
    <n v="92"/>
  </r>
  <r>
    <x v="486"/>
    <s v="Amit"/>
    <s v="Roy"/>
    <x v="0"/>
    <n v="19"/>
    <x v="0"/>
    <s v="B"/>
    <x v="1"/>
    <s v="2024-02-20"/>
    <n v="58"/>
  </r>
  <r>
    <x v="487"/>
    <s v="Vikram"/>
    <s v="Gupta"/>
    <x v="1"/>
    <n v="16"/>
    <x v="1"/>
    <s v="C"/>
    <x v="3"/>
    <s v="2023-06-21"/>
    <n v="77"/>
  </r>
  <r>
    <x v="488"/>
    <s v="Vikram"/>
    <s v="Singh"/>
    <x v="1"/>
    <n v="18"/>
    <x v="2"/>
    <s v="A"/>
    <x v="1"/>
    <s v="2023-04-13"/>
    <n v="86"/>
  </r>
  <r>
    <x v="489"/>
    <s v="Pooja"/>
    <s v="Sharma"/>
    <x v="0"/>
    <n v="14"/>
    <x v="2"/>
    <s v="A"/>
    <x v="1"/>
    <s v="2025-05-19"/>
    <n v="94"/>
  </r>
  <r>
    <x v="490"/>
    <s v="Karan"/>
    <s v="Gupta"/>
    <x v="0"/>
    <n v="20"/>
    <x v="3"/>
    <s v="B"/>
    <x v="0"/>
    <s v="2023-06-27"/>
    <n v="49"/>
  </r>
  <r>
    <x v="491"/>
    <s v="Neha"/>
    <s v="Singh"/>
    <x v="0"/>
    <n v="15"/>
    <x v="1"/>
    <s v="A"/>
    <x v="2"/>
    <s v="2023-12-04"/>
    <n v="55"/>
  </r>
  <r>
    <x v="492"/>
    <s v="Neha"/>
    <s v="Mishra"/>
    <x v="1"/>
    <n v="20"/>
    <x v="2"/>
    <s v="D"/>
    <x v="6"/>
    <s v="2024-05-11"/>
    <n v="62"/>
  </r>
  <r>
    <x v="493"/>
    <s v="Karan"/>
    <s v="Kumar"/>
    <x v="0"/>
    <n v="20"/>
    <x v="2"/>
    <s v="C"/>
    <x v="4"/>
    <s v="2025-07-19"/>
    <n v="85"/>
  </r>
  <r>
    <x v="494"/>
    <s v="Arjun"/>
    <s v="Mishra"/>
    <x v="0"/>
    <n v="20"/>
    <x v="3"/>
    <s v="D"/>
    <x v="0"/>
    <s v="2023-11-17"/>
    <n v="42"/>
  </r>
  <r>
    <x v="495"/>
    <s v="Arjun"/>
    <s v="Patel"/>
    <x v="1"/>
    <n v="18"/>
    <x v="3"/>
    <s v="B"/>
    <x v="3"/>
    <s v="2024-08-31"/>
    <n v="88"/>
  </r>
  <r>
    <x v="496"/>
    <s v="Amit"/>
    <s v="Paul"/>
    <x v="0"/>
    <n v="20"/>
    <x v="3"/>
    <s v="C"/>
    <x v="5"/>
    <s v="2024-10-15"/>
    <n v="94"/>
  </r>
  <r>
    <x v="497"/>
    <s v="Pooja"/>
    <s v="Sharma"/>
    <x v="1"/>
    <n v="16"/>
    <x v="0"/>
    <s v="D"/>
    <x v="7"/>
    <s v="2024-11-01"/>
    <n v="90"/>
  </r>
  <r>
    <x v="498"/>
    <s v="Amit"/>
    <s v="Patel"/>
    <x v="0"/>
    <n v="16"/>
    <x v="1"/>
    <s v="D"/>
    <x v="2"/>
    <s v="2025-06-05"/>
    <n v="41"/>
  </r>
  <r>
    <x v="499"/>
    <s v="Arjun"/>
    <s v="Mishra"/>
    <x v="1"/>
    <n v="18"/>
    <x v="2"/>
    <s v="C"/>
    <x v="7"/>
    <s v="2023-08-05"/>
    <n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7A674-D147-4F0C-B307-525EF37122C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G3:H8" firstHeaderRow="1" firstDataRow="1" firstDataCol="1"/>
  <pivotFields count="10">
    <pivotField showAll="0"/>
    <pivotField showAll="0"/>
    <pivotField showAll="0"/>
    <pivotField showAll="0"/>
    <pivotField dataField="1"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ge" fld="4" subtotal="average" baseField="5" baseItem="0"/>
  </dataFields>
  <formats count="1">
    <format dxfId="11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76872-59ED-4ED5-8F65-E38CEC8D4A5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O3:P8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Marks" fld="9" subtotal="max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710FC-EC54-40B7-BDFC-445992C0F38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D3:E6" firstHeaderRow="1" firstDataRow="1" firstDataCol="1"/>
  <pivotFields count="10">
    <pivotField dataField="1" showAll="0" countASubtotal="1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countA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3F2B5-34F2-4422-96A9-3638C715313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3:B12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7"/>
        <item x="6"/>
        <item x="4"/>
        <item x="1"/>
        <item x="2"/>
        <item x="5"/>
        <item x="0"/>
        <item t="default"/>
      </items>
    </pivotField>
    <pivotField showAll="0"/>
    <pivotField dataField="1"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Marks" fld="9" subtotal="average" baseField="7" baseItem="0"/>
  </dataFields>
  <formats count="1">
    <format dxfId="12">
      <pivotArea collapsedLevelsAreSubtotals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5DD68-125B-446D-99AA-8C6B389392B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J3:M13" firstHeaderRow="1" firstDataRow="2" firstDataCol="1"/>
  <pivotFields count="10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9">
        <item x="3"/>
        <item x="7"/>
        <item x="6"/>
        <item x="4"/>
        <item x="1"/>
        <item x="2"/>
        <item x="5"/>
        <item x="0"/>
        <item t="default"/>
      </items>
    </pivotField>
    <pivotField showAll="0"/>
    <pivotField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DE7FB-058D-44E7-896B-2056BCDBE523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lass">
  <location ref="I3:J8" firstHeaderRow="1" firstDataRow="1" firstDataCol="1"/>
  <pivotFields count="10">
    <pivotField showAll="0" countASubtotal="1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countA"/>
      </items>
    </pivotField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Marks" fld="9" subtotal="average" baseField="5" baseItem="0"/>
  </dataFields>
  <formats count="1">
    <format dxfId="10">
      <pivotArea collapsedLevelsAreSubtotals="1" fieldPosition="0">
        <references count="1">
          <reference field="5" count="0"/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994F5-1B5F-425F-AFC7-67A63084322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ity">
  <location ref="E10:F19" firstHeaderRow="1" firstDataRow="1" firstDataCol="1"/>
  <pivotFields count="10">
    <pivotField dataField="1" showAll="0" countASubtotal="1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countA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7"/>
        <item x="6"/>
        <item x="4"/>
        <item x="1"/>
        <item x="2"/>
        <item x="5"/>
        <item x="0"/>
        <item t="default"/>
      </items>
    </pivotField>
    <pivotField showAll="0"/>
    <pivotField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tudent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6C7D2-3FA3-457C-8091-46AFDA60733F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Gender">
  <location ref="E3:F6" firstHeaderRow="1" firstDataRow="1" firstDataCol="1"/>
  <pivotFields count="10">
    <pivotField dataField="1" showAll="0" countASubtotal="1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countA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Student_ID" fld="0" subtotal="count" baseField="0" baseItem="0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1849B-12BA-4C5D-AD3A-C484BD3575F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8:B19" firstHeaderRow="1" firstDataRow="1" firstDataCol="0"/>
  <pivotFields count="10">
    <pivotField showAll="0" countASubtotal="1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Min of Marks" fld="9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C748D-CB8D-4E48-A6F3-C31C6B0F889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B14" firstHeaderRow="1" firstDataRow="1" firstDataCol="0"/>
  <pivotFields count="10">
    <pivotField showAll="0" countASubtotal="1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Max of Marks" fld="9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3DBF7-336E-434D-8AEB-259C7378773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B9" firstHeaderRow="1" firstDataRow="1" firstDataCol="0"/>
  <pivotFields count="10">
    <pivotField showAll="0" countASubtotal="1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Average of Marks" fld="9" subtotal="average" baseField="0" baseItem="0" numFmtId="2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C3298-B1D1-4F4C-8E92-326CC30F464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B4" firstHeaderRow="1" firstDataRow="1" firstDataCol="0"/>
  <pivotFields count="10">
    <pivotField dataField="1" showAll="0" countASubtotal="1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5B02B8-CEA7-4EA6-B0CF-8FE4A478601A}" name="Table1" displayName="Table1" ref="A3:J503" totalsRowShown="0" headerRowDxfId="79" dataDxfId="77" headerRowBorderDxfId="78" tableBorderDxfId="76" totalsRowBorderDxfId="75">
  <autoFilter ref="A3:J503" xr:uid="{C55B02B8-CEA7-4EA6-B0CF-8FE4A478601A}"/>
  <sortState xmlns:xlrd2="http://schemas.microsoft.com/office/spreadsheetml/2017/richdata2" ref="A4:J503">
    <sortCondition descending="1" ref="J3:J503"/>
  </sortState>
  <tableColumns count="10">
    <tableColumn id="1" xr3:uid="{8842172C-F270-4F06-B60F-2ED03D65E667}" name="Student_ID" dataDxfId="74"/>
    <tableColumn id="2" xr3:uid="{564A116F-6341-40D2-A075-A9B7C763F426}" name="First_Name" dataDxfId="73"/>
    <tableColumn id="3" xr3:uid="{E06EBB13-5660-4DAF-A968-5688223ECF7F}" name="Last_Name" dataDxfId="72"/>
    <tableColumn id="4" xr3:uid="{F618451F-2C2E-4C67-B463-5B49B564806E}" name="Gender" dataDxfId="71"/>
    <tableColumn id="5" xr3:uid="{951F6E52-00BC-4B8C-950A-E218333A26BF}" name="Age" dataDxfId="70"/>
    <tableColumn id="6" xr3:uid="{ED275BDC-FB0B-4521-913B-8496B15D7803}" name="Class" dataDxfId="69"/>
    <tableColumn id="7" xr3:uid="{15BC969B-B3B4-4047-A3FB-71AA1208FAEB}" name="Section" dataDxfId="68"/>
    <tableColumn id="8" xr3:uid="{B31C8DA1-808B-4F6B-A9F3-65B0A9E5B068}" name="City" dataDxfId="67"/>
    <tableColumn id="9" xr3:uid="{7B60C82D-BDBB-4D80-BAA5-4E9F89920982}" name="Admission_Date" dataDxfId="4"/>
    <tableColumn id="10" xr3:uid="{DE399F21-70F0-4A4C-8296-5426DF4AECA3}" name="Mark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BB3B91D-A1D6-43D6-A60A-F7C48DEF03EB}" name="Table29" displayName="Table29" ref="A3:J503" totalsRowShown="0" headerRowDxfId="66" dataDxfId="64" headerRowBorderDxfId="65" tableBorderDxfId="63" totalsRowBorderDxfId="62">
  <autoFilter ref="A3:J503" xr:uid="{FA7B23A7-2F8D-4477-9E70-9DEA4F35507C}"/>
  <sortState xmlns:xlrd2="http://schemas.microsoft.com/office/spreadsheetml/2017/richdata2" ref="A4:J503">
    <sortCondition ref="E3:E503"/>
  </sortState>
  <tableColumns count="10">
    <tableColumn id="1" xr3:uid="{59636E74-FA34-446D-9AAE-ECE49B3C4A55}" name="Student_ID" dataDxfId="61"/>
    <tableColumn id="2" xr3:uid="{0B91E067-565B-47D4-B75A-5E79893902C6}" name="First_Name" dataDxfId="60"/>
    <tableColumn id="3" xr3:uid="{F3E51A9A-09F5-4340-9F29-A78AAE558601}" name="Last_Name" dataDxfId="59"/>
    <tableColumn id="4" xr3:uid="{E8CAAFCD-5B2E-4FB4-8119-11E1A9644712}" name="Gender" dataDxfId="2"/>
    <tableColumn id="5" xr3:uid="{7EED3360-280A-4C48-B658-A0FF7D0E3F3D}" name="Age" dataDxfId="0"/>
    <tableColumn id="6" xr3:uid="{0FFB7261-F492-4FDF-B3F8-6E3E27C23D89}" name="Class" dataDxfId="1"/>
    <tableColumn id="7" xr3:uid="{9F268265-2F59-46A7-85F5-9F963CAB93F7}" name="Section" dataDxfId="58"/>
    <tableColumn id="8" xr3:uid="{E5B124DB-05B9-4494-ADC9-5AF442B3F761}" name="City" dataDxfId="57"/>
    <tableColumn id="9" xr3:uid="{916DC8AB-9343-47FA-9511-23D33EBCC9D0}" name="Admission_Date" dataDxfId="56"/>
    <tableColumn id="10" xr3:uid="{1E730887-BB4C-4C26-A2CB-E3EB4BB3FDAE}" name="Marks" dataDxfId="5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00FAE35-F00F-4D7A-820D-AA07BA1AF3DF}" name="Table313" displayName="Table313" ref="A3:J503" totalsRowShown="0" headerRowDxfId="54" headerRowBorderDxfId="53" tableBorderDxfId="52" totalsRowBorderDxfId="51">
  <tableColumns count="10">
    <tableColumn id="1" xr3:uid="{EB9999CD-E3B2-48DC-B410-1C938F14AC33}" name="Student_ID" dataDxfId="50"/>
    <tableColumn id="2" xr3:uid="{D159E718-C8C9-45C6-AAFC-C9726D4D7E20}" name="First_Name" dataDxfId="49"/>
    <tableColumn id="3" xr3:uid="{DDEE7034-050A-4055-8A9D-F6652FA3903A}" name="Last_Name" dataDxfId="48"/>
    <tableColumn id="4" xr3:uid="{73ECC559-FEA8-48AC-8AC9-6B9EEE8659BD}" name="Gender" dataDxfId="47"/>
    <tableColumn id="5" xr3:uid="{B6D57B14-DD99-4F08-8E91-E04047972072}" name="Age" dataDxfId="46"/>
    <tableColumn id="6" xr3:uid="{D62C39AA-7EAB-4631-8171-F80E68CC81AF}" name="Class" dataDxfId="45"/>
    <tableColumn id="7" xr3:uid="{366F84BD-334E-41FA-9EB3-50B000978AFB}" name="Section" dataDxfId="44"/>
    <tableColumn id="8" xr3:uid="{7E074B78-6B6F-4545-87BB-6F3983AF6F01}" name="City" dataDxfId="43"/>
    <tableColumn id="9" xr3:uid="{6F523FC5-43BB-41FC-B09E-54EAFF9D8988}" name="Admission_Date" dataDxfId="42"/>
    <tableColumn id="10" xr3:uid="{ED810F81-74E9-4838-A64B-1CD9B7B365F5}" name="Marks" dataDxfId="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410CDF-1DB7-4A71-9932-D614C44F39DE}" name="Table6" displayName="Table6" ref="A3:J503" totalsRowShown="0" headerRowDxfId="40" headerRowBorderDxfId="39" tableBorderDxfId="38" totalsRowBorderDxfId="37">
  <tableColumns count="10">
    <tableColumn id="1" xr3:uid="{7F2A1B0F-5F98-4D44-9A77-A312EBA45FAA}" name="Student_ID" dataDxfId="36"/>
    <tableColumn id="2" xr3:uid="{295E1126-0FA3-4041-AEDD-B3D28CC9B0D0}" name="First_Name" dataDxfId="35"/>
    <tableColumn id="3" xr3:uid="{987F70D4-7F6E-454B-810B-44022FD811BC}" name="Last_Name" dataDxfId="34"/>
    <tableColumn id="4" xr3:uid="{A5D1D50F-B78B-43F5-9CA7-BAA5AF3DF142}" name="Gender" dataDxfId="33"/>
    <tableColumn id="5" xr3:uid="{22C0195A-0F73-4106-A4C1-6BB13CFC7A79}" name="Age" dataDxfId="32"/>
    <tableColumn id="6" xr3:uid="{01AE0EC4-C94D-48BF-A00D-7B679F60F1C3}" name="Class" dataDxfId="31"/>
    <tableColumn id="7" xr3:uid="{57C51A17-D843-4C12-BE8D-4D06187FB67D}" name="Section" dataDxfId="30"/>
    <tableColumn id="8" xr3:uid="{25A3F01B-950D-41A7-852D-206731F70C52}" name="City" dataDxfId="29"/>
    <tableColumn id="9" xr3:uid="{B8A83E96-2C0D-4A7B-8BA5-E533D9BDD948}" name="Admission_Date" dataDxfId="28"/>
    <tableColumn id="10" xr3:uid="{4B90BB2F-77B6-49E7-B902-3DDF5A767B02}" name="Marks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53C3C1-2F3B-4B55-B9AA-34ABB0986AE7}" name="Table7" displayName="Table7" ref="A3:J503" totalsRowShown="0" headerRowDxfId="26" headerRowBorderDxfId="25" tableBorderDxfId="24" totalsRowBorderDxfId="23">
  <tableColumns count="10">
    <tableColumn id="1" xr3:uid="{3797C091-56C2-4EE3-B6D9-FAEF5FBA46A3}" name="Student_ID" dataDxfId="22"/>
    <tableColumn id="2" xr3:uid="{2208A564-5061-4BA0-B49E-3CBA5249D0EB}" name="First_Name" dataDxfId="21"/>
    <tableColumn id="3" xr3:uid="{6B857826-C685-4750-9E16-D9A58D9BCA77}" name="Last_Name" dataDxfId="20"/>
    <tableColumn id="4" xr3:uid="{2DADC382-8A47-4EC3-859B-1F699306B1DE}" name="Gender" dataDxfId="19"/>
    <tableColumn id="5" xr3:uid="{925728BC-9828-40DD-8716-B1648146B944}" name="Age" dataDxfId="18"/>
    <tableColumn id="6" xr3:uid="{8D46D8CA-E886-4DB8-82B2-C624D25D3FB7}" name="Class" dataDxfId="17"/>
    <tableColumn id="7" xr3:uid="{212449B7-1703-4BCF-AE02-5AF78546439B}" name="Section" dataDxfId="16"/>
    <tableColumn id="8" xr3:uid="{36E6C14D-279F-445D-A30E-C535748F1F8B}" name="City" dataDxfId="15"/>
    <tableColumn id="9" xr3:uid="{73C963CB-25F5-4167-BFAD-4189CF7A5F46}" name="Admission_Date" dataDxfId="14"/>
    <tableColumn id="10" xr3:uid="{86364161-61A8-44E1-8B81-AF2FD5C8CC52}" name="Marks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82BB-C823-42C2-B317-A3A556E2923C}">
  <dimension ref="A1:J501"/>
  <sheetViews>
    <sheetView workbookViewId="0">
      <selection activeCell="P14" sqref="P14"/>
    </sheetView>
  </sheetViews>
  <sheetFormatPr defaultRowHeight="14.4" x14ac:dyDescent="0.3"/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>
        <v>16</v>
      </c>
      <c r="F2" s="2">
        <v>10</v>
      </c>
      <c r="G2" s="2" t="s">
        <v>14</v>
      </c>
      <c r="H2" s="2" t="s">
        <v>15</v>
      </c>
      <c r="I2" s="2" t="s">
        <v>16</v>
      </c>
      <c r="J2" s="2">
        <v>37</v>
      </c>
    </row>
    <row r="3" spans="1:10" x14ac:dyDescent="0.3">
      <c r="A3" s="2" t="s">
        <v>17</v>
      </c>
      <c r="B3" s="2" t="s">
        <v>18</v>
      </c>
      <c r="C3" s="2" t="s">
        <v>19</v>
      </c>
      <c r="D3" s="2" t="s">
        <v>13</v>
      </c>
      <c r="E3" s="2">
        <v>15</v>
      </c>
      <c r="F3" s="2">
        <v>12</v>
      </c>
      <c r="G3" s="2" t="s">
        <v>14</v>
      </c>
      <c r="H3" s="2" t="s">
        <v>20</v>
      </c>
      <c r="I3" s="2" t="s">
        <v>21</v>
      </c>
      <c r="J3" s="2">
        <v>98</v>
      </c>
    </row>
    <row r="4" spans="1:10" x14ac:dyDescent="0.3">
      <c r="A4" s="2" t="s">
        <v>22</v>
      </c>
      <c r="B4" s="2" t="s">
        <v>23</v>
      </c>
      <c r="C4" s="2" t="s">
        <v>24</v>
      </c>
      <c r="D4" s="2" t="s">
        <v>13</v>
      </c>
      <c r="E4" s="2">
        <v>14</v>
      </c>
      <c r="F4" s="2">
        <v>12</v>
      </c>
      <c r="G4" s="2" t="s">
        <v>25</v>
      </c>
      <c r="H4" s="2" t="s">
        <v>26</v>
      </c>
      <c r="I4" s="2" t="s">
        <v>27</v>
      </c>
      <c r="J4" s="2">
        <v>38</v>
      </c>
    </row>
    <row r="5" spans="1:10" x14ac:dyDescent="0.3">
      <c r="A5" s="2" t="s">
        <v>28</v>
      </c>
      <c r="B5" s="2" t="s">
        <v>29</v>
      </c>
      <c r="C5" s="2" t="s">
        <v>30</v>
      </c>
      <c r="D5" s="2" t="s">
        <v>31</v>
      </c>
      <c r="E5" s="2">
        <v>20</v>
      </c>
      <c r="F5" s="2">
        <v>9</v>
      </c>
      <c r="G5" s="2" t="s">
        <v>32</v>
      </c>
      <c r="H5" s="2" t="s">
        <v>26</v>
      </c>
      <c r="I5" s="2" t="s">
        <v>33</v>
      </c>
      <c r="J5" s="2">
        <v>84</v>
      </c>
    </row>
    <row r="6" spans="1:10" x14ac:dyDescent="0.3">
      <c r="A6" s="2" t="s">
        <v>34</v>
      </c>
      <c r="B6" s="2" t="s">
        <v>35</v>
      </c>
      <c r="C6" s="2" t="s">
        <v>36</v>
      </c>
      <c r="D6" s="2" t="s">
        <v>31</v>
      </c>
      <c r="E6" s="2">
        <v>17</v>
      </c>
      <c r="F6" s="2">
        <v>10</v>
      </c>
      <c r="G6" s="2" t="s">
        <v>32</v>
      </c>
      <c r="H6" s="2" t="s">
        <v>37</v>
      </c>
      <c r="I6" s="2" t="s">
        <v>38</v>
      </c>
      <c r="J6" s="2">
        <v>45</v>
      </c>
    </row>
    <row r="7" spans="1:10" x14ac:dyDescent="0.3">
      <c r="A7" s="2" t="s">
        <v>39</v>
      </c>
      <c r="B7" s="2" t="s">
        <v>11</v>
      </c>
      <c r="C7" s="2" t="s">
        <v>12</v>
      </c>
      <c r="D7" s="2" t="s">
        <v>31</v>
      </c>
      <c r="E7" s="2">
        <v>19</v>
      </c>
      <c r="F7" s="2">
        <v>10</v>
      </c>
      <c r="G7" s="2" t="s">
        <v>14</v>
      </c>
      <c r="H7" s="2" t="s">
        <v>40</v>
      </c>
      <c r="I7" s="2" t="s">
        <v>41</v>
      </c>
      <c r="J7" s="2">
        <v>36</v>
      </c>
    </row>
    <row r="8" spans="1:10" x14ac:dyDescent="0.3">
      <c r="A8" s="2" t="s">
        <v>42</v>
      </c>
      <c r="B8" s="2" t="s">
        <v>29</v>
      </c>
      <c r="C8" s="2" t="s">
        <v>24</v>
      </c>
      <c r="D8" s="2" t="s">
        <v>31</v>
      </c>
      <c r="E8" s="2">
        <v>20</v>
      </c>
      <c r="F8" s="2">
        <v>9</v>
      </c>
      <c r="G8" s="2" t="s">
        <v>43</v>
      </c>
      <c r="H8" s="2" t="s">
        <v>40</v>
      </c>
      <c r="I8" s="2" t="s">
        <v>44</v>
      </c>
      <c r="J8" s="2">
        <v>88</v>
      </c>
    </row>
    <row r="9" spans="1:10" x14ac:dyDescent="0.3">
      <c r="A9" s="2" t="s">
        <v>45</v>
      </c>
      <c r="B9" s="2" t="s">
        <v>35</v>
      </c>
      <c r="C9" s="2" t="s">
        <v>12</v>
      </c>
      <c r="D9" s="2" t="s">
        <v>13</v>
      </c>
      <c r="E9" s="2">
        <v>19</v>
      </c>
      <c r="F9" s="2">
        <v>12</v>
      </c>
      <c r="G9" s="2" t="s">
        <v>32</v>
      </c>
      <c r="H9" s="2" t="s">
        <v>46</v>
      </c>
      <c r="I9" s="2" t="s">
        <v>47</v>
      </c>
      <c r="J9" s="2">
        <v>60</v>
      </c>
    </row>
    <row r="10" spans="1:10" x14ac:dyDescent="0.3">
      <c r="A10" s="2" t="s">
        <v>48</v>
      </c>
      <c r="B10" s="2" t="s">
        <v>18</v>
      </c>
      <c r="C10" s="2" t="s">
        <v>30</v>
      </c>
      <c r="D10" s="2" t="s">
        <v>31</v>
      </c>
      <c r="E10" s="2">
        <v>19</v>
      </c>
      <c r="F10" s="2">
        <v>12</v>
      </c>
      <c r="G10" s="2" t="s">
        <v>14</v>
      </c>
      <c r="H10" s="2" t="s">
        <v>46</v>
      </c>
      <c r="I10" s="2" t="s">
        <v>49</v>
      </c>
      <c r="J10" s="2">
        <v>92</v>
      </c>
    </row>
    <row r="11" spans="1:10" x14ac:dyDescent="0.3">
      <c r="A11" s="2" t="s">
        <v>50</v>
      </c>
      <c r="B11" s="2" t="s">
        <v>51</v>
      </c>
      <c r="C11" s="2" t="s">
        <v>24</v>
      </c>
      <c r="D11" s="2" t="s">
        <v>31</v>
      </c>
      <c r="E11" s="2">
        <v>15</v>
      </c>
      <c r="F11" s="2">
        <v>9</v>
      </c>
      <c r="G11" s="2" t="s">
        <v>43</v>
      </c>
      <c r="H11" s="2" t="s">
        <v>15</v>
      </c>
      <c r="I11" s="2" t="s">
        <v>52</v>
      </c>
      <c r="J11" s="2">
        <v>90</v>
      </c>
    </row>
    <row r="12" spans="1:10" x14ac:dyDescent="0.3">
      <c r="A12" s="2" t="s">
        <v>53</v>
      </c>
      <c r="B12" s="2" t="s">
        <v>54</v>
      </c>
      <c r="C12" s="2" t="s">
        <v>55</v>
      </c>
      <c r="D12" s="2" t="s">
        <v>31</v>
      </c>
      <c r="E12" s="2">
        <v>20</v>
      </c>
      <c r="F12" s="2">
        <v>10</v>
      </c>
      <c r="G12" s="2" t="s">
        <v>25</v>
      </c>
      <c r="H12" s="2" t="s">
        <v>40</v>
      </c>
      <c r="I12" s="2" t="s">
        <v>56</v>
      </c>
      <c r="J12" s="2">
        <v>59</v>
      </c>
    </row>
    <row r="13" spans="1:10" x14ac:dyDescent="0.3">
      <c r="A13" s="2" t="s">
        <v>57</v>
      </c>
      <c r="B13" s="2" t="s">
        <v>51</v>
      </c>
      <c r="C13" s="2" t="s">
        <v>58</v>
      </c>
      <c r="D13" s="2" t="s">
        <v>13</v>
      </c>
      <c r="E13" s="2">
        <v>14</v>
      </c>
      <c r="F13" s="2">
        <v>12</v>
      </c>
      <c r="G13" s="2" t="s">
        <v>32</v>
      </c>
      <c r="H13" s="2" t="s">
        <v>40</v>
      </c>
      <c r="I13" s="2" t="s">
        <v>59</v>
      </c>
      <c r="J13" s="2">
        <v>43</v>
      </c>
    </row>
    <row r="14" spans="1:10" x14ac:dyDescent="0.3">
      <c r="A14" s="2" t="s">
        <v>60</v>
      </c>
      <c r="B14" s="2" t="s">
        <v>35</v>
      </c>
      <c r="C14" s="2" t="s">
        <v>55</v>
      </c>
      <c r="D14" s="2" t="s">
        <v>13</v>
      </c>
      <c r="E14" s="2">
        <v>15</v>
      </c>
      <c r="F14" s="2">
        <v>12</v>
      </c>
      <c r="G14" s="2" t="s">
        <v>14</v>
      </c>
      <c r="H14" s="2" t="s">
        <v>61</v>
      </c>
      <c r="I14" s="2" t="s">
        <v>62</v>
      </c>
      <c r="J14" s="2">
        <v>51</v>
      </c>
    </row>
    <row r="15" spans="1:10" x14ac:dyDescent="0.3">
      <c r="A15" s="2" t="s">
        <v>63</v>
      </c>
      <c r="B15" s="2" t="s">
        <v>11</v>
      </c>
      <c r="C15" s="2" t="s">
        <v>55</v>
      </c>
      <c r="D15" s="2" t="s">
        <v>13</v>
      </c>
      <c r="E15" s="2">
        <v>16</v>
      </c>
      <c r="F15" s="2">
        <v>10</v>
      </c>
      <c r="G15" s="2" t="s">
        <v>25</v>
      </c>
      <c r="H15" s="2" t="s">
        <v>26</v>
      </c>
      <c r="I15" s="2" t="s">
        <v>64</v>
      </c>
      <c r="J15" s="2">
        <v>42</v>
      </c>
    </row>
    <row r="16" spans="1:10" x14ac:dyDescent="0.3">
      <c r="A16" s="2" t="s">
        <v>65</v>
      </c>
      <c r="B16" s="2" t="s">
        <v>23</v>
      </c>
      <c r="C16" s="2" t="s">
        <v>30</v>
      </c>
      <c r="D16" s="2" t="s">
        <v>13</v>
      </c>
      <c r="E16" s="2">
        <v>20</v>
      </c>
      <c r="F16" s="2">
        <v>12</v>
      </c>
      <c r="G16" s="2" t="s">
        <v>14</v>
      </c>
      <c r="H16" s="2" t="s">
        <v>40</v>
      </c>
      <c r="I16" s="2" t="s">
        <v>66</v>
      </c>
      <c r="J16" s="2">
        <v>62</v>
      </c>
    </row>
    <row r="17" spans="1:10" x14ac:dyDescent="0.3">
      <c r="A17" s="2" t="s">
        <v>67</v>
      </c>
      <c r="B17" s="2" t="s">
        <v>68</v>
      </c>
      <c r="C17" s="2" t="s">
        <v>19</v>
      </c>
      <c r="D17" s="2" t="s">
        <v>13</v>
      </c>
      <c r="E17" s="2">
        <v>20</v>
      </c>
      <c r="F17" s="2">
        <v>9</v>
      </c>
      <c r="G17" s="2" t="s">
        <v>14</v>
      </c>
      <c r="H17" s="2" t="s">
        <v>20</v>
      </c>
      <c r="I17" s="2" t="s">
        <v>69</v>
      </c>
      <c r="J17" s="2">
        <v>55</v>
      </c>
    </row>
    <row r="18" spans="1:10" x14ac:dyDescent="0.3">
      <c r="A18" s="2" t="s">
        <v>70</v>
      </c>
      <c r="B18" s="2" t="s">
        <v>51</v>
      </c>
      <c r="C18" s="2" t="s">
        <v>36</v>
      </c>
      <c r="D18" s="2" t="s">
        <v>13</v>
      </c>
      <c r="E18" s="2">
        <v>14</v>
      </c>
      <c r="F18" s="2">
        <v>12</v>
      </c>
      <c r="G18" s="2" t="s">
        <v>25</v>
      </c>
      <c r="H18" s="2" t="s">
        <v>37</v>
      </c>
      <c r="I18" s="2" t="s">
        <v>71</v>
      </c>
      <c r="J18" s="2">
        <v>42</v>
      </c>
    </row>
    <row r="19" spans="1:10" x14ac:dyDescent="0.3">
      <c r="A19" s="2" t="s">
        <v>72</v>
      </c>
      <c r="B19" s="2" t="s">
        <v>73</v>
      </c>
      <c r="C19" s="2" t="s">
        <v>58</v>
      </c>
      <c r="D19" s="2" t="s">
        <v>31</v>
      </c>
      <c r="E19" s="2">
        <v>19</v>
      </c>
      <c r="F19" s="2">
        <v>9</v>
      </c>
      <c r="G19" s="2" t="s">
        <v>32</v>
      </c>
      <c r="H19" s="2" t="s">
        <v>46</v>
      </c>
      <c r="I19" s="2" t="s">
        <v>74</v>
      </c>
      <c r="J19" s="2">
        <v>76</v>
      </c>
    </row>
    <row r="20" spans="1:10" x14ac:dyDescent="0.3">
      <c r="A20" s="2" t="s">
        <v>75</v>
      </c>
      <c r="B20" s="2" t="s">
        <v>29</v>
      </c>
      <c r="C20" s="2" t="s">
        <v>58</v>
      </c>
      <c r="D20" s="2" t="s">
        <v>31</v>
      </c>
      <c r="E20" s="2">
        <v>17</v>
      </c>
      <c r="F20" s="2">
        <v>12</v>
      </c>
      <c r="G20" s="2" t="s">
        <v>32</v>
      </c>
      <c r="H20" s="2" t="s">
        <v>76</v>
      </c>
      <c r="I20" s="2" t="s">
        <v>77</v>
      </c>
      <c r="J20" s="2">
        <v>66</v>
      </c>
    </row>
    <row r="21" spans="1:10" x14ac:dyDescent="0.3">
      <c r="A21" s="2" t="s">
        <v>78</v>
      </c>
      <c r="B21" s="2" t="s">
        <v>68</v>
      </c>
      <c r="C21" s="2" t="s">
        <v>79</v>
      </c>
      <c r="D21" s="2" t="s">
        <v>31</v>
      </c>
      <c r="E21" s="2">
        <v>15</v>
      </c>
      <c r="F21" s="2">
        <v>10</v>
      </c>
      <c r="G21" s="2" t="s">
        <v>14</v>
      </c>
      <c r="H21" s="2" t="s">
        <v>20</v>
      </c>
      <c r="I21" s="2" t="s">
        <v>80</v>
      </c>
      <c r="J21" s="2">
        <v>59</v>
      </c>
    </row>
    <row r="22" spans="1:10" x14ac:dyDescent="0.3">
      <c r="A22" s="2" t="s">
        <v>81</v>
      </c>
      <c r="B22" s="2" t="s">
        <v>29</v>
      </c>
      <c r="C22" s="2" t="s">
        <v>58</v>
      </c>
      <c r="D22" s="2" t="s">
        <v>31</v>
      </c>
      <c r="E22" s="2">
        <v>19</v>
      </c>
      <c r="F22" s="2">
        <v>9</v>
      </c>
      <c r="G22" s="2" t="s">
        <v>14</v>
      </c>
      <c r="H22" s="2" t="s">
        <v>61</v>
      </c>
      <c r="I22" s="2" t="s">
        <v>82</v>
      </c>
      <c r="J22" s="2">
        <v>50</v>
      </c>
    </row>
    <row r="23" spans="1:10" x14ac:dyDescent="0.3">
      <c r="A23" s="2" t="s">
        <v>83</v>
      </c>
      <c r="B23" s="2" t="s">
        <v>84</v>
      </c>
      <c r="C23" s="2" t="s">
        <v>85</v>
      </c>
      <c r="D23" s="2" t="s">
        <v>31</v>
      </c>
      <c r="E23" s="2">
        <v>16</v>
      </c>
      <c r="F23" s="2">
        <v>9</v>
      </c>
      <c r="G23" s="2" t="s">
        <v>43</v>
      </c>
      <c r="H23" s="2" t="s">
        <v>37</v>
      </c>
      <c r="I23" s="2" t="s">
        <v>86</v>
      </c>
      <c r="J23" s="2">
        <v>52</v>
      </c>
    </row>
    <row r="24" spans="1:10" x14ac:dyDescent="0.3">
      <c r="A24" s="2" t="s">
        <v>87</v>
      </c>
      <c r="B24" s="2" t="s">
        <v>18</v>
      </c>
      <c r="C24" s="2" t="s">
        <v>12</v>
      </c>
      <c r="D24" s="2" t="s">
        <v>13</v>
      </c>
      <c r="E24" s="2">
        <v>20</v>
      </c>
      <c r="F24" s="2">
        <v>12</v>
      </c>
      <c r="G24" s="2" t="s">
        <v>32</v>
      </c>
      <c r="H24" s="2" t="s">
        <v>26</v>
      </c>
      <c r="I24" s="2" t="s">
        <v>88</v>
      </c>
      <c r="J24" s="2">
        <v>86</v>
      </c>
    </row>
    <row r="25" spans="1:10" x14ac:dyDescent="0.3">
      <c r="A25" s="2" t="s">
        <v>89</v>
      </c>
      <c r="B25" s="2" t="s">
        <v>68</v>
      </c>
      <c r="C25" s="2" t="s">
        <v>85</v>
      </c>
      <c r="D25" s="2" t="s">
        <v>31</v>
      </c>
      <c r="E25" s="2">
        <v>16</v>
      </c>
      <c r="F25" s="2">
        <v>9</v>
      </c>
      <c r="G25" s="2" t="s">
        <v>43</v>
      </c>
      <c r="H25" s="2" t="s">
        <v>20</v>
      </c>
      <c r="I25" s="2" t="s">
        <v>90</v>
      </c>
      <c r="J25" s="2">
        <v>52</v>
      </c>
    </row>
    <row r="26" spans="1:10" x14ac:dyDescent="0.3">
      <c r="A26" s="2" t="s">
        <v>91</v>
      </c>
      <c r="B26" s="2" t="s">
        <v>73</v>
      </c>
      <c r="C26" s="2" t="s">
        <v>12</v>
      </c>
      <c r="D26" s="2" t="s">
        <v>13</v>
      </c>
      <c r="E26" s="2">
        <v>20</v>
      </c>
      <c r="F26" s="2">
        <v>10</v>
      </c>
      <c r="G26" s="2" t="s">
        <v>43</v>
      </c>
      <c r="H26" s="2" t="s">
        <v>46</v>
      </c>
      <c r="I26" s="2" t="s">
        <v>92</v>
      </c>
      <c r="J26" s="2">
        <v>82</v>
      </c>
    </row>
    <row r="27" spans="1:10" x14ac:dyDescent="0.3">
      <c r="A27" s="2" t="s">
        <v>93</v>
      </c>
      <c r="B27" s="2" t="s">
        <v>29</v>
      </c>
      <c r="C27" s="2" t="s">
        <v>24</v>
      </c>
      <c r="D27" s="2" t="s">
        <v>31</v>
      </c>
      <c r="E27" s="2">
        <v>14</v>
      </c>
      <c r="F27" s="2">
        <v>12</v>
      </c>
      <c r="G27" s="2" t="s">
        <v>32</v>
      </c>
      <c r="H27" s="2" t="s">
        <v>61</v>
      </c>
      <c r="I27" s="2" t="s">
        <v>94</v>
      </c>
      <c r="J27" s="2">
        <v>72</v>
      </c>
    </row>
    <row r="28" spans="1:10" x14ac:dyDescent="0.3">
      <c r="A28" s="2" t="s">
        <v>95</v>
      </c>
      <c r="B28" s="2" t="s">
        <v>18</v>
      </c>
      <c r="C28" s="2" t="s">
        <v>96</v>
      </c>
      <c r="D28" s="2" t="s">
        <v>13</v>
      </c>
      <c r="E28" s="2">
        <v>19</v>
      </c>
      <c r="F28" s="2">
        <v>12</v>
      </c>
      <c r="G28" s="2" t="s">
        <v>14</v>
      </c>
      <c r="H28" s="2" t="s">
        <v>15</v>
      </c>
      <c r="I28" s="2" t="s">
        <v>97</v>
      </c>
      <c r="J28" s="2">
        <v>56</v>
      </c>
    </row>
    <row r="29" spans="1:10" x14ac:dyDescent="0.3">
      <c r="A29" s="2" t="s">
        <v>98</v>
      </c>
      <c r="B29" s="2" t="s">
        <v>68</v>
      </c>
      <c r="C29" s="2" t="s">
        <v>55</v>
      </c>
      <c r="D29" s="2" t="s">
        <v>13</v>
      </c>
      <c r="E29" s="2">
        <v>19</v>
      </c>
      <c r="F29" s="2">
        <v>11</v>
      </c>
      <c r="G29" s="2" t="s">
        <v>43</v>
      </c>
      <c r="H29" s="2" t="s">
        <v>15</v>
      </c>
      <c r="I29" s="2" t="s">
        <v>99</v>
      </c>
      <c r="J29" s="2">
        <v>56</v>
      </c>
    </row>
    <row r="30" spans="1:10" x14ac:dyDescent="0.3">
      <c r="A30" s="2" t="s">
        <v>100</v>
      </c>
      <c r="B30" s="2" t="s">
        <v>35</v>
      </c>
      <c r="C30" s="2" t="s">
        <v>12</v>
      </c>
      <c r="D30" s="2" t="s">
        <v>31</v>
      </c>
      <c r="E30" s="2">
        <v>19</v>
      </c>
      <c r="F30" s="2">
        <v>12</v>
      </c>
      <c r="G30" s="2" t="s">
        <v>25</v>
      </c>
      <c r="H30" s="2" t="s">
        <v>76</v>
      </c>
      <c r="I30" s="2" t="s">
        <v>101</v>
      </c>
      <c r="J30" s="2">
        <v>54</v>
      </c>
    </row>
    <row r="31" spans="1:10" x14ac:dyDescent="0.3">
      <c r="A31" s="2" t="s">
        <v>102</v>
      </c>
      <c r="B31" s="2" t="s">
        <v>35</v>
      </c>
      <c r="C31" s="2" t="s">
        <v>12</v>
      </c>
      <c r="D31" s="2" t="s">
        <v>13</v>
      </c>
      <c r="E31" s="2">
        <v>20</v>
      </c>
      <c r="F31" s="2">
        <v>11</v>
      </c>
      <c r="G31" s="2" t="s">
        <v>14</v>
      </c>
      <c r="H31" s="2" t="s">
        <v>26</v>
      </c>
      <c r="I31" s="2" t="s">
        <v>103</v>
      </c>
      <c r="J31" s="2">
        <v>70</v>
      </c>
    </row>
    <row r="32" spans="1:10" x14ac:dyDescent="0.3">
      <c r="A32" s="2" t="s">
        <v>104</v>
      </c>
      <c r="B32" s="2" t="s">
        <v>29</v>
      </c>
      <c r="C32" s="2" t="s">
        <v>79</v>
      </c>
      <c r="D32" s="2" t="s">
        <v>31</v>
      </c>
      <c r="E32" s="2">
        <v>18</v>
      </c>
      <c r="F32" s="2">
        <v>10</v>
      </c>
      <c r="G32" s="2" t="s">
        <v>25</v>
      </c>
      <c r="H32" s="2" t="s">
        <v>61</v>
      </c>
      <c r="I32" s="2" t="s">
        <v>105</v>
      </c>
      <c r="J32" s="2">
        <v>57</v>
      </c>
    </row>
    <row r="33" spans="1:10" x14ac:dyDescent="0.3">
      <c r="A33" s="2" t="s">
        <v>106</v>
      </c>
      <c r="B33" s="2" t="s">
        <v>51</v>
      </c>
      <c r="C33" s="2" t="s">
        <v>55</v>
      </c>
      <c r="D33" s="2" t="s">
        <v>13</v>
      </c>
      <c r="E33" s="2">
        <v>20</v>
      </c>
      <c r="F33" s="2">
        <v>9</v>
      </c>
      <c r="G33" s="2" t="s">
        <v>32</v>
      </c>
      <c r="H33" s="2" t="s">
        <v>26</v>
      </c>
      <c r="I33" s="2" t="s">
        <v>107</v>
      </c>
      <c r="J33" s="2">
        <v>91</v>
      </c>
    </row>
    <row r="34" spans="1:10" x14ac:dyDescent="0.3">
      <c r="A34" s="2" t="s">
        <v>108</v>
      </c>
      <c r="B34" s="2" t="s">
        <v>29</v>
      </c>
      <c r="C34" s="2" t="s">
        <v>96</v>
      </c>
      <c r="D34" s="2" t="s">
        <v>31</v>
      </c>
      <c r="E34" s="2">
        <v>15</v>
      </c>
      <c r="F34" s="2">
        <v>11</v>
      </c>
      <c r="G34" s="2" t="s">
        <v>43</v>
      </c>
      <c r="H34" s="2" t="s">
        <v>26</v>
      </c>
      <c r="I34" s="2" t="s">
        <v>109</v>
      </c>
      <c r="J34" s="2">
        <v>77</v>
      </c>
    </row>
    <row r="35" spans="1:10" x14ac:dyDescent="0.3">
      <c r="A35" s="2" t="s">
        <v>110</v>
      </c>
      <c r="B35" s="2" t="s">
        <v>51</v>
      </c>
      <c r="C35" s="2" t="s">
        <v>58</v>
      </c>
      <c r="D35" s="2" t="s">
        <v>31</v>
      </c>
      <c r="E35" s="2">
        <v>14</v>
      </c>
      <c r="F35" s="2">
        <v>10</v>
      </c>
      <c r="G35" s="2" t="s">
        <v>32</v>
      </c>
      <c r="H35" s="2" t="s">
        <v>76</v>
      </c>
      <c r="I35" s="2" t="s">
        <v>111</v>
      </c>
      <c r="J35" s="2">
        <v>60</v>
      </c>
    </row>
    <row r="36" spans="1:10" x14ac:dyDescent="0.3">
      <c r="A36" s="2" t="s">
        <v>112</v>
      </c>
      <c r="B36" s="2" t="s">
        <v>73</v>
      </c>
      <c r="C36" s="2" t="s">
        <v>30</v>
      </c>
      <c r="D36" s="2" t="s">
        <v>13</v>
      </c>
      <c r="E36" s="2">
        <v>15</v>
      </c>
      <c r="F36" s="2">
        <v>9</v>
      </c>
      <c r="G36" s="2" t="s">
        <v>14</v>
      </c>
      <c r="H36" s="2" t="s">
        <v>26</v>
      </c>
      <c r="I36" s="2" t="s">
        <v>113</v>
      </c>
      <c r="J36" s="2">
        <v>58</v>
      </c>
    </row>
    <row r="37" spans="1:10" x14ac:dyDescent="0.3">
      <c r="A37" s="2" t="s">
        <v>114</v>
      </c>
      <c r="B37" s="2" t="s">
        <v>73</v>
      </c>
      <c r="C37" s="2" t="s">
        <v>58</v>
      </c>
      <c r="D37" s="2" t="s">
        <v>13</v>
      </c>
      <c r="E37" s="2">
        <v>20</v>
      </c>
      <c r="F37" s="2">
        <v>9</v>
      </c>
      <c r="G37" s="2" t="s">
        <v>25</v>
      </c>
      <c r="H37" s="2" t="s">
        <v>46</v>
      </c>
      <c r="I37" s="2" t="s">
        <v>115</v>
      </c>
      <c r="J37" s="2">
        <v>40</v>
      </c>
    </row>
    <row r="38" spans="1:10" x14ac:dyDescent="0.3">
      <c r="A38" s="2" t="s">
        <v>116</v>
      </c>
      <c r="B38" s="2" t="s">
        <v>84</v>
      </c>
      <c r="C38" s="2" t="s">
        <v>19</v>
      </c>
      <c r="D38" s="2" t="s">
        <v>13</v>
      </c>
      <c r="E38" s="2">
        <v>19</v>
      </c>
      <c r="F38" s="2">
        <v>12</v>
      </c>
      <c r="G38" s="2" t="s">
        <v>14</v>
      </c>
      <c r="H38" s="2" t="s">
        <v>20</v>
      </c>
      <c r="I38" s="2" t="s">
        <v>117</v>
      </c>
      <c r="J38" s="2">
        <v>56</v>
      </c>
    </row>
    <row r="39" spans="1:10" x14ac:dyDescent="0.3">
      <c r="A39" s="2" t="s">
        <v>118</v>
      </c>
      <c r="B39" s="2" t="s">
        <v>84</v>
      </c>
      <c r="C39" s="2" t="s">
        <v>58</v>
      </c>
      <c r="D39" s="2" t="s">
        <v>31</v>
      </c>
      <c r="E39" s="2">
        <v>20</v>
      </c>
      <c r="F39" s="2">
        <v>10</v>
      </c>
      <c r="G39" s="2" t="s">
        <v>32</v>
      </c>
      <c r="H39" s="2" t="s">
        <v>26</v>
      </c>
      <c r="I39" s="2" t="s">
        <v>119</v>
      </c>
      <c r="J39" s="2">
        <v>52</v>
      </c>
    </row>
    <row r="40" spans="1:10" x14ac:dyDescent="0.3">
      <c r="A40" s="2" t="s">
        <v>120</v>
      </c>
      <c r="B40" s="2" t="s">
        <v>35</v>
      </c>
      <c r="C40" s="2" t="s">
        <v>36</v>
      </c>
      <c r="D40" s="2" t="s">
        <v>31</v>
      </c>
      <c r="E40" s="2">
        <v>20</v>
      </c>
      <c r="F40" s="2">
        <v>10</v>
      </c>
      <c r="G40" s="2" t="s">
        <v>43</v>
      </c>
      <c r="H40" s="2" t="s">
        <v>61</v>
      </c>
      <c r="I40" s="2" t="s">
        <v>121</v>
      </c>
      <c r="J40" s="2">
        <v>37</v>
      </c>
    </row>
    <row r="41" spans="1:10" x14ac:dyDescent="0.3">
      <c r="A41" s="2" t="s">
        <v>122</v>
      </c>
      <c r="B41" s="2" t="s">
        <v>18</v>
      </c>
      <c r="C41" s="2" t="s">
        <v>19</v>
      </c>
      <c r="D41" s="2" t="s">
        <v>13</v>
      </c>
      <c r="E41" s="2">
        <v>15</v>
      </c>
      <c r="F41" s="2">
        <v>10</v>
      </c>
      <c r="G41" s="2" t="s">
        <v>32</v>
      </c>
      <c r="H41" s="2" t="s">
        <v>20</v>
      </c>
      <c r="I41" s="2" t="s">
        <v>123</v>
      </c>
      <c r="J41" s="2">
        <v>51</v>
      </c>
    </row>
    <row r="42" spans="1:10" x14ac:dyDescent="0.3">
      <c r="A42" s="2" t="s">
        <v>124</v>
      </c>
      <c r="B42" s="2" t="s">
        <v>68</v>
      </c>
      <c r="C42" s="2" t="s">
        <v>36</v>
      </c>
      <c r="D42" s="2" t="s">
        <v>13</v>
      </c>
      <c r="E42" s="2">
        <v>18</v>
      </c>
      <c r="F42" s="2">
        <v>10</v>
      </c>
      <c r="G42" s="2" t="s">
        <v>43</v>
      </c>
      <c r="H42" s="2" t="s">
        <v>20</v>
      </c>
      <c r="I42" s="2" t="s">
        <v>125</v>
      </c>
      <c r="J42" s="2">
        <v>66</v>
      </c>
    </row>
    <row r="43" spans="1:10" x14ac:dyDescent="0.3">
      <c r="A43" s="2" t="s">
        <v>126</v>
      </c>
      <c r="B43" s="2" t="s">
        <v>18</v>
      </c>
      <c r="C43" s="2" t="s">
        <v>24</v>
      </c>
      <c r="D43" s="2" t="s">
        <v>13</v>
      </c>
      <c r="E43" s="2">
        <v>15</v>
      </c>
      <c r="F43" s="2">
        <v>9</v>
      </c>
      <c r="G43" s="2" t="s">
        <v>25</v>
      </c>
      <c r="H43" s="2" t="s">
        <v>76</v>
      </c>
      <c r="I43" s="2" t="s">
        <v>127</v>
      </c>
      <c r="J43" s="2">
        <v>59</v>
      </c>
    </row>
    <row r="44" spans="1:10" x14ac:dyDescent="0.3">
      <c r="A44" s="2" t="s">
        <v>128</v>
      </c>
      <c r="B44" s="2" t="s">
        <v>11</v>
      </c>
      <c r="C44" s="2" t="s">
        <v>24</v>
      </c>
      <c r="D44" s="2" t="s">
        <v>31</v>
      </c>
      <c r="E44" s="2">
        <v>17</v>
      </c>
      <c r="F44" s="2">
        <v>12</v>
      </c>
      <c r="G44" s="2" t="s">
        <v>32</v>
      </c>
      <c r="H44" s="2" t="s">
        <v>15</v>
      </c>
      <c r="I44" s="2" t="s">
        <v>129</v>
      </c>
      <c r="J44" s="2">
        <v>68</v>
      </c>
    </row>
    <row r="45" spans="1:10" x14ac:dyDescent="0.3">
      <c r="A45" s="2" t="s">
        <v>130</v>
      </c>
      <c r="B45" s="2" t="s">
        <v>73</v>
      </c>
      <c r="C45" s="2" t="s">
        <v>30</v>
      </c>
      <c r="D45" s="2" t="s">
        <v>13</v>
      </c>
      <c r="E45" s="2">
        <v>17</v>
      </c>
      <c r="F45" s="2">
        <v>12</v>
      </c>
      <c r="G45" s="2" t="s">
        <v>25</v>
      </c>
      <c r="H45" s="2" t="s">
        <v>40</v>
      </c>
      <c r="I45" s="2" t="s">
        <v>131</v>
      </c>
      <c r="J45" s="2">
        <v>82</v>
      </c>
    </row>
    <row r="46" spans="1:10" x14ac:dyDescent="0.3">
      <c r="A46" s="2" t="s">
        <v>132</v>
      </c>
      <c r="B46" s="2" t="s">
        <v>29</v>
      </c>
      <c r="C46" s="2" t="s">
        <v>12</v>
      </c>
      <c r="D46" s="2" t="s">
        <v>13</v>
      </c>
      <c r="E46" s="2">
        <v>17</v>
      </c>
      <c r="F46" s="2">
        <v>10</v>
      </c>
      <c r="G46" s="2" t="s">
        <v>25</v>
      </c>
      <c r="H46" s="2" t="s">
        <v>37</v>
      </c>
      <c r="I46" s="2" t="s">
        <v>133</v>
      </c>
      <c r="J46" s="2">
        <v>88</v>
      </c>
    </row>
    <row r="47" spans="1:10" x14ac:dyDescent="0.3">
      <c r="A47" s="2" t="s">
        <v>134</v>
      </c>
      <c r="B47" s="2" t="s">
        <v>23</v>
      </c>
      <c r="C47" s="2" t="s">
        <v>30</v>
      </c>
      <c r="D47" s="2" t="s">
        <v>31</v>
      </c>
      <c r="E47" s="2">
        <v>20</v>
      </c>
      <c r="F47" s="2">
        <v>9</v>
      </c>
      <c r="G47" s="2" t="s">
        <v>14</v>
      </c>
      <c r="H47" s="2" t="s">
        <v>15</v>
      </c>
      <c r="I47" s="2" t="s">
        <v>135</v>
      </c>
      <c r="J47" s="2">
        <v>50</v>
      </c>
    </row>
    <row r="48" spans="1:10" x14ac:dyDescent="0.3">
      <c r="A48" s="2" t="s">
        <v>136</v>
      </c>
      <c r="B48" s="2" t="s">
        <v>11</v>
      </c>
      <c r="C48" s="2" t="s">
        <v>79</v>
      </c>
      <c r="D48" s="2" t="s">
        <v>13</v>
      </c>
      <c r="E48" s="2">
        <v>14</v>
      </c>
      <c r="F48" s="2">
        <v>10</v>
      </c>
      <c r="G48" s="2" t="s">
        <v>43</v>
      </c>
      <c r="H48" s="2" t="s">
        <v>61</v>
      </c>
      <c r="I48" s="2" t="s">
        <v>137</v>
      </c>
      <c r="J48" s="2">
        <v>65</v>
      </c>
    </row>
    <row r="49" spans="1:10" x14ac:dyDescent="0.3">
      <c r="A49" s="2" t="s">
        <v>138</v>
      </c>
      <c r="B49" s="2" t="s">
        <v>51</v>
      </c>
      <c r="C49" s="2" t="s">
        <v>85</v>
      </c>
      <c r="D49" s="2" t="s">
        <v>13</v>
      </c>
      <c r="E49" s="2">
        <v>18</v>
      </c>
      <c r="F49" s="2">
        <v>11</v>
      </c>
      <c r="G49" s="2" t="s">
        <v>43</v>
      </c>
      <c r="H49" s="2" t="s">
        <v>61</v>
      </c>
      <c r="I49" s="2" t="s">
        <v>139</v>
      </c>
      <c r="J49" s="2">
        <v>100</v>
      </c>
    </row>
    <row r="50" spans="1:10" x14ac:dyDescent="0.3">
      <c r="A50" s="2" t="s">
        <v>140</v>
      </c>
      <c r="B50" s="2" t="s">
        <v>35</v>
      </c>
      <c r="C50" s="2" t="s">
        <v>30</v>
      </c>
      <c r="D50" s="2" t="s">
        <v>31</v>
      </c>
      <c r="E50" s="2">
        <v>19</v>
      </c>
      <c r="F50" s="2">
        <v>10</v>
      </c>
      <c r="G50" s="2" t="s">
        <v>32</v>
      </c>
      <c r="H50" s="2" t="s">
        <v>76</v>
      </c>
      <c r="I50" s="2" t="s">
        <v>141</v>
      </c>
      <c r="J50" s="2">
        <v>93</v>
      </c>
    </row>
    <row r="51" spans="1:10" x14ac:dyDescent="0.3">
      <c r="A51" s="2" t="s">
        <v>142</v>
      </c>
      <c r="B51" s="2" t="s">
        <v>29</v>
      </c>
      <c r="C51" s="2" t="s">
        <v>96</v>
      </c>
      <c r="D51" s="2" t="s">
        <v>31</v>
      </c>
      <c r="E51" s="2">
        <v>16</v>
      </c>
      <c r="F51" s="2">
        <v>12</v>
      </c>
      <c r="G51" s="2" t="s">
        <v>14</v>
      </c>
      <c r="H51" s="2" t="s">
        <v>37</v>
      </c>
      <c r="I51" s="2" t="s">
        <v>143</v>
      </c>
      <c r="J51" s="2">
        <v>85</v>
      </c>
    </row>
    <row r="52" spans="1:10" x14ac:dyDescent="0.3">
      <c r="A52" s="2" t="s">
        <v>144</v>
      </c>
      <c r="B52" s="2" t="s">
        <v>73</v>
      </c>
      <c r="C52" s="2" t="s">
        <v>12</v>
      </c>
      <c r="D52" s="2" t="s">
        <v>31</v>
      </c>
      <c r="E52" s="2">
        <v>20</v>
      </c>
      <c r="F52" s="2">
        <v>10</v>
      </c>
      <c r="G52" s="2" t="s">
        <v>14</v>
      </c>
      <c r="H52" s="2" t="s">
        <v>26</v>
      </c>
      <c r="I52" s="2" t="s">
        <v>145</v>
      </c>
      <c r="J52" s="2">
        <v>71</v>
      </c>
    </row>
    <row r="53" spans="1:10" x14ac:dyDescent="0.3">
      <c r="A53" s="2" t="s">
        <v>146</v>
      </c>
      <c r="B53" s="2" t="s">
        <v>35</v>
      </c>
      <c r="C53" s="2" t="s">
        <v>30</v>
      </c>
      <c r="D53" s="2" t="s">
        <v>31</v>
      </c>
      <c r="E53" s="2">
        <v>20</v>
      </c>
      <c r="F53" s="2">
        <v>9</v>
      </c>
      <c r="G53" s="2" t="s">
        <v>43</v>
      </c>
      <c r="H53" s="2" t="s">
        <v>15</v>
      </c>
      <c r="I53" s="2" t="s">
        <v>147</v>
      </c>
      <c r="J53" s="2">
        <v>40</v>
      </c>
    </row>
    <row r="54" spans="1:10" x14ac:dyDescent="0.3">
      <c r="A54" s="2" t="s">
        <v>148</v>
      </c>
      <c r="B54" s="2" t="s">
        <v>51</v>
      </c>
      <c r="C54" s="2" t="s">
        <v>96</v>
      </c>
      <c r="D54" s="2" t="s">
        <v>13</v>
      </c>
      <c r="E54" s="2">
        <v>19</v>
      </c>
      <c r="F54" s="2">
        <v>11</v>
      </c>
      <c r="G54" s="2" t="s">
        <v>14</v>
      </c>
      <c r="H54" s="2" t="s">
        <v>76</v>
      </c>
      <c r="I54" s="2" t="s">
        <v>149</v>
      </c>
      <c r="J54" s="2">
        <v>83</v>
      </c>
    </row>
    <row r="55" spans="1:10" x14ac:dyDescent="0.3">
      <c r="A55" s="2" t="s">
        <v>150</v>
      </c>
      <c r="B55" s="2" t="s">
        <v>23</v>
      </c>
      <c r="C55" s="2" t="s">
        <v>55</v>
      </c>
      <c r="D55" s="2" t="s">
        <v>31</v>
      </c>
      <c r="E55" s="2">
        <v>17</v>
      </c>
      <c r="F55" s="2">
        <v>9</v>
      </c>
      <c r="G55" s="2" t="s">
        <v>25</v>
      </c>
      <c r="H55" s="2" t="s">
        <v>20</v>
      </c>
      <c r="I55" s="2" t="s">
        <v>151</v>
      </c>
      <c r="J55" s="2">
        <v>55</v>
      </c>
    </row>
    <row r="56" spans="1:10" x14ac:dyDescent="0.3">
      <c r="A56" s="2" t="s">
        <v>152</v>
      </c>
      <c r="B56" s="2" t="s">
        <v>23</v>
      </c>
      <c r="C56" s="2" t="s">
        <v>55</v>
      </c>
      <c r="D56" s="2" t="s">
        <v>13</v>
      </c>
      <c r="E56" s="2">
        <v>17</v>
      </c>
      <c r="F56" s="2">
        <v>12</v>
      </c>
      <c r="G56" s="2" t="s">
        <v>32</v>
      </c>
      <c r="H56" s="2" t="s">
        <v>46</v>
      </c>
      <c r="I56" s="2" t="s">
        <v>153</v>
      </c>
      <c r="J56" s="2">
        <v>39</v>
      </c>
    </row>
    <row r="57" spans="1:10" x14ac:dyDescent="0.3">
      <c r="A57" s="2" t="s">
        <v>154</v>
      </c>
      <c r="B57" s="2" t="s">
        <v>51</v>
      </c>
      <c r="C57" s="2" t="s">
        <v>36</v>
      </c>
      <c r="D57" s="2" t="s">
        <v>31</v>
      </c>
      <c r="E57" s="2">
        <v>18</v>
      </c>
      <c r="F57" s="2">
        <v>12</v>
      </c>
      <c r="G57" s="2" t="s">
        <v>43</v>
      </c>
      <c r="H57" s="2" t="s">
        <v>76</v>
      </c>
      <c r="I57" s="2" t="s">
        <v>155</v>
      </c>
      <c r="J57" s="2">
        <v>77</v>
      </c>
    </row>
    <row r="58" spans="1:10" x14ac:dyDescent="0.3">
      <c r="A58" s="2" t="s">
        <v>156</v>
      </c>
      <c r="B58" s="2" t="s">
        <v>35</v>
      </c>
      <c r="C58" s="2" t="s">
        <v>55</v>
      </c>
      <c r="D58" s="2" t="s">
        <v>13</v>
      </c>
      <c r="E58" s="2">
        <v>19</v>
      </c>
      <c r="F58" s="2">
        <v>11</v>
      </c>
      <c r="G58" s="2" t="s">
        <v>14</v>
      </c>
      <c r="H58" s="2" t="s">
        <v>40</v>
      </c>
      <c r="I58" s="2" t="s">
        <v>157</v>
      </c>
      <c r="J58" s="2">
        <v>63</v>
      </c>
    </row>
    <row r="59" spans="1:10" x14ac:dyDescent="0.3">
      <c r="A59" s="2" t="s">
        <v>158</v>
      </c>
      <c r="B59" s="2" t="s">
        <v>18</v>
      </c>
      <c r="C59" s="2" t="s">
        <v>19</v>
      </c>
      <c r="D59" s="2" t="s">
        <v>13</v>
      </c>
      <c r="E59" s="2">
        <v>16</v>
      </c>
      <c r="F59" s="2">
        <v>12</v>
      </c>
      <c r="G59" s="2" t="s">
        <v>43</v>
      </c>
      <c r="H59" s="2" t="s">
        <v>40</v>
      </c>
      <c r="I59" s="2" t="s">
        <v>159</v>
      </c>
      <c r="J59" s="2">
        <v>36</v>
      </c>
    </row>
    <row r="60" spans="1:10" x14ac:dyDescent="0.3">
      <c r="A60" s="2" t="s">
        <v>160</v>
      </c>
      <c r="B60" s="2" t="s">
        <v>51</v>
      </c>
      <c r="C60" s="2" t="s">
        <v>85</v>
      </c>
      <c r="D60" s="2" t="s">
        <v>31</v>
      </c>
      <c r="E60" s="2">
        <v>17</v>
      </c>
      <c r="F60" s="2">
        <v>11</v>
      </c>
      <c r="G60" s="2" t="s">
        <v>43</v>
      </c>
      <c r="H60" s="2" t="s">
        <v>37</v>
      </c>
      <c r="I60" s="2" t="s">
        <v>161</v>
      </c>
      <c r="J60" s="2">
        <v>99</v>
      </c>
    </row>
    <row r="61" spans="1:10" x14ac:dyDescent="0.3">
      <c r="A61" s="2" t="s">
        <v>162</v>
      </c>
      <c r="B61" s="2" t="s">
        <v>73</v>
      </c>
      <c r="C61" s="2" t="s">
        <v>36</v>
      </c>
      <c r="D61" s="2" t="s">
        <v>31</v>
      </c>
      <c r="E61" s="2">
        <v>20</v>
      </c>
      <c r="F61" s="2">
        <v>9</v>
      </c>
      <c r="G61" s="2" t="s">
        <v>32</v>
      </c>
      <c r="H61" s="2" t="s">
        <v>20</v>
      </c>
      <c r="I61" s="2" t="s">
        <v>163</v>
      </c>
      <c r="J61" s="2">
        <v>49</v>
      </c>
    </row>
    <row r="62" spans="1:10" x14ac:dyDescent="0.3">
      <c r="A62" s="2" t="s">
        <v>164</v>
      </c>
      <c r="B62" s="2" t="s">
        <v>23</v>
      </c>
      <c r="C62" s="2" t="s">
        <v>19</v>
      </c>
      <c r="D62" s="2" t="s">
        <v>31</v>
      </c>
      <c r="E62" s="2">
        <v>17</v>
      </c>
      <c r="F62" s="2">
        <v>9</v>
      </c>
      <c r="G62" s="2" t="s">
        <v>25</v>
      </c>
      <c r="H62" s="2" t="s">
        <v>15</v>
      </c>
      <c r="I62" s="2" t="s">
        <v>165</v>
      </c>
      <c r="J62" s="2">
        <v>64</v>
      </c>
    </row>
    <row r="63" spans="1:10" x14ac:dyDescent="0.3">
      <c r="A63" s="2" t="s">
        <v>166</v>
      </c>
      <c r="B63" s="2" t="s">
        <v>84</v>
      </c>
      <c r="C63" s="2" t="s">
        <v>24</v>
      </c>
      <c r="D63" s="2" t="s">
        <v>13</v>
      </c>
      <c r="E63" s="2">
        <v>14</v>
      </c>
      <c r="F63" s="2">
        <v>10</v>
      </c>
      <c r="G63" s="2" t="s">
        <v>43</v>
      </c>
      <c r="H63" s="2" t="s">
        <v>15</v>
      </c>
      <c r="I63" s="2" t="s">
        <v>167</v>
      </c>
      <c r="J63" s="2">
        <v>45</v>
      </c>
    </row>
    <row r="64" spans="1:10" x14ac:dyDescent="0.3">
      <c r="A64" s="2" t="s">
        <v>168</v>
      </c>
      <c r="B64" s="2" t="s">
        <v>18</v>
      </c>
      <c r="C64" s="2" t="s">
        <v>79</v>
      </c>
      <c r="D64" s="2" t="s">
        <v>13</v>
      </c>
      <c r="E64" s="2">
        <v>17</v>
      </c>
      <c r="F64" s="2">
        <v>12</v>
      </c>
      <c r="G64" s="2" t="s">
        <v>25</v>
      </c>
      <c r="H64" s="2" t="s">
        <v>26</v>
      </c>
      <c r="I64" s="2" t="s">
        <v>137</v>
      </c>
      <c r="J64" s="2">
        <v>82</v>
      </c>
    </row>
    <row r="65" spans="1:10" x14ac:dyDescent="0.3">
      <c r="A65" s="2" t="s">
        <v>169</v>
      </c>
      <c r="B65" s="2" t="s">
        <v>11</v>
      </c>
      <c r="C65" s="2" t="s">
        <v>30</v>
      </c>
      <c r="D65" s="2" t="s">
        <v>31</v>
      </c>
      <c r="E65" s="2">
        <v>18</v>
      </c>
      <c r="F65" s="2">
        <v>9</v>
      </c>
      <c r="G65" s="2" t="s">
        <v>25</v>
      </c>
      <c r="H65" s="2" t="s">
        <v>46</v>
      </c>
      <c r="I65" s="2" t="s">
        <v>170</v>
      </c>
      <c r="J65" s="2">
        <v>60</v>
      </c>
    </row>
    <row r="66" spans="1:10" x14ac:dyDescent="0.3">
      <c r="A66" s="2" t="s">
        <v>171</v>
      </c>
      <c r="B66" s="2" t="s">
        <v>29</v>
      </c>
      <c r="C66" s="2" t="s">
        <v>85</v>
      </c>
      <c r="D66" s="2" t="s">
        <v>13</v>
      </c>
      <c r="E66" s="2">
        <v>14</v>
      </c>
      <c r="F66" s="2">
        <v>10</v>
      </c>
      <c r="G66" s="2" t="s">
        <v>32</v>
      </c>
      <c r="H66" s="2" t="s">
        <v>61</v>
      </c>
      <c r="I66" s="2" t="s">
        <v>172</v>
      </c>
      <c r="J66" s="2">
        <v>51</v>
      </c>
    </row>
    <row r="67" spans="1:10" x14ac:dyDescent="0.3">
      <c r="A67" s="2" t="s">
        <v>173</v>
      </c>
      <c r="B67" s="2" t="s">
        <v>54</v>
      </c>
      <c r="C67" s="2" t="s">
        <v>30</v>
      </c>
      <c r="D67" s="2" t="s">
        <v>31</v>
      </c>
      <c r="E67" s="2">
        <v>18</v>
      </c>
      <c r="F67" s="2">
        <v>9</v>
      </c>
      <c r="G67" s="2" t="s">
        <v>32</v>
      </c>
      <c r="H67" s="2" t="s">
        <v>40</v>
      </c>
      <c r="I67" s="2" t="s">
        <v>174</v>
      </c>
      <c r="J67" s="2">
        <v>54</v>
      </c>
    </row>
    <row r="68" spans="1:10" x14ac:dyDescent="0.3">
      <c r="A68" s="2" t="s">
        <v>175</v>
      </c>
      <c r="B68" s="2" t="s">
        <v>35</v>
      </c>
      <c r="C68" s="2" t="s">
        <v>30</v>
      </c>
      <c r="D68" s="2" t="s">
        <v>31</v>
      </c>
      <c r="E68" s="2">
        <v>20</v>
      </c>
      <c r="F68" s="2">
        <v>9</v>
      </c>
      <c r="G68" s="2" t="s">
        <v>14</v>
      </c>
      <c r="H68" s="2" t="s">
        <v>61</v>
      </c>
      <c r="I68" s="2" t="s">
        <v>176</v>
      </c>
      <c r="J68" s="2">
        <v>76</v>
      </c>
    </row>
    <row r="69" spans="1:10" x14ac:dyDescent="0.3">
      <c r="A69" s="2" t="s">
        <v>177</v>
      </c>
      <c r="B69" s="2" t="s">
        <v>29</v>
      </c>
      <c r="C69" s="2" t="s">
        <v>58</v>
      </c>
      <c r="D69" s="2" t="s">
        <v>31</v>
      </c>
      <c r="E69" s="2">
        <v>19</v>
      </c>
      <c r="F69" s="2">
        <v>12</v>
      </c>
      <c r="G69" s="2" t="s">
        <v>43</v>
      </c>
      <c r="H69" s="2" t="s">
        <v>61</v>
      </c>
      <c r="I69" s="2" t="s">
        <v>178</v>
      </c>
      <c r="J69" s="2">
        <v>99</v>
      </c>
    </row>
    <row r="70" spans="1:10" x14ac:dyDescent="0.3">
      <c r="A70" s="2" t="s">
        <v>179</v>
      </c>
      <c r="B70" s="2" t="s">
        <v>29</v>
      </c>
      <c r="C70" s="2" t="s">
        <v>58</v>
      </c>
      <c r="D70" s="2" t="s">
        <v>31</v>
      </c>
      <c r="E70" s="2">
        <v>16</v>
      </c>
      <c r="F70" s="2">
        <v>11</v>
      </c>
      <c r="G70" s="2" t="s">
        <v>25</v>
      </c>
      <c r="H70" s="2" t="s">
        <v>26</v>
      </c>
      <c r="I70" s="2" t="s">
        <v>180</v>
      </c>
      <c r="J70" s="2">
        <v>75</v>
      </c>
    </row>
    <row r="71" spans="1:10" x14ac:dyDescent="0.3">
      <c r="A71" s="2" t="s">
        <v>181</v>
      </c>
      <c r="B71" s="2" t="s">
        <v>11</v>
      </c>
      <c r="C71" s="2" t="s">
        <v>55</v>
      </c>
      <c r="D71" s="2" t="s">
        <v>31</v>
      </c>
      <c r="E71" s="2">
        <v>18</v>
      </c>
      <c r="F71" s="2">
        <v>10</v>
      </c>
      <c r="G71" s="2" t="s">
        <v>25</v>
      </c>
      <c r="H71" s="2" t="s">
        <v>46</v>
      </c>
      <c r="I71" s="2" t="s">
        <v>182</v>
      </c>
      <c r="J71" s="2">
        <v>98</v>
      </c>
    </row>
    <row r="72" spans="1:10" x14ac:dyDescent="0.3">
      <c r="A72" s="2" t="s">
        <v>183</v>
      </c>
      <c r="B72" s="2" t="s">
        <v>11</v>
      </c>
      <c r="C72" s="2" t="s">
        <v>30</v>
      </c>
      <c r="D72" s="2" t="s">
        <v>31</v>
      </c>
      <c r="E72" s="2">
        <v>17</v>
      </c>
      <c r="F72" s="2">
        <v>12</v>
      </c>
      <c r="G72" s="2" t="s">
        <v>14</v>
      </c>
      <c r="H72" s="2" t="s">
        <v>37</v>
      </c>
      <c r="I72" s="2" t="s">
        <v>184</v>
      </c>
      <c r="J72" s="2">
        <v>49</v>
      </c>
    </row>
    <row r="73" spans="1:10" x14ac:dyDescent="0.3">
      <c r="A73" s="2" t="s">
        <v>185</v>
      </c>
      <c r="B73" s="2" t="s">
        <v>35</v>
      </c>
      <c r="C73" s="2" t="s">
        <v>30</v>
      </c>
      <c r="D73" s="2" t="s">
        <v>31</v>
      </c>
      <c r="E73" s="2">
        <v>14</v>
      </c>
      <c r="F73" s="2">
        <v>12</v>
      </c>
      <c r="G73" s="2" t="s">
        <v>43</v>
      </c>
      <c r="H73" s="2" t="s">
        <v>61</v>
      </c>
      <c r="I73" s="2" t="s">
        <v>186</v>
      </c>
      <c r="J73" s="2">
        <v>45</v>
      </c>
    </row>
    <row r="74" spans="1:10" x14ac:dyDescent="0.3">
      <c r="A74" s="2" t="s">
        <v>187</v>
      </c>
      <c r="B74" s="2" t="s">
        <v>51</v>
      </c>
      <c r="C74" s="2" t="s">
        <v>12</v>
      </c>
      <c r="D74" s="2" t="s">
        <v>31</v>
      </c>
      <c r="E74" s="2">
        <v>17</v>
      </c>
      <c r="F74" s="2">
        <v>10</v>
      </c>
      <c r="G74" s="2" t="s">
        <v>43</v>
      </c>
      <c r="H74" s="2" t="s">
        <v>46</v>
      </c>
      <c r="I74" s="2" t="s">
        <v>101</v>
      </c>
      <c r="J74" s="2">
        <v>66</v>
      </c>
    </row>
    <row r="75" spans="1:10" x14ac:dyDescent="0.3">
      <c r="A75" s="2" t="s">
        <v>188</v>
      </c>
      <c r="B75" s="2" t="s">
        <v>23</v>
      </c>
      <c r="C75" s="2" t="s">
        <v>55</v>
      </c>
      <c r="D75" s="2" t="s">
        <v>31</v>
      </c>
      <c r="E75" s="2">
        <v>15</v>
      </c>
      <c r="F75" s="2">
        <v>9</v>
      </c>
      <c r="G75" s="2" t="s">
        <v>43</v>
      </c>
      <c r="H75" s="2" t="s">
        <v>20</v>
      </c>
      <c r="I75" s="2" t="s">
        <v>189</v>
      </c>
      <c r="J75" s="2">
        <v>88</v>
      </c>
    </row>
    <row r="76" spans="1:10" x14ac:dyDescent="0.3">
      <c r="A76" s="2" t="s">
        <v>190</v>
      </c>
      <c r="B76" s="2" t="s">
        <v>18</v>
      </c>
      <c r="C76" s="2" t="s">
        <v>19</v>
      </c>
      <c r="D76" s="2" t="s">
        <v>31</v>
      </c>
      <c r="E76" s="2">
        <v>14</v>
      </c>
      <c r="F76" s="2">
        <v>12</v>
      </c>
      <c r="G76" s="2" t="s">
        <v>32</v>
      </c>
      <c r="H76" s="2" t="s">
        <v>37</v>
      </c>
      <c r="I76" s="2" t="s">
        <v>191</v>
      </c>
      <c r="J76" s="2">
        <v>63</v>
      </c>
    </row>
    <row r="77" spans="1:10" x14ac:dyDescent="0.3">
      <c r="A77" s="2" t="s">
        <v>192</v>
      </c>
      <c r="B77" s="2" t="s">
        <v>68</v>
      </c>
      <c r="C77" s="2" t="s">
        <v>85</v>
      </c>
      <c r="D77" s="2" t="s">
        <v>13</v>
      </c>
      <c r="E77" s="2">
        <v>19</v>
      </c>
      <c r="F77" s="2">
        <v>11</v>
      </c>
      <c r="G77" s="2" t="s">
        <v>43</v>
      </c>
      <c r="H77" s="2" t="s">
        <v>61</v>
      </c>
      <c r="I77" s="2" t="s">
        <v>193</v>
      </c>
      <c r="J77" s="2">
        <v>78</v>
      </c>
    </row>
    <row r="78" spans="1:10" x14ac:dyDescent="0.3">
      <c r="A78" s="2" t="s">
        <v>194</v>
      </c>
      <c r="B78" s="2" t="s">
        <v>23</v>
      </c>
      <c r="C78" s="2" t="s">
        <v>19</v>
      </c>
      <c r="D78" s="2" t="s">
        <v>31</v>
      </c>
      <c r="E78" s="2">
        <v>20</v>
      </c>
      <c r="F78" s="2">
        <v>9</v>
      </c>
      <c r="G78" s="2" t="s">
        <v>25</v>
      </c>
      <c r="H78" s="2" t="s">
        <v>76</v>
      </c>
      <c r="I78" s="2" t="s">
        <v>195</v>
      </c>
      <c r="J78" s="2">
        <v>76</v>
      </c>
    </row>
    <row r="79" spans="1:10" x14ac:dyDescent="0.3">
      <c r="A79" s="2" t="s">
        <v>196</v>
      </c>
      <c r="B79" s="2" t="s">
        <v>23</v>
      </c>
      <c r="C79" s="2" t="s">
        <v>79</v>
      </c>
      <c r="D79" s="2" t="s">
        <v>13</v>
      </c>
      <c r="E79" s="2">
        <v>18</v>
      </c>
      <c r="F79" s="2">
        <v>12</v>
      </c>
      <c r="G79" s="2" t="s">
        <v>43</v>
      </c>
      <c r="H79" s="2" t="s">
        <v>76</v>
      </c>
      <c r="I79" s="2" t="s">
        <v>197</v>
      </c>
      <c r="J79" s="2">
        <v>67</v>
      </c>
    </row>
    <row r="80" spans="1:10" x14ac:dyDescent="0.3">
      <c r="A80" s="2" t="s">
        <v>198</v>
      </c>
      <c r="B80" s="2" t="s">
        <v>11</v>
      </c>
      <c r="C80" s="2" t="s">
        <v>85</v>
      </c>
      <c r="D80" s="2" t="s">
        <v>31</v>
      </c>
      <c r="E80" s="2">
        <v>14</v>
      </c>
      <c r="F80" s="2">
        <v>10</v>
      </c>
      <c r="G80" s="2" t="s">
        <v>25</v>
      </c>
      <c r="H80" s="2" t="s">
        <v>61</v>
      </c>
      <c r="I80" s="2" t="s">
        <v>199</v>
      </c>
      <c r="J80" s="2">
        <v>97</v>
      </c>
    </row>
    <row r="81" spans="1:10" x14ac:dyDescent="0.3">
      <c r="A81" s="2" t="s">
        <v>200</v>
      </c>
      <c r="B81" s="2" t="s">
        <v>29</v>
      </c>
      <c r="C81" s="2" t="s">
        <v>12</v>
      </c>
      <c r="D81" s="2" t="s">
        <v>13</v>
      </c>
      <c r="E81" s="2">
        <v>18</v>
      </c>
      <c r="F81" s="2">
        <v>12</v>
      </c>
      <c r="G81" s="2" t="s">
        <v>25</v>
      </c>
      <c r="H81" s="2" t="s">
        <v>26</v>
      </c>
      <c r="I81" s="2" t="s">
        <v>201</v>
      </c>
      <c r="J81" s="2">
        <v>89</v>
      </c>
    </row>
    <row r="82" spans="1:10" x14ac:dyDescent="0.3">
      <c r="A82" s="2" t="s">
        <v>202</v>
      </c>
      <c r="B82" s="2" t="s">
        <v>51</v>
      </c>
      <c r="C82" s="2" t="s">
        <v>55</v>
      </c>
      <c r="D82" s="2" t="s">
        <v>31</v>
      </c>
      <c r="E82" s="2">
        <v>15</v>
      </c>
      <c r="F82" s="2">
        <v>9</v>
      </c>
      <c r="G82" s="2" t="s">
        <v>14</v>
      </c>
      <c r="H82" s="2" t="s">
        <v>40</v>
      </c>
      <c r="I82" s="2" t="s">
        <v>111</v>
      </c>
      <c r="J82" s="2">
        <v>70</v>
      </c>
    </row>
    <row r="83" spans="1:10" x14ac:dyDescent="0.3">
      <c r="A83" s="2" t="s">
        <v>203</v>
      </c>
      <c r="B83" s="2" t="s">
        <v>35</v>
      </c>
      <c r="C83" s="2" t="s">
        <v>96</v>
      </c>
      <c r="D83" s="2" t="s">
        <v>13</v>
      </c>
      <c r="E83" s="2">
        <v>17</v>
      </c>
      <c r="F83" s="2">
        <v>12</v>
      </c>
      <c r="G83" s="2" t="s">
        <v>25</v>
      </c>
      <c r="H83" s="2" t="s">
        <v>20</v>
      </c>
      <c r="I83" s="2" t="s">
        <v>204</v>
      </c>
      <c r="J83" s="2">
        <v>90</v>
      </c>
    </row>
    <row r="84" spans="1:10" x14ac:dyDescent="0.3">
      <c r="A84" s="2" t="s">
        <v>205</v>
      </c>
      <c r="B84" s="2" t="s">
        <v>73</v>
      </c>
      <c r="C84" s="2" t="s">
        <v>24</v>
      </c>
      <c r="D84" s="2" t="s">
        <v>13</v>
      </c>
      <c r="E84" s="2">
        <v>17</v>
      </c>
      <c r="F84" s="2">
        <v>9</v>
      </c>
      <c r="G84" s="2" t="s">
        <v>14</v>
      </c>
      <c r="H84" s="2" t="s">
        <v>46</v>
      </c>
      <c r="I84" s="2" t="s">
        <v>206</v>
      </c>
      <c r="J84" s="2">
        <v>59</v>
      </c>
    </row>
    <row r="85" spans="1:10" x14ac:dyDescent="0.3">
      <c r="A85" s="2" t="s">
        <v>207</v>
      </c>
      <c r="B85" s="2" t="s">
        <v>54</v>
      </c>
      <c r="C85" s="2" t="s">
        <v>19</v>
      </c>
      <c r="D85" s="2" t="s">
        <v>31</v>
      </c>
      <c r="E85" s="2">
        <v>19</v>
      </c>
      <c r="F85" s="2">
        <v>9</v>
      </c>
      <c r="G85" s="2" t="s">
        <v>14</v>
      </c>
      <c r="H85" s="2" t="s">
        <v>61</v>
      </c>
      <c r="I85" s="2" t="s">
        <v>208</v>
      </c>
      <c r="J85" s="2">
        <v>76</v>
      </c>
    </row>
    <row r="86" spans="1:10" x14ac:dyDescent="0.3">
      <c r="A86" s="2" t="s">
        <v>209</v>
      </c>
      <c r="B86" s="2" t="s">
        <v>29</v>
      </c>
      <c r="C86" s="2" t="s">
        <v>30</v>
      </c>
      <c r="D86" s="2" t="s">
        <v>31</v>
      </c>
      <c r="E86" s="2">
        <v>18</v>
      </c>
      <c r="F86" s="2">
        <v>11</v>
      </c>
      <c r="G86" s="2" t="s">
        <v>43</v>
      </c>
      <c r="H86" s="2" t="s">
        <v>20</v>
      </c>
      <c r="I86" s="2" t="s">
        <v>210</v>
      </c>
      <c r="J86" s="2">
        <v>78</v>
      </c>
    </row>
    <row r="87" spans="1:10" x14ac:dyDescent="0.3">
      <c r="A87" s="2" t="s">
        <v>211</v>
      </c>
      <c r="B87" s="2" t="s">
        <v>35</v>
      </c>
      <c r="C87" s="2" t="s">
        <v>19</v>
      </c>
      <c r="D87" s="2" t="s">
        <v>31</v>
      </c>
      <c r="E87" s="2">
        <v>16</v>
      </c>
      <c r="F87" s="2">
        <v>9</v>
      </c>
      <c r="G87" s="2" t="s">
        <v>14</v>
      </c>
      <c r="H87" s="2" t="s">
        <v>37</v>
      </c>
      <c r="I87" s="2" t="s">
        <v>212</v>
      </c>
      <c r="J87" s="2">
        <v>57</v>
      </c>
    </row>
    <row r="88" spans="1:10" x14ac:dyDescent="0.3">
      <c r="A88" s="2" t="s">
        <v>213</v>
      </c>
      <c r="B88" s="2" t="s">
        <v>29</v>
      </c>
      <c r="C88" s="2" t="s">
        <v>24</v>
      </c>
      <c r="D88" s="2" t="s">
        <v>31</v>
      </c>
      <c r="E88" s="2">
        <v>17</v>
      </c>
      <c r="F88" s="2">
        <v>11</v>
      </c>
      <c r="G88" s="2" t="s">
        <v>14</v>
      </c>
      <c r="H88" s="2" t="s">
        <v>76</v>
      </c>
      <c r="I88" s="2" t="s">
        <v>214</v>
      </c>
      <c r="J88" s="2">
        <v>74</v>
      </c>
    </row>
    <row r="89" spans="1:10" x14ac:dyDescent="0.3">
      <c r="A89" s="2" t="s">
        <v>215</v>
      </c>
      <c r="B89" s="2" t="s">
        <v>84</v>
      </c>
      <c r="C89" s="2" t="s">
        <v>36</v>
      </c>
      <c r="D89" s="2" t="s">
        <v>31</v>
      </c>
      <c r="E89" s="2">
        <v>19</v>
      </c>
      <c r="F89" s="2">
        <v>12</v>
      </c>
      <c r="G89" s="2" t="s">
        <v>14</v>
      </c>
      <c r="H89" s="2" t="s">
        <v>37</v>
      </c>
      <c r="I89" s="2" t="s">
        <v>216</v>
      </c>
      <c r="J89" s="2">
        <v>84</v>
      </c>
    </row>
    <row r="90" spans="1:10" x14ac:dyDescent="0.3">
      <c r="A90" s="2" t="s">
        <v>217</v>
      </c>
      <c r="B90" s="2" t="s">
        <v>84</v>
      </c>
      <c r="C90" s="2" t="s">
        <v>96</v>
      </c>
      <c r="D90" s="2" t="s">
        <v>31</v>
      </c>
      <c r="E90" s="2">
        <v>17</v>
      </c>
      <c r="F90" s="2">
        <v>10</v>
      </c>
      <c r="G90" s="2" t="s">
        <v>43</v>
      </c>
      <c r="H90" s="2" t="s">
        <v>46</v>
      </c>
      <c r="I90" s="2" t="s">
        <v>218</v>
      </c>
      <c r="J90" s="2">
        <v>46</v>
      </c>
    </row>
    <row r="91" spans="1:10" x14ac:dyDescent="0.3">
      <c r="A91" s="2" t="s">
        <v>219</v>
      </c>
      <c r="B91" s="2" t="s">
        <v>68</v>
      </c>
      <c r="C91" s="2" t="s">
        <v>19</v>
      </c>
      <c r="D91" s="2" t="s">
        <v>13</v>
      </c>
      <c r="E91" s="2">
        <v>19</v>
      </c>
      <c r="F91" s="2">
        <v>9</v>
      </c>
      <c r="G91" s="2" t="s">
        <v>14</v>
      </c>
      <c r="H91" s="2" t="s">
        <v>40</v>
      </c>
      <c r="I91" s="2" t="s">
        <v>220</v>
      </c>
      <c r="J91" s="2">
        <v>63</v>
      </c>
    </row>
    <row r="92" spans="1:10" x14ac:dyDescent="0.3">
      <c r="A92" s="2" t="s">
        <v>221</v>
      </c>
      <c r="B92" s="2" t="s">
        <v>51</v>
      </c>
      <c r="C92" s="2" t="s">
        <v>55</v>
      </c>
      <c r="D92" s="2" t="s">
        <v>13</v>
      </c>
      <c r="E92" s="2">
        <v>14</v>
      </c>
      <c r="F92" s="2">
        <v>10</v>
      </c>
      <c r="G92" s="2" t="s">
        <v>43</v>
      </c>
      <c r="H92" s="2" t="s">
        <v>61</v>
      </c>
      <c r="I92" s="2" t="s">
        <v>222</v>
      </c>
      <c r="J92" s="2">
        <v>72</v>
      </c>
    </row>
    <row r="93" spans="1:10" x14ac:dyDescent="0.3">
      <c r="A93" s="2" t="s">
        <v>223</v>
      </c>
      <c r="B93" s="2" t="s">
        <v>68</v>
      </c>
      <c r="C93" s="2" t="s">
        <v>24</v>
      </c>
      <c r="D93" s="2" t="s">
        <v>13</v>
      </c>
      <c r="E93" s="2">
        <v>18</v>
      </c>
      <c r="F93" s="2">
        <v>11</v>
      </c>
      <c r="G93" s="2" t="s">
        <v>32</v>
      </c>
      <c r="H93" s="2" t="s">
        <v>40</v>
      </c>
      <c r="I93" s="2" t="s">
        <v>224</v>
      </c>
      <c r="J93" s="2">
        <v>87</v>
      </c>
    </row>
    <row r="94" spans="1:10" x14ac:dyDescent="0.3">
      <c r="A94" s="2" t="s">
        <v>225</v>
      </c>
      <c r="B94" s="2" t="s">
        <v>35</v>
      </c>
      <c r="C94" s="2" t="s">
        <v>85</v>
      </c>
      <c r="D94" s="2" t="s">
        <v>13</v>
      </c>
      <c r="E94" s="2">
        <v>20</v>
      </c>
      <c r="F94" s="2">
        <v>9</v>
      </c>
      <c r="G94" s="2" t="s">
        <v>14</v>
      </c>
      <c r="H94" s="2" t="s">
        <v>40</v>
      </c>
      <c r="I94" s="2" t="s">
        <v>226</v>
      </c>
      <c r="J94" s="2">
        <v>55</v>
      </c>
    </row>
    <row r="95" spans="1:10" x14ac:dyDescent="0.3">
      <c r="A95" s="2" t="s">
        <v>227</v>
      </c>
      <c r="B95" s="2" t="s">
        <v>68</v>
      </c>
      <c r="C95" s="2" t="s">
        <v>58</v>
      </c>
      <c r="D95" s="2" t="s">
        <v>13</v>
      </c>
      <c r="E95" s="2">
        <v>17</v>
      </c>
      <c r="F95" s="2">
        <v>12</v>
      </c>
      <c r="G95" s="2" t="s">
        <v>32</v>
      </c>
      <c r="H95" s="2" t="s">
        <v>26</v>
      </c>
      <c r="I95" s="2" t="s">
        <v>228</v>
      </c>
      <c r="J95" s="2">
        <v>37</v>
      </c>
    </row>
    <row r="96" spans="1:10" x14ac:dyDescent="0.3">
      <c r="A96" s="2" t="s">
        <v>229</v>
      </c>
      <c r="B96" s="2" t="s">
        <v>68</v>
      </c>
      <c r="C96" s="2" t="s">
        <v>24</v>
      </c>
      <c r="D96" s="2" t="s">
        <v>13</v>
      </c>
      <c r="E96" s="2">
        <v>17</v>
      </c>
      <c r="F96" s="2">
        <v>11</v>
      </c>
      <c r="G96" s="2" t="s">
        <v>43</v>
      </c>
      <c r="H96" s="2" t="s">
        <v>26</v>
      </c>
      <c r="I96" s="2" t="s">
        <v>230</v>
      </c>
      <c r="J96" s="2">
        <v>53</v>
      </c>
    </row>
    <row r="97" spans="1:10" x14ac:dyDescent="0.3">
      <c r="A97" s="2" t="s">
        <v>231</v>
      </c>
      <c r="B97" s="2" t="s">
        <v>23</v>
      </c>
      <c r="C97" s="2" t="s">
        <v>24</v>
      </c>
      <c r="D97" s="2" t="s">
        <v>31</v>
      </c>
      <c r="E97" s="2">
        <v>18</v>
      </c>
      <c r="F97" s="2">
        <v>9</v>
      </c>
      <c r="G97" s="2" t="s">
        <v>25</v>
      </c>
      <c r="H97" s="2" t="s">
        <v>61</v>
      </c>
      <c r="I97" s="2" t="s">
        <v>232</v>
      </c>
      <c r="J97" s="2">
        <v>88</v>
      </c>
    </row>
    <row r="98" spans="1:10" x14ac:dyDescent="0.3">
      <c r="A98" s="2" t="s">
        <v>233</v>
      </c>
      <c r="B98" s="2" t="s">
        <v>11</v>
      </c>
      <c r="C98" s="2" t="s">
        <v>55</v>
      </c>
      <c r="D98" s="2" t="s">
        <v>13</v>
      </c>
      <c r="E98" s="2">
        <v>14</v>
      </c>
      <c r="F98" s="2">
        <v>9</v>
      </c>
      <c r="G98" s="2" t="s">
        <v>25</v>
      </c>
      <c r="H98" s="2" t="s">
        <v>37</v>
      </c>
      <c r="I98" s="2" t="s">
        <v>234</v>
      </c>
      <c r="J98" s="2">
        <v>66</v>
      </c>
    </row>
    <row r="99" spans="1:10" x14ac:dyDescent="0.3">
      <c r="A99" s="2" t="s">
        <v>235</v>
      </c>
      <c r="B99" s="2" t="s">
        <v>11</v>
      </c>
      <c r="C99" s="2" t="s">
        <v>36</v>
      </c>
      <c r="D99" s="2" t="s">
        <v>31</v>
      </c>
      <c r="E99" s="2">
        <v>14</v>
      </c>
      <c r="F99" s="2">
        <v>12</v>
      </c>
      <c r="G99" s="2" t="s">
        <v>43</v>
      </c>
      <c r="H99" s="2" t="s">
        <v>40</v>
      </c>
      <c r="I99" s="2" t="s">
        <v>236</v>
      </c>
      <c r="J99" s="2">
        <v>65</v>
      </c>
    </row>
    <row r="100" spans="1:10" x14ac:dyDescent="0.3">
      <c r="A100" s="2" t="s">
        <v>237</v>
      </c>
      <c r="B100" s="2" t="s">
        <v>23</v>
      </c>
      <c r="C100" s="2" t="s">
        <v>24</v>
      </c>
      <c r="D100" s="2" t="s">
        <v>31</v>
      </c>
      <c r="E100" s="2">
        <v>16</v>
      </c>
      <c r="F100" s="2">
        <v>10</v>
      </c>
      <c r="G100" s="2" t="s">
        <v>43</v>
      </c>
      <c r="H100" s="2" t="s">
        <v>20</v>
      </c>
      <c r="I100" s="2" t="s">
        <v>238</v>
      </c>
      <c r="J100" s="2">
        <v>71</v>
      </c>
    </row>
    <row r="101" spans="1:10" x14ac:dyDescent="0.3">
      <c r="A101" s="2" t="s">
        <v>239</v>
      </c>
      <c r="B101" s="2" t="s">
        <v>68</v>
      </c>
      <c r="C101" s="2" t="s">
        <v>58</v>
      </c>
      <c r="D101" s="2" t="s">
        <v>13</v>
      </c>
      <c r="E101" s="2">
        <v>18</v>
      </c>
      <c r="F101" s="2">
        <v>11</v>
      </c>
      <c r="G101" s="2" t="s">
        <v>25</v>
      </c>
      <c r="H101" s="2" t="s">
        <v>15</v>
      </c>
      <c r="I101" s="2" t="s">
        <v>240</v>
      </c>
      <c r="J101" s="2">
        <v>48</v>
      </c>
    </row>
    <row r="102" spans="1:10" x14ac:dyDescent="0.3">
      <c r="A102" s="2" t="s">
        <v>241</v>
      </c>
      <c r="B102" s="2" t="s">
        <v>54</v>
      </c>
      <c r="C102" s="2" t="s">
        <v>85</v>
      </c>
      <c r="D102" s="2" t="s">
        <v>31</v>
      </c>
      <c r="E102" s="2">
        <v>15</v>
      </c>
      <c r="F102" s="2">
        <v>12</v>
      </c>
      <c r="G102" s="2" t="s">
        <v>14</v>
      </c>
      <c r="H102" s="2" t="s">
        <v>40</v>
      </c>
      <c r="I102" s="2" t="s">
        <v>242</v>
      </c>
      <c r="J102" s="2">
        <v>100</v>
      </c>
    </row>
    <row r="103" spans="1:10" x14ac:dyDescent="0.3">
      <c r="A103" s="2" t="s">
        <v>243</v>
      </c>
      <c r="B103" s="2" t="s">
        <v>23</v>
      </c>
      <c r="C103" s="2" t="s">
        <v>96</v>
      </c>
      <c r="D103" s="2" t="s">
        <v>31</v>
      </c>
      <c r="E103" s="2">
        <v>15</v>
      </c>
      <c r="F103" s="2">
        <v>11</v>
      </c>
      <c r="G103" s="2" t="s">
        <v>25</v>
      </c>
      <c r="H103" s="2" t="s">
        <v>61</v>
      </c>
      <c r="I103" s="2" t="s">
        <v>244</v>
      </c>
      <c r="J103" s="2">
        <v>72</v>
      </c>
    </row>
    <row r="104" spans="1:10" x14ac:dyDescent="0.3">
      <c r="A104" s="2" t="s">
        <v>245</v>
      </c>
      <c r="B104" s="2" t="s">
        <v>54</v>
      </c>
      <c r="C104" s="2" t="s">
        <v>19</v>
      </c>
      <c r="D104" s="2" t="s">
        <v>31</v>
      </c>
      <c r="E104" s="2">
        <v>18</v>
      </c>
      <c r="F104" s="2">
        <v>12</v>
      </c>
      <c r="G104" s="2" t="s">
        <v>32</v>
      </c>
      <c r="H104" s="2" t="s">
        <v>26</v>
      </c>
      <c r="I104" s="2" t="s">
        <v>246</v>
      </c>
      <c r="J104" s="2">
        <v>74</v>
      </c>
    </row>
    <row r="105" spans="1:10" x14ac:dyDescent="0.3">
      <c r="A105" s="2" t="s">
        <v>247</v>
      </c>
      <c r="B105" s="2" t="s">
        <v>29</v>
      </c>
      <c r="C105" s="2" t="s">
        <v>58</v>
      </c>
      <c r="D105" s="2" t="s">
        <v>31</v>
      </c>
      <c r="E105" s="2">
        <v>14</v>
      </c>
      <c r="F105" s="2">
        <v>12</v>
      </c>
      <c r="G105" s="2" t="s">
        <v>14</v>
      </c>
      <c r="H105" s="2" t="s">
        <v>40</v>
      </c>
      <c r="I105" s="2" t="s">
        <v>248</v>
      </c>
      <c r="J105" s="2">
        <v>66</v>
      </c>
    </row>
    <row r="106" spans="1:10" x14ac:dyDescent="0.3">
      <c r="A106" s="2" t="s">
        <v>249</v>
      </c>
      <c r="B106" s="2" t="s">
        <v>68</v>
      </c>
      <c r="C106" s="2" t="s">
        <v>30</v>
      </c>
      <c r="D106" s="2" t="s">
        <v>31</v>
      </c>
      <c r="E106" s="2">
        <v>16</v>
      </c>
      <c r="F106" s="2">
        <v>11</v>
      </c>
      <c r="G106" s="2" t="s">
        <v>32</v>
      </c>
      <c r="H106" s="2" t="s">
        <v>20</v>
      </c>
      <c r="I106" s="2" t="s">
        <v>250</v>
      </c>
      <c r="J106" s="2">
        <v>90</v>
      </c>
    </row>
    <row r="107" spans="1:10" x14ac:dyDescent="0.3">
      <c r="A107" s="2" t="s">
        <v>251</v>
      </c>
      <c r="B107" s="2" t="s">
        <v>23</v>
      </c>
      <c r="C107" s="2" t="s">
        <v>24</v>
      </c>
      <c r="D107" s="2" t="s">
        <v>13</v>
      </c>
      <c r="E107" s="2">
        <v>16</v>
      </c>
      <c r="F107" s="2">
        <v>12</v>
      </c>
      <c r="G107" s="2" t="s">
        <v>43</v>
      </c>
      <c r="H107" s="2" t="s">
        <v>40</v>
      </c>
      <c r="I107" s="2" t="s">
        <v>252</v>
      </c>
      <c r="J107" s="2">
        <v>50</v>
      </c>
    </row>
    <row r="108" spans="1:10" x14ac:dyDescent="0.3">
      <c r="A108" s="2" t="s">
        <v>253</v>
      </c>
      <c r="B108" s="2" t="s">
        <v>18</v>
      </c>
      <c r="C108" s="2" t="s">
        <v>24</v>
      </c>
      <c r="D108" s="2" t="s">
        <v>13</v>
      </c>
      <c r="E108" s="2">
        <v>15</v>
      </c>
      <c r="F108" s="2">
        <v>9</v>
      </c>
      <c r="G108" s="2" t="s">
        <v>25</v>
      </c>
      <c r="H108" s="2" t="s">
        <v>20</v>
      </c>
      <c r="I108" s="2" t="s">
        <v>254</v>
      </c>
      <c r="J108" s="2">
        <v>36</v>
      </c>
    </row>
    <row r="109" spans="1:10" x14ac:dyDescent="0.3">
      <c r="A109" s="2" t="s">
        <v>255</v>
      </c>
      <c r="B109" s="2" t="s">
        <v>51</v>
      </c>
      <c r="C109" s="2" t="s">
        <v>79</v>
      </c>
      <c r="D109" s="2" t="s">
        <v>31</v>
      </c>
      <c r="E109" s="2">
        <v>20</v>
      </c>
      <c r="F109" s="2">
        <v>12</v>
      </c>
      <c r="G109" s="2" t="s">
        <v>43</v>
      </c>
      <c r="H109" s="2" t="s">
        <v>40</v>
      </c>
      <c r="I109" s="2" t="s">
        <v>256</v>
      </c>
      <c r="J109" s="2">
        <v>48</v>
      </c>
    </row>
    <row r="110" spans="1:10" x14ac:dyDescent="0.3">
      <c r="A110" s="2" t="s">
        <v>257</v>
      </c>
      <c r="B110" s="2" t="s">
        <v>68</v>
      </c>
      <c r="C110" s="2" t="s">
        <v>79</v>
      </c>
      <c r="D110" s="2" t="s">
        <v>31</v>
      </c>
      <c r="E110" s="2">
        <v>20</v>
      </c>
      <c r="F110" s="2">
        <v>11</v>
      </c>
      <c r="G110" s="2" t="s">
        <v>43</v>
      </c>
      <c r="H110" s="2" t="s">
        <v>46</v>
      </c>
      <c r="I110" s="2" t="s">
        <v>258</v>
      </c>
      <c r="J110" s="2">
        <v>52</v>
      </c>
    </row>
    <row r="111" spans="1:10" x14ac:dyDescent="0.3">
      <c r="A111" s="2" t="s">
        <v>259</v>
      </c>
      <c r="B111" s="2" t="s">
        <v>54</v>
      </c>
      <c r="C111" s="2" t="s">
        <v>85</v>
      </c>
      <c r="D111" s="2" t="s">
        <v>13</v>
      </c>
      <c r="E111" s="2">
        <v>14</v>
      </c>
      <c r="F111" s="2">
        <v>11</v>
      </c>
      <c r="G111" s="2" t="s">
        <v>43</v>
      </c>
      <c r="H111" s="2" t="s">
        <v>46</v>
      </c>
      <c r="I111" s="2" t="s">
        <v>260</v>
      </c>
      <c r="J111" s="2">
        <v>62</v>
      </c>
    </row>
    <row r="112" spans="1:10" x14ac:dyDescent="0.3">
      <c r="A112" s="2" t="s">
        <v>261</v>
      </c>
      <c r="B112" s="2" t="s">
        <v>23</v>
      </c>
      <c r="C112" s="2" t="s">
        <v>36</v>
      </c>
      <c r="D112" s="2" t="s">
        <v>13</v>
      </c>
      <c r="E112" s="2">
        <v>15</v>
      </c>
      <c r="F112" s="2">
        <v>11</v>
      </c>
      <c r="G112" s="2" t="s">
        <v>25</v>
      </c>
      <c r="H112" s="2" t="s">
        <v>26</v>
      </c>
      <c r="I112" s="2" t="s">
        <v>262</v>
      </c>
      <c r="J112" s="2">
        <v>63</v>
      </c>
    </row>
    <row r="113" spans="1:10" x14ac:dyDescent="0.3">
      <c r="A113" s="2" t="s">
        <v>263</v>
      </c>
      <c r="B113" s="2" t="s">
        <v>29</v>
      </c>
      <c r="C113" s="2" t="s">
        <v>19</v>
      </c>
      <c r="D113" s="2" t="s">
        <v>13</v>
      </c>
      <c r="E113" s="2">
        <v>15</v>
      </c>
      <c r="F113" s="2">
        <v>11</v>
      </c>
      <c r="G113" s="2" t="s">
        <v>25</v>
      </c>
      <c r="H113" s="2" t="s">
        <v>46</v>
      </c>
      <c r="I113" s="2" t="s">
        <v>264</v>
      </c>
      <c r="J113" s="2">
        <v>58</v>
      </c>
    </row>
    <row r="114" spans="1:10" x14ac:dyDescent="0.3">
      <c r="A114" s="2" t="s">
        <v>265</v>
      </c>
      <c r="B114" s="2" t="s">
        <v>11</v>
      </c>
      <c r="C114" s="2" t="s">
        <v>85</v>
      </c>
      <c r="D114" s="2" t="s">
        <v>31</v>
      </c>
      <c r="E114" s="2">
        <v>14</v>
      </c>
      <c r="F114" s="2">
        <v>9</v>
      </c>
      <c r="G114" s="2" t="s">
        <v>43</v>
      </c>
      <c r="H114" s="2" t="s">
        <v>61</v>
      </c>
      <c r="I114" s="2" t="s">
        <v>56</v>
      </c>
      <c r="J114" s="2">
        <v>41</v>
      </c>
    </row>
    <row r="115" spans="1:10" x14ac:dyDescent="0.3">
      <c r="A115" s="2" t="s">
        <v>266</v>
      </c>
      <c r="B115" s="2" t="s">
        <v>54</v>
      </c>
      <c r="C115" s="2" t="s">
        <v>58</v>
      </c>
      <c r="D115" s="2" t="s">
        <v>13</v>
      </c>
      <c r="E115" s="2">
        <v>19</v>
      </c>
      <c r="F115" s="2">
        <v>11</v>
      </c>
      <c r="G115" s="2" t="s">
        <v>14</v>
      </c>
      <c r="H115" s="2" t="s">
        <v>40</v>
      </c>
      <c r="I115" s="2" t="s">
        <v>267</v>
      </c>
      <c r="J115" s="2">
        <v>41</v>
      </c>
    </row>
    <row r="116" spans="1:10" x14ac:dyDescent="0.3">
      <c r="A116" s="2" t="s">
        <v>268</v>
      </c>
      <c r="B116" s="2" t="s">
        <v>68</v>
      </c>
      <c r="C116" s="2" t="s">
        <v>24</v>
      </c>
      <c r="D116" s="2" t="s">
        <v>31</v>
      </c>
      <c r="E116" s="2">
        <v>16</v>
      </c>
      <c r="F116" s="2">
        <v>12</v>
      </c>
      <c r="G116" s="2" t="s">
        <v>43</v>
      </c>
      <c r="H116" s="2" t="s">
        <v>26</v>
      </c>
      <c r="I116" s="2" t="s">
        <v>269</v>
      </c>
      <c r="J116" s="2">
        <v>47</v>
      </c>
    </row>
    <row r="117" spans="1:10" x14ac:dyDescent="0.3">
      <c r="A117" s="2" t="s">
        <v>270</v>
      </c>
      <c r="B117" s="2" t="s">
        <v>73</v>
      </c>
      <c r="C117" s="2" t="s">
        <v>30</v>
      </c>
      <c r="D117" s="2" t="s">
        <v>31</v>
      </c>
      <c r="E117" s="2">
        <v>15</v>
      </c>
      <c r="F117" s="2">
        <v>9</v>
      </c>
      <c r="G117" s="2" t="s">
        <v>43</v>
      </c>
      <c r="H117" s="2" t="s">
        <v>26</v>
      </c>
      <c r="I117" s="2" t="s">
        <v>271</v>
      </c>
      <c r="J117" s="2">
        <v>76</v>
      </c>
    </row>
    <row r="118" spans="1:10" x14ac:dyDescent="0.3">
      <c r="A118" s="2" t="s">
        <v>272</v>
      </c>
      <c r="B118" s="2" t="s">
        <v>54</v>
      </c>
      <c r="C118" s="2" t="s">
        <v>24</v>
      </c>
      <c r="D118" s="2" t="s">
        <v>13</v>
      </c>
      <c r="E118" s="2">
        <v>15</v>
      </c>
      <c r="F118" s="2">
        <v>9</v>
      </c>
      <c r="G118" s="2" t="s">
        <v>43</v>
      </c>
      <c r="H118" s="2" t="s">
        <v>20</v>
      </c>
      <c r="I118" s="2" t="s">
        <v>273</v>
      </c>
      <c r="J118" s="2">
        <v>50</v>
      </c>
    </row>
    <row r="119" spans="1:10" x14ac:dyDescent="0.3">
      <c r="A119" s="2" t="s">
        <v>274</v>
      </c>
      <c r="B119" s="2" t="s">
        <v>35</v>
      </c>
      <c r="C119" s="2" t="s">
        <v>36</v>
      </c>
      <c r="D119" s="2" t="s">
        <v>13</v>
      </c>
      <c r="E119" s="2">
        <v>19</v>
      </c>
      <c r="F119" s="2">
        <v>9</v>
      </c>
      <c r="G119" s="2" t="s">
        <v>32</v>
      </c>
      <c r="H119" s="2" t="s">
        <v>61</v>
      </c>
      <c r="I119" s="2" t="s">
        <v>275</v>
      </c>
      <c r="J119" s="2">
        <v>63</v>
      </c>
    </row>
    <row r="120" spans="1:10" x14ac:dyDescent="0.3">
      <c r="A120" s="2" t="s">
        <v>276</v>
      </c>
      <c r="B120" s="2" t="s">
        <v>84</v>
      </c>
      <c r="C120" s="2" t="s">
        <v>30</v>
      </c>
      <c r="D120" s="2" t="s">
        <v>31</v>
      </c>
      <c r="E120" s="2">
        <v>14</v>
      </c>
      <c r="F120" s="2">
        <v>12</v>
      </c>
      <c r="G120" s="2" t="s">
        <v>14</v>
      </c>
      <c r="H120" s="2" t="s">
        <v>26</v>
      </c>
      <c r="I120" s="2" t="s">
        <v>277</v>
      </c>
      <c r="J120" s="2">
        <v>62</v>
      </c>
    </row>
    <row r="121" spans="1:10" x14ac:dyDescent="0.3">
      <c r="A121" s="2" t="s">
        <v>278</v>
      </c>
      <c r="B121" s="2" t="s">
        <v>73</v>
      </c>
      <c r="C121" s="2" t="s">
        <v>36</v>
      </c>
      <c r="D121" s="2" t="s">
        <v>13</v>
      </c>
      <c r="E121" s="2">
        <v>14</v>
      </c>
      <c r="F121" s="2">
        <v>11</v>
      </c>
      <c r="G121" s="2" t="s">
        <v>32</v>
      </c>
      <c r="H121" s="2" t="s">
        <v>37</v>
      </c>
      <c r="I121" s="2" t="s">
        <v>279</v>
      </c>
      <c r="J121" s="2">
        <v>51</v>
      </c>
    </row>
    <row r="122" spans="1:10" x14ac:dyDescent="0.3">
      <c r="A122" s="2" t="s">
        <v>280</v>
      </c>
      <c r="B122" s="2" t="s">
        <v>84</v>
      </c>
      <c r="C122" s="2" t="s">
        <v>58</v>
      </c>
      <c r="D122" s="2" t="s">
        <v>13</v>
      </c>
      <c r="E122" s="2">
        <v>18</v>
      </c>
      <c r="F122" s="2">
        <v>12</v>
      </c>
      <c r="G122" s="2" t="s">
        <v>32</v>
      </c>
      <c r="H122" s="2" t="s">
        <v>76</v>
      </c>
      <c r="I122" s="2" t="s">
        <v>159</v>
      </c>
      <c r="J122" s="2">
        <v>98</v>
      </c>
    </row>
    <row r="123" spans="1:10" x14ac:dyDescent="0.3">
      <c r="A123" s="2" t="s">
        <v>281</v>
      </c>
      <c r="B123" s="2" t="s">
        <v>51</v>
      </c>
      <c r="C123" s="2" t="s">
        <v>36</v>
      </c>
      <c r="D123" s="2" t="s">
        <v>31</v>
      </c>
      <c r="E123" s="2">
        <v>15</v>
      </c>
      <c r="F123" s="2">
        <v>11</v>
      </c>
      <c r="G123" s="2" t="s">
        <v>43</v>
      </c>
      <c r="H123" s="2" t="s">
        <v>37</v>
      </c>
      <c r="I123" s="2" t="s">
        <v>282</v>
      </c>
      <c r="J123" s="2">
        <v>66</v>
      </c>
    </row>
    <row r="124" spans="1:10" x14ac:dyDescent="0.3">
      <c r="A124" s="2" t="s">
        <v>283</v>
      </c>
      <c r="B124" s="2" t="s">
        <v>68</v>
      </c>
      <c r="C124" s="2" t="s">
        <v>79</v>
      </c>
      <c r="D124" s="2" t="s">
        <v>31</v>
      </c>
      <c r="E124" s="2">
        <v>16</v>
      </c>
      <c r="F124" s="2">
        <v>11</v>
      </c>
      <c r="G124" s="2" t="s">
        <v>32</v>
      </c>
      <c r="H124" s="2" t="s">
        <v>40</v>
      </c>
      <c r="I124" s="2" t="s">
        <v>284</v>
      </c>
      <c r="J124" s="2">
        <v>95</v>
      </c>
    </row>
    <row r="125" spans="1:10" x14ac:dyDescent="0.3">
      <c r="A125" s="2" t="s">
        <v>285</v>
      </c>
      <c r="B125" s="2" t="s">
        <v>18</v>
      </c>
      <c r="C125" s="2" t="s">
        <v>36</v>
      </c>
      <c r="D125" s="2" t="s">
        <v>31</v>
      </c>
      <c r="E125" s="2">
        <v>14</v>
      </c>
      <c r="F125" s="2">
        <v>11</v>
      </c>
      <c r="G125" s="2" t="s">
        <v>25</v>
      </c>
      <c r="H125" s="2" t="s">
        <v>46</v>
      </c>
      <c r="I125" s="2" t="s">
        <v>286</v>
      </c>
      <c r="J125" s="2">
        <v>64</v>
      </c>
    </row>
    <row r="126" spans="1:10" x14ac:dyDescent="0.3">
      <c r="A126" s="2" t="s">
        <v>287</v>
      </c>
      <c r="B126" s="2" t="s">
        <v>54</v>
      </c>
      <c r="C126" s="2" t="s">
        <v>24</v>
      </c>
      <c r="D126" s="2" t="s">
        <v>31</v>
      </c>
      <c r="E126" s="2">
        <v>14</v>
      </c>
      <c r="F126" s="2">
        <v>12</v>
      </c>
      <c r="G126" s="2" t="s">
        <v>32</v>
      </c>
      <c r="H126" s="2" t="s">
        <v>76</v>
      </c>
      <c r="I126" s="2" t="s">
        <v>288</v>
      </c>
      <c r="J126" s="2">
        <v>48</v>
      </c>
    </row>
    <row r="127" spans="1:10" x14ac:dyDescent="0.3">
      <c r="A127" s="2" t="s">
        <v>289</v>
      </c>
      <c r="B127" s="2" t="s">
        <v>23</v>
      </c>
      <c r="C127" s="2" t="s">
        <v>79</v>
      </c>
      <c r="D127" s="2" t="s">
        <v>31</v>
      </c>
      <c r="E127" s="2">
        <v>17</v>
      </c>
      <c r="F127" s="2">
        <v>9</v>
      </c>
      <c r="G127" s="2" t="s">
        <v>25</v>
      </c>
      <c r="H127" s="2" t="s">
        <v>37</v>
      </c>
      <c r="I127" s="2" t="s">
        <v>290</v>
      </c>
      <c r="J127" s="2">
        <v>62</v>
      </c>
    </row>
    <row r="128" spans="1:10" x14ac:dyDescent="0.3">
      <c r="A128" s="2" t="s">
        <v>291</v>
      </c>
      <c r="B128" s="2" t="s">
        <v>11</v>
      </c>
      <c r="C128" s="2" t="s">
        <v>30</v>
      </c>
      <c r="D128" s="2" t="s">
        <v>31</v>
      </c>
      <c r="E128" s="2">
        <v>16</v>
      </c>
      <c r="F128" s="2">
        <v>9</v>
      </c>
      <c r="G128" s="2" t="s">
        <v>25</v>
      </c>
      <c r="H128" s="2" t="s">
        <v>61</v>
      </c>
      <c r="I128" s="2" t="s">
        <v>292</v>
      </c>
      <c r="J128" s="2">
        <v>97</v>
      </c>
    </row>
    <row r="129" spans="1:10" x14ac:dyDescent="0.3">
      <c r="A129" s="2" t="s">
        <v>293</v>
      </c>
      <c r="B129" s="2" t="s">
        <v>73</v>
      </c>
      <c r="C129" s="2" t="s">
        <v>96</v>
      </c>
      <c r="D129" s="2" t="s">
        <v>31</v>
      </c>
      <c r="E129" s="2">
        <v>20</v>
      </c>
      <c r="F129" s="2">
        <v>9</v>
      </c>
      <c r="G129" s="2" t="s">
        <v>43</v>
      </c>
      <c r="H129" s="2" t="s">
        <v>26</v>
      </c>
      <c r="I129" s="2" t="s">
        <v>74</v>
      </c>
      <c r="J129" s="2">
        <v>100</v>
      </c>
    </row>
    <row r="130" spans="1:10" x14ac:dyDescent="0.3">
      <c r="A130" s="2" t="s">
        <v>294</v>
      </c>
      <c r="B130" s="2" t="s">
        <v>35</v>
      </c>
      <c r="C130" s="2" t="s">
        <v>55</v>
      </c>
      <c r="D130" s="2" t="s">
        <v>13</v>
      </c>
      <c r="E130" s="2">
        <v>20</v>
      </c>
      <c r="F130" s="2">
        <v>9</v>
      </c>
      <c r="G130" s="2" t="s">
        <v>25</v>
      </c>
      <c r="H130" s="2" t="s">
        <v>46</v>
      </c>
      <c r="I130" s="2" t="s">
        <v>295</v>
      </c>
      <c r="J130" s="2">
        <v>99</v>
      </c>
    </row>
    <row r="131" spans="1:10" x14ac:dyDescent="0.3">
      <c r="A131" s="2" t="s">
        <v>296</v>
      </c>
      <c r="B131" s="2" t="s">
        <v>84</v>
      </c>
      <c r="C131" s="2" t="s">
        <v>19</v>
      </c>
      <c r="D131" s="2" t="s">
        <v>31</v>
      </c>
      <c r="E131" s="2">
        <v>20</v>
      </c>
      <c r="F131" s="2">
        <v>10</v>
      </c>
      <c r="G131" s="2" t="s">
        <v>43</v>
      </c>
      <c r="H131" s="2" t="s">
        <v>20</v>
      </c>
      <c r="I131" s="2" t="s">
        <v>297</v>
      </c>
      <c r="J131" s="2">
        <v>100</v>
      </c>
    </row>
    <row r="132" spans="1:10" x14ac:dyDescent="0.3">
      <c r="A132" s="2" t="s">
        <v>298</v>
      </c>
      <c r="B132" s="2" t="s">
        <v>29</v>
      </c>
      <c r="C132" s="2" t="s">
        <v>96</v>
      </c>
      <c r="D132" s="2" t="s">
        <v>31</v>
      </c>
      <c r="E132" s="2">
        <v>20</v>
      </c>
      <c r="F132" s="2">
        <v>10</v>
      </c>
      <c r="G132" s="2" t="s">
        <v>32</v>
      </c>
      <c r="H132" s="2" t="s">
        <v>26</v>
      </c>
      <c r="I132" s="2" t="s">
        <v>299</v>
      </c>
      <c r="J132" s="2">
        <v>56</v>
      </c>
    </row>
    <row r="133" spans="1:10" x14ac:dyDescent="0.3">
      <c r="A133" s="2" t="s">
        <v>300</v>
      </c>
      <c r="B133" s="2" t="s">
        <v>11</v>
      </c>
      <c r="C133" s="2" t="s">
        <v>79</v>
      </c>
      <c r="D133" s="2" t="s">
        <v>31</v>
      </c>
      <c r="E133" s="2">
        <v>18</v>
      </c>
      <c r="F133" s="2">
        <v>9</v>
      </c>
      <c r="G133" s="2" t="s">
        <v>14</v>
      </c>
      <c r="H133" s="2" t="s">
        <v>20</v>
      </c>
      <c r="I133" s="2" t="s">
        <v>301</v>
      </c>
      <c r="J133" s="2">
        <v>66</v>
      </c>
    </row>
    <row r="134" spans="1:10" x14ac:dyDescent="0.3">
      <c r="A134" s="2" t="s">
        <v>302</v>
      </c>
      <c r="B134" s="2" t="s">
        <v>29</v>
      </c>
      <c r="C134" s="2" t="s">
        <v>79</v>
      </c>
      <c r="D134" s="2" t="s">
        <v>13</v>
      </c>
      <c r="E134" s="2">
        <v>14</v>
      </c>
      <c r="F134" s="2">
        <v>12</v>
      </c>
      <c r="G134" s="2" t="s">
        <v>14</v>
      </c>
      <c r="H134" s="2" t="s">
        <v>20</v>
      </c>
      <c r="I134" s="2" t="s">
        <v>303</v>
      </c>
      <c r="J134" s="2">
        <v>66</v>
      </c>
    </row>
    <row r="135" spans="1:10" x14ac:dyDescent="0.3">
      <c r="A135" s="2" t="s">
        <v>304</v>
      </c>
      <c r="B135" s="2" t="s">
        <v>51</v>
      </c>
      <c r="C135" s="2" t="s">
        <v>36</v>
      </c>
      <c r="D135" s="2" t="s">
        <v>31</v>
      </c>
      <c r="E135" s="2">
        <v>15</v>
      </c>
      <c r="F135" s="2">
        <v>12</v>
      </c>
      <c r="G135" s="2" t="s">
        <v>32</v>
      </c>
      <c r="H135" s="2" t="s">
        <v>46</v>
      </c>
      <c r="I135" s="2" t="s">
        <v>305</v>
      </c>
      <c r="J135" s="2">
        <v>77</v>
      </c>
    </row>
    <row r="136" spans="1:10" x14ac:dyDescent="0.3">
      <c r="A136" s="2" t="s">
        <v>306</v>
      </c>
      <c r="B136" s="2" t="s">
        <v>23</v>
      </c>
      <c r="C136" s="2" t="s">
        <v>19</v>
      </c>
      <c r="D136" s="2" t="s">
        <v>31</v>
      </c>
      <c r="E136" s="2">
        <v>16</v>
      </c>
      <c r="F136" s="2">
        <v>10</v>
      </c>
      <c r="G136" s="2" t="s">
        <v>43</v>
      </c>
      <c r="H136" s="2" t="s">
        <v>61</v>
      </c>
      <c r="I136" s="2" t="s">
        <v>307</v>
      </c>
      <c r="J136" s="2">
        <v>47</v>
      </c>
    </row>
    <row r="137" spans="1:10" x14ac:dyDescent="0.3">
      <c r="A137" s="2" t="s">
        <v>308</v>
      </c>
      <c r="B137" s="2" t="s">
        <v>23</v>
      </c>
      <c r="C137" s="2" t="s">
        <v>36</v>
      </c>
      <c r="D137" s="2" t="s">
        <v>13</v>
      </c>
      <c r="E137" s="2">
        <v>18</v>
      </c>
      <c r="F137" s="2">
        <v>10</v>
      </c>
      <c r="G137" s="2" t="s">
        <v>43</v>
      </c>
      <c r="H137" s="2" t="s">
        <v>40</v>
      </c>
      <c r="I137" s="2" t="s">
        <v>309</v>
      </c>
      <c r="J137" s="2">
        <v>57</v>
      </c>
    </row>
    <row r="138" spans="1:10" x14ac:dyDescent="0.3">
      <c r="A138" s="2" t="s">
        <v>310</v>
      </c>
      <c r="B138" s="2" t="s">
        <v>29</v>
      </c>
      <c r="C138" s="2" t="s">
        <v>96</v>
      </c>
      <c r="D138" s="2" t="s">
        <v>31</v>
      </c>
      <c r="E138" s="2">
        <v>16</v>
      </c>
      <c r="F138" s="2">
        <v>9</v>
      </c>
      <c r="G138" s="2" t="s">
        <v>32</v>
      </c>
      <c r="H138" s="2" t="s">
        <v>46</v>
      </c>
      <c r="I138" s="2" t="s">
        <v>311</v>
      </c>
      <c r="J138" s="2">
        <v>67</v>
      </c>
    </row>
    <row r="139" spans="1:10" x14ac:dyDescent="0.3">
      <c r="A139" s="2" t="s">
        <v>312</v>
      </c>
      <c r="B139" s="2" t="s">
        <v>29</v>
      </c>
      <c r="C139" s="2" t="s">
        <v>12</v>
      </c>
      <c r="D139" s="2" t="s">
        <v>31</v>
      </c>
      <c r="E139" s="2">
        <v>14</v>
      </c>
      <c r="F139" s="2">
        <v>12</v>
      </c>
      <c r="G139" s="2" t="s">
        <v>43</v>
      </c>
      <c r="H139" s="2" t="s">
        <v>61</v>
      </c>
      <c r="I139" s="2" t="s">
        <v>313</v>
      </c>
      <c r="J139" s="2">
        <v>44</v>
      </c>
    </row>
    <row r="140" spans="1:10" x14ac:dyDescent="0.3">
      <c r="A140" s="2" t="s">
        <v>314</v>
      </c>
      <c r="B140" s="2" t="s">
        <v>68</v>
      </c>
      <c r="C140" s="2" t="s">
        <v>79</v>
      </c>
      <c r="D140" s="2" t="s">
        <v>13</v>
      </c>
      <c r="E140" s="2">
        <v>15</v>
      </c>
      <c r="F140" s="2">
        <v>11</v>
      </c>
      <c r="G140" s="2" t="s">
        <v>14</v>
      </c>
      <c r="H140" s="2" t="s">
        <v>46</v>
      </c>
      <c r="I140" s="2" t="s">
        <v>315</v>
      </c>
      <c r="J140" s="2">
        <v>35</v>
      </c>
    </row>
    <row r="141" spans="1:10" x14ac:dyDescent="0.3">
      <c r="A141" s="2" t="s">
        <v>316</v>
      </c>
      <c r="B141" s="2" t="s">
        <v>23</v>
      </c>
      <c r="C141" s="2" t="s">
        <v>36</v>
      </c>
      <c r="D141" s="2" t="s">
        <v>31</v>
      </c>
      <c r="E141" s="2">
        <v>20</v>
      </c>
      <c r="F141" s="2">
        <v>11</v>
      </c>
      <c r="G141" s="2" t="s">
        <v>14</v>
      </c>
      <c r="H141" s="2" t="s">
        <v>37</v>
      </c>
      <c r="I141" s="2" t="s">
        <v>317</v>
      </c>
      <c r="J141" s="2">
        <v>52</v>
      </c>
    </row>
    <row r="142" spans="1:10" x14ac:dyDescent="0.3">
      <c r="A142" s="2" t="s">
        <v>318</v>
      </c>
      <c r="B142" s="2" t="s">
        <v>54</v>
      </c>
      <c r="C142" s="2" t="s">
        <v>96</v>
      </c>
      <c r="D142" s="2" t="s">
        <v>13</v>
      </c>
      <c r="E142" s="2">
        <v>18</v>
      </c>
      <c r="F142" s="2">
        <v>9</v>
      </c>
      <c r="G142" s="2" t="s">
        <v>32</v>
      </c>
      <c r="H142" s="2" t="s">
        <v>76</v>
      </c>
      <c r="I142" s="2" t="s">
        <v>319</v>
      </c>
      <c r="J142" s="2">
        <v>86</v>
      </c>
    </row>
    <row r="143" spans="1:10" x14ac:dyDescent="0.3">
      <c r="A143" s="2" t="s">
        <v>320</v>
      </c>
      <c r="B143" s="2" t="s">
        <v>84</v>
      </c>
      <c r="C143" s="2" t="s">
        <v>55</v>
      </c>
      <c r="D143" s="2" t="s">
        <v>31</v>
      </c>
      <c r="E143" s="2">
        <v>16</v>
      </c>
      <c r="F143" s="2">
        <v>12</v>
      </c>
      <c r="G143" s="2" t="s">
        <v>32</v>
      </c>
      <c r="H143" s="2" t="s">
        <v>76</v>
      </c>
      <c r="I143" s="2" t="s">
        <v>321</v>
      </c>
      <c r="J143" s="2">
        <v>66</v>
      </c>
    </row>
    <row r="144" spans="1:10" x14ac:dyDescent="0.3">
      <c r="A144" s="2" t="s">
        <v>322</v>
      </c>
      <c r="B144" s="2" t="s">
        <v>35</v>
      </c>
      <c r="C144" s="2" t="s">
        <v>12</v>
      </c>
      <c r="D144" s="2" t="s">
        <v>13</v>
      </c>
      <c r="E144" s="2">
        <v>14</v>
      </c>
      <c r="F144" s="2">
        <v>11</v>
      </c>
      <c r="G144" s="2" t="s">
        <v>14</v>
      </c>
      <c r="H144" s="2" t="s">
        <v>26</v>
      </c>
      <c r="I144" s="2" t="s">
        <v>323</v>
      </c>
      <c r="J144" s="2">
        <v>93</v>
      </c>
    </row>
    <row r="145" spans="1:10" x14ac:dyDescent="0.3">
      <c r="A145" s="2" t="s">
        <v>324</v>
      </c>
      <c r="B145" s="2" t="s">
        <v>23</v>
      </c>
      <c r="C145" s="2" t="s">
        <v>85</v>
      </c>
      <c r="D145" s="2" t="s">
        <v>31</v>
      </c>
      <c r="E145" s="2">
        <v>16</v>
      </c>
      <c r="F145" s="2">
        <v>9</v>
      </c>
      <c r="G145" s="2" t="s">
        <v>32</v>
      </c>
      <c r="H145" s="2" t="s">
        <v>61</v>
      </c>
      <c r="I145" s="2" t="s">
        <v>325</v>
      </c>
      <c r="J145" s="2">
        <v>54</v>
      </c>
    </row>
    <row r="146" spans="1:10" x14ac:dyDescent="0.3">
      <c r="A146" s="2" t="s">
        <v>326</v>
      </c>
      <c r="B146" s="2" t="s">
        <v>54</v>
      </c>
      <c r="C146" s="2" t="s">
        <v>55</v>
      </c>
      <c r="D146" s="2" t="s">
        <v>13</v>
      </c>
      <c r="E146" s="2">
        <v>20</v>
      </c>
      <c r="F146" s="2">
        <v>9</v>
      </c>
      <c r="G146" s="2" t="s">
        <v>32</v>
      </c>
      <c r="H146" s="2" t="s">
        <v>15</v>
      </c>
      <c r="I146" s="2" t="s">
        <v>77</v>
      </c>
      <c r="J146" s="2">
        <v>75</v>
      </c>
    </row>
    <row r="147" spans="1:10" x14ac:dyDescent="0.3">
      <c r="A147" s="2" t="s">
        <v>327</v>
      </c>
      <c r="B147" s="2" t="s">
        <v>73</v>
      </c>
      <c r="C147" s="2" t="s">
        <v>96</v>
      </c>
      <c r="D147" s="2" t="s">
        <v>13</v>
      </c>
      <c r="E147" s="2">
        <v>20</v>
      </c>
      <c r="F147" s="2">
        <v>9</v>
      </c>
      <c r="G147" s="2" t="s">
        <v>32</v>
      </c>
      <c r="H147" s="2" t="s">
        <v>61</v>
      </c>
      <c r="I147" s="2" t="s">
        <v>328</v>
      </c>
      <c r="J147" s="2">
        <v>40</v>
      </c>
    </row>
    <row r="148" spans="1:10" x14ac:dyDescent="0.3">
      <c r="A148" s="2" t="s">
        <v>329</v>
      </c>
      <c r="B148" s="2" t="s">
        <v>11</v>
      </c>
      <c r="C148" s="2" t="s">
        <v>24</v>
      </c>
      <c r="D148" s="2" t="s">
        <v>31</v>
      </c>
      <c r="E148" s="2">
        <v>15</v>
      </c>
      <c r="F148" s="2">
        <v>9</v>
      </c>
      <c r="G148" s="2" t="s">
        <v>43</v>
      </c>
      <c r="H148" s="2" t="s">
        <v>61</v>
      </c>
      <c r="I148" s="2" t="s">
        <v>330</v>
      </c>
      <c r="J148" s="2">
        <v>83</v>
      </c>
    </row>
    <row r="149" spans="1:10" x14ac:dyDescent="0.3">
      <c r="A149" s="2" t="s">
        <v>331</v>
      </c>
      <c r="B149" s="2" t="s">
        <v>73</v>
      </c>
      <c r="C149" s="2" t="s">
        <v>30</v>
      </c>
      <c r="D149" s="2" t="s">
        <v>31</v>
      </c>
      <c r="E149" s="2">
        <v>19</v>
      </c>
      <c r="F149" s="2">
        <v>10</v>
      </c>
      <c r="G149" s="2" t="s">
        <v>43</v>
      </c>
      <c r="H149" s="2" t="s">
        <v>20</v>
      </c>
      <c r="I149" s="2" t="s">
        <v>191</v>
      </c>
      <c r="J149" s="2">
        <v>93</v>
      </c>
    </row>
    <row r="150" spans="1:10" x14ac:dyDescent="0.3">
      <c r="A150" s="2" t="s">
        <v>332</v>
      </c>
      <c r="B150" s="2" t="s">
        <v>29</v>
      </c>
      <c r="C150" s="2" t="s">
        <v>12</v>
      </c>
      <c r="D150" s="2" t="s">
        <v>31</v>
      </c>
      <c r="E150" s="2">
        <v>16</v>
      </c>
      <c r="F150" s="2">
        <v>11</v>
      </c>
      <c r="G150" s="2" t="s">
        <v>32</v>
      </c>
      <c r="H150" s="2" t="s">
        <v>76</v>
      </c>
      <c r="I150" s="2" t="s">
        <v>333</v>
      </c>
      <c r="J150" s="2">
        <v>42</v>
      </c>
    </row>
    <row r="151" spans="1:10" x14ac:dyDescent="0.3">
      <c r="A151" s="2" t="s">
        <v>334</v>
      </c>
      <c r="B151" s="2" t="s">
        <v>73</v>
      </c>
      <c r="C151" s="2" t="s">
        <v>12</v>
      </c>
      <c r="D151" s="2" t="s">
        <v>31</v>
      </c>
      <c r="E151" s="2">
        <v>18</v>
      </c>
      <c r="F151" s="2">
        <v>11</v>
      </c>
      <c r="G151" s="2" t="s">
        <v>32</v>
      </c>
      <c r="H151" s="2" t="s">
        <v>76</v>
      </c>
      <c r="I151" s="2" t="s">
        <v>335</v>
      </c>
      <c r="J151" s="2">
        <v>97</v>
      </c>
    </row>
    <row r="152" spans="1:10" x14ac:dyDescent="0.3">
      <c r="A152" s="2" t="s">
        <v>336</v>
      </c>
      <c r="B152" s="2" t="s">
        <v>11</v>
      </c>
      <c r="C152" s="2" t="s">
        <v>58</v>
      </c>
      <c r="D152" s="2" t="s">
        <v>31</v>
      </c>
      <c r="E152" s="2">
        <v>19</v>
      </c>
      <c r="F152" s="2">
        <v>12</v>
      </c>
      <c r="G152" s="2" t="s">
        <v>25</v>
      </c>
      <c r="H152" s="2" t="s">
        <v>61</v>
      </c>
      <c r="I152" s="2" t="s">
        <v>218</v>
      </c>
      <c r="J152" s="2">
        <v>68</v>
      </c>
    </row>
    <row r="153" spans="1:10" x14ac:dyDescent="0.3">
      <c r="A153" s="2" t="s">
        <v>337</v>
      </c>
      <c r="B153" s="2" t="s">
        <v>23</v>
      </c>
      <c r="C153" s="2" t="s">
        <v>30</v>
      </c>
      <c r="D153" s="2" t="s">
        <v>31</v>
      </c>
      <c r="E153" s="2">
        <v>19</v>
      </c>
      <c r="F153" s="2">
        <v>9</v>
      </c>
      <c r="G153" s="2" t="s">
        <v>32</v>
      </c>
      <c r="H153" s="2" t="s">
        <v>61</v>
      </c>
      <c r="I153" s="2" t="s">
        <v>338</v>
      </c>
      <c r="J153" s="2">
        <v>51</v>
      </c>
    </row>
    <row r="154" spans="1:10" x14ac:dyDescent="0.3">
      <c r="A154" s="2" t="s">
        <v>339</v>
      </c>
      <c r="B154" s="2" t="s">
        <v>23</v>
      </c>
      <c r="C154" s="2" t="s">
        <v>36</v>
      </c>
      <c r="D154" s="2" t="s">
        <v>13</v>
      </c>
      <c r="E154" s="2">
        <v>18</v>
      </c>
      <c r="F154" s="2">
        <v>9</v>
      </c>
      <c r="G154" s="2" t="s">
        <v>32</v>
      </c>
      <c r="H154" s="2" t="s">
        <v>37</v>
      </c>
      <c r="I154" s="2" t="s">
        <v>340</v>
      </c>
      <c r="J154" s="2">
        <v>64</v>
      </c>
    </row>
    <row r="155" spans="1:10" x14ac:dyDescent="0.3">
      <c r="A155" s="2" t="s">
        <v>341</v>
      </c>
      <c r="B155" s="2" t="s">
        <v>54</v>
      </c>
      <c r="C155" s="2" t="s">
        <v>55</v>
      </c>
      <c r="D155" s="2" t="s">
        <v>13</v>
      </c>
      <c r="E155" s="2">
        <v>14</v>
      </c>
      <c r="F155" s="2">
        <v>9</v>
      </c>
      <c r="G155" s="2" t="s">
        <v>25</v>
      </c>
      <c r="H155" s="2" t="s">
        <v>37</v>
      </c>
      <c r="I155" s="2" t="s">
        <v>342</v>
      </c>
      <c r="J155" s="2">
        <v>82</v>
      </c>
    </row>
    <row r="156" spans="1:10" x14ac:dyDescent="0.3">
      <c r="A156" s="2" t="s">
        <v>343</v>
      </c>
      <c r="B156" s="2" t="s">
        <v>68</v>
      </c>
      <c r="C156" s="2" t="s">
        <v>79</v>
      </c>
      <c r="D156" s="2" t="s">
        <v>13</v>
      </c>
      <c r="E156" s="2">
        <v>19</v>
      </c>
      <c r="F156" s="2">
        <v>11</v>
      </c>
      <c r="G156" s="2" t="s">
        <v>14</v>
      </c>
      <c r="H156" s="2" t="s">
        <v>40</v>
      </c>
      <c r="I156" s="2" t="s">
        <v>344</v>
      </c>
      <c r="J156" s="2">
        <v>35</v>
      </c>
    </row>
    <row r="157" spans="1:10" x14ac:dyDescent="0.3">
      <c r="A157" s="2" t="s">
        <v>345</v>
      </c>
      <c r="B157" s="2" t="s">
        <v>29</v>
      </c>
      <c r="C157" s="2" t="s">
        <v>24</v>
      </c>
      <c r="D157" s="2" t="s">
        <v>31</v>
      </c>
      <c r="E157" s="2">
        <v>15</v>
      </c>
      <c r="F157" s="2">
        <v>9</v>
      </c>
      <c r="G157" s="2" t="s">
        <v>14</v>
      </c>
      <c r="H157" s="2" t="s">
        <v>26</v>
      </c>
      <c r="I157" s="2" t="s">
        <v>346</v>
      </c>
      <c r="J157" s="2">
        <v>49</v>
      </c>
    </row>
    <row r="158" spans="1:10" x14ac:dyDescent="0.3">
      <c r="A158" s="2" t="s">
        <v>347</v>
      </c>
      <c r="B158" s="2" t="s">
        <v>23</v>
      </c>
      <c r="C158" s="2" t="s">
        <v>85</v>
      </c>
      <c r="D158" s="2" t="s">
        <v>31</v>
      </c>
      <c r="E158" s="2">
        <v>15</v>
      </c>
      <c r="F158" s="2">
        <v>11</v>
      </c>
      <c r="G158" s="2" t="s">
        <v>32</v>
      </c>
      <c r="H158" s="2" t="s">
        <v>26</v>
      </c>
      <c r="I158" s="2" t="s">
        <v>348</v>
      </c>
      <c r="J158" s="2">
        <v>37</v>
      </c>
    </row>
    <row r="159" spans="1:10" x14ac:dyDescent="0.3">
      <c r="A159" s="2" t="s">
        <v>349</v>
      </c>
      <c r="B159" s="2" t="s">
        <v>35</v>
      </c>
      <c r="C159" s="2" t="s">
        <v>30</v>
      </c>
      <c r="D159" s="2" t="s">
        <v>31</v>
      </c>
      <c r="E159" s="2">
        <v>18</v>
      </c>
      <c r="F159" s="2">
        <v>12</v>
      </c>
      <c r="G159" s="2" t="s">
        <v>43</v>
      </c>
      <c r="H159" s="2" t="s">
        <v>37</v>
      </c>
      <c r="I159" s="2" t="s">
        <v>350</v>
      </c>
      <c r="J159" s="2">
        <v>53</v>
      </c>
    </row>
    <row r="160" spans="1:10" x14ac:dyDescent="0.3">
      <c r="A160" s="2" t="s">
        <v>351</v>
      </c>
      <c r="B160" s="2" t="s">
        <v>68</v>
      </c>
      <c r="C160" s="2" t="s">
        <v>96</v>
      </c>
      <c r="D160" s="2" t="s">
        <v>13</v>
      </c>
      <c r="E160" s="2">
        <v>15</v>
      </c>
      <c r="F160" s="2">
        <v>10</v>
      </c>
      <c r="G160" s="2" t="s">
        <v>25</v>
      </c>
      <c r="H160" s="2" t="s">
        <v>20</v>
      </c>
      <c r="I160" s="2" t="s">
        <v>352</v>
      </c>
      <c r="J160" s="2">
        <v>50</v>
      </c>
    </row>
    <row r="161" spans="1:10" x14ac:dyDescent="0.3">
      <c r="A161" s="2" t="s">
        <v>353</v>
      </c>
      <c r="B161" s="2" t="s">
        <v>51</v>
      </c>
      <c r="C161" s="2" t="s">
        <v>55</v>
      </c>
      <c r="D161" s="2" t="s">
        <v>31</v>
      </c>
      <c r="E161" s="2">
        <v>20</v>
      </c>
      <c r="F161" s="2">
        <v>9</v>
      </c>
      <c r="G161" s="2" t="s">
        <v>25</v>
      </c>
      <c r="H161" s="2" t="s">
        <v>46</v>
      </c>
      <c r="I161" s="2" t="s">
        <v>354</v>
      </c>
      <c r="J161" s="2">
        <v>53</v>
      </c>
    </row>
    <row r="162" spans="1:10" x14ac:dyDescent="0.3">
      <c r="A162" s="2" t="s">
        <v>355</v>
      </c>
      <c r="B162" s="2" t="s">
        <v>68</v>
      </c>
      <c r="C162" s="2" t="s">
        <v>79</v>
      </c>
      <c r="D162" s="2" t="s">
        <v>13</v>
      </c>
      <c r="E162" s="2">
        <v>15</v>
      </c>
      <c r="F162" s="2">
        <v>12</v>
      </c>
      <c r="G162" s="2" t="s">
        <v>14</v>
      </c>
      <c r="H162" s="2" t="s">
        <v>20</v>
      </c>
      <c r="I162" s="2" t="s">
        <v>356</v>
      </c>
      <c r="J162" s="2">
        <v>37</v>
      </c>
    </row>
    <row r="163" spans="1:10" x14ac:dyDescent="0.3">
      <c r="A163" s="2" t="s">
        <v>357</v>
      </c>
      <c r="B163" s="2" t="s">
        <v>23</v>
      </c>
      <c r="C163" s="2" t="s">
        <v>24</v>
      </c>
      <c r="D163" s="2" t="s">
        <v>13</v>
      </c>
      <c r="E163" s="2">
        <v>16</v>
      </c>
      <c r="F163" s="2">
        <v>9</v>
      </c>
      <c r="G163" s="2" t="s">
        <v>25</v>
      </c>
      <c r="H163" s="2" t="s">
        <v>20</v>
      </c>
      <c r="I163" s="2" t="s">
        <v>358</v>
      </c>
      <c r="J163" s="2">
        <v>66</v>
      </c>
    </row>
    <row r="164" spans="1:10" x14ac:dyDescent="0.3">
      <c r="A164" s="2" t="s">
        <v>359</v>
      </c>
      <c r="B164" s="2" t="s">
        <v>68</v>
      </c>
      <c r="C164" s="2" t="s">
        <v>85</v>
      </c>
      <c r="D164" s="2" t="s">
        <v>13</v>
      </c>
      <c r="E164" s="2">
        <v>19</v>
      </c>
      <c r="F164" s="2">
        <v>11</v>
      </c>
      <c r="G164" s="2" t="s">
        <v>43</v>
      </c>
      <c r="H164" s="2" t="s">
        <v>76</v>
      </c>
      <c r="I164" s="2" t="s">
        <v>360</v>
      </c>
      <c r="J164" s="2">
        <v>64</v>
      </c>
    </row>
    <row r="165" spans="1:10" x14ac:dyDescent="0.3">
      <c r="A165" s="2" t="s">
        <v>361</v>
      </c>
      <c r="B165" s="2" t="s">
        <v>11</v>
      </c>
      <c r="C165" s="2" t="s">
        <v>30</v>
      </c>
      <c r="D165" s="2" t="s">
        <v>13</v>
      </c>
      <c r="E165" s="2">
        <v>20</v>
      </c>
      <c r="F165" s="2">
        <v>10</v>
      </c>
      <c r="G165" s="2" t="s">
        <v>32</v>
      </c>
      <c r="H165" s="2" t="s">
        <v>15</v>
      </c>
      <c r="I165" s="2" t="s">
        <v>362</v>
      </c>
      <c r="J165" s="2">
        <v>49</v>
      </c>
    </row>
    <row r="166" spans="1:10" x14ac:dyDescent="0.3">
      <c r="A166" s="2" t="s">
        <v>363</v>
      </c>
      <c r="B166" s="2" t="s">
        <v>11</v>
      </c>
      <c r="C166" s="2" t="s">
        <v>85</v>
      </c>
      <c r="D166" s="2" t="s">
        <v>31</v>
      </c>
      <c r="E166" s="2">
        <v>15</v>
      </c>
      <c r="F166" s="2">
        <v>10</v>
      </c>
      <c r="G166" s="2" t="s">
        <v>14</v>
      </c>
      <c r="H166" s="2" t="s">
        <v>37</v>
      </c>
      <c r="I166" s="2" t="s">
        <v>364</v>
      </c>
      <c r="J166" s="2">
        <v>71</v>
      </c>
    </row>
    <row r="167" spans="1:10" x14ac:dyDescent="0.3">
      <c r="A167" s="2" t="s">
        <v>365</v>
      </c>
      <c r="B167" s="2" t="s">
        <v>11</v>
      </c>
      <c r="C167" s="2" t="s">
        <v>55</v>
      </c>
      <c r="D167" s="2" t="s">
        <v>13</v>
      </c>
      <c r="E167" s="2">
        <v>16</v>
      </c>
      <c r="F167" s="2">
        <v>10</v>
      </c>
      <c r="G167" s="2" t="s">
        <v>32</v>
      </c>
      <c r="H167" s="2" t="s">
        <v>15</v>
      </c>
      <c r="I167" s="2" t="s">
        <v>366</v>
      </c>
      <c r="J167" s="2">
        <v>72</v>
      </c>
    </row>
    <row r="168" spans="1:10" x14ac:dyDescent="0.3">
      <c r="A168" s="2" t="s">
        <v>367</v>
      </c>
      <c r="B168" s="2" t="s">
        <v>35</v>
      </c>
      <c r="C168" s="2" t="s">
        <v>12</v>
      </c>
      <c r="D168" s="2" t="s">
        <v>31</v>
      </c>
      <c r="E168" s="2">
        <v>15</v>
      </c>
      <c r="F168" s="2">
        <v>10</v>
      </c>
      <c r="G168" s="2" t="s">
        <v>32</v>
      </c>
      <c r="H168" s="2" t="s">
        <v>20</v>
      </c>
      <c r="I168" s="2" t="s">
        <v>368</v>
      </c>
      <c r="J168" s="2">
        <v>99</v>
      </c>
    </row>
    <row r="169" spans="1:10" x14ac:dyDescent="0.3">
      <c r="A169" s="2" t="s">
        <v>369</v>
      </c>
      <c r="B169" s="2" t="s">
        <v>23</v>
      </c>
      <c r="C169" s="2" t="s">
        <v>24</v>
      </c>
      <c r="D169" s="2" t="s">
        <v>31</v>
      </c>
      <c r="E169" s="2">
        <v>17</v>
      </c>
      <c r="F169" s="2">
        <v>12</v>
      </c>
      <c r="G169" s="2" t="s">
        <v>43</v>
      </c>
      <c r="H169" s="2" t="s">
        <v>61</v>
      </c>
      <c r="I169" s="2" t="s">
        <v>370</v>
      </c>
      <c r="J169" s="2">
        <v>96</v>
      </c>
    </row>
    <row r="170" spans="1:10" x14ac:dyDescent="0.3">
      <c r="A170" s="2" t="s">
        <v>371</v>
      </c>
      <c r="B170" s="2" t="s">
        <v>35</v>
      </c>
      <c r="C170" s="2" t="s">
        <v>58</v>
      </c>
      <c r="D170" s="2" t="s">
        <v>31</v>
      </c>
      <c r="E170" s="2">
        <v>19</v>
      </c>
      <c r="F170" s="2">
        <v>9</v>
      </c>
      <c r="G170" s="2" t="s">
        <v>14</v>
      </c>
      <c r="H170" s="2" t="s">
        <v>20</v>
      </c>
      <c r="I170" s="2" t="s">
        <v>372</v>
      </c>
      <c r="J170" s="2">
        <v>87</v>
      </c>
    </row>
    <row r="171" spans="1:10" x14ac:dyDescent="0.3">
      <c r="A171" s="2" t="s">
        <v>373</v>
      </c>
      <c r="B171" s="2" t="s">
        <v>51</v>
      </c>
      <c r="C171" s="2" t="s">
        <v>19</v>
      </c>
      <c r="D171" s="2" t="s">
        <v>13</v>
      </c>
      <c r="E171" s="2">
        <v>15</v>
      </c>
      <c r="F171" s="2">
        <v>11</v>
      </c>
      <c r="G171" s="2" t="s">
        <v>14</v>
      </c>
      <c r="H171" s="2" t="s">
        <v>61</v>
      </c>
      <c r="I171" s="2" t="s">
        <v>374</v>
      </c>
      <c r="J171" s="2">
        <v>78</v>
      </c>
    </row>
    <row r="172" spans="1:10" x14ac:dyDescent="0.3">
      <c r="A172" s="2" t="s">
        <v>375</v>
      </c>
      <c r="B172" s="2" t="s">
        <v>35</v>
      </c>
      <c r="C172" s="2" t="s">
        <v>36</v>
      </c>
      <c r="D172" s="2" t="s">
        <v>13</v>
      </c>
      <c r="E172" s="2">
        <v>18</v>
      </c>
      <c r="F172" s="2">
        <v>11</v>
      </c>
      <c r="G172" s="2" t="s">
        <v>25</v>
      </c>
      <c r="H172" s="2" t="s">
        <v>40</v>
      </c>
      <c r="I172" s="2" t="s">
        <v>376</v>
      </c>
      <c r="J172" s="2">
        <v>62</v>
      </c>
    </row>
    <row r="173" spans="1:10" x14ac:dyDescent="0.3">
      <c r="A173" s="2" t="s">
        <v>377</v>
      </c>
      <c r="B173" s="2" t="s">
        <v>35</v>
      </c>
      <c r="C173" s="2" t="s">
        <v>30</v>
      </c>
      <c r="D173" s="2" t="s">
        <v>13</v>
      </c>
      <c r="E173" s="2">
        <v>20</v>
      </c>
      <c r="F173" s="2">
        <v>11</v>
      </c>
      <c r="G173" s="2" t="s">
        <v>32</v>
      </c>
      <c r="H173" s="2" t="s">
        <v>37</v>
      </c>
      <c r="I173" s="2" t="s">
        <v>189</v>
      </c>
      <c r="J173" s="2">
        <v>79</v>
      </c>
    </row>
    <row r="174" spans="1:10" x14ac:dyDescent="0.3">
      <c r="A174" s="2" t="s">
        <v>378</v>
      </c>
      <c r="B174" s="2" t="s">
        <v>18</v>
      </c>
      <c r="C174" s="2" t="s">
        <v>55</v>
      </c>
      <c r="D174" s="2" t="s">
        <v>31</v>
      </c>
      <c r="E174" s="2">
        <v>17</v>
      </c>
      <c r="F174" s="2">
        <v>9</v>
      </c>
      <c r="G174" s="2" t="s">
        <v>32</v>
      </c>
      <c r="H174" s="2" t="s">
        <v>26</v>
      </c>
      <c r="I174" s="2" t="s">
        <v>379</v>
      </c>
      <c r="J174" s="2">
        <v>66</v>
      </c>
    </row>
    <row r="175" spans="1:10" x14ac:dyDescent="0.3">
      <c r="A175" s="2" t="s">
        <v>380</v>
      </c>
      <c r="B175" s="2" t="s">
        <v>11</v>
      </c>
      <c r="C175" s="2" t="s">
        <v>24</v>
      </c>
      <c r="D175" s="2" t="s">
        <v>31</v>
      </c>
      <c r="E175" s="2">
        <v>18</v>
      </c>
      <c r="F175" s="2">
        <v>11</v>
      </c>
      <c r="G175" s="2" t="s">
        <v>32</v>
      </c>
      <c r="H175" s="2" t="s">
        <v>61</v>
      </c>
      <c r="I175" s="2" t="s">
        <v>381</v>
      </c>
      <c r="J175" s="2">
        <v>67</v>
      </c>
    </row>
    <row r="176" spans="1:10" x14ac:dyDescent="0.3">
      <c r="A176" s="2" t="s">
        <v>382</v>
      </c>
      <c r="B176" s="2" t="s">
        <v>51</v>
      </c>
      <c r="C176" s="2" t="s">
        <v>85</v>
      </c>
      <c r="D176" s="2" t="s">
        <v>13</v>
      </c>
      <c r="E176" s="2">
        <v>16</v>
      </c>
      <c r="F176" s="2">
        <v>10</v>
      </c>
      <c r="G176" s="2" t="s">
        <v>43</v>
      </c>
      <c r="H176" s="2" t="s">
        <v>61</v>
      </c>
      <c r="I176" s="2" t="s">
        <v>383</v>
      </c>
      <c r="J176" s="2">
        <v>72</v>
      </c>
    </row>
    <row r="177" spans="1:10" x14ac:dyDescent="0.3">
      <c r="A177" s="2" t="s">
        <v>384</v>
      </c>
      <c r="B177" s="2" t="s">
        <v>54</v>
      </c>
      <c r="C177" s="2" t="s">
        <v>19</v>
      </c>
      <c r="D177" s="2" t="s">
        <v>31</v>
      </c>
      <c r="E177" s="2">
        <v>16</v>
      </c>
      <c r="F177" s="2">
        <v>12</v>
      </c>
      <c r="G177" s="2" t="s">
        <v>25</v>
      </c>
      <c r="H177" s="2" t="s">
        <v>20</v>
      </c>
      <c r="I177" s="2" t="s">
        <v>385</v>
      </c>
      <c r="J177" s="2">
        <v>39</v>
      </c>
    </row>
    <row r="178" spans="1:10" x14ac:dyDescent="0.3">
      <c r="A178" s="2" t="s">
        <v>386</v>
      </c>
      <c r="B178" s="2" t="s">
        <v>68</v>
      </c>
      <c r="C178" s="2" t="s">
        <v>96</v>
      </c>
      <c r="D178" s="2" t="s">
        <v>13</v>
      </c>
      <c r="E178" s="2">
        <v>18</v>
      </c>
      <c r="F178" s="2">
        <v>9</v>
      </c>
      <c r="G178" s="2" t="s">
        <v>25</v>
      </c>
      <c r="H178" s="2" t="s">
        <v>46</v>
      </c>
      <c r="I178" s="2" t="s">
        <v>387</v>
      </c>
      <c r="J178" s="2">
        <v>74</v>
      </c>
    </row>
    <row r="179" spans="1:10" x14ac:dyDescent="0.3">
      <c r="A179" s="2" t="s">
        <v>388</v>
      </c>
      <c r="B179" s="2" t="s">
        <v>73</v>
      </c>
      <c r="C179" s="2" t="s">
        <v>12</v>
      </c>
      <c r="D179" s="2" t="s">
        <v>31</v>
      </c>
      <c r="E179" s="2">
        <v>19</v>
      </c>
      <c r="F179" s="2">
        <v>11</v>
      </c>
      <c r="G179" s="2" t="s">
        <v>43</v>
      </c>
      <c r="H179" s="2" t="s">
        <v>61</v>
      </c>
      <c r="I179" s="2" t="s">
        <v>214</v>
      </c>
      <c r="J179" s="2">
        <v>88</v>
      </c>
    </row>
    <row r="180" spans="1:10" x14ac:dyDescent="0.3">
      <c r="A180" s="2" t="s">
        <v>389</v>
      </c>
      <c r="B180" s="2" t="s">
        <v>54</v>
      </c>
      <c r="C180" s="2" t="s">
        <v>58</v>
      </c>
      <c r="D180" s="2" t="s">
        <v>31</v>
      </c>
      <c r="E180" s="2">
        <v>14</v>
      </c>
      <c r="F180" s="2">
        <v>11</v>
      </c>
      <c r="G180" s="2" t="s">
        <v>32</v>
      </c>
      <c r="H180" s="2" t="s">
        <v>76</v>
      </c>
      <c r="I180" s="2" t="s">
        <v>390</v>
      </c>
      <c r="J180" s="2">
        <v>54</v>
      </c>
    </row>
    <row r="181" spans="1:10" x14ac:dyDescent="0.3">
      <c r="A181" s="2" t="s">
        <v>391</v>
      </c>
      <c r="B181" s="2" t="s">
        <v>68</v>
      </c>
      <c r="C181" s="2" t="s">
        <v>19</v>
      </c>
      <c r="D181" s="2" t="s">
        <v>13</v>
      </c>
      <c r="E181" s="2">
        <v>19</v>
      </c>
      <c r="F181" s="2">
        <v>12</v>
      </c>
      <c r="G181" s="2" t="s">
        <v>25</v>
      </c>
      <c r="H181" s="2" t="s">
        <v>46</v>
      </c>
      <c r="I181" s="2" t="s">
        <v>392</v>
      </c>
      <c r="J181" s="2">
        <v>46</v>
      </c>
    </row>
    <row r="182" spans="1:10" x14ac:dyDescent="0.3">
      <c r="A182" s="2" t="s">
        <v>393</v>
      </c>
      <c r="B182" s="2" t="s">
        <v>68</v>
      </c>
      <c r="C182" s="2" t="s">
        <v>85</v>
      </c>
      <c r="D182" s="2" t="s">
        <v>13</v>
      </c>
      <c r="E182" s="2">
        <v>15</v>
      </c>
      <c r="F182" s="2">
        <v>10</v>
      </c>
      <c r="G182" s="2" t="s">
        <v>32</v>
      </c>
      <c r="H182" s="2" t="s">
        <v>37</v>
      </c>
      <c r="I182" s="2" t="s">
        <v>394</v>
      </c>
      <c r="J182" s="2">
        <v>89</v>
      </c>
    </row>
    <row r="183" spans="1:10" x14ac:dyDescent="0.3">
      <c r="A183" s="2" t="s">
        <v>395</v>
      </c>
      <c r="B183" s="2" t="s">
        <v>11</v>
      </c>
      <c r="C183" s="2" t="s">
        <v>96</v>
      </c>
      <c r="D183" s="2" t="s">
        <v>13</v>
      </c>
      <c r="E183" s="2">
        <v>18</v>
      </c>
      <c r="F183" s="2">
        <v>11</v>
      </c>
      <c r="G183" s="2" t="s">
        <v>25</v>
      </c>
      <c r="H183" s="2" t="s">
        <v>37</v>
      </c>
      <c r="I183" s="2" t="s">
        <v>396</v>
      </c>
      <c r="J183" s="2">
        <v>65</v>
      </c>
    </row>
    <row r="184" spans="1:10" x14ac:dyDescent="0.3">
      <c r="A184" s="2" t="s">
        <v>397</v>
      </c>
      <c r="B184" s="2" t="s">
        <v>23</v>
      </c>
      <c r="C184" s="2" t="s">
        <v>12</v>
      </c>
      <c r="D184" s="2" t="s">
        <v>13</v>
      </c>
      <c r="E184" s="2">
        <v>20</v>
      </c>
      <c r="F184" s="2">
        <v>9</v>
      </c>
      <c r="G184" s="2" t="s">
        <v>25</v>
      </c>
      <c r="H184" s="2" t="s">
        <v>46</v>
      </c>
      <c r="I184" s="2" t="s">
        <v>398</v>
      </c>
      <c r="J184" s="2">
        <v>91</v>
      </c>
    </row>
    <row r="185" spans="1:10" x14ac:dyDescent="0.3">
      <c r="A185" s="2" t="s">
        <v>399</v>
      </c>
      <c r="B185" s="2" t="s">
        <v>35</v>
      </c>
      <c r="C185" s="2" t="s">
        <v>79</v>
      </c>
      <c r="D185" s="2" t="s">
        <v>13</v>
      </c>
      <c r="E185" s="2">
        <v>17</v>
      </c>
      <c r="F185" s="2">
        <v>10</v>
      </c>
      <c r="G185" s="2" t="s">
        <v>43</v>
      </c>
      <c r="H185" s="2" t="s">
        <v>37</v>
      </c>
      <c r="I185" s="2" t="s">
        <v>400</v>
      </c>
      <c r="J185" s="2">
        <v>78</v>
      </c>
    </row>
    <row r="186" spans="1:10" x14ac:dyDescent="0.3">
      <c r="A186" s="2" t="s">
        <v>401</v>
      </c>
      <c r="B186" s="2" t="s">
        <v>11</v>
      </c>
      <c r="C186" s="2" t="s">
        <v>79</v>
      </c>
      <c r="D186" s="2" t="s">
        <v>31</v>
      </c>
      <c r="E186" s="2">
        <v>15</v>
      </c>
      <c r="F186" s="2">
        <v>11</v>
      </c>
      <c r="G186" s="2" t="s">
        <v>43</v>
      </c>
      <c r="H186" s="2" t="s">
        <v>40</v>
      </c>
      <c r="I186" s="2" t="s">
        <v>402</v>
      </c>
      <c r="J186" s="2">
        <v>84</v>
      </c>
    </row>
    <row r="187" spans="1:10" x14ac:dyDescent="0.3">
      <c r="A187" s="2" t="s">
        <v>403</v>
      </c>
      <c r="B187" s="2" t="s">
        <v>11</v>
      </c>
      <c r="C187" s="2" t="s">
        <v>12</v>
      </c>
      <c r="D187" s="2" t="s">
        <v>31</v>
      </c>
      <c r="E187" s="2">
        <v>19</v>
      </c>
      <c r="F187" s="2">
        <v>9</v>
      </c>
      <c r="G187" s="2" t="s">
        <v>43</v>
      </c>
      <c r="H187" s="2" t="s">
        <v>46</v>
      </c>
      <c r="I187" s="2" t="s">
        <v>404</v>
      </c>
      <c r="J187" s="2">
        <v>37</v>
      </c>
    </row>
    <row r="188" spans="1:10" x14ac:dyDescent="0.3">
      <c r="A188" s="2" t="s">
        <v>405</v>
      </c>
      <c r="B188" s="2" t="s">
        <v>18</v>
      </c>
      <c r="C188" s="2" t="s">
        <v>19</v>
      </c>
      <c r="D188" s="2" t="s">
        <v>31</v>
      </c>
      <c r="E188" s="2">
        <v>18</v>
      </c>
      <c r="F188" s="2">
        <v>12</v>
      </c>
      <c r="G188" s="2" t="s">
        <v>25</v>
      </c>
      <c r="H188" s="2" t="s">
        <v>37</v>
      </c>
      <c r="I188" s="2" t="s">
        <v>406</v>
      </c>
      <c r="J188" s="2">
        <v>70</v>
      </c>
    </row>
    <row r="189" spans="1:10" x14ac:dyDescent="0.3">
      <c r="A189" s="2" t="s">
        <v>407</v>
      </c>
      <c r="B189" s="2" t="s">
        <v>29</v>
      </c>
      <c r="C189" s="2" t="s">
        <v>12</v>
      </c>
      <c r="D189" s="2" t="s">
        <v>31</v>
      </c>
      <c r="E189" s="2">
        <v>16</v>
      </c>
      <c r="F189" s="2">
        <v>10</v>
      </c>
      <c r="G189" s="2" t="s">
        <v>14</v>
      </c>
      <c r="H189" s="2" t="s">
        <v>40</v>
      </c>
      <c r="I189" s="2" t="s">
        <v>71</v>
      </c>
      <c r="J189" s="2">
        <v>100</v>
      </c>
    </row>
    <row r="190" spans="1:10" x14ac:dyDescent="0.3">
      <c r="A190" s="2" t="s">
        <v>408</v>
      </c>
      <c r="B190" s="2" t="s">
        <v>51</v>
      </c>
      <c r="C190" s="2" t="s">
        <v>85</v>
      </c>
      <c r="D190" s="2" t="s">
        <v>13</v>
      </c>
      <c r="E190" s="2">
        <v>17</v>
      </c>
      <c r="F190" s="2">
        <v>11</v>
      </c>
      <c r="G190" s="2" t="s">
        <v>25</v>
      </c>
      <c r="H190" s="2" t="s">
        <v>46</v>
      </c>
      <c r="I190" s="2" t="s">
        <v>52</v>
      </c>
      <c r="J190" s="2">
        <v>42</v>
      </c>
    </row>
    <row r="191" spans="1:10" x14ac:dyDescent="0.3">
      <c r="A191" s="2" t="s">
        <v>409</v>
      </c>
      <c r="B191" s="2" t="s">
        <v>84</v>
      </c>
      <c r="C191" s="2" t="s">
        <v>24</v>
      </c>
      <c r="D191" s="2" t="s">
        <v>13</v>
      </c>
      <c r="E191" s="2">
        <v>20</v>
      </c>
      <c r="F191" s="2">
        <v>9</v>
      </c>
      <c r="G191" s="2" t="s">
        <v>25</v>
      </c>
      <c r="H191" s="2" t="s">
        <v>46</v>
      </c>
      <c r="I191" s="2" t="s">
        <v>290</v>
      </c>
      <c r="J191" s="2">
        <v>68</v>
      </c>
    </row>
    <row r="192" spans="1:10" x14ac:dyDescent="0.3">
      <c r="A192" s="2" t="s">
        <v>410</v>
      </c>
      <c r="B192" s="2" t="s">
        <v>18</v>
      </c>
      <c r="C192" s="2" t="s">
        <v>55</v>
      </c>
      <c r="D192" s="2" t="s">
        <v>31</v>
      </c>
      <c r="E192" s="2">
        <v>20</v>
      </c>
      <c r="F192" s="2">
        <v>10</v>
      </c>
      <c r="G192" s="2" t="s">
        <v>43</v>
      </c>
      <c r="H192" s="2" t="s">
        <v>40</v>
      </c>
      <c r="I192" s="2" t="s">
        <v>411</v>
      </c>
      <c r="J192" s="2">
        <v>59</v>
      </c>
    </row>
    <row r="193" spans="1:10" x14ac:dyDescent="0.3">
      <c r="A193" s="2" t="s">
        <v>412</v>
      </c>
      <c r="B193" s="2" t="s">
        <v>73</v>
      </c>
      <c r="C193" s="2" t="s">
        <v>55</v>
      </c>
      <c r="D193" s="2" t="s">
        <v>13</v>
      </c>
      <c r="E193" s="2">
        <v>16</v>
      </c>
      <c r="F193" s="2">
        <v>12</v>
      </c>
      <c r="G193" s="2" t="s">
        <v>32</v>
      </c>
      <c r="H193" s="2" t="s">
        <v>46</v>
      </c>
      <c r="I193" s="2" t="s">
        <v>413</v>
      </c>
      <c r="J193" s="2">
        <v>85</v>
      </c>
    </row>
    <row r="194" spans="1:10" x14ac:dyDescent="0.3">
      <c r="A194" s="2" t="s">
        <v>414</v>
      </c>
      <c r="B194" s="2" t="s">
        <v>11</v>
      </c>
      <c r="C194" s="2" t="s">
        <v>55</v>
      </c>
      <c r="D194" s="2" t="s">
        <v>13</v>
      </c>
      <c r="E194" s="2">
        <v>16</v>
      </c>
      <c r="F194" s="2">
        <v>12</v>
      </c>
      <c r="G194" s="2" t="s">
        <v>32</v>
      </c>
      <c r="H194" s="2" t="s">
        <v>37</v>
      </c>
      <c r="I194" s="2" t="s">
        <v>415</v>
      </c>
      <c r="J194" s="2">
        <v>47</v>
      </c>
    </row>
    <row r="195" spans="1:10" x14ac:dyDescent="0.3">
      <c r="A195" s="2" t="s">
        <v>416</v>
      </c>
      <c r="B195" s="2" t="s">
        <v>18</v>
      </c>
      <c r="C195" s="2" t="s">
        <v>79</v>
      </c>
      <c r="D195" s="2" t="s">
        <v>31</v>
      </c>
      <c r="E195" s="2">
        <v>20</v>
      </c>
      <c r="F195" s="2">
        <v>9</v>
      </c>
      <c r="G195" s="2" t="s">
        <v>25</v>
      </c>
      <c r="H195" s="2" t="s">
        <v>37</v>
      </c>
      <c r="I195" s="2" t="s">
        <v>417</v>
      </c>
      <c r="J195" s="2">
        <v>53</v>
      </c>
    </row>
    <row r="196" spans="1:10" x14ac:dyDescent="0.3">
      <c r="A196" s="2" t="s">
        <v>418</v>
      </c>
      <c r="B196" s="2" t="s">
        <v>84</v>
      </c>
      <c r="C196" s="2" t="s">
        <v>24</v>
      </c>
      <c r="D196" s="2" t="s">
        <v>13</v>
      </c>
      <c r="E196" s="2">
        <v>15</v>
      </c>
      <c r="F196" s="2">
        <v>9</v>
      </c>
      <c r="G196" s="2" t="s">
        <v>25</v>
      </c>
      <c r="H196" s="2" t="s">
        <v>20</v>
      </c>
      <c r="I196" s="2" t="s">
        <v>419</v>
      </c>
      <c r="J196" s="2">
        <v>63</v>
      </c>
    </row>
    <row r="197" spans="1:10" x14ac:dyDescent="0.3">
      <c r="A197" s="2" t="s">
        <v>420</v>
      </c>
      <c r="B197" s="2" t="s">
        <v>73</v>
      </c>
      <c r="C197" s="2" t="s">
        <v>85</v>
      </c>
      <c r="D197" s="2" t="s">
        <v>13</v>
      </c>
      <c r="E197" s="2">
        <v>16</v>
      </c>
      <c r="F197" s="2">
        <v>11</v>
      </c>
      <c r="G197" s="2" t="s">
        <v>43</v>
      </c>
      <c r="H197" s="2" t="s">
        <v>46</v>
      </c>
      <c r="I197" s="2" t="s">
        <v>421</v>
      </c>
      <c r="J197" s="2">
        <v>55</v>
      </c>
    </row>
    <row r="198" spans="1:10" x14ac:dyDescent="0.3">
      <c r="A198" s="2" t="s">
        <v>422</v>
      </c>
      <c r="B198" s="2" t="s">
        <v>73</v>
      </c>
      <c r="C198" s="2" t="s">
        <v>96</v>
      </c>
      <c r="D198" s="2" t="s">
        <v>13</v>
      </c>
      <c r="E198" s="2">
        <v>14</v>
      </c>
      <c r="F198" s="2">
        <v>10</v>
      </c>
      <c r="G198" s="2" t="s">
        <v>25</v>
      </c>
      <c r="H198" s="2" t="s">
        <v>15</v>
      </c>
      <c r="I198" s="2" t="s">
        <v>423</v>
      </c>
      <c r="J198" s="2">
        <v>99</v>
      </c>
    </row>
    <row r="199" spans="1:10" x14ac:dyDescent="0.3">
      <c r="A199" s="2" t="s">
        <v>424</v>
      </c>
      <c r="B199" s="2" t="s">
        <v>29</v>
      </c>
      <c r="C199" s="2" t="s">
        <v>36</v>
      </c>
      <c r="D199" s="2" t="s">
        <v>31</v>
      </c>
      <c r="E199" s="2">
        <v>16</v>
      </c>
      <c r="F199" s="2">
        <v>12</v>
      </c>
      <c r="G199" s="2" t="s">
        <v>32</v>
      </c>
      <c r="H199" s="2" t="s">
        <v>37</v>
      </c>
      <c r="I199" s="2" t="s">
        <v>180</v>
      </c>
      <c r="J199" s="2">
        <v>89</v>
      </c>
    </row>
    <row r="200" spans="1:10" x14ac:dyDescent="0.3">
      <c r="A200" s="2" t="s">
        <v>425</v>
      </c>
      <c r="B200" s="2" t="s">
        <v>73</v>
      </c>
      <c r="C200" s="2" t="s">
        <v>30</v>
      </c>
      <c r="D200" s="2" t="s">
        <v>31</v>
      </c>
      <c r="E200" s="2">
        <v>15</v>
      </c>
      <c r="F200" s="2">
        <v>9</v>
      </c>
      <c r="G200" s="2" t="s">
        <v>14</v>
      </c>
      <c r="H200" s="2" t="s">
        <v>76</v>
      </c>
      <c r="I200" s="2" t="s">
        <v>149</v>
      </c>
      <c r="J200" s="2">
        <v>54</v>
      </c>
    </row>
    <row r="201" spans="1:10" x14ac:dyDescent="0.3">
      <c r="A201" s="2" t="s">
        <v>426</v>
      </c>
      <c r="B201" s="2" t="s">
        <v>54</v>
      </c>
      <c r="C201" s="2" t="s">
        <v>96</v>
      </c>
      <c r="D201" s="2" t="s">
        <v>31</v>
      </c>
      <c r="E201" s="2">
        <v>16</v>
      </c>
      <c r="F201" s="2">
        <v>12</v>
      </c>
      <c r="G201" s="2" t="s">
        <v>25</v>
      </c>
      <c r="H201" s="2" t="s">
        <v>20</v>
      </c>
      <c r="I201" s="2" t="s">
        <v>427</v>
      </c>
      <c r="J201" s="2">
        <v>82</v>
      </c>
    </row>
    <row r="202" spans="1:10" x14ac:dyDescent="0.3">
      <c r="A202" s="2" t="s">
        <v>428</v>
      </c>
      <c r="B202" s="2" t="s">
        <v>54</v>
      </c>
      <c r="C202" s="2" t="s">
        <v>55</v>
      </c>
      <c r="D202" s="2" t="s">
        <v>13</v>
      </c>
      <c r="E202" s="2">
        <v>16</v>
      </c>
      <c r="F202" s="2">
        <v>11</v>
      </c>
      <c r="G202" s="2" t="s">
        <v>25</v>
      </c>
      <c r="H202" s="2" t="s">
        <v>15</v>
      </c>
      <c r="I202" s="2" t="s">
        <v>429</v>
      </c>
      <c r="J202" s="2">
        <v>86</v>
      </c>
    </row>
    <row r="203" spans="1:10" x14ac:dyDescent="0.3">
      <c r="A203" s="2" t="s">
        <v>430</v>
      </c>
      <c r="B203" s="2" t="s">
        <v>54</v>
      </c>
      <c r="C203" s="2" t="s">
        <v>30</v>
      </c>
      <c r="D203" s="2" t="s">
        <v>13</v>
      </c>
      <c r="E203" s="2">
        <v>18</v>
      </c>
      <c r="F203" s="2">
        <v>11</v>
      </c>
      <c r="G203" s="2" t="s">
        <v>25</v>
      </c>
      <c r="H203" s="2" t="s">
        <v>26</v>
      </c>
      <c r="I203" s="2" t="s">
        <v>431</v>
      </c>
      <c r="J203" s="2">
        <v>91</v>
      </c>
    </row>
    <row r="204" spans="1:10" x14ac:dyDescent="0.3">
      <c r="A204" s="2" t="s">
        <v>432</v>
      </c>
      <c r="B204" s="2" t="s">
        <v>51</v>
      </c>
      <c r="C204" s="2" t="s">
        <v>24</v>
      </c>
      <c r="D204" s="2" t="s">
        <v>31</v>
      </c>
      <c r="E204" s="2">
        <v>17</v>
      </c>
      <c r="F204" s="2">
        <v>11</v>
      </c>
      <c r="G204" s="2" t="s">
        <v>43</v>
      </c>
      <c r="H204" s="2" t="s">
        <v>15</v>
      </c>
      <c r="I204" s="2" t="s">
        <v>400</v>
      </c>
      <c r="J204" s="2">
        <v>53</v>
      </c>
    </row>
    <row r="205" spans="1:10" x14ac:dyDescent="0.3">
      <c r="A205" s="2" t="s">
        <v>433</v>
      </c>
      <c r="B205" s="2" t="s">
        <v>84</v>
      </c>
      <c r="C205" s="2" t="s">
        <v>36</v>
      </c>
      <c r="D205" s="2" t="s">
        <v>13</v>
      </c>
      <c r="E205" s="2">
        <v>14</v>
      </c>
      <c r="F205" s="2">
        <v>9</v>
      </c>
      <c r="G205" s="2" t="s">
        <v>32</v>
      </c>
      <c r="H205" s="2" t="s">
        <v>15</v>
      </c>
      <c r="I205" s="2" t="s">
        <v>434</v>
      </c>
      <c r="J205" s="2">
        <v>47</v>
      </c>
    </row>
    <row r="206" spans="1:10" x14ac:dyDescent="0.3">
      <c r="A206" s="2" t="s">
        <v>435</v>
      </c>
      <c r="B206" s="2" t="s">
        <v>29</v>
      </c>
      <c r="C206" s="2" t="s">
        <v>30</v>
      </c>
      <c r="D206" s="2" t="s">
        <v>31</v>
      </c>
      <c r="E206" s="2">
        <v>20</v>
      </c>
      <c r="F206" s="2">
        <v>12</v>
      </c>
      <c r="G206" s="2" t="s">
        <v>43</v>
      </c>
      <c r="H206" s="2" t="s">
        <v>26</v>
      </c>
      <c r="I206" s="2" t="s">
        <v>436</v>
      </c>
      <c r="J206" s="2">
        <v>36</v>
      </c>
    </row>
    <row r="207" spans="1:10" x14ac:dyDescent="0.3">
      <c r="A207" s="2" t="s">
        <v>437</v>
      </c>
      <c r="B207" s="2" t="s">
        <v>73</v>
      </c>
      <c r="C207" s="2" t="s">
        <v>30</v>
      </c>
      <c r="D207" s="2" t="s">
        <v>13</v>
      </c>
      <c r="E207" s="2">
        <v>14</v>
      </c>
      <c r="F207" s="2">
        <v>11</v>
      </c>
      <c r="G207" s="2" t="s">
        <v>32</v>
      </c>
      <c r="H207" s="2" t="s">
        <v>76</v>
      </c>
      <c r="I207" s="2" t="s">
        <v>438</v>
      </c>
      <c r="J207" s="2">
        <v>62</v>
      </c>
    </row>
    <row r="208" spans="1:10" x14ac:dyDescent="0.3">
      <c r="A208" s="2" t="s">
        <v>439</v>
      </c>
      <c r="B208" s="2" t="s">
        <v>11</v>
      </c>
      <c r="C208" s="2" t="s">
        <v>12</v>
      </c>
      <c r="D208" s="2" t="s">
        <v>13</v>
      </c>
      <c r="E208" s="2">
        <v>15</v>
      </c>
      <c r="F208" s="2">
        <v>9</v>
      </c>
      <c r="G208" s="2" t="s">
        <v>25</v>
      </c>
      <c r="H208" s="2" t="s">
        <v>15</v>
      </c>
      <c r="I208" s="2" t="s">
        <v>440</v>
      </c>
      <c r="J208" s="2">
        <v>90</v>
      </c>
    </row>
    <row r="209" spans="1:10" x14ac:dyDescent="0.3">
      <c r="A209" s="2" t="s">
        <v>441</v>
      </c>
      <c r="B209" s="2" t="s">
        <v>35</v>
      </c>
      <c r="C209" s="2" t="s">
        <v>12</v>
      </c>
      <c r="D209" s="2" t="s">
        <v>13</v>
      </c>
      <c r="E209" s="2">
        <v>17</v>
      </c>
      <c r="F209" s="2">
        <v>10</v>
      </c>
      <c r="G209" s="2" t="s">
        <v>32</v>
      </c>
      <c r="H209" s="2" t="s">
        <v>15</v>
      </c>
      <c r="I209" s="2" t="s">
        <v>442</v>
      </c>
      <c r="J209" s="2">
        <v>91</v>
      </c>
    </row>
    <row r="210" spans="1:10" x14ac:dyDescent="0.3">
      <c r="A210" s="2" t="s">
        <v>443</v>
      </c>
      <c r="B210" s="2" t="s">
        <v>18</v>
      </c>
      <c r="C210" s="2" t="s">
        <v>96</v>
      </c>
      <c r="D210" s="2" t="s">
        <v>13</v>
      </c>
      <c r="E210" s="2">
        <v>17</v>
      </c>
      <c r="F210" s="2">
        <v>9</v>
      </c>
      <c r="G210" s="2" t="s">
        <v>43</v>
      </c>
      <c r="H210" s="2" t="s">
        <v>37</v>
      </c>
      <c r="I210" s="2" t="s">
        <v>444</v>
      </c>
      <c r="J210" s="2">
        <v>60</v>
      </c>
    </row>
    <row r="211" spans="1:10" x14ac:dyDescent="0.3">
      <c r="A211" s="2" t="s">
        <v>445</v>
      </c>
      <c r="B211" s="2" t="s">
        <v>54</v>
      </c>
      <c r="C211" s="2" t="s">
        <v>96</v>
      </c>
      <c r="D211" s="2" t="s">
        <v>13</v>
      </c>
      <c r="E211" s="2">
        <v>20</v>
      </c>
      <c r="F211" s="2">
        <v>10</v>
      </c>
      <c r="G211" s="2" t="s">
        <v>32</v>
      </c>
      <c r="H211" s="2" t="s">
        <v>46</v>
      </c>
      <c r="I211" s="2" t="s">
        <v>182</v>
      </c>
      <c r="J211" s="2">
        <v>85</v>
      </c>
    </row>
    <row r="212" spans="1:10" x14ac:dyDescent="0.3">
      <c r="A212" s="2" t="s">
        <v>446</v>
      </c>
      <c r="B212" s="2" t="s">
        <v>73</v>
      </c>
      <c r="C212" s="2" t="s">
        <v>24</v>
      </c>
      <c r="D212" s="2" t="s">
        <v>13</v>
      </c>
      <c r="E212" s="2">
        <v>17</v>
      </c>
      <c r="F212" s="2">
        <v>10</v>
      </c>
      <c r="G212" s="2" t="s">
        <v>14</v>
      </c>
      <c r="H212" s="2" t="s">
        <v>20</v>
      </c>
      <c r="I212" s="2" t="s">
        <v>447</v>
      </c>
      <c r="J212" s="2">
        <v>58</v>
      </c>
    </row>
    <row r="213" spans="1:10" x14ac:dyDescent="0.3">
      <c r="A213" s="2" t="s">
        <v>448</v>
      </c>
      <c r="B213" s="2" t="s">
        <v>73</v>
      </c>
      <c r="C213" s="2" t="s">
        <v>36</v>
      </c>
      <c r="D213" s="2" t="s">
        <v>31</v>
      </c>
      <c r="E213" s="2">
        <v>19</v>
      </c>
      <c r="F213" s="2">
        <v>12</v>
      </c>
      <c r="G213" s="2" t="s">
        <v>14</v>
      </c>
      <c r="H213" s="2" t="s">
        <v>37</v>
      </c>
      <c r="I213" s="2" t="s">
        <v>449</v>
      </c>
      <c r="J213" s="2">
        <v>65</v>
      </c>
    </row>
    <row r="214" spans="1:10" x14ac:dyDescent="0.3">
      <c r="A214" s="2" t="s">
        <v>450</v>
      </c>
      <c r="B214" s="2" t="s">
        <v>54</v>
      </c>
      <c r="C214" s="2" t="s">
        <v>55</v>
      </c>
      <c r="D214" s="2" t="s">
        <v>31</v>
      </c>
      <c r="E214" s="2">
        <v>19</v>
      </c>
      <c r="F214" s="2">
        <v>12</v>
      </c>
      <c r="G214" s="2" t="s">
        <v>43</v>
      </c>
      <c r="H214" s="2" t="s">
        <v>20</v>
      </c>
      <c r="I214" s="2" t="s">
        <v>451</v>
      </c>
      <c r="J214" s="2">
        <v>58</v>
      </c>
    </row>
    <row r="215" spans="1:10" x14ac:dyDescent="0.3">
      <c r="A215" s="2" t="s">
        <v>452</v>
      </c>
      <c r="B215" s="2" t="s">
        <v>51</v>
      </c>
      <c r="C215" s="2" t="s">
        <v>12</v>
      </c>
      <c r="D215" s="2" t="s">
        <v>13</v>
      </c>
      <c r="E215" s="2">
        <v>18</v>
      </c>
      <c r="F215" s="2">
        <v>9</v>
      </c>
      <c r="G215" s="2" t="s">
        <v>32</v>
      </c>
      <c r="H215" s="2" t="s">
        <v>76</v>
      </c>
      <c r="I215" s="2" t="s">
        <v>453</v>
      </c>
      <c r="J215" s="2">
        <v>35</v>
      </c>
    </row>
    <row r="216" spans="1:10" x14ac:dyDescent="0.3">
      <c r="A216" s="2" t="s">
        <v>454</v>
      </c>
      <c r="B216" s="2" t="s">
        <v>29</v>
      </c>
      <c r="C216" s="2" t="s">
        <v>12</v>
      </c>
      <c r="D216" s="2" t="s">
        <v>31</v>
      </c>
      <c r="E216" s="2">
        <v>16</v>
      </c>
      <c r="F216" s="2">
        <v>11</v>
      </c>
      <c r="G216" s="2" t="s">
        <v>43</v>
      </c>
      <c r="H216" s="2" t="s">
        <v>61</v>
      </c>
      <c r="I216" s="2" t="s">
        <v>385</v>
      </c>
      <c r="J216" s="2">
        <v>40</v>
      </c>
    </row>
    <row r="217" spans="1:10" x14ac:dyDescent="0.3">
      <c r="A217" s="2" t="s">
        <v>455</v>
      </c>
      <c r="B217" s="2" t="s">
        <v>29</v>
      </c>
      <c r="C217" s="2" t="s">
        <v>30</v>
      </c>
      <c r="D217" s="2" t="s">
        <v>13</v>
      </c>
      <c r="E217" s="2">
        <v>16</v>
      </c>
      <c r="F217" s="2">
        <v>9</v>
      </c>
      <c r="G217" s="2" t="s">
        <v>14</v>
      </c>
      <c r="H217" s="2" t="s">
        <v>61</v>
      </c>
      <c r="I217" s="2" t="s">
        <v>447</v>
      </c>
      <c r="J217" s="2">
        <v>60</v>
      </c>
    </row>
    <row r="218" spans="1:10" x14ac:dyDescent="0.3">
      <c r="A218" s="2" t="s">
        <v>456</v>
      </c>
      <c r="B218" s="2" t="s">
        <v>11</v>
      </c>
      <c r="C218" s="2" t="s">
        <v>55</v>
      </c>
      <c r="D218" s="2" t="s">
        <v>13</v>
      </c>
      <c r="E218" s="2">
        <v>15</v>
      </c>
      <c r="F218" s="2">
        <v>9</v>
      </c>
      <c r="G218" s="2" t="s">
        <v>32</v>
      </c>
      <c r="H218" s="2" t="s">
        <v>61</v>
      </c>
      <c r="I218" s="2" t="s">
        <v>457</v>
      </c>
      <c r="J218" s="2">
        <v>97</v>
      </c>
    </row>
    <row r="219" spans="1:10" x14ac:dyDescent="0.3">
      <c r="A219" s="2" t="s">
        <v>458</v>
      </c>
      <c r="B219" s="2" t="s">
        <v>11</v>
      </c>
      <c r="C219" s="2" t="s">
        <v>55</v>
      </c>
      <c r="D219" s="2" t="s">
        <v>13</v>
      </c>
      <c r="E219" s="2">
        <v>19</v>
      </c>
      <c r="F219" s="2">
        <v>11</v>
      </c>
      <c r="G219" s="2" t="s">
        <v>14</v>
      </c>
      <c r="H219" s="2" t="s">
        <v>46</v>
      </c>
      <c r="I219" s="2" t="s">
        <v>459</v>
      </c>
      <c r="J219" s="2">
        <v>81</v>
      </c>
    </row>
    <row r="220" spans="1:10" x14ac:dyDescent="0.3">
      <c r="A220" s="2" t="s">
        <v>460</v>
      </c>
      <c r="B220" s="2" t="s">
        <v>51</v>
      </c>
      <c r="C220" s="2" t="s">
        <v>96</v>
      </c>
      <c r="D220" s="2" t="s">
        <v>31</v>
      </c>
      <c r="E220" s="2">
        <v>16</v>
      </c>
      <c r="F220" s="2">
        <v>12</v>
      </c>
      <c r="G220" s="2" t="s">
        <v>43</v>
      </c>
      <c r="H220" s="2" t="s">
        <v>15</v>
      </c>
      <c r="I220" s="2" t="s">
        <v>461</v>
      </c>
      <c r="J220" s="2">
        <v>65</v>
      </c>
    </row>
    <row r="221" spans="1:10" x14ac:dyDescent="0.3">
      <c r="A221" s="2" t="s">
        <v>462</v>
      </c>
      <c r="B221" s="2" t="s">
        <v>11</v>
      </c>
      <c r="C221" s="2" t="s">
        <v>24</v>
      </c>
      <c r="D221" s="2" t="s">
        <v>31</v>
      </c>
      <c r="E221" s="2">
        <v>19</v>
      </c>
      <c r="F221" s="2">
        <v>12</v>
      </c>
      <c r="G221" s="2" t="s">
        <v>43</v>
      </c>
      <c r="H221" s="2" t="s">
        <v>37</v>
      </c>
      <c r="I221" s="2" t="s">
        <v>463</v>
      </c>
      <c r="J221" s="2">
        <v>45</v>
      </c>
    </row>
    <row r="222" spans="1:10" x14ac:dyDescent="0.3">
      <c r="A222" s="2" t="s">
        <v>464</v>
      </c>
      <c r="B222" s="2" t="s">
        <v>11</v>
      </c>
      <c r="C222" s="2" t="s">
        <v>36</v>
      </c>
      <c r="D222" s="2" t="s">
        <v>13</v>
      </c>
      <c r="E222" s="2">
        <v>16</v>
      </c>
      <c r="F222" s="2">
        <v>11</v>
      </c>
      <c r="G222" s="2" t="s">
        <v>25</v>
      </c>
      <c r="H222" s="2" t="s">
        <v>40</v>
      </c>
      <c r="I222" s="2" t="s">
        <v>465</v>
      </c>
      <c r="J222" s="2">
        <v>79</v>
      </c>
    </row>
    <row r="223" spans="1:10" x14ac:dyDescent="0.3">
      <c r="A223" s="2" t="s">
        <v>466</v>
      </c>
      <c r="B223" s="2" t="s">
        <v>11</v>
      </c>
      <c r="C223" s="2" t="s">
        <v>55</v>
      </c>
      <c r="D223" s="2" t="s">
        <v>31</v>
      </c>
      <c r="E223" s="2">
        <v>20</v>
      </c>
      <c r="F223" s="2">
        <v>11</v>
      </c>
      <c r="G223" s="2" t="s">
        <v>32</v>
      </c>
      <c r="H223" s="2" t="s">
        <v>40</v>
      </c>
      <c r="I223" s="2" t="s">
        <v>467</v>
      </c>
      <c r="J223" s="2">
        <v>46</v>
      </c>
    </row>
    <row r="224" spans="1:10" x14ac:dyDescent="0.3">
      <c r="A224" s="2" t="s">
        <v>468</v>
      </c>
      <c r="B224" s="2" t="s">
        <v>73</v>
      </c>
      <c r="C224" s="2" t="s">
        <v>12</v>
      </c>
      <c r="D224" s="2" t="s">
        <v>13</v>
      </c>
      <c r="E224" s="2">
        <v>17</v>
      </c>
      <c r="F224" s="2">
        <v>10</v>
      </c>
      <c r="G224" s="2" t="s">
        <v>43</v>
      </c>
      <c r="H224" s="2" t="s">
        <v>15</v>
      </c>
      <c r="I224" s="2" t="s">
        <v>469</v>
      </c>
      <c r="J224" s="2">
        <v>75</v>
      </c>
    </row>
    <row r="225" spans="1:10" x14ac:dyDescent="0.3">
      <c r="A225" s="2" t="s">
        <v>470</v>
      </c>
      <c r="B225" s="2" t="s">
        <v>35</v>
      </c>
      <c r="C225" s="2" t="s">
        <v>96</v>
      </c>
      <c r="D225" s="2" t="s">
        <v>31</v>
      </c>
      <c r="E225" s="2">
        <v>16</v>
      </c>
      <c r="F225" s="2">
        <v>11</v>
      </c>
      <c r="G225" s="2" t="s">
        <v>32</v>
      </c>
      <c r="H225" s="2" t="s">
        <v>61</v>
      </c>
      <c r="I225" s="2" t="s">
        <v>471</v>
      </c>
      <c r="J225" s="2">
        <v>65</v>
      </c>
    </row>
    <row r="226" spans="1:10" x14ac:dyDescent="0.3">
      <c r="A226" s="2" t="s">
        <v>472</v>
      </c>
      <c r="B226" s="2" t="s">
        <v>84</v>
      </c>
      <c r="C226" s="2" t="s">
        <v>79</v>
      </c>
      <c r="D226" s="2" t="s">
        <v>31</v>
      </c>
      <c r="E226" s="2">
        <v>15</v>
      </c>
      <c r="F226" s="2">
        <v>11</v>
      </c>
      <c r="G226" s="2" t="s">
        <v>14</v>
      </c>
      <c r="H226" s="2" t="s">
        <v>40</v>
      </c>
      <c r="I226" s="2" t="s">
        <v>317</v>
      </c>
      <c r="J226" s="2">
        <v>72</v>
      </c>
    </row>
    <row r="227" spans="1:10" x14ac:dyDescent="0.3">
      <c r="A227" s="2" t="s">
        <v>473</v>
      </c>
      <c r="B227" s="2" t="s">
        <v>18</v>
      </c>
      <c r="C227" s="2" t="s">
        <v>19</v>
      </c>
      <c r="D227" s="2" t="s">
        <v>31</v>
      </c>
      <c r="E227" s="2">
        <v>16</v>
      </c>
      <c r="F227" s="2">
        <v>11</v>
      </c>
      <c r="G227" s="2" t="s">
        <v>14</v>
      </c>
      <c r="H227" s="2" t="s">
        <v>61</v>
      </c>
      <c r="I227" s="2" t="s">
        <v>474</v>
      </c>
      <c r="J227" s="2">
        <v>75</v>
      </c>
    </row>
    <row r="228" spans="1:10" x14ac:dyDescent="0.3">
      <c r="A228" s="2" t="s">
        <v>475</v>
      </c>
      <c r="B228" s="2" t="s">
        <v>35</v>
      </c>
      <c r="C228" s="2" t="s">
        <v>79</v>
      </c>
      <c r="D228" s="2" t="s">
        <v>13</v>
      </c>
      <c r="E228" s="2">
        <v>17</v>
      </c>
      <c r="F228" s="2">
        <v>9</v>
      </c>
      <c r="G228" s="2" t="s">
        <v>32</v>
      </c>
      <c r="H228" s="2" t="s">
        <v>15</v>
      </c>
      <c r="I228" s="2" t="s">
        <v>248</v>
      </c>
      <c r="J228" s="2">
        <v>50</v>
      </c>
    </row>
    <row r="229" spans="1:10" x14ac:dyDescent="0.3">
      <c r="A229" s="2" t="s">
        <v>476</v>
      </c>
      <c r="B229" s="2" t="s">
        <v>29</v>
      </c>
      <c r="C229" s="2" t="s">
        <v>55</v>
      </c>
      <c r="D229" s="2" t="s">
        <v>13</v>
      </c>
      <c r="E229" s="2">
        <v>19</v>
      </c>
      <c r="F229" s="2">
        <v>10</v>
      </c>
      <c r="G229" s="2" t="s">
        <v>43</v>
      </c>
      <c r="H229" s="2" t="s">
        <v>26</v>
      </c>
      <c r="I229" s="2" t="s">
        <v>477</v>
      </c>
      <c r="J229" s="2">
        <v>88</v>
      </c>
    </row>
    <row r="230" spans="1:10" x14ac:dyDescent="0.3">
      <c r="A230" s="2" t="s">
        <v>478</v>
      </c>
      <c r="B230" s="2" t="s">
        <v>11</v>
      </c>
      <c r="C230" s="2" t="s">
        <v>36</v>
      </c>
      <c r="D230" s="2" t="s">
        <v>13</v>
      </c>
      <c r="E230" s="2">
        <v>17</v>
      </c>
      <c r="F230" s="2">
        <v>12</v>
      </c>
      <c r="G230" s="2" t="s">
        <v>14</v>
      </c>
      <c r="H230" s="2" t="s">
        <v>37</v>
      </c>
      <c r="I230" s="2" t="s">
        <v>479</v>
      </c>
      <c r="J230" s="2">
        <v>63</v>
      </c>
    </row>
    <row r="231" spans="1:10" x14ac:dyDescent="0.3">
      <c r="A231" s="2" t="s">
        <v>480</v>
      </c>
      <c r="B231" s="2" t="s">
        <v>35</v>
      </c>
      <c r="C231" s="2" t="s">
        <v>12</v>
      </c>
      <c r="D231" s="2" t="s">
        <v>31</v>
      </c>
      <c r="E231" s="2">
        <v>18</v>
      </c>
      <c r="F231" s="2">
        <v>10</v>
      </c>
      <c r="G231" s="2" t="s">
        <v>14</v>
      </c>
      <c r="H231" s="2" t="s">
        <v>37</v>
      </c>
      <c r="I231" s="2" t="s">
        <v>481</v>
      </c>
      <c r="J231" s="2">
        <v>36</v>
      </c>
    </row>
    <row r="232" spans="1:10" x14ac:dyDescent="0.3">
      <c r="A232" s="2" t="s">
        <v>482</v>
      </c>
      <c r="B232" s="2" t="s">
        <v>35</v>
      </c>
      <c r="C232" s="2" t="s">
        <v>24</v>
      </c>
      <c r="D232" s="2" t="s">
        <v>13</v>
      </c>
      <c r="E232" s="2">
        <v>18</v>
      </c>
      <c r="F232" s="2">
        <v>11</v>
      </c>
      <c r="G232" s="2" t="s">
        <v>14</v>
      </c>
      <c r="H232" s="2" t="s">
        <v>61</v>
      </c>
      <c r="I232" s="2" t="s">
        <v>483</v>
      </c>
      <c r="J232" s="2">
        <v>86</v>
      </c>
    </row>
    <row r="233" spans="1:10" x14ac:dyDescent="0.3">
      <c r="A233" s="2" t="s">
        <v>484</v>
      </c>
      <c r="B233" s="2" t="s">
        <v>29</v>
      </c>
      <c r="C233" s="2" t="s">
        <v>79</v>
      </c>
      <c r="D233" s="2" t="s">
        <v>31</v>
      </c>
      <c r="E233" s="2">
        <v>14</v>
      </c>
      <c r="F233" s="2">
        <v>11</v>
      </c>
      <c r="G233" s="2" t="s">
        <v>32</v>
      </c>
      <c r="H233" s="2" t="s">
        <v>40</v>
      </c>
      <c r="I233" s="2" t="s">
        <v>184</v>
      </c>
      <c r="J233" s="2">
        <v>42</v>
      </c>
    </row>
    <row r="234" spans="1:10" x14ac:dyDescent="0.3">
      <c r="A234" s="2" t="s">
        <v>485</v>
      </c>
      <c r="B234" s="2" t="s">
        <v>18</v>
      </c>
      <c r="C234" s="2" t="s">
        <v>12</v>
      </c>
      <c r="D234" s="2" t="s">
        <v>31</v>
      </c>
      <c r="E234" s="2">
        <v>16</v>
      </c>
      <c r="F234" s="2">
        <v>12</v>
      </c>
      <c r="G234" s="2" t="s">
        <v>14</v>
      </c>
      <c r="H234" s="2" t="s">
        <v>76</v>
      </c>
      <c r="I234" s="2" t="s">
        <v>486</v>
      </c>
      <c r="J234" s="2">
        <v>70</v>
      </c>
    </row>
    <row r="235" spans="1:10" x14ac:dyDescent="0.3">
      <c r="A235" s="2" t="s">
        <v>487</v>
      </c>
      <c r="B235" s="2" t="s">
        <v>18</v>
      </c>
      <c r="C235" s="2" t="s">
        <v>79</v>
      </c>
      <c r="D235" s="2" t="s">
        <v>13</v>
      </c>
      <c r="E235" s="2">
        <v>16</v>
      </c>
      <c r="F235" s="2">
        <v>11</v>
      </c>
      <c r="G235" s="2" t="s">
        <v>43</v>
      </c>
      <c r="H235" s="2" t="s">
        <v>61</v>
      </c>
      <c r="I235" s="2" t="s">
        <v>488</v>
      </c>
      <c r="J235" s="2">
        <v>86</v>
      </c>
    </row>
    <row r="236" spans="1:10" x14ac:dyDescent="0.3">
      <c r="A236" s="2" t="s">
        <v>489</v>
      </c>
      <c r="B236" s="2" t="s">
        <v>68</v>
      </c>
      <c r="C236" s="2" t="s">
        <v>58</v>
      </c>
      <c r="D236" s="2" t="s">
        <v>31</v>
      </c>
      <c r="E236" s="2">
        <v>20</v>
      </c>
      <c r="F236" s="2">
        <v>10</v>
      </c>
      <c r="G236" s="2" t="s">
        <v>32</v>
      </c>
      <c r="H236" s="2" t="s">
        <v>20</v>
      </c>
      <c r="I236" s="2" t="s">
        <v>370</v>
      </c>
      <c r="J236" s="2">
        <v>93</v>
      </c>
    </row>
    <row r="237" spans="1:10" x14ac:dyDescent="0.3">
      <c r="A237" s="2" t="s">
        <v>490</v>
      </c>
      <c r="B237" s="2" t="s">
        <v>73</v>
      </c>
      <c r="C237" s="2" t="s">
        <v>96</v>
      </c>
      <c r="D237" s="2" t="s">
        <v>13</v>
      </c>
      <c r="E237" s="2">
        <v>17</v>
      </c>
      <c r="F237" s="2">
        <v>10</v>
      </c>
      <c r="G237" s="2" t="s">
        <v>32</v>
      </c>
      <c r="H237" s="2" t="s">
        <v>61</v>
      </c>
      <c r="I237" s="2" t="s">
        <v>491</v>
      </c>
      <c r="J237" s="2">
        <v>60</v>
      </c>
    </row>
    <row r="238" spans="1:10" x14ac:dyDescent="0.3">
      <c r="A238" s="2" t="s">
        <v>492</v>
      </c>
      <c r="B238" s="2" t="s">
        <v>18</v>
      </c>
      <c r="C238" s="2" t="s">
        <v>85</v>
      </c>
      <c r="D238" s="2" t="s">
        <v>31</v>
      </c>
      <c r="E238" s="2">
        <v>19</v>
      </c>
      <c r="F238" s="2">
        <v>11</v>
      </c>
      <c r="G238" s="2" t="s">
        <v>43</v>
      </c>
      <c r="H238" s="2" t="s">
        <v>15</v>
      </c>
      <c r="I238" s="2" t="s">
        <v>394</v>
      </c>
      <c r="J238" s="2">
        <v>50</v>
      </c>
    </row>
    <row r="239" spans="1:10" x14ac:dyDescent="0.3">
      <c r="A239" s="2" t="s">
        <v>493</v>
      </c>
      <c r="B239" s="2" t="s">
        <v>51</v>
      </c>
      <c r="C239" s="2" t="s">
        <v>96</v>
      </c>
      <c r="D239" s="2" t="s">
        <v>31</v>
      </c>
      <c r="E239" s="2">
        <v>14</v>
      </c>
      <c r="F239" s="2">
        <v>12</v>
      </c>
      <c r="G239" s="2" t="s">
        <v>14</v>
      </c>
      <c r="H239" s="2" t="s">
        <v>26</v>
      </c>
      <c r="I239" s="2" t="s">
        <v>494</v>
      </c>
      <c r="J239" s="2">
        <v>47</v>
      </c>
    </row>
    <row r="240" spans="1:10" x14ac:dyDescent="0.3">
      <c r="A240" s="2" t="s">
        <v>495</v>
      </c>
      <c r="B240" s="2" t="s">
        <v>35</v>
      </c>
      <c r="C240" s="2" t="s">
        <v>12</v>
      </c>
      <c r="D240" s="2" t="s">
        <v>13</v>
      </c>
      <c r="E240" s="2">
        <v>15</v>
      </c>
      <c r="F240" s="2">
        <v>12</v>
      </c>
      <c r="G240" s="2" t="s">
        <v>43</v>
      </c>
      <c r="H240" s="2" t="s">
        <v>20</v>
      </c>
      <c r="I240" s="2" t="s">
        <v>496</v>
      </c>
      <c r="J240" s="2">
        <v>49</v>
      </c>
    </row>
    <row r="241" spans="1:10" x14ac:dyDescent="0.3">
      <c r="A241" s="2" t="s">
        <v>497</v>
      </c>
      <c r="B241" s="2" t="s">
        <v>51</v>
      </c>
      <c r="C241" s="2" t="s">
        <v>96</v>
      </c>
      <c r="D241" s="2" t="s">
        <v>13</v>
      </c>
      <c r="E241" s="2">
        <v>16</v>
      </c>
      <c r="F241" s="2">
        <v>9</v>
      </c>
      <c r="G241" s="2" t="s">
        <v>25</v>
      </c>
      <c r="H241" s="2" t="s">
        <v>26</v>
      </c>
      <c r="I241" s="2" t="s">
        <v>498</v>
      </c>
      <c r="J241" s="2">
        <v>42</v>
      </c>
    </row>
    <row r="242" spans="1:10" x14ac:dyDescent="0.3">
      <c r="A242" s="2" t="s">
        <v>499</v>
      </c>
      <c r="B242" s="2" t="s">
        <v>54</v>
      </c>
      <c r="C242" s="2" t="s">
        <v>19</v>
      </c>
      <c r="D242" s="2" t="s">
        <v>31</v>
      </c>
      <c r="E242" s="2">
        <v>20</v>
      </c>
      <c r="F242" s="2">
        <v>9</v>
      </c>
      <c r="G242" s="2" t="s">
        <v>32</v>
      </c>
      <c r="H242" s="2" t="s">
        <v>46</v>
      </c>
      <c r="I242" s="2" t="s">
        <v>500</v>
      </c>
      <c r="J242" s="2">
        <v>42</v>
      </c>
    </row>
    <row r="243" spans="1:10" x14ac:dyDescent="0.3">
      <c r="A243" s="2" t="s">
        <v>501</v>
      </c>
      <c r="B243" s="2" t="s">
        <v>84</v>
      </c>
      <c r="C243" s="2" t="s">
        <v>19</v>
      </c>
      <c r="D243" s="2" t="s">
        <v>13</v>
      </c>
      <c r="E243" s="2">
        <v>18</v>
      </c>
      <c r="F243" s="2">
        <v>10</v>
      </c>
      <c r="G243" s="2" t="s">
        <v>14</v>
      </c>
      <c r="H243" s="2" t="s">
        <v>61</v>
      </c>
      <c r="I243" s="2" t="s">
        <v>502</v>
      </c>
      <c r="J243" s="2">
        <v>76</v>
      </c>
    </row>
    <row r="244" spans="1:10" x14ac:dyDescent="0.3">
      <c r="A244" s="2" t="s">
        <v>503</v>
      </c>
      <c r="B244" s="2" t="s">
        <v>84</v>
      </c>
      <c r="C244" s="2" t="s">
        <v>19</v>
      </c>
      <c r="D244" s="2" t="s">
        <v>31</v>
      </c>
      <c r="E244" s="2">
        <v>15</v>
      </c>
      <c r="F244" s="2">
        <v>10</v>
      </c>
      <c r="G244" s="2" t="s">
        <v>43</v>
      </c>
      <c r="H244" s="2" t="s">
        <v>61</v>
      </c>
      <c r="I244" s="2" t="s">
        <v>504</v>
      </c>
      <c r="J244" s="2">
        <v>44</v>
      </c>
    </row>
    <row r="245" spans="1:10" x14ac:dyDescent="0.3">
      <c r="A245" s="2" t="s">
        <v>505</v>
      </c>
      <c r="B245" s="2" t="s">
        <v>11</v>
      </c>
      <c r="C245" s="2" t="s">
        <v>12</v>
      </c>
      <c r="D245" s="2" t="s">
        <v>31</v>
      </c>
      <c r="E245" s="2">
        <v>19</v>
      </c>
      <c r="F245" s="2">
        <v>10</v>
      </c>
      <c r="G245" s="2" t="s">
        <v>14</v>
      </c>
      <c r="H245" s="2" t="s">
        <v>40</v>
      </c>
      <c r="I245" s="2" t="s">
        <v>506</v>
      </c>
      <c r="J245" s="2">
        <v>77</v>
      </c>
    </row>
    <row r="246" spans="1:10" x14ac:dyDescent="0.3">
      <c r="A246" s="2" t="s">
        <v>507</v>
      </c>
      <c r="B246" s="2" t="s">
        <v>54</v>
      </c>
      <c r="C246" s="2" t="s">
        <v>12</v>
      </c>
      <c r="D246" s="2" t="s">
        <v>31</v>
      </c>
      <c r="E246" s="2">
        <v>16</v>
      </c>
      <c r="F246" s="2">
        <v>12</v>
      </c>
      <c r="G246" s="2" t="s">
        <v>43</v>
      </c>
      <c r="H246" s="2" t="s">
        <v>61</v>
      </c>
      <c r="I246" s="2" t="s">
        <v>483</v>
      </c>
      <c r="J246" s="2">
        <v>45</v>
      </c>
    </row>
    <row r="247" spans="1:10" x14ac:dyDescent="0.3">
      <c r="A247" s="2" t="s">
        <v>508</v>
      </c>
      <c r="B247" s="2" t="s">
        <v>73</v>
      </c>
      <c r="C247" s="2" t="s">
        <v>55</v>
      </c>
      <c r="D247" s="2" t="s">
        <v>13</v>
      </c>
      <c r="E247" s="2">
        <v>15</v>
      </c>
      <c r="F247" s="2">
        <v>11</v>
      </c>
      <c r="G247" s="2" t="s">
        <v>43</v>
      </c>
      <c r="H247" s="2" t="s">
        <v>46</v>
      </c>
      <c r="I247" s="2" t="s">
        <v>509</v>
      </c>
      <c r="J247" s="2">
        <v>54</v>
      </c>
    </row>
    <row r="248" spans="1:10" x14ac:dyDescent="0.3">
      <c r="A248" s="2" t="s">
        <v>510</v>
      </c>
      <c r="B248" s="2" t="s">
        <v>54</v>
      </c>
      <c r="C248" s="2" t="s">
        <v>79</v>
      </c>
      <c r="D248" s="2" t="s">
        <v>31</v>
      </c>
      <c r="E248" s="2">
        <v>15</v>
      </c>
      <c r="F248" s="2">
        <v>9</v>
      </c>
      <c r="G248" s="2" t="s">
        <v>14</v>
      </c>
      <c r="H248" s="2" t="s">
        <v>40</v>
      </c>
      <c r="I248" s="2" t="s">
        <v>479</v>
      </c>
      <c r="J248" s="2">
        <v>66</v>
      </c>
    </row>
    <row r="249" spans="1:10" x14ac:dyDescent="0.3">
      <c r="A249" s="2" t="s">
        <v>511</v>
      </c>
      <c r="B249" s="2" t="s">
        <v>35</v>
      </c>
      <c r="C249" s="2" t="s">
        <v>19</v>
      </c>
      <c r="D249" s="2" t="s">
        <v>31</v>
      </c>
      <c r="E249" s="2">
        <v>15</v>
      </c>
      <c r="F249" s="2">
        <v>9</v>
      </c>
      <c r="G249" s="2" t="s">
        <v>25</v>
      </c>
      <c r="H249" s="2" t="s">
        <v>15</v>
      </c>
      <c r="I249" s="2" t="s">
        <v>512</v>
      </c>
      <c r="J249" s="2">
        <v>95</v>
      </c>
    </row>
    <row r="250" spans="1:10" x14ac:dyDescent="0.3">
      <c r="A250" s="2" t="s">
        <v>513</v>
      </c>
      <c r="B250" s="2" t="s">
        <v>11</v>
      </c>
      <c r="C250" s="2" t="s">
        <v>19</v>
      </c>
      <c r="D250" s="2" t="s">
        <v>31</v>
      </c>
      <c r="E250" s="2">
        <v>14</v>
      </c>
      <c r="F250" s="2">
        <v>12</v>
      </c>
      <c r="G250" s="2" t="s">
        <v>32</v>
      </c>
      <c r="H250" s="2" t="s">
        <v>15</v>
      </c>
      <c r="I250" s="2" t="s">
        <v>381</v>
      </c>
      <c r="J250" s="2">
        <v>65</v>
      </c>
    </row>
    <row r="251" spans="1:10" x14ac:dyDescent="0.3">
      <c r="A251" s="2" t="s">
        <v>514</v>
      </c>
      <c r="B251" s="2" t="s">
        <v>11</v>
      </c>
      <c r="C251" s="2" t="s">
        <v>12</v>
      </c>
      <c r="D251" s="2" t="s">
        <v>31</v>
      </c>
      <c r="E251" s="2">
        <v>15</v>
      </c>
      <c r="F251" s="2">
        <v>11</v>
      </c>
      <c r="G251" s="2" t="s">
        <v>25</v>
      </c>
      <c r="H251" s="2" t="s">
        <v>20</v>
      </c>
      <c r="I251" s="2" t="s">
        <v>515</v>
      </c>
      <c r="J251" s="2">
        <v>61</v>
      </c>
    </row>
    <row r="252" spans="1:10" x14ac:dyDescent="0.3">
      <c r="A252" s="2" t="s">
        <v>516</v>
      </c>
      <c r="B252" s="2" t="s">
        <v>18</v>
      </c>
      <c r="C252" s="2" t="s">
        <v>96</v>
      </c>
      <c r="D252" s="2" t="s">
        <v>31</v>
      </c>
      <c r="E252" s="2">
        <v>14</v>
      </c>
      <c r="F252" s="2">
        <v>11</v>
      </c>
      <c r="G252" s="2" t="s">
        <v>32</v>
      </c>
      <c r="H252" s="2" t="s">
        <v>46</v>
      </c>
      <c r="I252" s="2" t="s">
        <v>517</v>
      </c>
      <c r="J252" s="2">
        <v>86</v>
      </c>
    </row>
    <row r="253" spans="1:10" x14ac:dyDescent="0.3">
      <c r="A253" s="2" t="s">
        <v>518</v>
      </c>
      <c r="B253" s="2" t="s">
        <v>51</v>
      </c>
      <c r="C253" s="2" t="s">
        <v>96</v>
      </c>
      <c r="D253" s="2" t="s">
        <v>31</v>
      </c>
      <c r="E253" s="2">
        <v>17</v>
      </c>
      <c r="F253" s="2">
        <v>11</v>
      </c>
      <c r="G253" s="2" t="s">
        <v>25</v>
      </c>
      <c r="H253" s="2" t="s">
        <v>61</v>
      </c>
      <c r="I253" s="2" t="s">
        <v>519</v>
      </c>
      <c r="J253" s="2">
        <v>52</v>
      </c>
    </row>
    <row r="254" spans="1:10" x14ac:dyDescent="0.3">
      <c r="A254" s="2" t="s">
        <v>520</v>
      </c>
      <c r="B254" s="2" t="s">
        <v>68</v>
      </c>
      <c r="C254" s="2" t="s">
        <v>12</v>
      </c>
      <c r="D254" s="2" t="s">
        <v>31</v>
      </c>
      <c r="E254" s="2">
        <v>20</v>
      </c>
      <c r="F254" s="2">
        <v>10</v>
      </c>
      <c r="G254" s="2" t="s">
        <v>32</v>
      </c>
      <c r="H254" s="2" t="s">
        <v>26</v>
      </c>
      <c r="I254" s="2" t="s">
        <v>521</v>
      </c>
      <c r="J254" s="2">
        <v>42</v>
      </c>
    </row>
    <row r="255" spans="1:10" x14ac:dyDescent="0.3">
      <c r="A255" s="2" t="s">
        <v>522</v>
      </c>
      <c r="B255" s="2" t="s">
        <v>54</v>
      </c>
      <c r="C255" s="2" t="s">
        <v>79</v>
      </c>
      <c r="D255" s="2" t="s">
        <v>31</v>
      </c>
      <c r="E255" s="2">
        <v>18</v>
      </c>
      <c r="F255" s="2">
        <v>10</v>
      </c>
      <c r="G255" s="2" t="s">
        <v>14</v>
      </c>
      <c r="H255" s="2" t="s">
        <v>61</v>
      </c>
      <c r="I255" s="2" t="s">
        <v>523</v>
      </c>
      <c r="J255" s="2">
        <v>82</v>
      </c>
    </row>
    <row r="256" spans="1:10" x14ac:dyDescent="0.3">
      <c r="A256" s="2" t="s">
        <v>524</v>
      </c>
      <c r="B256" s="2" t="s">
        <v>35</v>
      </c>
      <c r="C256" s="2" t="s">
        <v>85</v>
      </c>
      <c r="D256" s="2" t="s">
        <v>13</v>
      </c>
      <c r="E256" s="2">
        <v>20</v>
      </c>
      <c r="F256" s="2">
        <v>10</v>
      </c>
      <c r="G256" s="2" t="s">
        <v>14</v>
      </c>
      <c r="H256" s="2" t="s">
        <v>40</v>
      </c>
      <c r="I256" s="2" t="s">
        <v>525</v>
      </c>
      <c r="J256" s="2">
        <v>92</v>
      </c>
    </row>
    <row r="257" spans="1:10" x14ac:dyDescent="0.3">
      <c r="A257" s="2" t="s">
        <v>526</v>
      </c>
      <c r="B257" s="2" t="s">
        <v>18</v>
      </c>
      <c r="C257" s="2" t="s">
        <v>12</v>
      </c>
      <c r="D257" s="2" t="s">
        <v>31</v>
      </c>
      <c r="E257" s="2">
        <v>18</v>
      </c>
      <c r="F257" s="2">
        <v>9</v>
      </c>
      <c r="G257" s="2" t="s">
        <v>14</v>
      </c>
      <c r="H257" s="2" t="s">
        <v>15</v>
      </c>
      <c r="I257" s="2" t="s">
        <v>346</v>
      </c>
      <c r="J257" s="2">
        <v>59</v>
      </c>
    </row>
    <row r="258" spans="1:10" x14ac:dyDescent="0.3">
      <c r="A258" s="2" t="s">
        <v>527</v>
      </c>
      <c r="B258" s="2" t="s">
        <v>11</v>
      </c>
      <c r="C258" s="2" t="s">
        <v>85</v>
      </c>
      <c r="D258" s="2" t="s">
        <v>13</v>
      </c>
      <c r="E258" s="2">
        <v>20</v>
      </c>
      <c r="F258" s="2">
        <v>12</v>
      </c>
      <c r="G258" s="2" t="s">
        <v>25</v>
      </c>
      <c r="H258" s="2" t="s">
        <v>46</v>
      </c>
      <c r="I258" s="2" t="s">
        <v>451</v>
      </c>
      <c r="J258" s="2">
        <v>86</v>
      </c>
    </row>
    <row r="259" spans="1:10" x14ac:dyDescent="0.3">
      <c r="A259" s="2" t="s">
        <v>528</v>
      </c>
      <c r="B259" s="2" t="s">
        <v>51</v>
      </c>
      <c r="C259" s="2" t="s">
        <v>19</v>
      </c>
      <c r="D259" s="2" t="s">
        <v>13</v>
      </c>
      <c r="E259" s="2">
        <v>19</v>
      </c>
      <c r="F259" s="2">
        <v>9</v>
      </c>
      <c r="G259" s="2" t="s">
        <v>43</v>
      </c>
      <c r="H259" s="2" t="s">
        <v>46</v>
      </c>
      <c r="I259" s="2" t="s">
        <v>222</v>
      </c>
      <c r="J259" s="2">
        <v>46</v>
      </c>
    </row>
    <row r="260" spans="1:10" x14ac:dyDescent="0.3">
      <c r="A260" s="2" t="s">
        <v>529</v>
      </c>
      <c r="B260" s="2" t="s">
        <v>84</v>
      </c>
      <c r="C260" s="2" t="s">
        <v>24</v>
      </c>
      <c r="D260" s="2" t="s">
        <v>31</v>
      </c>
      <c r="E260" s="2">
        <v>20</v>
      </c>
      <c r="F260" s="2">
        <v>12</v>
      </c>
      <c r="G260" s="2" t="s">
        <v>25</v>
      </c>
      <c r="H260" s="2" t="s">
        <v>76</v>
      </c>
      <c r="I260" s="2" t="s">
        <v>186</v>
      </c>
      <c r="J260" s="2">
        <v>51</v>
      </c>
    </row>
    <row r="261" spans="1:10" x14ac:dyDescent="0.3">
      <c r="A261" s="2" t="s">
        <v>530</v>
      </c>
      <c r="B261" s="2" t="s">
        <v>54</v>
      </c>
      <c r="C261" s="2" t="s">
        <v>58</v>
      </c>
      <c r="D261" s="2" t="s">
        <v>13</v>
      </c>
      <c r="E261" s="2">
        <v>17</v>
      </c>
      <c r="F261" s="2">
        <v>10</v>
      </c>
      <c r="G261" s="2" t="s">
        <v>32</v>
      </c>
      <c r="H261" s="2" t="s">
        <v>15</v>
      </c>
      <c r="I261" s="2" t="s">
        <v>64</v>
      </c>
      <c r="J261" s="2">
        <v>46</v>
      </c>
    </row>
    <row r="262" spans="1:10" x14ac:dyDescent="0.3">
      <c r="A262" s="2" t="s">
        <v>531</v>
      </c>
      <c r="B262" s="2" t="s">
        <v>23</v>
      </c>
      <c r="C262" s="2" t="s">
        <v>36</v>
      </c>
      <c r="D262" s="2" t="s">
        <v>13</v>
      </c>
      <c r="E262" s="2">
        <v>20</v>
      </c>
      <c r="F262" s="2">
        <v>11</v>
      </c>
      <c r="G262" s="2" t="s">
        <v>43</v>
      </c>
      <c r="H262" s="2" t="s">
        <v>20</v>
      </c>
      <c r="I262" s="2" t="s">
        <v>178</v>
      </c>
      <c r="J262" s="2">
        <v>44</v>
      </c>
    </row>
    <row r="263" spans="1:10" x14ac:dyDescent="0.3">
      <c r="A263" s="2" t="s">
        <v>532</v>
      </c>
      <c r="B263" s="2" t="s">
        <v>51</v>
      </c>
      <c r="C263" s="2" t="s">
        <v>19</v>
      </c>
      <c r="D263" s="2" t="s">
        <v>31</v>
      </c>
      <c r="E263" s="2">
        <v>14</v>
      </c>
      <c r="F263" s="2">
        <v>11</v>
      </c>
      <c r="G263" s="2" t="s">
        <v>43</v>
      </c>
      <c r="H263" s="2" t="s">
        <v>20</v>
      </c>
      <c r="I263" s="2" t="s">
        <v>533</v>
      </c>
      <c r="J263" s="2">
        <v>93</v>
      </c>
    </row>
    <row r="264" spans="1:10" x14ac:dyDescent="0.3">
      <c r="A264" s="2" t="s">
        <v>534</v>
      </c>
      <c r="B264" s="2" t="s">
        <v>23</v>
      </c>
      <c r="C264" s="2" t="s">
        <v>19</v>
      </c>
      <c r="D264" s="2" t="s">
        <v>13</v>
      </c>
      <c r="E264" s="2">
        <v>20</v>
      </c>
      <c r="F264" s="2">
        <v>11</v>
      </c>
      <c r="G264" s="2" t="s">
        <v>32</v>
      </c>
      <c r="H264" s="2" t="s">
        <v>76</v>
      </c>
      <c r="I264" s="2" t="s">
        <v>358</v>
      </c>
      <c r="J264" s="2">
        <v>41</v>
      </c>
    </row>
    <row r="265" spans="1:10" x14ac:dyDescent="0.3">
      <c r="A265" s="2" t="s">
        <v>535</v>
      </c>
      <c r="B265" s="2" t="s">
        <v>84</v>
      </c>
      <c r="C265" s="2" t="s">
        <v>58</v>
      </c>
      <c r="D265" s="2" t="s">
        <v>13</v>
      </c>
      <c r="E265" s="2">
        <v>20</v>
      </c>
      <c r="F265" s="2">
        <v>9</v>
      </c>
      <c r="G265" s="2" t="s">
        <v>25</v>
      </c>
      <c r="H265" s="2" t="s">
        <v>46</v>
      </c>
      <c r="I265" s="2" t="s">
        <v>536</v>
      </c>
      <c r="J265" s="2">
        <v>58</v>
      </c>
    </row>
    <row r="266" spans="1:10" x14ac:dyDescent="0.3">
      <c r="A266" s="2" t="s">
        <v>537</v>
      </c>
      <c r="B266" s="2" t="s">
        <v>68</v>
      </c>
      <c r="C266" s="2" t="s">
        <v>36</v>
      </c>
      <c r="D266" s="2" t="s">
        <v>31</v>
      </c>
      <c r="E266" s="2">
        <v>16</v>
      </c>
      <c r="F266" s="2">
        <v>12</v>
      </c>
      <c r="G266" s="2" t="s">
        <v>25</v>
      </c>
      <c r="H266" s="2" t="s">
        <v>26</v>
      </c>
      <c r="I266" s="2" t="s">
        <v>538</v>
      </c>
      <c r="J266" s="2">
        <v>42</v>
      </c>
    </row>
    <row r="267" spans="1:10" x14ac:dyDescent="0.3">
      <c r="A267" s="2" t="s">
        <v>539</v>
      </c>
      <c r="B267" s="2" t="s">
        <v>73</v>
      </c>
      <c r="C267" s="2" t="s">
        <v>36</v>
      </c>
      <c r="D267" s="2" t="s">
        <v>31</v>
      </c>
      <c r="E267" s="2">
        <v>14</v>
      </c>
      <c r="F267" s="2">
        <v>12</v>
      </c>
      <c r="G267" s="2" t="s">
        <v>43</v>
      </c>
      <c r="H267" s="2" t="s">
        <v>61</v>
      </c>
      <c r="I267" s="2" t="s">
        <v>387</v>
      </c>
      <c r="J267" s="2">
        <v>37</v>
      </c>
    </row>
    <row r="268" spans="1:10" x14ac:dyDescent="0.3">
      <c r="A268" s="2" t="s">
        <v>540</v>
      </c>
      <c r="B268" s="2" t="s">
        <v>51</v>
      </c>
      <c r="C268" s="2" t="s">
        <v>85</v>
      </c>
      <c r="D268" s="2" t="s">
        <v>13</v>
      </c>
      <c r="E268" s="2">
        <v>18</v>
      </c>
      <c r="F268" s="2">
        <v>10</v>
      </c>
      <c r="G268" s="2" t="s">
        <v>14</v>
      </c>
      <c r="H268" s="2" t="s">
        <v>46</v>
      </c>
      <c r="I268" s="2" t="s">
        <v>541</v>
      </c>
      <c r="J268" s="2">
        <v>63</v>
      </c>
    </row>
    <row r="269" spans="1:10" x14ac:dyDescent="0.3">
      <c r="A269" s="2" t="s">
        <v>542</v>
      </c>
      <c r="B269" s="2" t="s">
        <v>84</v>
      </c>
      <c r="C269" s="2" t="s">
        <v>55</v>
      </c>
      <c r="D269" s="2" t="s">
        <v>31</v>
      </c>
      <c r="E269" s="2">
        <v>18</v>
      </c>
      <c r="F269" s="2">
        <v>12</v>
      </c>
      <c r="G269" s="2" t="s">
        <v>32</v>
      </c>
      <c r="H269" s="2" t="s">
        <v>40</v>
      </c>
      <c r="I269" s="2" t="s">
        <v>543</v>
      </c>
      <c r="J269" s="2">
        <v>51</v>
      </c>
    </row>
    <row r="270" spans="1:10" x14ac:dyDescent="0.3">
      <c r="A270" s="2" t="s">
        <v>544</v>
      </c>
      <c r="B270" s="2" t="s">
        <v>68</v>
      </c>
      <c r="C270" s="2" t="s">
        <v>19</v>
      </c>
      <c r="D270" s="2" t="s">
        <v>31</v>
      </c>
      <c r="E270" s="2">
        <v>16</v>
      </c>
      <c r="F270" s="2">
        <v>9</v>
      </c>
      <c r="G270" s="2" t="s">
        <v>14</v>
      </c>
      <c r="H270" s="2" t="s">
        <v>40</v>
      </c>
      <c r="I270" s="2" t="s">
        <v>545</v>
      </c>
      <c r="J270" s="2">
        <v>37</v>
      </c>
    </row>
    <row r="271" spans="1:10" x14ac:dyDescent="0.3">
      <c r="A271" s="2" t="s">
        <v>546</v>
      </c>
      <c r="B271" s="2" t="s">
        <v>51</v>
      </c>
      <c r="C271" s="2" t="s">
        <v>36</v>
      </c>
      <c r="D271" s="2" t="s">
        <v>31</v>
      </c>
      <c r="E271" s="2">
        <v>14</v>
      </c>
      <c r="F271" s="2">
        <v>9</v>
      </c>
      <c r="G271" s="2" t="s">
        <v>14</v>
      </c>
      <c r="H271" s="2" t="s">
        <v>46</v>
      </c>
      <c r="I271" s="2" t="s">
        <v>547</v>
      </c>
      <c r="J271" s="2">
        <v>81</v>
      </c>
    </row>
    <row r="272" spans="1:10" x14ac:dyDescent="0.3">
      <c r="A272" s="2" t="s">
        <v>548</v>
      </c>
      <c r="B272" s="2" t="s">
        <v>51</v>
      </c>
      <c r="C272" s="2" t="s">
        <v>24</v>
      </c>
      <c r="D272" s="2" t="s">
        <v>31</v>
      </c>
      <c r="E272" s="2">
        <v>15</v>
      </c>
      <c r="F272" s="2">
        <v>11</v>
      </c>
      <c r="G272" s="2" t="s">
        <v>32</v>
      </c>
      <c r="H272" s="2" t="s">
        <v>40</v>
      </c>
      <c r="I272" s="2" t="s">
        <v>549</v>
      </c>
      <c r="J272" s="2">
        <v>90</v>
      </c>
    </row>
    <row r="273" spans="1:10" x14ac:dyDescent="0.3">
      <c r="A273" s="2" t="s">
        <v>550</v>
      </c>
      <c r="B273" s="2" t="s">
        <v>73</v>
      </c>
      <c r="C273" s="2" t="s">
        <v>19</v>
      </c>
      <c r="D273" s="2" t="s">
        <v>13</v>
      </c>
      <c r="E273" s="2">
        <v>14</v>
      </c>
      <c r="F273" s="2">
        <v>11</v>
      </c>
      <c r="G273" s="2" t="s">
        <v>32</v>
      </c>
      <c r="H273" s="2" t="s">
        <v>26</v>
      </c>
      <c r="I273" s="2" t="s">
        <v>551</v>
      </c>
      <c r="J273" s="2">
        <v>90</v>
      </c>
    </row>
    <row r="274" spans="1:10" x14ac:dyDescent="0.3">
      <c r="A274" s="2" t="s">
        <v>552</v>
      </c>
      <c r="B274" s="2" t="s">
        <v>35</v>
      </c>
      <c r="C274" s="2" t="s">
        <v>30</v>
      </c>
      <c r="D274" s="2" t="s">
        <v>13</v>
      </c>
      <c r="E274" s="2">
        <v>19</v>
      </c>
      <c r="F274" s="2">
        <v>11</v>
      </c>
      <c r="G274" s="2" t="s">
        <v>14</v>
      </c>
      <c r="H274" s="2" t="s">
        <v>76</v>
      </c>
      <c r="I274" s="2" t="s">
        <v>553</v>
      </c>
      <c r="J274" s="2">
        <v>81</v>
      </c>
    </row>
    <row r="275" spans="1:10" x14ac:dyDescent="0.3">
      <c r="A275" s="2" t="s">
        <v>554</v>
      </c>
      <c r="B275" s="2" t="s">
        <v>29</v>
      </c>
      <c r="C275" s="2" t="s">
        <v>79</v>
      </c>
      <c r="D275" s="2" t="s">
        <v>13</v>
      </c>
      <c r="E275" s="2">
        <v>15</v>
      </c>
      <c r="F275" s="2">
        <v>9</v>
      </c>
      <c r="G275" s="2" t="s">
        <v>32</v>
      </c>
      <c r="H275" s="2" t="s">
        <v>76</v>
      </c>
      <c r="I275" s="2" t="s">
        <v>184</v>
      </c>
      <c r="J275" s="2">
        <v>53</v>
      </c>
    </row>
    <row r="276" spans="1:10" x14ac:dyDescent="0.3">
      <c r="A276" s="2" t="s">
        <v>555</v>
      </c>
      <c r="B276" s="2" t="s">
        <v>73</v>
      </c>
      <c r="C276" s="2" t="s">
        <v>55</v>
      </c>
      <c r="D276" s="2" t="s">
        <v>31</v>
      </c>
      <c r="E276" s="2">
        <v>16</v>
      </c>
      <c r="F276" s="2">
        <v>9</v>
      </c>
      <c r="G276" s="2" t="s">
        <v>14</v>
      </c>
      <c r="H276" s="2" t="s">
        <v>76</v>
      </c>
      <c r="I276" s="2" t="s">
        <v>556</v>
      </c>
      <c r="J276" s="2">
        <v>93</v>
      </c>
    </row>
    <row r="277" spans="1:10" x14ac:dyDescent="0.3">
      <c r="A277" s="2" t="s">
        <v>557</v>
      </c>
      <c r="B277" s="2" t="s">
        <v>23</v>
      </c>
      <c r="C277" s="2" t="s">
        <v>96</v>
      </c>
      <c r="D277" s="2" t="s">
        <v>13</v>
      </c>
      <c r="E277" s="2">
        <v>18</v>
      </c>
      <c r="F277" s="2">
        <v>11</v>
      </c>
      <c r="G277" s="2" t="s">
        <v>25</v>
      </c>
      <c r="H277" s="2" t="s">
        <v>76</v>
      </c>
      <c r="I277" s="2" t="s">
        <v>182</v>
      </c>
      <c r="J277" s="2">
        <v>77</v>
      </c>
    </row>
    <row r="278" spans="1:10" x14ac:dyDescent="0.3">
      <c r="A278" s="2" t="s">
        <v>558</v>
      </c>
      <c r="B278" s="2" t="s">
        <v>54</v>
      </c>
      <c r="C278" s="2" t="s">
        <v>30</v>
      </c>
      <c r="D278" s="2" t="s">
        <v>31</v>
      </c>
      <c r="E278" s="2">
        <v>19</v>
      </c>
      <c r="F278" s="2">
        <v>10</v>
      </c>
      <c r="G278" s="2" t="s">
        <v>43</v>
      </c>
      <c r="H278" s="2" t="s">
        <v>76</v>
      </c>
      <c r="I278" s="2" t="s">
        <v>559</v>
      </c>
      <c r="J278" s="2">
        <v>40</v>
      </c>
    </row>
    <row r="279" spans="1:10" x14ac:dyDescent="0.3">
      <c r="A279" s="2" t="s">
        <v>560</v>
      </c>
      <c r="B279" s="2" t="s">
        <v>68</v>
      </c>
      <c r="C279" s="2" t="s">
        <v>85</v>
      </c>
      <c r="D279" s="2" t="s">
        <v>31</v>
      </c>
      <c r="E279" s="2">
        <v>15</v>
      </c>
      <c r="F279" s="2">
        <v>10</v>
      </c>
      <c r="G279" s="2" t="s">
        <v>43</v>
      </c>
      <c r="H279" s="2" t="s">
        <v>26</v>
      </c>
      <c r="I279" s="2" t="s">
        <v>561</v>
      </c>
      <c r="J279" s="2">
        <v>63</v>
      </c>
    </row>
    <row r="280" spans="1:10" x14ac:dyDescent="0.3">
      <c r="A280" s="2" t="s">
        <v>562</v>
      </c>
      <c r="B280" s="2" t="s">
        <v>29</v>
      </c>
      <c r="C280" s="2" t="s">
        <v>79</v>
      </c>
      <c r="D280" s="2" t="s">
        <v>31</v>
      </c>
      <c r="E280" s="2">
        <v>15</v>
      </c>
      <c r="F280" s="2">
        <v>12</v>
      </c>
      <c r="G280" s="2" t="s">
        <v>32</v>
      </c>
      <c r="H280" s="2" t="s">
        <v>46</v>
      </c>
      <c r="I280" s="2" t="s">
        <v>121</v>
      </c>
      <c r="J280" s="2">
        <v>53</v>
      </c>
    </row>
    <row r="281" spans="1:10" x14ac:dyDescent="0.3">
      <c r="A281" s="2" t="s">
        <v>563</v>
      </c>
      <c r="B281" s="2" t="s">
        <v>35</v>
      </c>
      <c r="C281" s="2" t="s">
        <v>55</v>
      </c>
      <c r="D281" s="2" t="s">
        <v>31</v>
      </c>
      <c r="E281" s="2">
        <v>19</v>
      </c>
      <c r="F281" s="2">
        <v>10</v>
      </c>
      <c r="G281" s="2" t="s">
        <v>43</v>
      </c>
      <c r="H281" s="2" t="s">
        <v>46</v>
      </c>
      <c r="I281" s="2" t="s">
        <v>564</v>
      </c>
      <c r="J281" s="2">
        <v>72</v>
      </c>
    </row>
    <row r="282" spans="1:10" x14ac:dyDescent="0.3">
      <c r="A282" s="2" t="s">
        <v>565</v>
      </c>
      <c r="B282" s="2" t="s">
        <v>54</v>
      </c>
      <c r="C282" s="2" t="s">
        <v>79</v>
      </c>
      <c r="D282" s="2" t="s">
        <v>31</v>
      </c>
      <c r="E282" s="2">
        <v>20</v>
      </c>
      <c r="F282" s="2">
        <v>9</v>
      </c>
      <c r="G282" s="2" t="s">
        <v>43</v>
      </c>
      <c r="H282" s="2" t="s">
        <v>20</v>
      </c>
      <c r="I282" s="2" t="s">
        <v>566</v>
      </c>
      <c r="J282" s="2">
        <v>67</v>
      </c>
    </row>
    <row r="283" spans="1:10" x14ac:dyDescent="0.3">
      <c r="A283" s="2" t="s">
        <v>567</v>
      </c>
      <c r="B283" s="2" t="s">
        <v>54</v>
      </c>
      <c r="C283" s="2" t="s">
        <v>12</v>
      </c>
      <c r="D283" s="2" t="s">
        <v>31</v>
      </c>
      <c r="E283" s="2">
        <v>18</v>
      </c>
      <c r="F283" s="2">
        <v>12</v>
      </c>
      <c r="G283" s="2" t="s">
        <v>25</v>
      </c>
      <c r="H283" s="2" t="s">
        <v>26</v>
      </c>
      <c r="I283" s="2" t="s">
        <v>568</v>
      </c>
      <c r="J283" s="2">
        <v>96</v>
      </c>
    </row>
    <row r="284" spans="1:10" x14ac:dyDescent="0.3">
      <c r="A284" s="2" t="s">
        <v>569</v>
      </c>
      <c r="B284" s="2" t="s">
        <v>54</v>
      </c>
      <c r="C284" s="2" t="s">
        <v>12</v>
      </c>
      <c r="D284" s="2" t="s">
        <v>31</v>
      </c>
      <c r="E284" s="2">
        <v>17</v>
      </c>
      <c r="F284" s="2">
        <v>9</v>
      </c>
      <c r="G284" s="2" t="s">
        <v>25</v>
      </c>
      <c r="H284" s="2" t="s">
        <v>37</v>
      </c>
      <c r="I284" s="2" t="s">
        <v>570</v>
      </c>
      <c r="J284" s="2">
        <v>100</v>
      </c>
    </row>
    <row r="285" spans="1:10" x14ac:dyDescent="0.3">
      <c r="A285" s="2" t="s">
        <v>571</v>
      </c>
      <c r="B285" s="2" t="s">
        <v>68</v>
      </c>
      <c r="C285" s="2" t="s">
        <v>12</v>
      </c>
      <c r="D285" s="2" t="s">
        <v>13</v>
      </c>
      <c r="E285" s="2">
        <v>16</v>
      </c>
      <c r="F285" s="2">
        <v>10</v>
      </c>
      <c r="G285" s="2" t="s">
        <v>25</v>
      </c>
      <c r="H285" s="2" t="s">
        <v>26</v>
      </c>
      <c r="I285" s="2" t="s">
        <v>434</v>
      </c>
      <c r="J285" s="2">
        <v>63</v>
      </c>
    </row>
    <row r="286" spans="1:10" x14ac:dyDescent="0.3">
      <c r="A286" s="2" t="s">
        <v>572</v>
      </c>
      <c r="B286" s="2" t="s">
        <v>23</v>
      </c>
      <c r="C286" s="2" t="s">
        <v>19</v>
      </c>
      <c r="D286" s="2" t="s">
        <v>31</v>
      </c>
      <c r="E286" s="2">
        <v>19</v>
      </c>
      <c r="F286" s="2">
        <v>10</v>
      </c>
      <c r="G286" s="2" t="s">
        <v>32</v>
      </c>
      <c r="H286" s="2" t="s">
        <v>20</v>
      </c>
      <c r="I286" s="2" t="s">
        <v>400</v>
      </c>
      <c r="J286" s="2">
        <v>53</v>
      </c>
    </row>
    <row r="287" spans="1:10" x14ac:dyDescent="0.3">
      <c r="A287" s="2" t="s">
        <v>573</v>
      </c>
      <c r="B287" s="2" t="s">
        <v>54</v>
      </c>
      <c r="C287" s="2" t="s">
        <v>24</v>
      </c>
      <c r="D287" s="2" t="s">
        <v>13</v>
      </c>
      <c r="E287" s="2">
        <v>19</v>
      </c>
      <c r="F287" s="2">
        <v>9</v>
      </c>
      <c r="G287" s="2" t="s">
        <v>43</v>
      </c>
      <c r="H287" s="2" t="s">
        <v>46</v>
      </c>
      <c r="I287" s="2" t="s">
        <v>574</v>
      </c>
      <c r="J287" s="2">
        <v>94</v>
      </c>
    </row>
    <row r="288" spans="1:10" x14ac:dyDescent="0.3">
      <c r="A288" s="2" t="s">
        <v>575</v>
      </c>
      <c r="B288" s="2" t="s">
        <v>35</v>
      </c>
      <c r="C288" s="2" t="s">
        <v>30</v>
      </c>
      <c r="D288" s="2" t="s">
        <v>31</v>
      </c>
      <c r="E288" s="2">
        <v>14</v>
      </c>
      <c r="F288" s="2">
        <v>10</v>
      </c>
      <c r="G288" s="2" t="s">
        <v>32</v>
      </c>
      <c r="H288" s="2" t="s">
        <v>40</v>
      </c>
      <c r="I288" s="2" t="s">
        <v>576</v>
      </c>
      <c r="J288" s="2">
        <v>50</v>
      </c>
    </row>
    <row r="289" spans="1:10" x14ac:dyDescent="0.3">
      <c r="A289" s="2" t="s">
        <v>577</v>
      </c>
      <c r="B289" s="2" t="s">
        <v>84</v>
      </c>
      <c r="C289" s="2" t="s">
        <v>79</v>
      </c>
      <c r="D289" s="2" t="s">
        <v>31</v>
      </c>
      <c r="E289" s="2">
        <v>15</v>
      </c>
      <c r="F289" s="2">
        <v>11</v>
      </c>
      <c r="G289" s="2" t="s">
        <v>25</v>
      </c>
      <c r="H289" s="2" t="s">
        <v>40</v>
      </c>
      <c r="I289" s="2" t="s">
        <v>578</v>
      </c>
      <c r="J289" s="2">
        <v>72</v>
      </c>
    </row>
    <row r="290" spans="1:10" x14ac:dyDescent="0.3">
      <c r="A290" s="2" t="s">
        <v>579</v>
      </c>
      <c r="B290" s="2" t="s">
        <v>51</v>
      </c>
      <c r="C290" s="2" t="s">
        <v>55</v>
      </c>
      <c r="D290" s="2" t="s">
        <v>31</v>
      </c>
      <c r="E290" s="2">
        <v>20</v>
      </c>
      <c r="F290" s="2">
        <v>9</v>
      </c>
      <c r="G290" s="2" t="s">
        <v>25</v>
      </c>
      <c r="H290" s="2" t="s">
        <v>26</v>
      </c>
      <c r="I290" s="2" t="s">
        <v>212</v>
      </c>
      <c r="J290" s="2">
        <v>35</v>
      </c>
    </row>
    <row r="291" spans="1:10" x14ac:dyDescent="0.3">
      <c r="A291" s="2" t="s">
        <v>580</v>
      </c>
      <c r="B291" s="2" t="s">
        <v>29</v>
      </c>
      <c r="C291" s="2" t="s">
        <v>36</v>
      </c>
      <c r="D291" s="2" t="s">
        <v>13</v>
      </c>
      <c r="E291" s="2">
        <v>17</v>
      </c>
      <c r="F291" s="2">
        <v>10</v>
      </c>
      <c r="G291" s="2" t="s">
        <v>32</v>
      </c>
      <c r="H291" s="2" t="s">
        <v>15</v>
      </c>
      <c r="I291" s="2" t="s">
        <v>581</v>
      </c>
      <c r="J291" s="2">
        <v>37</v>
      </c>
    </row>
    <row r="292" spans="1:10" x14ac:dyDescent="0.3">
      <c r="A292" s="2" t="s">
        <v>582</v>
      </c>
      <c r="B292" s="2" t="s">
        <v>51</v>
      </c>
      <c r="C292" s="2" t="s">
        <v>55</v>
      </c>
      <c r="D292" s="2" t="s">
        <v>31</v>
      </c>
      <c r="E292" s="2">
        <v>14</v>
      </c>
      <c r="F292" s="2">
        <v>11</v>
      </c>
      <c r="G292" s="2" t="s">
        <v>25</v>
      </c>
      <c r="H292" s="2" t="s">
        <v>37</v>
      </c>
      <c r="I292" s="2" t="s">
        <v>583</v>
      </c>
      <c r="J292" s="2">
        <v>47</v>
      </c>
    </row>
    <row r="293" spans="1:10" x14ac:dyDescent="0.3">
      <c r="A293" s="2" t="s">
        <v>584</v>
      </c>
      <c r="B293" s="2" t="s">
        <v>68</v>
      </c>
      <c r="C293" s="2" t="s">
        <v>55</v>
      </c>
      <c r="D293" s="2" t="s">
        <v>31</v>
      </c>
      <c r="E293" s="2">
        <v>16</v>
      </c>
      <c r="F293" s="2">
        <v>9</v>
      </c>
      <c r="G293" s="2" t="s">
        <v>14</v>
      </c>
      <c r="H293" s="2" t="s">
        <v>61</v>
      </c>
      <c r="I293" s="2" t="s">
        <v>585</v>
      </c>
      <c r="J293" s="2">
        <v>59</v>
      </c>
    </row>
    <row r="294" spans="1:10" x14ac:dyDescent="0.3">
      <c r="A294" s="2" t="s">
        <v>586</v>
      </c>
      <c r="B294" s="2" t="s">
        <v>11</v>
      </c>
      <c r="C294" s="2" t="s">
        <v>24</v>
      </c>
      <c r="D294" s="2" t="s">
        <v>31</v>
      </c>
      <c r="E294" s="2">
        <v>17</v>
      </c>
      <c r="F294" s="2">
        <v>11</v>
      </c>
      <c r="G294" s="2" t="s">
        <v>43</v>
      </c>
      <c r="H294" s="2" t="s">
        <v>61</v>
      </c>
      <c r="I294" s="2" t="s">
        <v>587</v>
      </c>
      <c r="J294" s="2">
        <v>73</v>
      </c>
    </row>
    <row r="295" spans="1:10" x14ac:dyDescent="0.3">
      <c r="A295" s="2" t="s">
        <v>588</v>
      </c>
      <c r="B295" s="2" t="s">
        <v>68</v>
      </c>
      <c r="C295" s="2" t="s">
        <v>85</v>
      </c>
      <c r="D295" s="2" t="s">
        <v>31</v>
      </c>
      <c r="E295" s="2">
        <v>17</v>
      </c>
      <c r="F295" s="2">
        <v>9</v>
      </c>
      <c r="G295" s="2" t="s">
        <v>25</v>
      </c>
      <c r="H295" s="2" t="s">
        <v>61</v>
      </c>
      <c r="I295" s="2" t="s">
        <v>589</v>
      </c>
      <c r="J295" s="2">
        <v>45</v>
      </c>
    </row>
    <row r="296" spans="1:10" x14ac:dyDescent="0.3">
      <c r="A296" s="2" t="s">
        <v>590</v>
      </c>
      <c r="B296" s="2" t="s">
        <v>35</v>
      </c>
      <c r="C296" s="2" t="s">
        <v>12</v>
      </c>
      <c r="D296" s="2" t="s">
        <v>13</v>
      </c>
      <c r="E296" s="2">
        <v>14</v>
      </c>
      <c r="F296" s="2">
        <v>11</v>
      </c>
      <c r="G296" s="2" t="s">
        <v>25</v>
      </c>
      <c r="H296" s="2" t="s">
        <v>20</v>
      </c>
      <c r="I296" s="2" t="s">
        <v>591</v>
      </c>
      <c r="J296" s="2">
        <v>64</v>
      </c>
    </row>
    <row r="297" spans="1:10" x14ac:dyDescent="0.3">
      <c r="A297" s="2" t="s">
        <v>592</v>
      </c>
      <c r="B297" s="2" t="s">
        <v>51</v>
      </c>
      <c r="C297" s="2" t="s">
        <v>19</v>
      </c>
      <c r="D297" s="2" t="s">
        <v>31</v>
      </c>
      <c r="E297" s="2">
        <v>18</v>
      </c>
      <c r="F297" s="2">
        <v>10</v>
      </c>
      <c r="G297" s="2" t="s">
        <v>43</v>
      </c>
      <c r="H297" s="2" t="s">
        <v>76</v>
      </c>
      <c r="I297" s="2" t="s">
        <v>593</v>
      </c>
      <c r="J297" s="2">
        <v>98</v>
      </c>
    </row>
    <row r="298" spans="1:10" x14ac:dyDescent="0.3">
      <c r="A298" s="2" t="s">
        <v>594</v>
      </c>
      <c r="B298" s="2" t="s">
        <v>54</v>
      </c>
      <c r="C298" s="2" t="s">
        <v>55</v>
      </c>
      <c r="D298" s="2" t="s">
        <v>13</v>
      </c>
      <c r="E298" s="2">
        <v>20</v>
      </c>
      <c r="F298" s="2">
        <v>11</v>
      </c>
      <c r="G298" s="2" t="s">
        <v>43</v>
      </c>
      <c r="H298" s="2" t="s">
        <v>40</v>
      </c>
      <c r="I298" s="2" t="s">
        <v>595</v>
      </c>
      <c r="J298" s="2">
        <v>84</v>
      </c>
    </row>
    <row r="299" spans="1:10" x14ac:dyDescent="0.3">
      <c r="A299" s="2" t="s">
        <v>596</v>
      </c>
      <c r="B299" s="2" t="s">
        <v>11</v>
      </c>
      <c r="C299" s="2" t="s">
        <v>30</v>
      </c>
      <c r="D299" s="2" t="s">
        <v>13</v>
      </c>
      <c r="E299" s="2">
        <v>14</v>
      </c>
      <c r="F299" s="2">
        <v>9</v>
      </c>
      <c r="G299" s="2" t="s">
        <v>25</v>
      </c>
      <c r="H299" s="2" t="s">
        <v>76</v>
      </c>
      <c r="I299" s="2" t="s">
        <v>447</v>
      </c>
      <c r="J299" s="2">
        <v>62</v>
      </c>
    </row>
    <row r="300" spans="1:10" x14ac:dyDescent="0.3">
      <c r="A300" s="2" t="s">
        <v>597</v>
      </c>
      <c r="B300" s="2" t="s">
        <v>18</v>
      </c>
      <c r="C300" s="2" t="s">
        <v>85</v>
      </c>
      <c r="D300" s="2" t="s">
        <v>31</v>
      </c>
      <c r="E300" s="2">
        <v>18</v>
      </c>
      <c r="F300" s="2">
        <v>11</v>
      </c>
      <c r="G300" s="2" t="s">
        <v>43</v>
      </c>
      <c r="H300" s="2" t="s">
        <v>40</v>
      </c>
      <c r="I300" s="2" t="s">
        <v>598</v>
      </c>
      <c r="J300" s="2">
        <v>55</v>
      </c>
    </row>
    <row r="301" spans="1:10" x14ac:dyDescent="0.3">
      <c r="A301" s="2" t="s">
        <v>599</v>
      </c>
      <c r="B301" s="2" t="s">
        <v>84</v>
      </c>
      <c r="C301" s="2" t="s">
        <v>30</v>
      </c>
      <c r="D301" s="2" t="s">
        <v>13</v>
      </c>
      <c r="E301" s="2">
        <v>17</v>
      </c>
      <c r="F301" s="2">
        <v>11</v>
      </c>
      <c r="G301" s="2" t="s">
        <v>43</v>
      </c>
      <c r="H301" s="2" t="s">
        <v>15</v>
      </c>
      <c r="I301" s="2" t="s">
        <v>600</v>
      </c>
      <c r="J301" s="2">
        <v>73</v>
      </c>
    </row>
    <row r="302" spans="1:10" x14ac:dyDescent="0.3">
      <c r="A302" s="2" t="s">
        <v>601</v>
      </c>
      <c r="B302" s="2" t="s">
        <v>73</v>
      </c>
      <c r="C302" s="2" t="s">
        <v>55</v>
      </c>
      <c r="D302" s="2" t="s">
        <v>31</v>
      </c>
      <c r="E302" s="2">
        <v>17</v>
      </c>
      <c r="F302" s="2">
        <v>11</v>
      </c>
      <c r="G302" s="2" t="s">
        <v>43</v>
      </c>
      <c r="H302" s="2" t="s">
        <v>61</v>
      </c>
      <c r="I302" s="2" t="s">
        <v>502</v>
      </c>
      <c r="J302" s="2">
        <v>76</v>
      </c>
    </row>
    <row r="303" spans="1:10" x14ac:dyDescent="0.3">
      <c r="A303" s="2" t="s">
        <v>602</v>
      </c>
      <c r="B303" s="2" t="s">
        <v>23</v>
      </c>
      <c r="C303" s="2" t="s">
        <v>19</v>
      </c>
      <c r="D303" s="2" t="s">
        <v>13</v>
      </c>
      <c r="E303" s="2">
        <v>15</v>
      </c>
      <c r="F303" s="2">
        <v>12</v>
      </c>
      <c r="G303" s="2" t="s">
        <v>14</v>
      </c>
      <c r="H303" s="2" t="s">
        <v>61</v>
      </c>
      <c r="I303" s="2" t="s">
        <v>603</v>
      </c>
      <c r="J303" s="2">
        <v>54</v>
      </c>
    </row>
    <row r="304" spans="1:10" x14ac:dyDescent="0.3">
      <c r="A304" s="2" t="s">
        <v>604</v>
      </c>
      <c r="B304" s="2" t="s">
        <v>51</v>
      </c>
      <c r="C304" s="2" t="s">
        <v>85</v>
      </c>
      <c r="D304" s="2" t="s">
        <v>31</v>
      </c>
      <c r="E304" s="2">
        <v>20</v>
      </c>
      <c r="F304" s="2">
        <v>12</v>
      </c>
      <c r="G304" s="2" t="s">
        <v>25</v>
      </c>
      <c r="H304" s="2" t="s">
        <v>26</v>
      </c>
      <c r="I304" s="2" t="s">
        <v>299</v>
      </c>
      <c r="J304" s="2">
        <v>69</v>
      </c>
    </row>
    <row r="305" spans="1:10" x14ac:dyDescent="0.3">
      <c r="A305" s="2" t="s">
        <v>605</v>
      </c>
      <c r="B305" s="2" t="s">
        <v>54</v>
      </c>
      <c r="C305" s="2" t="s">
        <v>19</v>
      </c>
      <c r="D305" s="2" t="s">
        <v>31</v>
      </c>
      <c r="E305" s="2">
        <v>20</v>
      </c>
      <c r="F305" s="2">
        <v>10</v>
      </c>
      <c r="G305" s="2" t="s">
        <v>43</v>
      </c>
      <c r="H305" s="2" t="s">
        <v>37</v>
      </c>
      <c r="I305" s="2" t="s">
        <v>606</v>
      </c>
      <c r="J305" s="2">
        <v>99</v>
      </c>
    </row>
    <row r="306" spans="1:10" x14ac:dyDescent="0.3">
      <c r="A306" s="2" t="s">
        <v>607</v>
      </c>
      <c r="B306" s="2" t="s">
        <v>68</v>
      </c>
      <c r="C306" s="2" t="s">
        <v>55</v>
      </c>
      <c r="D306" s="2" t="s">
        <v>13</v>
      </c>
      <c r="E306" s="2">
        <v>19</v>
      </c>
      <c r="F306" s="2">
        <v>11</v>
      </c>
      <c r="G306" s="2" t="s">
        <v>25</v>
      </c>
      <c r="H306" s="2" t="s">
        <v>20</v>
      </c>
      <c r="I306" s="2" t="s">
        <v>608</v>
      </c>
      <c r="J306" s="2">
        <v>43</v>
      </c>
    </row>
    <row r="307" spans="1:10" x14ac:dyDescent="0.3">
      <c r="A307" s="2" t="s">
        <v>609</v>
      </c>
      <c r="B307" s="2" t="s">
        <v>68</v>
      </c>
      <c r="C307" s="2" t="s">
        <v>58</v>
      </c>
      <c r="D307" s="2" t="s">
        <v>13</v>
      </c>
      <c r="E307" s="2">
        <v>14</v>
      </c>
      <c r="F307" s="2">
        <v>10</v>
      </c>
      <c r="G307" s="2" t="s">
        <v>25</v>
      </c>
      <c r="H307" s="2" t="s">
        <v>37</v>
      </c>
      <c r="I307" s="2" t="s">
        <v>610</v>
      </c>
      <c r="J307" s="2">
        <v>90</v>
      </c>
    </row>
    <row r="308" spans="1:10" x14ac:dyDescent="0.3">
      <c r="A308" s="2" t="s">
        <v>611</v>
      </c>
      <c r="B308" s="2" t="s">
        <v>18</v>
      </c>
      <c r="C308" s="2" t="s">
        <v>24</v>
      </c>
      <c r="D308" s="2" t="s">
        <v>31</v>
      </c>
      <c r="E308" s="2">
        <v>19</v>
      </c>
      <c r="F308" s="2">
        <v>12</v>
      </c>
      <c r="G308" s="2" t="s">
        <v>43</v>
      </c>
      <c r="H308" s="2" t="s">
        <v>26</v>
      </c>
      <c r="I308" s="2" t="s">
        <v>612</v>
      </c>
      <c r="J308" s="2">
        <v>82</v>
      </c>
    </row>
    <row r="309" spans="1:10" x14ac:dyDescent="0.3">
      <c r="A309" s="2" t="s">
        <v>613</v>
      </c>
      <c r="B309" s="2" t="s">
        <v>68</v>
      </c>
      <c r="C309" s="2" t="s">
        <v>85</v>
      </c>
      <c r="D309" s="2" t="s">
        <v>31</v>
      </c>
      <c r="E309" s="2">
        <v>15</v>
      </c>
      <c r="F309" s="2">
        <v>9</v>
      </c>
      <c r="G309" s="2" t="s">
        <v>32</v>
      </c>
      <c r="H309" s="2" t="s">
        <v>37</v>
      </c>
      <c r="I309" s="2" t="s">
        <v>614</v>
      </c>
      <c r="J309" s="2">
        <v>39</v>
      </c>
    </row>
    <row r="310" spans="1:10" x14ac:dyDescent="0.3">
      <c r="A310" s="2" t="s">
        <v>615</v>
      </c>
      <c r="B310" s="2" t="s">
        <v>18</v>
      </c>
      <c r="C310" s="2" t="s">
        <v>12</v>
      </c>
      <c r="D310" s="2" t="s">
        <v>13</v>
      </c>
      <c r="E310" s="2">
        <v>17</v>
      </c>
      <c r="F310" s="2">
        <v>12</v>
      </c>
      <c r="G310" s="2" t="s">
        <v>14</v>
      </c>
      <c r="H310" s="2" t="s">
        <v>61</v>
      </c>
      <c r="I310" s="2" t="s">
        <v>616</v>
      </c>
      <c r="J310" s="2">
        <v>99</v>
      </c>
    </row>
    <row r="311" spans="1:10" x14ac:dyDescent="0.3">
      <c r="A311" s="2" t="s">
        <v>617</v>
      </c>
      <c r="B311" s="2" t="s">
        <v>35</v>
      </c>
      <c r="C311" s="2" t="s">
        <v>12</v>
      </c>
      <c r="D311" s="2" t="s">
        <v>13</v>
      </c>
      <c r="E311" s="2">
        <v>15</v>
      </c>
      <c r="F311" s="2">
        <v>9</v>
      </c>
      <c r="G311" s="2" t="s">
        <v>25</v>
      </c>
      <c r="H311" s="2" t="s">
        <v>46</v>
      </c>
      <c r="I311" s="2" t="s">
        <v>155</v>
      </c>
      <c r="J311" s="2">
        <v>85</v>
      </c>
    </row>
    <row r="312" spans="1:10" x14ac:dyDescent="0.3">
      <c r="A312" s="2" t="s">
        <v>618</v>
      </c>
      <c r="B312" s="2" t="s">
        <v>73</v>
      </c>
      <c r="C312" s="2" t="s">
        <v>85</v>
      </c>
      <c r="D312" s="2" t="s">
        <v>31</v>
      </c>
      <c r="E312" s="2">
        <v>14</v>
      </c>
      <c r="F312" s="2">
        <v>11</v>
      </c>
      <c r="G312" s="2" t="s">
        <v>25</v>
      </c>
      <c r="H312" s="2" t="s">
        <v>20</v>
      </c>
      <c r="I312" s="2" t="s">
        <v>619</v>
      </c>
      <c r="J312" s="2">
        <v>67</v>
      </c>
    </row>
    <row r="313" spans="1:10" x14ac:dyDescent="0.3">
      <c r="A313" s="2" t="s">
        <v>620</v>
      </c>
      <c r="B313" s="2" t="s">
        <v>84</v>
      </c>
      <c r="C313" s="2" t="s">
        <v>24</v>
      </c>
      <c r="D313" s="2" t="s">
        <v>31</v>
      </c>
      <c r="E313" s="2">
        <v>19</v>
      </c>
      <c r="F313" s="2">
        <v>12</v>
      </c>
      <c r="G313" s="2" t="s">
        <v>14</v>
      </c>
      <c r="H313" s="2" t="s">
        <v>61</v>
      </c>
      <c r="I313" s="2" t="s">
        <v>621</v>
      </c>
      <c r="J313" s="2">
        <v>77</v>
      </c>
    </row>
    <row r="314" spans="1:10" x14ac:dyDescent="0.3">
      <c r="A314" s="2" t="s">
        <v>622</v>
      </c>
      <c r="B314" s="2" t="s">
        <v>23</v>
      </c>
      <c r="C314" s="2" t="s">
        <v>96</v>
      </c>
      <c r="D314" s="2" t="s">
        <v>31</v>
      </c>
      <c r="E314" s="2">
        <v>17</v>
      </c>
      <c r="F314" s="2">
        <v>12</v>
      </c>
      <c r="G314" s="2" t="s">
        <v>43</v>
      </c>
      <c r="H314" s="2" t="s">
        <v>46</v>
      </c>
      <c r="I314" s="2" t="s">
        <v>170</v>
      </c>
      <c r="J314" s="2">
        <v>62</v>
      </c>
    </row>
    <row r="315" spans="1:10" x14ac:dyDescent="0.3">
      <c r="A315" s="2" t="s">
        <v>623</v>
      </c>
      <c r="B315" s="2" t="s">
        <v>29</v>
      </c>
      <c r="C315" s="2" t="s">
        <v>12</v>
      </c>
      <c r="D315" s="2" t="s">
        <v>31</v>
      </c>
      <c r="E315" s="2">
        <v>19</v>
      </c>
      <c r="F315" s="2">
        <v>11</v>
      </c>
      <c r="G315" s="2" t="s">
        <v>25</v>
      </c>
      <c r="H315" s="2" t="s">
        <v>76</v>
      </c>
      <c r="I315" s="2" t="s">
        <v>624</v>
      </c>
      <c r="J315" s="2">
        <v>49</v>
      </c>
    </row>
    <row r="316" spans="1:10" x14ac:dyDescent="0.3">
      <c r="A316" s="2" t="s">
        <v>625</v>
      </c>
      <c r="B316" s="2" t="s">
        <v>68</v>
      </c>
      <c r="C316" s="2" t="s">
        <v>96</v>
      </c>
      <c r="D316" s="2" t="s">
        <v>31</v>
      </c>
      <c r="E316" s="2">
        <v>19</v>
      </c>
      <c r="F316" s="2">
        <v>12</v>
      </c>
      <c r="G316" s="2" t="s">
        <v>32</v>
      </c>
      <c r="H316" s="2" t="s">
        <v>15</v>
      </c>
      <c r="I316" s="2" t="s">
        <v>626</v>
      </c>
      <c r="J316" s="2">
        <v>86</v>
      </c>
    </row>
    <row r="317" spans="1:10" x14ac:dyDescent="0.3">
      <c r="A317" s="2" t="s">
        <v>627</v>
      </c>
      <c r="B317" s="2" t="s">
        <v>35</v>
      </c>
      <c r="C317" s="2" t="s">
        <v>85</v>
      </c>
      <c r="D317" s="2" t="s">
        <v>31</v>
      </c>
      <c r="E317" s="2">
        <v>16</v>
      </c>
      <c r="F317" s="2">
        <v>9</v>
      </c>
      <c r="G317" s="2" t="s">
        <v>43</v>
      </c>
      <c r="H317" s="2" t="s">
        <v>20</v>
      </c>
      <c r="I317" s="2" t="s">
        <v>628</v>
      </c>
      <c r="J317" s="2">
        <v>84</v>
      </c>
    </row>
    <row r="318" spans="1:10" x14ac:dyDescent="0.3">
      <c r="A318" s="2" t="s">
        <v>629</v>
      </c>
      <c r="B318" s="2" t="s">
        <v>35</v>
      </c>
      <c r="C318" s="2" t="s">
        <v>58</v>
      </c>
      <c r="D318" s="2" t="s">
        <v>13</v>
      </c>
      <c r="E318" s="2">
        <v>18</v>
      </c>
      <c r="F318" s="2">
        <v>9</v>
      </c>
      <c r="G318" s="2" t="s">
        <v>25</v>
      </c>
      <c r="H318" s="2" t="s">
        <v>76</v>
      </c>
      <c r="I318" s="2" t="s">
        <v>105</v>
      </c>
      <c r="J318" s="2">
        <v>82</v>
      </c>
    </row>
    <row r="319" spans="1:10" x14ac:dyDescent="0.3">
      <c r="A319" s="2" t="s">
        <v>630</v>
      </c>
      <c r="B319" s="2" t="s">
        <v>84</v>
      </c>
      <c r="C319" s="2" t="s">
        <v>96</v>
      </c>
      <c r="D319" s="2" t="s">
        <v>31</v>
      </c>
      <c r="E319" s="2">
        <v>19</v>
      </c>
      <c r="F319" s="2">
        <v>10</v>
      </c>
      <c r="G319" s="2" t="s">
        <v>43</v>
      </c>
      <c r="H319" s="2" t="s">
        <v>20</v>
      </c>
      <c r="I319" s="2" t="s">
        <v>631</v>
      </c>
      <c r="J319" s="2">
        <v>63</v>
      </c>
    </row>
    <row r="320" spans="1:10" x14ac:dyDescent="0.3">
      <c r="A320" s="2" t="s">
        <v>632</v>
      </c>
      <c r="B320" s="2" t="s">
        <v>54</v>
      </c>
      <c r="C320" s="2" t="s">
        <v>55</v>
      </c>
      <c r="D320" s="2" t="s">
        <v>31</v>
      </c>
      <c r="E320" s="2">
        <v>19</v>
      </c>
      <c r="F320" s="2">
        <v>11</v>
      </c>
      <c r="G320" s="2" t="s">
        <v>25</v>
      </c>
      <c r="H320" s="2" t="s">
        <v>61</v>
      </c>
      <c r="I320" s="2" t="s">
        <v>633</v>
      </c>
      <c r="J320" s="2">
        <v>82</v>
      </c>
    </row>
    <row r="321" spans="1:10" x14ac:dyDescent="0.3">
      <c r="A321" s="2" t="s">
        <v>634</v>
      </c>
      <c r="B321" s="2" t="s">
        <v>54</v>
      </c>
      <c r="C321" s="2" t="s">
        <v>30</v>
      </c>
      <c r="D321" s="2" t="s">
        <v>31</v>
      </c>
      <c r="E321" s="2">
        <v>15</v>
      </c>
      <c r="F321" s="2">
        <v>9</v>
      </c>
      <c r="G321" s="2" t="s">
        <v>25</v>
      </c>
      <c r="H321" s="2" t="s">
        <v>40</v>
      </c>
      <c r="I321" s="2" t="s">
        <v>635</v>
      </c>
      <c r="J321" s="2">
        <v>53</v>
      </c>
    </row>
    <row r="322" spans="1:10" x14ac:dyDescent="0.3">
      <c r="A322" s="2" t="s">
        <v>636</v>
      </c>
      <c r="B322" s="2" t="s">
        <v>11</v>
      </c>
      <c r="C322" s="2" t="s">
        <v>79</v>
      </c>
      <c r="D322" s="2" t="s">
        <v>13</v>
      </c>
      <c r="E322" s="2">
        <v>19</v>
      </c>
      <c r="F322" s="2">
        <v>9</v>
      </c>
      <c r="G322" s="2" t="s">
        <v>32</v>
      </c>
      <c r="H322" s="2" t="s">
        <v>76</v>
      </c>
      <c r="I322" s="2" t="s">
        <v>637</v>
      </c>
      <c r="J322" s="2">
        <v>97</v>
      </c>
    </row>
    <row r="323" spans="1:10" x14ac:dyDescent="0.3">
      <c r="A323" s="2" t="s">
        <v>638</v>
      </c>
      <c r="B323" s="2" t="s">
        <v>54</v>
      </c>
      <c r="C323" s="2" t="s">
        <v>12</v>
      </c>
      <c r="D323" s="2" t="s">
        <v>31</v>
      </c>
      <c r="E323" s="2">
        <v>15</v>
      </c>
      <c r="F323" s="2">
        <v>12</v>
      </c>
      <c r="G323" s="2" t="s">
        <v>43</v>
      </c>
      <c r="H323" s="2" t="s">
        <v>76</v>
      </c>
      <c r="I323" s="2" t="s">
        <v>639</v>
      </c>
      <c r="J323" s="2">
        <v>51</v>
      </c>
    </row>
    <row r="324" spans="1:10" x14ac:dyDescent="0.3">
      <c r="A324" s="2" t="s">
        <v>640</v>
      </c>
      <c r="B324" s="2" t="s">
        <v>84</v>
      </c>
      <c r="C324" s="2" t="s">
        <v>79</v>
      </c>
      <c r="D324" s="2" t="s">
        <v>31</v>
      </c>
      <c r="E324" s="2">
        <v>14</v>
      </c>
      <c r="F324" s="2">
        <v>9</v>
      </c>
      <c r="G324" s="2" t="s">
        <v>14</v>
      </c>
      <c r="H324" s="2" t="s">
        <v>37</v>
      </c>
      <c r="I324" s="2" t="s">
        <v>641</v>
      </c>
      <c r="J324" s="2">
        <v>43</v>
      </c>
    </row>
    <row r="325" spans="1:10" x14ac:dyDescent="0.3">
      <c r="A325" s="2" t="s">
        <v>642</v>
      </c>
      <c r="B325" s="2" t="s">
        <v>18</v>
      </c>
      <c r="C325" s="2" t="s">
        <v>19</v>
      </c>
      <c r="D325" s="2" t="s">
        <v>13</v>
      </c>
      <c r="E325" s="2">
        <v>14</v>
      </c>
      <c r="F325" s="2">
        <v>9</v>
      </c>
      <c r="G325" s="2" t="s">
        <v>43</v>
      </c>
      <c r="H325" s="2" t="s">
        <v>20</v>
      </c>
      <c r="I325" s="2" t="s">
        <v>643</v>
      </c>
      <c r="J325" s="2">
        <v>57</v>
      </c>
    </row>
    <row r="326" spans="1:10" x14ac:dyDescent="0.3">
      <c r="A326" s="2" t="s">
        <v>644</v>
      </c>
      <c r="B326" s="2" t="s">
        <v>51</v>
      </c>
      <c r="C326" s="2" t="s">
        <v>36</v>
      </c>
      <c r="D326" s="2" t="s">
        <v>31</v>
      </c>
      <c r="E326" s="2">
        <v>16</v>
      </c>
      <c r="F326" s="2">
        <v>11</v>
      </c>
      <c r="G326" s="2" t="s">
        <v>43</v>
      </c>
      <c r="H326" s="2" t="s">
        <v>20</v>
      </c>
      <c r="I326" s="2" t="s">
        <v>645</v>
      </c>
      <c r="J326" s="2">
        <v>81</v>
      </c>
    </row>
    <row r="327" spans="1:10" x14ac:dyDescent="0.3">
      <c r="A327" s="2" t="s">
        <v>646</v>
      </c>
      <c r="B327" s="2" t="s">
        <v>84</v>
      </c>
      <c r="C327" s="2" t="s">
        <v>12</v>
      </c>
      <c r="D327" s="2" t="s">
        <v>31</v>
      </c>
      <c r="E327" s="2">
        <v>17</v>
      </c>
      <c r="F327" s="2">
        <v>12</v>
      </c>
      <c r="G327" s="2" t="s">
        <v>25</v>
      </c>
      <c r="H327" s="2" t="s">
        <v>76</v>
      </c>
      <c r="I327" s="2" t="s">
        <v>647</v>
      </c>
      <c r="J327" s="2">
        <v>83</v>
      </c>
    </row>
    <row r="328" spans="1:10" x14ac:dyDescent="0.3">
      <c r="A328" s="2" t="s">
        <v>648</v>
      </c>
      <c r="B328" s="2" t="s">
        <v>51</v>
      </c>
      <c r="C328" s="2" t="s">
        <v>79</v>
      </c>
      <c r="D328" s="2" t="s">
        <v>13</v>
      </c>
      <c r="E328" s="2">
        <v>14</v>
      </c>
      <c r="F328" s="2">
        <v>9</v>
      </c>
      <c r="G328" s="2" t="s">
        <v>25</v>
      </c>
      <c r="H328" s="2" t="s">
        <v>15</v>
      </c>
      <c r="I328" s="2" t="s">
        <v>649</v>
      </c>
      <c r="J328" s="2">
        <v>77</v>
      </c>
    </row>
    <row r="329" spans="1:10" x14ac:dyDescent="0.3">
      <c r="A329" s="2" t="s">
        <v>650</v>
      </c>
      <c r="B329" s="2" t="s">
        <v>23</v>
      </c>
      <c r="C329" s="2" t="s">
        <v>24</v>
      </c>
      <c r="D329" s="2" t="s">
        <v>13</v>
      </c>
      <c r="E329" s="2">
        <v>17</v>
      </c>
      <c r="F329" s="2">
        <v>12</v>
      </c>
      <c r="G329" s="2" t="s">
        <v>25</v>
      </c>
      <c r="H329" s="2" t="s">
        <v>46</v>
      </c>
      <c r="I329" s="2" t="s">
        <v>651</v>
      </c>
      <c r="J329" s="2">
        <v>45</v>
      </c>
    </row>
    <row r="330" spans="1:10" x14ac:dyDescent="0.3">
      <c r="A330" s="2" t="s">
        <v>652</v>
      </c>
      <c r="B330" s="2" t="s">
        <v>51</v>
      </c>
      <c r="C330" s="2" t="s">
        <v>55</v>
      </c>
      <c r="D330" s="2" t="s">
        <v>13</v>
      </c>
      <c r="E330" s="2">
        <v>16</v>
      </c>
      <c r="F330" s="2">
        <v>12</v>
      </c>
      <c r="G330" s="2" t="s">
        <v>32</v>
      </c>
      <c r="H330" s="2" t="s">
        <v>61</v>
      </c>
      <c r="I330" s="2" t="s">
        <v>653</v>
      </c>
      <c r="J330" s="2">
        <v>45</v>
      </c>
    </row>
    <row r="331" spans="1:10" x14ac:dyDescent="0.3">
      <c r="A331" s="2" t="s">
        <v>654</v>
      </c>
      <c r="B331" s="2" t="s">
        <v>18</v>
      </c>
      <c r="C331" s="2" t="s">
        <v>24</v>
      </c>
      <c r="D331" s="2" t="s">
        <v>31</v>
      </c>
      <c r="E331" s="2">
        <v>14</v>
      </c>
      <c r="F331" s="2">
        <v>12</v>
      </c>
      <c r="G331" s="2" t="s">
        <v>14</v>
      </c>
      <c r="H331" s="2" t="s">
        <v>46</v>
      </c>
      <c r="I331" s="2" t="s">
        <v>655</v>
      </c>
      <c r="J331" s="2">
        <v>42</v>
      </c>
    </row>
    <row r="332" spans="1:10" x14ac:dyDescent="0.3">
      <c r="A332" s="2" t="s">
        <v>656</v>
      </c>
      <c r="B332" s="2" t="s">
        <v>29</v>
      </c>
      <c r="C332" s="2" t="s">
        <v>30</v>
      </c>
      <c r="D332" s="2" t="s">
        <v>13</v>
      </c>
      <c r="E332" s="2">
        <v>19</v>
      </c>
      <c r="F332" s="2">
        <v>10</v>
      </c>
      <c r="G332" s="2" t="s">
        <v>43</v>
      </c>
      <c r="H332" s="2" t="s">
        <v>15</v>
      </c>
      <c r="I332" s="2" t="s">
        <v>657</v>
      </c>
      <c r="J332" s="2">
        <v>85</v>
      </c>
    </row>
    <row r="333" spans="1:10" x14ac:dyDescent="0.3">
      <c r="A333" s="2" t="s">
        <v>658</v>
      </c>
      <c r="B333" s="2" t="s">
        <v>11</v>
      </c>
      <c r="C333" s="2" t="s">
        <v>96</v>
      </c>
      <c r="D333" s="2" t="s">
        <v>31</v>
      </c>
      <c r="E333" s="2">
        <v>20</v>
      </c>
      <c r="F333" s="2">
        <v>10</v>
      </c>
      <c r="G333" s="2" t="s">
        <v>43</v>
      </c>
      <c r="H333" s="2" t="s">
        <v>37</v>
      </c>
      <c r="I333" s="2" t="s">
        <v>659</v>
      </c>
      <c r="J333" s="2">
        <v>62</v>
      </c>
    </row>
    <row r="334" spans="1:10" x14ac:dyDescent="0.3">
      <c r="A334" s="2" t="s">
        <v>660</v>
      </c>
      <c r="B334" s="2" t="s">
        <v>23</v>
      </c>
      <c r="C334" s="2" t="s">
        <v>12</v>
      </c>
      <c r="D334" s="2" t="s">
        <v>13</v>
      </c>
      <c r="E334" s="2">
        <v>16</v>
      </c>
      <c r="F334" s="2">
        <v>11</v>
      </c>
      <c r="G334" s="2" t="s">
        <v>25</v>
      </c>
      <c r="H334" s="2" t="s">
        <v>40</v>
      </c>
      <c r="I334" s="2" t="s">
        <v>41</v>
      </c>
      <c r="J334" s="2">
        <v>86</v>
      </c>
    </row>
    <row r="335" spans="1:10" x14ac:dyDescent="0.3">
      <c r="A335" s="2" t="s">
        <v>661</v>
      </c>
      <c r="B335" s="2" t="s">
        <v>54</v>
      </c>
      <c r="C335" s="2" t="s">
        <v>12</v>
      </c>
      <c r="D335" s="2" t="s">
        <v>31</v>
      </c>
      <c r="E335" s="2">
        <v>19</v>
      </c>
      <c r="F335" s="2">
        <v>10</v>
      </c>
      <c r="G335" s="2" t="s">
        <v>14</v>
      </c>
      <c r="H335" s="2" t="s">
        <v>76</v>
      </c>
      <c r="I335" s="2" t="s">
        <v>662</v>
      </c>
      <c r="J335" s="2">
        <v>54</v>
      </c>
    </row>
    <row r="336" spans="1:10" x14ac:dyDescent="0.3">
      <c r="A336" s="2" t="s">
        <v>663</v>
      </c>
      <c r="B336" s="2" t="s">
        <v>73</v>
      </c>
      <c r="C336" s="2" t="s">
        <v>36</v>
      </c>
      <c r="D336" s="2" t="s">
        <v>13</v>
      </c>
      <c r="E336" s="2">
        <v>20</v>
      </c>
      <c r="F336" s="2">
        <v>12</v>
      </c>
      <c r="G336" s="2" t="s">
        <v>25</v>
      </c>
      <c r="H336" s="2" t="s">
        <v>40</v>
      </c>
      <c r="I336" s="2" t="s">
        <v>664</v>
      </c>
      <c r="J336" s="2">
        <v>50</v>
      </c>
    </row>
    <row r="337" spans="1:10" x14ac:dyDescent="0.3">
      <c r="A337" s="2" t="s">
        <v>665</v>
      </c>
      <c r="B337" s="2" t="s">
        <v>51</v>
      </c>
      <c r="C337" s="2" t="s">
        <v>96</v>
      </c>
      <c r="D337" s="2" t="s">
        <v>13</v>
      </c>
      <c r="E337" s="2">
        <v>14</v>
      </c>
      <c r="F337" s="2">
        <v>10</v>
      </c>
      <c r="G337" s="2" t="s">
        <v>14</v>
      </c>
      <c r="H337" s="2" t="s">
        <v>37</v>
      </c>
      <c r="I337" s="2" t="s">
        <v>666</v>
      </c>
      <c r="J337" s="2">
        <v>68</v>
      </c>
    </row>
    <row r="338" spans="1:10" x14ac:dyDescent="0.3">
      <c r="A338" s="2" t="s">
        <v>667</v>
      </c>
      <c r="B338" s="2" t="s">
        <v>35</v>
      </c>
      <c r="C338" s="2" t="s">
        <v>12</v>
      </c>
      <c r="D338" s="2" t="s">
        <v>31</v>
      </c>
      <c r="E338" s="2">
        <v>15</v>
      </c>
      <c r="F338" s="2">
        <v>12</v>
      </c>
      <c r="G338" s="2" t="s">
        <v>14</v>
      </c>
      <c r="H338" s="2" t="s">
        <v>46</v>
      </c>
      <c r="I338" s="2" t="s">
        <v>668</v>
      </c>
      <c r="J338" s="2">
        <v>82</v>
      </c>
    </row>
    <row r="339" spans="1:10" x14ac:dyDescent="0.3">
      <c r="A339" s="2" t="s">
        <v>669</v>
      </c>
      <c r="B339" s="2" t="s">
        <v>11</v>
      </c>
      <c r="C339" s="2" t="s">
        <v>24</v>
      </c>
      <c r="D339" s="2" t="s">
        <v>13</v>
      </c>
      <c r="E339" s="2">
        <v>19</v>
      </c>
      <c r="F339" s="2">
        <v>9</v>
      </c>
      <c r="G339" s="2" t="s">
        <v>32</v>
      </c>
      <c r="H339" s="2" t="s">
        <v>40</v>
      </c>
      <c r="I339" s="2" t="s">
        <v>670</v>
      </c>
      <c r="J339" s="2">
        <v>51</v>
      </c>
    </row>
    <row r="340" spans="1:10" x14ac:dyDescent="0.3">
      <c r="A340" s="2" t="s">
        <v>671</v>
      </c>
      <c r="B340" s="2" t="s">
        <v>11</v>
      </c>
      <c r="C340" s="2" t="s">
        <v>36</v>
      </c>
      <c r="D340" s="2" t="s">
        <v>13</v>
      </c>
      <c r="E340" s="2">
        <v>14</v>
      </c>
      <c r="F340" s="2">
        <v>10</v>
      </c>
      <c r="G340" s="2" t="s">
        <v>32</v>
      </c>
      <c r="H340" s="2" t="s">
        <v>40</v>
      </c>
      <c r="I340" s="2" t="s">
        <v>672</v>
      </c>
      <c r="J340" s="2">
        <v>64</v>
      </c>
    </row>
    <row r="341" spans="1:10" x14ac:dyDescent="0.3">
      <c r="A341" s="2" t="s">
        <v>673</v>
      </c>
      <c r="B341" s="2" t="s">
        <v>11</v>
      </c>
      <c r="C341" s="2" t="s">
        <v>19</v>
      </c>
      <c r="D341" s="2" t="s">
        <v>31</v>
      </c>
      <c r="E341" s="2">
        <v>17</v>
      </c>
      <c r="F341" s="2">
        <v>10</v>
      </c>
      <c r="G341" s="2" t="s">
        <v>32</v>
      </c>
      <c r="H341" s="2" t="s">
        <v>46</v>
      </c>
      <c r="I341" s="2" t="s">
        <v>674</v>
      </c>
      <c r="J341" s="2">
        <v>85</v>
      </c>
    </row>
    <row r="342" spans="1:10" x14ac:dyDescent="0.3">
      <c r="A342" s="2" t="s">
        <v>675</v>
      </c>
      <c r="B342" s="2" t="s">
        <v>73</v>
      </c>
      <c r="C342" s="2" t="s">
        <v>24</v>
      </c>
      <c r="D342" s="2" t="s">
        <v>13</v>
      </c>
      <c r="E342" s="2">
        <v>19</v>
      </c>
      <c r="F342" s="2">
        <v>11</v>
      </c>
      <c r="G342" s="2" t="s">
        <v>14</v>
      </c>
      <c r="H342" s="2" t="s">
        <v>37</v>
      </c>
      <c r="I342" s="2" t="s">
        <v>676</v>
      </c>
      <c r="J342" s="2">
        <v>51</v>
      </c>
    </row>
    <row r="343" spans="1:10" x14ac:dyDescent="0.3">
      <c r="A343" s="2" t="s">
        <v>677</v>
      </c>
      <c r="B343" s="2" t="s">
        <v>23</v>
      </c>
      <c r="C343" s="2" t="s">
        <v>85</v>
      </c>
      <c r="D343" s="2" t="s">
        <v>13</v>
      </c>
      <c r="E343" s="2">
        <v>20</v>
      </c>
      <c r="F343" s="2">
        <v>10</v>
      </c>
      <c r="G343" s="2" t="s">
        <v>32</v>
      </c>
      <c r="H343" s="2" t="s">
        <v>40</v>
      </c>
      <c r="I343" s="2" t="s">
        <v>678</v>
      </c>
      <c r="J343" s="2">
        <v>56</v>
      </c>
    </row>
    <row r="344" spans="1:10" x14ac:dyDescent="0.3">
      <c r="A344" s="2" t="s">
        <v>679</v>
      </c>
      <c r="B344" s="2" t="s">
        <v>18</v>
      </c>
      <c r="C344" s="2" t="s">
        <v>96</v>
      </c>
      <c r="D344" s="2" t="s">
        <v>13</v>
      </c>
      <c r="E344" s="2">
        <v>14</v>
      </c>
      <c r="F344" s="2">
        <v>12</v>
      </c>
      <c r="G344" s="2" t="s">
        <v>32</v>
      </c>
      <c r="H344" s="2" t="s">
        <v>46</v>
      </c>
      <c r="I344" s="2" t="s">
        <v>680</v>
      </c>
      <c r="J344" s="2">
        <v>44</v>
      </c>
    </row>
    <row r="345" spans="1:10" x14ac:dyDescent="0.3">
      <c r="A345" s="2" t="s">
        <v>681</v>
      </c>
      <c r="B345" s="2" t="s">
        <v>35</v>
      </c>
      <c r="C345" s="2" t="s">
        <v>36</v>
      </c>
      <c r="D345" s="2" t="s">
        <v>13</v>
      </c>
      <c r="E345" s="2">
        <v>14</v>
      </c>
      <c r="F345" s="2">
        <v>9</v>
      </c>
      <c r="G345" s="2" t="s">
        <v>43</v>
      </c>
      <c r="H345" s="2" t="s">
        <v>46</v>
      </c>
      <c r="I345" s="2" t="s">
        <v>682</v>
      </c>
      <c r="J345" s="2">
        <v>67</v>
      </c>
    </row>
    <row r="346" spans="1:10" x14ac:dyDescent="0.3">
      <c r="A346" s="2" t="s">
        <v>683</v>
      </c>
      <c r="B346" s="2" t="s">
        <v>84</v>
      </c>
      <c r="C346" s="2" t="s">
        <v>55</v>
      </c>
      <c r="D346" s="2" t="s">
        <v>31</v>
      </c>
      <c r="E346" s="2">
        <v>16</v>
      </c>
      <c r="F346" s="2">
        <v>12</v>
      </c>
      <c r="G346" s="2" t="s">
        <v>14</v>
      </c>
      <c r="H346" s="2" t="s">
        <v>76</v>
      </c>
      <c r="I346" s="2" t="s">
        <v>125</v>
      </c>
      <c r="J346" s="2">
        <v>60</v>
      </c>
    </row>
    <row r="347" spans="1:10" x14ac:dyDescent="0.3">
      <c r="A347" s="2" t="s">
        <v>684</v>
      </c>
      <c r="B347" s="2" t="s">
        <v>54</v>
      </c>
      <c r="C347" s="2" t="s">
        <v>24</v>
      </c>
      <c r="D347" s="2" t="s">
        <v>31</v>
      </c>
      <c r="E347" s="2">
        <v>17</v>
      </c>
      <c r="F347" s="2">
        <v>10</v>
      </c>
      <c r="G347" s="2" t="s">
        <v>43</v>
      </c>
      <c r="H347" s="2" t="s">
        <v>46</v>
      </c>
      <c r="I347" s="2" t="s">
        <v>685</v>
      </c>
      <c r="J347" s="2">
        <v>74</v>
      </c>
    </row>
    <row r="348" spans="1:10" x14ac:dyDescent="0.3">
      <c r="A348" s="2" t="s">
        <v>686</v>
      </c>
      <c r="B348" s="2" t="s">
        <v>23</v>
      </c>
      <c r="C348" s="2" t="s">
        <v>96</v>
      </c>
      <c r="D348" s="2" t="s">
        <v>31</v>
      </c>
      <c r="E348" s="2">
        <v>16</v>
      </c>
      <c r="F348" s="2">
        <v>9</v>
      </c>
      <c r="G348" s="2" t="s">
        <v>25</v>
      </c>
      <c r="H348" s="2" t="s">
        <v>20</v>
      </c>
      <c r="I348" s="2" t="s">
        <v>277</v>
      </c>
      <c r="J348" s="2">
        <v>71</v>
      </c>
    </row>
    <row r="349" spans="1:10" x14ac:dyDescent="0.3">
      <c r="A349" s="2" t="s">
        <v>687</v>
      </c>
      <c r="B349" s="2" t="s">
        <v>84</v>
      </c>
      <c r="C349" s="2" t="s">
        <v>19</v>
      </c>
      <c r="D349" s="2" t="s">
        <v>13</v>
      </c>
      <c r="E349" s="2">
        <v>16</v>
      </c>
      <c r="F349" s="2">
        <v>10</v>
      </c>
      <c r="G349" s="2" t="s">
        <v>25</v>
      </c>
      <c r="H349" s="2" t="s">
        <v>46</v>
      </c>
      <c r="I349" s="2" t="s">
        <v>564</v>
      </c>
      <c r="J349" s="2">
        <v>52</v>
      </c>
    </row>
    <row r="350" spans="1:10" x14ac:dyDescent="0.3">
      <c r="A350" s="2" t="s">
        <v>688</v>
      </c>
      <c r="B350" s="2" t="s">
        <v>23</v>
      </c>
      <c r="C350" s="2" t="s">
        <v>96</v>
      </c>
      <c r="D350" s="2" t="s">
        <v>31</v>
      </c>
      <c r="E350" s="2">
        <v>19</v>
      </c>
      <c r="F350" s="2">
        <v>10</v>
      </c>
      <c r="G350" s="2" t="s">
        <v>25</v>
      </c>
      <c r="H350" s="2" t="s">
        <v>40</v>
      </c>
      <c r="I350" s="2" t="s">
        <v>195</v>
      </c>
      <c r="J350" s="2">
        <v>55</v>
      </c>
    </row>
    <row r="351" spans="1:10" x14ac:dyDescent="0.3">
      <c r="A351" s="2" t="s">
        <v>689</v>
      </c>
      <c r="B351" s="2" t="s">
        <v>68</v>
      </c>
      <c r="C351" s="2" t="s">
        <v>96</v>
      </c>
      <c r="D351" s="2" t="s">
        <v>13</v>
      </c>
      <c r="E351" s="2">
        <v>20</v>
      </c>
      <c r="F351" s="2">
        <v>12</v>
      </c>
      <c r="G351" s="2" t="s">
        <v>43</v>
      </c>
      <c r="H351" s="2" t="s">
        <v>20</v>
      </c>
      <c r="I351" s="2" t="s">
        <v>626</v>
      </c>
      <c r="J351" s="2">
        <v>48</v>
      </c>
    </row>
    <row r="352" spans="1:10" x14ac:dyDescent="0.3">
      <c r="A352" s="2" t="s">
        <v>690</v>
      </c>
      <c r="B352" s="2" t="s">
        <v>23</v>
      </c>
      <c r="C352" s="2" t="s">
        <v>85</v>
      </c>
      <c r="D352" s="2" t="s">
        <v>13</v>
      </c>
      <c r="E352" s="2">
        <v>19</v>
      </c>
      <c r="F352" s="2">
        <v>9</v>
      </c>
      <c r="G352" s="2" t="s">
        <v>14</v>
      </c>
      <c r="H352" s="2" t="s">
        <v>76</v>
      </c>
      <c r="I352" s="2" t="s">
        <v>635</v>
      </c>
      <c r="J352" s="2">
        <v>91</v>
      </c>
    </row>
    <row r="353" spans="1:10" x14ac:dyDescent="0.3">
      <c r="A353" s="2" t="s">
        <v>691</v>
      </c>
      <c r="B353" s="2" t="s">
        <v>84</v>
      </c>
      <c r="C353" s="2" t="s">
        <v>55</v>
      </c>
      <c r="D353" s="2" t="s">
        <v>13</v>
      </c>
      <c r="E353" s="2">
        <v>16</v>
      </c>
      <c r="F353" s="2">
        <v>10</v>
      </c>
      <c r="G353" s="2" t="s">
        <v>43</v>
      </c>
      <c r="H353" s="2" t="s">
        <v>46</v>
      </c>
      <c r="I353" s="2" t="s">
        <v>692</v>
      </c>
      <c r="J353" s="2">
        <v>91</v>
      </c>
    </row>
    <row r="354" spans="1:10" x14ac:dyDescent="0.3">
      <c r="A354" s="2" t="s">
        <v>693</v>
      </c>
      <c r="B354" s="2" t="s">
        <v>73</v>
      </c>
      <c r="C354" s="2" t="s">
        <v>58</v>
      </c>
      <c r="D354" s="2" t="s">
        <v>31</v>
      </c>
      <c r="E354" s="2">
        <v>16</v>
      </c>
      <c r="F354" s="2">
        <v>11</v>
      </c>
      <c r="G354" s="2" t="s">
        <v>25</v>
      </c>
      <c r="H354" s="2" t="s">
        <v>37</v>
      </c>
      <c r="I354" s="2" t="s">
        <v>694</v>
      </c>
      <c r="J354" s="2">
        <v>65</v>
      </c>
    </row>
    <row r="355" spans="1:10" x14ac:dyDescent="0.3">
      <c r="A355" s="2" t="s">
        <v>695</v>
      </c>
      <c r="B355" s="2" t="s">
        <v>51</v>
      </c>
      <c r="C355" s="2" t="s">
        <v>24</v>
      </c>
      <c r="D355" s="2" t="s">
        <v>13</v>
      </c>
      <c r="E355" s="2">
        <v>17</v>
      </c>
      <c r="F355" s="2">
        <v>9</v>
      </c>
      <c r="G355" s="2" t="s">
        <v>32</v>
      </c>
      <c r="H355" s="2" t="s">
        <v>15</v>
      </c>
      <c r="I355" s="2" t="s">
        <v>696</v>
      </c>
      <c r="J355" s="2">
        <v>69</v>
      </c>
    </row>
    <row r="356" spans="1:10" x14ac:dyDescent="0.3">
      <c r="A356" s="2" t="s">
        <v>697</v>
      </c>
      <c r="B356" s="2" t="s">
        <v>29</v>
      </c>
      <c r="C356" s="2" t="s">
        <v>30</v>
      </c>
      <c r="D356" s="2" t="s">
        <v>31</v>
      </c>
      <c r="E356" s="2">
        <v>19</v>
      </c>
      <c r="F356" s="2">
        <v>10</v>
      </c>
      <c r="G356" s="2" t="s">
        <v>25</v>
      </c>
      <c r="H356" s="2" t="s">
        <v>61</v>
      </c>
      <c r="I356" s="2" t="s">
        <v>698</v>
      </c>
      <c r="J356" s="2">
        <v>75</v>
      </c>
    </row>
    <row r="357" spans="1:10" x14ac:dyDescent="0.3">
      <c r="A357" s="2" t="s">
        <v>699</v>
      </c>
      <c r="B357" s="2" t="s">
        <v>11</v>
      </c>
      <c r="C357" s="2" t="s">
        <v>30</v>
      </c>
      <c r="D357" s="2" t="s">
        <v>31</v>
      </c>
      <c r="E357" s="2">
        <v>16</v>
      </c>
      <c r="F357" s="2">
        <v>11</v>
      </c>
      <c r="G357" s="2" t="s">
        <v>43</v>
      </c>
      <c r="H357" s="2" t="s">
        <v>40</v>
      </c>
      <c r="I357" s="2" t="s">
        <v>97</v>
      </c>
      <c r="J357" s="2">
        <v>72</v>
      </c>
    </row>
    <row r="358" spans="1:10" x14ac:dyDescent="0.3">
      <c r="A358" s="2" t="s">
        <v>700</v>
      </c>
      <c r="B358" s="2" t="s">
        <v>23</v>
      </c>
      <c r="C358" s="2" t="s">
        <v>55</v>
      </c>
      <c r="D358" s="2" t="s">
        <v>31</v>
      </c>
      <c r="E358" s="2">
        <v>20</v>
      </c>
      <c r="F358" s="2">
        <v>10</v>
      </c>
      <c r="G358" s="2" t="s">
        <v>14</v>
      </c>
      <c r="H358" s="2" t="s">
        <v>15</v>
      </c>
      <c r="I358" s="2" t="s">
        <v>678</v>
      </c>
      <c r="J358" s="2">
        <v>59</v>
      </c>
    </row>
    <row r="359" spans="1:10" x14ac:dyDescent="0.3">
      <c r="A359" s="2" t="s">
        <v>701</v>
      </c>
      <c r="B359" s="2" t="s">
        <v>54</v>
      </c>
      <c r="C359" s="2" t="s">
        <v>30</v>
      </c>
      <c r="D359" s="2" t="s">
        <v>31</v>
      </c>
      <c r="E359" s="2">
        <v>15</v>
      </c>
      <c r="F359" s="2">
        <v>11</v>
      </c>
      <c r="G359" s="2" t="s">
        <v>14</v>
      </c>
      <c r="H359" s="2" t="s">
        <v>76</v>
      </c>
      <c r="I359" s="2" t="s">
        <v>702</v>
      </c>
      <c r="J359" s="2">
        <v>42</v>
      </c>
    </row>
    <row r="360" spans="1:10" x14ac:dyDescent="0.3">
      <c r="A360" s="2" t="s">
        <v>703</v>
      </c>
      <c r="B360" s="2" t="s">
        <v>73</v>
      </c>
      <c r="C360" s="2" t="s">
        <v>30</v>
      </c>
      <c r="D360" s="2" t="s">
        <v>31</v>
      </c>
      <c r="E360" s="2">
        <v>17</v>
      </c>
      <c r="F360" s="2">
        <v>12</v>
      </c>
      <c r="G360" s="2" t="s">
        <v>32</v>
      </c>
      <c r="H360" s="2" t="s">
        <v>40</v>
      </c>
      <c r="I360" s="2" t="s">
        <v>704</v>
      </c>
      <c r="J360" s="2">
        <v>93</v>
      </c>
    </row>
    <row r="361" spans="1:10" x14ac:dyDescent="0.3">
      <c r="A361" s="2" t="s">
        <v>705</v>
      </c>
      <c r="B361" s="2" t="s">
        <v>84</v>
      </c>
      <c r="C361" s="2" t="s">
        <v>55</v>
      </c>
      <c r="D361" s="2" t="s">
        <v>31</v>
      </c>
      <c r="E361" s="2">
        <v>14</v>
      </c>
      <c r="F361" s="2">
        <v>12</v>
      </c>
      <c r="G361" s="2" t="s">
        <v>43</v>
      </c>
      <c r="H361" s="2" t="s">
        <v>76</v>
      </c>
      <c r="I361" s="2" t="s">
        <v>706</v>
      </c>
      <c r="J361" s="2">
        <v>63</v>
      </c>
    </row>
    <row r="362" spans="1:10" x14ac:dyDescent="0.3">
      <c r="A362" s="2" t="s">
        <v>707</v>
      </c>
      <c r="B362" s="2" t="s">
        <v>68</v>
      </c>
      <c r="C362" s="2" t="s">
        <v>96</v>
      </c>
      <c r="D362" s="2" t="s">
        <v>31</v>
      </c>
      <c r="E362" s="2">
        <v>20</v>
      </c>
      <c r="F362" s="2">
        <v>12</v>
      </c>
      <c r="G362" s="2" t="s">
        <v>43</v>
      </c>
      <c r="H362" s="2" t="s">
        <v>37</v>
      </c>
      <c r="I362" s="2" t="s">
        <v>708</v>
      </c>
      <c r="J362" s="2">
        <v>35</v>
      </c>
    </row>
    <row r="363" spans="1:10" x14ac:dyDescent="0.3">
      <c r="A363" s="2" t="s">
        <v>709</v>
      </c>
      <c r="B363" s="2" t="s">
        <v>54</v>
      </c>
      <c r="C363" s="2" t="s">
        <v>19</v>
      </c>
      <c r="D363" s="2" t="s">
        <v>31</v>
      </c>
      <c r="E363" s="2">
        <v>18</v>
      </c>
      <c r="F363" s="2">
        <v>10</v>
      </c>
      <c r="G363" s="2" t="s">
        <v>43</v>
      </c>
      <c r="H363" s="2" t="s">
        <v>37</v>
      </c>
      <c r="I363" s="2" t="s">
        <v>710</v>
      </c>
      <c r="J363" s="2">
        <v>89</v>
      </c>
    </row>
    <row r="364" spans="1:10" x14ac:dyDescent="0.3">
      <c r="A364" s="2" t="s">
        <v>711</v>
      </c>
      <c r="B364" s="2" t="s">
        <v>29</v>
      </c>
      <c r="C364" s="2" t="s">
        <v>79</v>
      </c>
      <c r="D364" s="2" t="s">
        <v>13</v>
      </c>
      <c r="E364" s="2">
        <v>14</v>
      </c>
      <c r="F364" s="2">
        <v>9</v>
      </c>
      <c r="G364" s="2" t="s">
        <v>32</v>
      </c>
      <c r="H364" s="2" t="s">
        <v>15</v>
      </c>
      <c r="I364" s="2" t="s">
        <v>712</v>
      </c>
      <c r="J364" s="2">
        <v>72</v>
      </c>
    </row>
    <row r="365" spans="1:10" x14ac:dyDescent="0.3">
      <c r="A365" s="2" t="s">
        <v>713</v>
      </c>
      <c r="B365" s="2" t="s">
        <v>29</v>
      </c>
      <c r="C365" s="2" t="s">
        <v>24</v>
      </c>
      <c r="D365" s="2" t="s">
        <v>31</v>
      </c>
      <c r="E365" s="2">
        <v>16</v>
      </c>
      <c r="F365" s="2">
        <v>12</v>
      </c>
      <c r="G365" s="2" t="s">
        <v>32</v>
      </c>
      <c r="H365" s="2" t="s">
        <v>26</v>
      </c>
      <c r="I365" s="2" t="s">
        <v>714</v>
      </c>
      <c r="J365" s="2">
        <v>57</v>
      </c>
    </row>
    <row r="366" spans="1:10" x14ac:dyDescent="0.3">
      <c r="A366" s="2" t="s">
        <v>715</v>
      </c>
      <c r="B366" s="2" t="s">
        <v>51</v>
      </c>
      <c r="C366" s="2" t="s">
        <v>79</v>
      </c>
      <c r="D366" s="2" t="s">
        <v>13</v>
      </c>
      <c r="E366" s="2">
        <v>19</v>
      </c>
      <c r="F366" s="2">
        <v>10</v>
      </c>
      <c r="G366" s="2" t="s">
        <v>32</v>
      </c>
      <c r="H366" s="2" t="s">
        <v>40</v>
      </c>
      <c r="I366" s="2" t="s">
        <v>702</v>
      </c>
      <c r="J366" s="2">
        <v>84</v>
      </c>
    </row>
    <row r="367" spans="1:10" x14ac:dyDescent="0.3">
      <c r="A367" s="2" t="s">
        <v>716</v>
      </c>
      <c r="B367" s="2" t="s">
        <v>23</v>
      </c>
      <c r="C367" s="2" t="s">
        <v>58</v>
      </c>
      <c r="D367" s="2" t="s">
        <v>31</v>
      </c>
      <c r="E367" s="2">
        <v>17</v>
      </c>
      <c r="F367" s="2">
        <v>9</v>
      </c>
      <c r="G367" s="2" t="s">
        <v>25</v>
      </c>
      <c r="H367" s="2" t="s">
        <v>15</v>
      </c>
      <c r="I367" s="2" t="s">
        <v>717</v>
      </c>
      <c r="J367" s="2">
        <v>51</v>
      </c>
    </row>
    <row r="368" spans="1:10" x14ac:dyDescent="0.3">
      <c r="A368" s="2" t="s">
        <v>718</v>
      </c>
      <c r="B368" s="2" t="s">
        <v>84</v>
      </c>
      <c r="C368" s="2" t="s">
        <v>12</v>
      </c>
      <c r="D368" s="2" t="s">
        <v>31</v>
      </c>
      <c r="E368" s="2">
        <v>20</v>
      </c>
      <c r="F368" s="2">
        <v>10</v>
      </c>
      <c r="G368" s="2" t="s">
        <v>25</v>
      </c>
      <c r="H368" s="2" t="s">
        <v>61</v>
      </c>
      <c r="I368" s="2" t="s">
        <v>639</v>
      </c>
      <c r="J368" s="2">
        <v>35</v>
      </c>
    </row>
    <row r="369" spans="1:10" x14ac:dyDescent="0.3">
      <c r="A369" s="2" t="s">
        <v>719</v>
      </c>
      <c r="B369" s="2" t="s">
        <v>18</v>
      </c>
      <c r="C369" s="2" t="s">
        <v>24</v>
      </c>
      <c r="D369" s="2" t="s">
        <v>31</v>
      </c>
      <c r="E369" s="2">
        <v>18</v>
      </c>
      <c r="F369" s="2">
        <v>11</v>
      </c>
      <c r="G369" s="2" t="s">
        <v>43</v>
      </c>
      <c r="H369" s="2" t="s">
        <v>40</v>
      </c>
      <c r="I369" s="2" t="s">
        <v>720</v>
      </c>
      <c r="J369" s="2">
        <v>83</v>
      </c>
    </row>
    <row r="370" spans="1:10" x14ac:dyDescent="0.3">
      <c r="A370" s="2" t="s">
        <v>721</v>
      </c>
      <c r="B370" s="2" t="s">
        <v>23</v>
      </c>
      <c r="C370" s="2" t="s">
        <v>19</v>
      </c>
      <c r="D370" s="2" t="s">
        <v>31</v>
      </c>
      <c r="E370" s="2">
        <v>18</v>
      </c>
      <c r="F370" s="2">
        <v>10</v>
      </c>
      <c r="G370" s="2" t="s">
        <v>14</v>
      </c>
      <c r="H370" s="2" t="s">
        <v>26</v>
      </c>
      <c r="I370" s="2" t="s">
        <v>722</v>
      </c>
      <c r="J370" s="2">
        <v>43</v>
      </c>
    </row>
    <row r="371" spans="1:10" x14ac:dyDescent="0.3">
      <c r="A371" s="2" t="s">
        <v>723</v>
      </c>
      <c r="B371" s="2" t="s">
        <v>68</v>
      </c>
      <c r="C371" s="2" t="s">
        <v>79</v>
      </c>
      <c r="D371" s="2" t="s">
        <v>31</v>
      </c>
      <c r="E371" s="2">
        <v>19</v>
      </c>
      <c r="F371" s="2">
        <v>12</v>
      </c>
      <c r="G371" s="2" t="s">
        <v>25</v>
      </c>
      <c r="H371" s="2" t="s">
        <v>40</v>
      </c>
      <c r="I371" s="2" t="s">
        <v>724</v>
      </c>
      <c r="J371" s="2">
        <v>65</v>
      </c>
    </row>
    <row r="372" spans="1:10" x14ac:dyDescent="0.3">
      <c r="A372" s="2" t="s">
        <v>725</v>
      </c>
      <c r="B372" s="2" t="s">
        <v>11</v>
      </c>
      <c r="C372" s="2" t="s">
        <v>55</v>
      </c>
      <c r="D372" s="2" t="s">
        <v>31</v>
      </c>
      <c r="E372" s="2">
        <v>15</v>
      </c>
      <c r="F372" s="2">
        <v>9</v>
      </c>
      <c r="G372" s="2" t="s">
        <v>25</v>
      </c>
      <c r="H372" s="2" t="s">
        <v>37</v>
      </c>
      <c r="I372" s="2" t="s">
        <v>726</v>
      </c>
      <c r="J372" s="2">
        <v>72</v>
      </c>
    </row>
    <row r="373" spans="1:10" x14ac:dyDescent="0.3">
      <c r="A373" s="2" t="s">
        <v>727</v>
      </c>
      <c r="B373" s="2" t="s">
        <v>68</v>
      </c>
      <c r="C373" s="2" t="s">
        <v>12</v>
      </c>
      <c r="D373" s="2" t="s">
        <v>13</v>
      </c>
      <c r="E373" s="2">
        <v>14</v>
      </c>
      <c r="F373" s="2">
        <v>9</v>
      </c>
      <c r="G373" s="2" t="s">
        <v>14</v>
      </c>
      <c r="H373" s="2" t="s">
        <v>20</v>
      </c>
      <c r="I373" s="2" t="s">
        <v>728</v>
      </c>
      <c r="J373" s="2">
        <v>68</v>
      </c>
    </row>
    <row r="374" spans="1:10" x14ac:dyDescent="0.3">
      <c r="A374" s="2" t="s">
        <v>729</v>
      </c>
      <c r="B374" s="2" t="s">
        <v>35</v>
      </c>
      <c r="C374" s="2" t="s">
        <v>79</v>
      </c>
      <c r="D374" s="2" t="s">
        <v>13</v>
      </c>
      <c r="E374" s="2">
        <v>15</v>
      </c>
      <c r="F374" s="2">
        <v>9</v>
      </c>
      <c r="G374" s="2" t="s">
        <v>43</v>
      </c>
      <c r="H374" s="2" t="s">
        <v>76</v>
      </c>
      <c r="I374" s="2" t="s">
        <v>730</v>
      </c>
      <c r="J374" s="2">
        <v>39</v>
      </c>
    </row>
    <row r="375" spans="1:10" x14ac:dyDescent="0.3">
      <c r="A375" s="2" t="s">
        <v>731</v>
      </c>
      <c r="B375" s="2" t="s">
        <v>84</v>
      </c>
      <c r="C375" s="2" t="s">
        <v>85</v>
      </c>
      <c r="D375" s="2" t="s">
        <v>31</v>
      </c>
      <c r="E375" s="2">
        <v>17</v>
      </c>
      <c r="F375" s="2">
        <v>9</v>
      </c>
      <c r="G375" s="2" t="s">
        <v>43</v>
      </c>
      <c r="H375" s="2" t="s">
        <v>76</v>
      </c>
      <c r="I375" s="2" t="s">
        <v>732</v>
      </c>
      <c r="J375" s="2">
        <v>97</v>
      </c>
    </row>
    <row r="376" spans="1:10" x14ac:dyDescent="0.3">
      <c r="A376" s="2" t="s">
        <v>733</v>
      </c>
      <c r="B376" s="2" t="s">
        <v>84</v>
      </c>
      <c r="C376" s="2" t="s">
        <v>85</v>
      </c>
      <c r="D376" s="2" t="s">
        <v>31</v>
      </c>
      <c r="E376" s="2">
        <v>17</v>
      </c>
      <c r="F376" s="2">
        <v>12</v>
      </c>
      <c r="G376" s="2" t="s">
        <v>43</v>
      </c>
      <c r="H376" s="2" t="s">
        <v>15</v>
      </c>
      <c r="I376" s="2" t="s">
        <v>734</v>
      </c>
      <c r="J376" s="2">
        <v>77</v>
      </c>
    </row>
    <row r="377" spans="1:10" x14ac:dyDescent="0.3">
      <c r="A377" s="2" t="s">
        <v>735</v>
      </c>
      <c r="B377" s="2" t="s">
        <v>68</v>
      </c>
      <c r="C377" s="2" t="s">
        <v>24</v>
      </c>
      <c r="D377" s="2" t="s">
        <v>31</v>
      </c>
      <c r="E377" s="2">
        <v>16</v>
      </c>
      <c r="F377" s="2">
        <v>12</v>
      </c>
      <c r="G377" s="2" t="s">
        <v>43</v>
      </c>
      <c r="H377" s="2" t="s">
        <v>26</v>
      </c>
      <c r="I377" s="2" t="s">
        <v>736</v>
      </c>
      <c r="J377" s="2">
        <v>85</v>
      </c>
    </row>
    <row r="378" spans="1:10" x14ac:dyDescent="0.3">
      <c r="A378" s="2" t="s">
        <v>737</v>
      </c>
      <c r="B378" s="2" t="s">
        <v>54</v>
      </c>
      <c r="C378" s="2" t="s">
        <v>96</v>
      </c>
      <c r="D378" s="2" t="s">
        <v>13</v>
      </c>
      <c r="E378" s="2">
        <v>19</v>
      </c>
      <c r="F378" s="2">
        <v>12</v>
      </c>
      <c r="G378" s="2" t="s">
        <v>25</v>
      </c>
      <c r="H378" s="2" t="s">
        <v>20</v>
      </c>
      <c r="I378" s="2" t="s">
        <v>738</v>
      </c>
      <c r="J378" s="2">
        <v>85</v>
      </c>
    </row>
    <row r="379" spans="1:10" x14ac:dyDescent="0.3">
      <c r="A379" s="2" t="s">
        <v>739</v>
      </c>
      <c r="B379" s="2" t="s">
        <v>18</v>
      </c>
      <c r="C379" s="2" t="s">
        <v>79</v>
      </c>
      <c r="D379" s="2" t="s">
        <v>31</v>
      </c>
      <c r="E379" s="2">
        <v>14</v>
      </c>
      <c r="F379" s="2">
        <v>10</v>
      </c>
      <c r="G379" s="2" t="s">
        <v>32</v>
      </c>
      <c r="H379" s="2" t="s">
        <v>20</v>
      </c>
      <c r="I379" s="2" t="s">
        <v>740</v>
      </c>
      <c r="J379" s="2">
        <v>99</v>
      </c>
    </row>
    <row r="380" spans="1:10" x14ac:dyDescent="0.3">
      <c r="A380" s="2" t="s">
        <v>741</v>
      </c>
      <c r="B380" s="2" t="s">
        <v>54</v>
      </c>
      <c r="C380" s="2" t="s">
        <v>24</v>
      </c>
      <c r="D380" s="2" t="s">
        <v>13</v>
      </c>
      <c r="E380" s="2">
        <v>14</v>
      </c>
      <c r="F380" s="2">
        <v>9</v>
      </c>
      <c r="G380" s="2" t="s">
        <v>14</v>
      </c>
      <c r="H380" s="2" t="s">
        <v>76</v>
      </c>
      <c r="I380" s="2" t="s">
        <v>742</v>
      </c>
      <c r="J380" s="2">
        <v>55</v>
      </c>
    </row>
    <row r="381" spans="1:10" x14ac:dyDescent="0.3">
      <c r="A381" s="2" t="s">
        <v>743</v>
      </c>
      <c r="B381" s="2" t="s">
        <v>84</v>
      </c>
      <c r="C381" s="2" t="s">
        <v>19</v>
      </c>
      <c r="D381" s="2" t="s">
        <v>13</v>
      </c>
      <c r="E381" s="2">
        <v>15</v>
      </c>
      <c r="F381" s="2">
        <v>10</v>
      </c>
      <c r="G381" s="2" t="s">
        <v>43</v>
      </c>
      <c r="H381" s="2" t="s">
        <v>26</v>
      </c>
      <c r="I381" s="2" t="s">
        <v>744</v>
      </c>
      <c r="J381" s="2">
        <v>60</v>
      </c>
    </row>
    <row r="382" spans="1:10" x14ac:dyDescent="0.3">
      <c r="A382" s="2" t="s">
        <v>745</v>
      </c>
      <c r="B382" s="2" t="s">
        <v>73</v>
      </c>
      <c r="C382" s="2" t="s">
        <v>36</v>
      </c>
      <c r="D382" s="2" t="s">
        <v>13</v>
      </c>
      <c r="E382" s="2">
        <v>16</v>
      </c>
      <c r="F382" s="2">
        <v>9</v>
      </c>
      <c r="G382" s="2" t="s">
        <v>32</v>
      </c>
      <c r="H382" s="2" t="s">
        <v>76</v>
      </c>
      <c r="I382" s="2" t="s">
        <v>746</v>
      </c>
      <c r="J382" s="2">
        <v>38</v>
      </c>
    </row>
    <row r="383" spans="1:10" x14ac:dyDescent="0.3">
      <c r="A383" s="2" t="s">
        <v>747</v>
      </c>
      <c r="B383" s="2" t="s">
        <v>51</v>
      </c>
      <c r="C383" s="2" t="s">
        <v>96</v>
      </c>
      <c r="D383" s="2" t="s">
        <v>13</v>
      </c>
      <c r="E383" s="2">
        <v>17</v>
      </c>
      <c r="F383" s="2">
        <v>12</v>
      </c>
      <c r="G383" s="2" t="s">
        <v>14</v>
      </c>
      <c r="H383" s="2" t="s">
        <v>26</v>
      </c>
      <c r="I383" s="2" t="s">
        <v>748</v>
      </c>
      <c r="J383" s="2">
        <v>67</v>
      </c>
    </row>
    <row r="384" spans="1:10" x14ac:dyDescent="0.3">
      <c r="A384" s="2" t="s">
        <v>749</v>
      </c>
      <c r="B384" s="2" t="s">
        <v>84</v>
      </c>
      <c r="C384" s="2" t="s">
        <v>30</v>
      </c>
      <c r="D384" s="2" t="s">
        <v>13</v>
      </c>
      <c r="E384" s="2">
        <v>15</v>
      </c>
      <c r="F384" s="2">
        <v>12</v>
      </c>
      <c r="G384" s="2" t="s">
        <v>25</v>
      </c>
      <c r="H384" s="2" t="s">
        <v>61</v>
      </c>
      <c r="I384" s="2" t="s">
        <v>750</v>
      </c>
      <c r="J384" s="2">
        <v>95</v>
      </c>
    </row>
    <row r="385" spans="1:10" x14ac:dyDescent="0.3">
      <c r="A385" s="2" t="s">
        <v>751</v>
      </c>
      <c r="B385" s="2" t="s">
        <v>73</v>
      </c>
      <c r="C385" s="2" t="s">
        <v>79</v>
      </c>
      <c r="D385" s="2" t="s">
        <v>31</v>
      </c>
      <c r="E385" s="2">
        <v>20</v>
      </c>
      <c r="F385" s="2">
        <v>12</v>
      </c>
      <c r="G385" s="2" t="s">
        <v>25</v>
      </c>
      <c r="H385" s="2" t="s">
        <v>76</v>
      </c>
      <c r="I385" s="2" t="s">
        <v>752</v>
      </c>
      <c r="J385" s="2">
        <v>91</v>
      </c>
    </row>
    <row r="386" spans="1:10" x14ac:dyDescent="0.3">
      <c r="A386" s="2" t="s">
        <v>753</v>
      </c>
      <c r="B386" s="2" t="s">
        <v>73</v>
      </c>
      <c r="C386" s="2" t="s">
        <v>24</v>
      </c>
      <c r="D386" s="2" t="s">
        <v>13</v>
      </c>
      <c r="E386" s="2">
        <v>18</v>
      </c>
      <c r="F386" s="2">
        <v>11</v>
      </c>
      <c r="G386" s="2" t="s">
        <v>32</v>
      </c>
      <c r="H386" s="2" t="s">
        <v>40</v>
      </c>
      <c r="I386" s="2" t="s">
        <v>313</v>
      </c>
      <c r="J386" s="2">
        <v>58</v>
      </c>
    </row>
    <row r="387" spans="1:10" x14ac:dyDescent="0.3">
      <c r="A387" s="2" t="s">
        <v>754</v>
      </c>
      <c r="B387" s="2" t="s">
        <v>54</v>
      </c>
      <c r="C387" s="2" t="s">
        <v>12</v>
      </c>
      <c r="D387" s="2" t="s">
        <v>13</v>
      </c>
      <c r="E387" s="2">
        <v>14</v>
      </c>
      <c r="F387" s="2">
        <v>12</v>
      </c>
      <c r="G387" s="2" t="s">
        <v>32</v>
      </c>
      <c r="H387" s="2" t="s">
        <v>20</v>
      </c>
      <c r="I387" s="2" t="s">
        <v>755</v>
      </c>
      <c r="J387" s="2">
        <v>98</v>
      </c>
    </row>
    <row r="388" spans="1:10" x14ac:dyDescent="0.3">
      <c r="A388" s="2" t="s">
        <v>756</v>
      </c>
      <c r="B388" s="2" t="s">
        <v>11</v>
      </c>
      <c r="C388" s="2" t="s">
        <v>30</v>
      </c>
      <c r="D388" s="2" t="s">
        <v>13</v>
      </c>
      <c r="E388" s="2">
        <v>15</v>
      </c>
      <c r="F388" s="2">
        <v>11</v>
      </c>
      <c r="G388" s="2" t="s">
        <v>14</v>
      </c>
      <c r="H388" s="2" t="s">
        <v>76</v>
      </c>
      <c r="I388" s="2" t="s">
        <v>757</v>
      </c>
      <c r="J388" s="2">
        <v>39</v>
      </c>
    </row>
    <row r="389" spans="1:10" x14ac:dyDescent="0.3">
      <c r="A389" s="2" t="s">
        <v>758</v>
      </c>
      <c r="B389" s="2" t="s">
        <v>73</v>
      </c>
      <c r="C389" s="2" t="s">
        <v>12</v>
      </c>
      <c r="D389" s="2" t="s">
        <v>31</v>
      </c>
      <c r="E389" s="2">
        <v>16</v>
      </c>
      <c r="F389" s="2">
        <v>11</v>
      </c>
      <c r="G389" s="2" t="s">
        <v>43</v>
      </c>
      <c r="H389" s="2" t="s">
        <v>40</v>
      </c>
      <c r="I389" s="2" t="s">
        <v>759</v>
      </c>
      <c r="J389" s="2">
        <v>70</v>
      </c>
    </row>
    <row r="390" spans="1:10" x14ac:dyDescent="0.3">
      <c r="A390" s="2" t="s">
        <v>760</v>
      </c>
      <c r="B390" s="2" t="s">
        <v>84</v>
      </c>
      <c r="C390" s="2" t="s">
        <v>96</v>
      </c>
      <c r="D390" s="2" t="s">
        <v>31</v>
      </c>
      <c r="E390" s="2">
        <v>16</v>
      </c>
      <c r="F390" s="2">
        <v>11</v>
      </c>
      <c r="G390" s="2" t="s">
        <v>32</v>
      </c>
      <c r="H390" s="2" t="s">
        <v>76</v>
      </c>
      <c r="I390" s="2" t="s">
        <v>761</v>
      </c>
      <c r="J390" s="2">
        <v>83</v>
      </c>
    </row>
    <row r="391" spans="1:10" x14ac:dyDescent="0.3">
      <c r="A391" s="2" t="s">
        <v>762</v>
      </c>
      <c r="B391" s="2" t="s">
        <v>68</v>
      </c>
      <c r="C391" s="2" t="s">
        <v>85</v>
      </c>
      <c r="D391" s="2" t="s">
        <v>31</v>
      </c>
      <c r="E391" s="2">
        <v>20</v>
      </c>
      <c r="F391" s="2">
        <v>12</v>
      </c>
      <c r="G391" s="2" t="s">
        <v>43</v>
      </c>
      <c r="H391" s="2" t="s">
        <v>20</v>
      </c>
      <c r="I391" s="2" t="s">
        <v>763</v>
      </c>
      <c r="J391" s="2">
        <v>82</v>
      </c>
    </row>
    <row r="392" spans="1:10" x14ac:dyDescent="0.3">
      <c r="A392" s="2" t="s">
        <v>764</v>
      </c>
      <c r="B392" s="2" t="s">
        <v>18</v>
      </c>
      <c r="C392" s="2" t="s">
        <v>55</v>
      </c>
      <c r="D392" s="2" t="s">
        <v>13</v>
      </c>
      <c r="E392" s="2">
        <v>16</v>
      </c>
      <c r="F392" s="2">
        <v>12</v>
      </c>
      <c r="G392" s="2" t="s">
        <v>14</v>
      </c>
      <c r="H392" s="2" t="s">
        <v>40</v>
      </c>
      <c r="I392" s="2" t="s">
        <v>765</v>
      </c>
      <c r="J392" s="2">
        <v>61</v>
      </c>
    </row>
    <row r="393" spans="1:10" x14ac:dyDescent="0.3">
      <c r="A393" s="2" t="s">
        <v>766</v>
      </c>
      <c r="B393" s="2" t="s">
        <v>35</v>
      </c>
      <c r="C393" s="2" t="s">
        <v>58</v>
      </c>
      <c r="D393" s="2" t="s">
        <v>13</v>
      </c>
      <c r="E393" s="2">
        <v>20</v>
      </c>
      <c r="F393" s="2">
        <v>11</v>
      </c>
      <c r="G393" s="2" t="s">
        <v>32</v>
      </c>
      <c r="H393" s="2" t="s">
        <v>46</v>
      </c>
      <c r="I393" s="2" t="s">
        <v>767</v>
      </c>
      <c r="J393" s="2">
        <v>54</v>
      </c>
    </row>
    <row r="394" spans="1:10" x14ac:dyDescent="0.3">
      <c r="A394" s="2" t="s">
        <v>768</v>
      </c>
      <c r="B394" s="2" t="s">
        <v>23</v>
      </c>
      <c r="C394" s="2" t="s">
        <v>24</v>
      </c>
      <c r="D394" s="2" t="s">
        <v>13</v>
      </c>
      <c r="E394" s="2">
        <v>17</v>
      </c>
      <c r="F394" s="2">
        <v>11</v>
      </c>
      <c r="G394" s="2" t="s">
        <v>25</v>
      </c>
      <c r="H394" s="2" t="s">
        <v>40</v>
      </c>
      <c r="I394" s="2" t="s">
        <v>258</v>
      </c>
      <c r="J394" s="2">
        <v>61</v>
      </c>
    </row>
    <row r="395" spans="1:10" x14ac:dyDescent="0.3">
      <c r="A395" s="2" t="s">
        <v>769</v>
      </c>
      <c r="B395" s="2" t="s">
        <v>35</v>
      </c>
      <c r="C395" s="2" t="s">
        <v>30</v>
      </c>
      <c r="D395" s="2" t="s">
        <v>13</v>
      </c>
      <c r="E395" s="2">
        <v>16</v>
      </c>
      <c r="F395" s="2">
        <v>11</v>
      </c>
      <c r="G395" s="2" t="s">
        <v>32</v>
      </c>
      <c r="H395" s="2" t="s">
        <v>46</v>
      </c>
      <c r="I395" s="2" t="s">
        <v>770</v>
      </c>
      <c r="J395" s="2">
        <v>85</v>
      </c>
    </row>
    <row r="396" spans="1:10" x14ac:dyDescent="0.3">
      <c r="A396" s="2" t="s">
        <v>771</v>
      </c>
      <c r="B396" s="2" t="s">
        <v>23</v>
      </c>
      <c r="C396" s="2" t="s">
        <v>24</v>
      </c>
      <c r="D396" s="2" t="s">
        <v>31</v>
      </c>
      <c r="E396" s="2">
        <v>18</v>
      </c>
      <c r="F396" s="2">
        <v>11</v>
      </c>
      <c r="G396" s="2" t="s">
        <v>25</v>
      </c>
      <c r="H396" s="2" t="s">
        <v>46</v>
      </c>
      <c r="I396" s="2" t="s">
        <v>772</v>
      </c>
      <c r="J396" s="2">
        <v>89</v>
      </c>
    </row>
    <row r="397" spans="1:10" x14ac:dyDescent="0.3">
      <c r="A397" s="2" t="s">
        <v>773</v>
      </c>
      <c r="B397" s="2" t="s">
        <v>68</v>
      </c>
      <c r="C397" s="2" t="s">
        <v>19</v>
      </c>
      <c r="D397" s="2" t="s">
        <v>13</v>
      </c>
      <c r="E397" s="2">
        <v>14</v>
      </c>
      <c r="F397" s="2">
        <v>11</v>
      </c>
      <c r="G397" s="2" t="s">
        <v>14</v>
      </c>
      <c r="H397" s="2" t="s">
        <v>20</v>
      </c>
      <c r="I397" s="2" t="s">
        <v>774</v>
      </c>
      <c r="J397" s="2">
        <v>72</v>
      </c>
    </row>
    <row r="398" spans="1:10" x14ac:dyDescent="0.3">
      <c r="A398" s="2" t="s">
        <v>775</v>
      </c>
      <c r="B398" s="2" t="s">
        <v>29</v>
      </c>
      <c r="C398" s="2" t="s">
        <v>85</v>
      </c>
      <c r="D398" s="2" t="s">
        <v>31</v>
      </c>
      <c r="E398" s="2">
        <v>20</v>
      </c>
      <c r="F398" s="2">
        <v>10</v>
      </c>
      <c r="G398" s="2" t="s">
        <v>14</v>
      </c>
      <c r="H398" s="2" t="s">
        <v>46</v>
      </c>
      <c r="I398" s="2" t="s">
        <v>366</v>
      </c>
      <c r="J398" s="2">
        <v>100</v>
      </c>
    </row>
    <row r="399" spans="1:10" x14ac:dyDescent="0.3">
      <c r="A399" s="2" t="s">
        <v>776</v>
      </c>
      <c r="B399" s="2" t="s">
        <v>11</v>
      </c>
      <c r="C399" s="2" t="s">
        <v>12</v>
      </c>
      <c r="D399" s="2" t="s">
        <v>31</v>
      </c>
      <c r="E399" s="2">
        <v>20</v>
      </c>
      <c r="F399" s="2">
        <v>9</v>
      </c>
      <c r="G399" s="2" t="s">
        <v>14</v>
      </c>
      <c r="H399" s="2" t="s">
        <v>76</v>
      </c>
      <c r="I399" s="2" t="s">
        <v>777</v>
      </c>
      <c r="J399" s="2">
        <v>84</v>
      </c>
    </row>
    <row r="400" spans="1:10" x14ac:dyDescent="0.3">
      <c r="A400" s="2" t="s">
        <v>778</v>
      </c>
      <c r="B400" s="2" t="s">
        <v>73</v>
      </c>
      <c r="C400" s="2" t="s">
        <v>19</v>
      </c>
      <c r="D400" s="2" t="s">
        <v>13</v>
      </c>
      <c r="E400" s="2">
        <v>17</v>
      </c>
      <c r="F400" s="2">
        <v>12</v>
      </c>
      <c r="G400" s="2" t="s">
        <v>14</v>
      </c>
      <c r="H400" s="2" t="s">
        <v>37</v>
      </c>
      <c r="I400" s="2" t="s">
        <v>779</v>
      </c>
      <c r="J400" s="2">
        <v>76</v>
      </c>
    </row>
    <row r="401" spans="1:10" x14ac:dyDescent="0.3">
      <c r="A401" s="2" t="s">
        <v>780</v>
      </c>
      <c r="B401" s="2" t="s">
        <v>35</v>
      </c>
      <c r="C401" s="2" t="s">
        <v>36</v>
      </c>
      <c r="D401" s="2" t="s">
        <v>31</v>
      </c>
      <c r="E401" s="2">
        <v>14</v>
      </c>
      <c r="F401" s="2">
        <v>9</v>
      </c>
      <c r="G401" s="2" t="s">
        <v>25</v>
      </c>
      <c r="H401" s="2" t="s">
        <v>40</v>
      </c>
      <c r="I401" s="2" t="s">
        <v>781</v>
      </c>
      <c r="J401" s="2">
        <v>36</v>
      </c>
    </row>
    <row r="402" spans="1:10" x14ac:dyDescent="0.3">
      <c r="A402" s="2" t="s">
        <v>782</v>
      </c>
      <c r="B402" s="2" t="s">
        <v>84</v>
      </c>
      <c r="C402" s="2" t="s">
        <v>12</v>
      </c>
      <c r="D402" s="2" t="s">
        <v>31</v>
      </c>
      <c r="E402" s="2">
        <v>14</v>
      </c>
      <c r="F402" s="2">
        <v>11</v>
      </c>
      <c r="G402" s="2" t="s">
        <v>14</v>
      </c>
      <c r="H402" s="2" t="s">
        <v>37</v>
      </c>
      <c r="I402" s="2" t="s">
        <v>252</v>
      </c>
      <c r="J402" s="2">
        <v>95</v>
      </c>
    </row>
    <row r="403" spans="1:10" x14ac:dyDescent="0.3">
      <c r="A403" s="2" t="s">
        <v>783</v>
      </c>
      <c r="B403" s="2" t="s">
        <v>54</v>
      </c>
      <c r="C403" s="2" t="s">
        <v>79</v>
      </c>
      <c r="D403" s="2" t="s">
        <v>31</v>
      </c>
      <c r="E403" s="2">
        <v>15</v>
      </c>
      <c r="F403" s="2">
        <v>11</v>
      </c>
      <c r="G403" s="2" t="s">
        <v>25</v>
      </c>
      <c r="H403" s="2" t="s">
        <v>61</v>
      </c>
      <c r="I403" s="2" t="s">
        <v>628</v>
      </c>
      <c r="J403" s="2">
        <v>39</v>
      </c>
    </row>
    <row r="404" spans="1:10" x14ac:dyDescent="0.3">
      <c r="A404" s="2" t="s">
        <v>784</v>
      </c>
      <c r="B404" s="2" t="s">
        <v>84</v>
      </c>
      <c r="C404" s="2" t="s">
        <v>12</v>
      </c>
      <c r="D404" s="2" t="s">
        <v>13</v>
      </c>
      <c r="E404" s="2">
        <v>17</v>
      </c>
      <c r="F404" s="2">
        <v>9</v>
      </c>
      <c r="G404" s="2" t="s">
        <v>43</v>
      </c>
      <c r="H404" s="2" t="s">
        <v>76</v>
      </c>
      <c r="I404" s="2" t="s">
        <v>685</v>
      </c>
      <c r="J404" s="2">
        <v>89</v>
      </c>
    </row>
    <row r="405" spans="1:10" x14ac:dyDescent="0.3">
      <c r="A405" s="2" t="s">
        <v>785</v>
      </c>
      <c r="B405" s="2" t="s">
        <v>35</v>
      </c>
      <c r="C405" s="2" t="s">
        <v>58</v>
      </c>
      <c r="D405" s="2" t="s">
        <v>13</v>
      </c>
      <c r="E405" s="2">
        <v>18</v>
      </c>
      <c r="F405" s="2">
        <v>12</v>
      </c>
      <c r="G405" s="2" t="s">
        <v>43</v>
      </c>
      <c r="H405" s="2" t="s">
        <v>20</v>
      </c>
      <c r="I405" s="2" t="s">
        <v>786</v>
      </c>
      <c r="J405" s="2">
        <v>93</v>
      </c>
    </row>
    <row r="406" spans="1:10" x14ac:dyDescent="0.3">
      <c r="A406" s="2" t="s">
        <v>787</v>
      </c>
      <c r="B406" s="2" t="s">
        <v>18</v>
      </c>
      <c r="C406" s="2" t="s">
        <v>36</v>
      </c>
      <c r="D406" s="2" t="s">
        <v>31</v>
      </c>
      <c r="E406" s="2">
        <v>16</v>
      </c>
      <c r="F406" s="2">
        <v>9</v>
      </c>
      <c r="G406" s="2" t="s">
        <v>14</v>
      </c>
      <c r="H406" s="2" t="s">
        <v>76</v>
      </c>
      <c r="I406" s="2" t="s">
        <v>788</v>
      </c>
      <c r="J406" s="2">
        <v>88</v>
      </c>
    </row>
    <row r="407" spans="1:10" x14ac:dyDescent="0.3">
      <c r="A407" s="2" t="s">
        <v>789</v>
      </c>
      <c r="B407" s="2" t="s">
        <v>54</v>
      </c>
      <c r="C407" s="2" t="s">
        <v>12</v>
      </c>
      <c r="D407" s="2" t="s">
        <v>31</v>
      </c>
      <c r="E407" s="2">
        <v>18</v>
      </c>
      <c r="F407" s="2">
        <v>10</v>
      </c>
      <c r="G407" s="2" t="s">
        <v>25</v>
      </c>
      <c r="H407" s="2" t="s">
        <v>15</v>
      </c>
      <c r="I407" s="2" t="s">
        <v>790</v>
      </c>
      <c r="J407" s="2">
        <v>95</v>
      </c>
    </row>
    <row r="408" spans="1:10" x14ac:dyDescent="0.3">
      <c r="A408" s="2" t="s">
        <v>791</v>
      </c>
      <c r="B408" s="2" t="s">
        <v>51</v>
      </c>
      <c r="C408" s="2" t="s">
        <v>85</v>
      </c>
      <c r="D408" s="2" t="s">
        <v>13</v>
      </c>
      <c r="E408" s="2">
        <v>14</v>
      </c>
      <c r="F408" s="2">
        <v>9</v>
      </c>
      <c r="G408" s="2" t="s">
        <v>43</v>
      </c>
      <c r="H408" s="2" t="s">
        <v>61</v>
      </c>
      <c r="I408" s="2" t="s">
        <v>792</v>
      </c>
      <c r="J408" s="2">
        <v>96</v>
      </c>
    </row>
    <row r="409" spans="1:10" x14ac:dyDescent="0.3">
      <c r="A409" s="2" t="s">
        <v>793</v>
      </c>
      <c r="B409" s="2" t="s">
        <v>35</v>
      </c>
      <c r="C409" s="2" t="s">
        <v>19</v>
      </c>
      <c r="D409" s="2" t="s">
        <v>31</v>
      </c>
      <c r="E409" s="2">
        <v>20</v>
      </c>
      <c r="F409" s="2">
        <v>11</v>
      </c>
      <c r="G409" s="2" t="s">
        <v>32</v>
      </c>
      <c r="H409" s="2" t="s">
        <v>20</v>
      </c>
      <c r="I409" s="2" t="s">
        <v>794</v>
      </c>
      <c r="J409" s="2">
        <v>74</v>
      </c>
    </row>
    <row r="410" spans="1:10" x14ac:dyDescent="0.3">
      <c r="A410" s="2" t="s">
        <v>795</v>
      </c>
      <c r="B410" s="2" t="s">
        <v>54</v>
      </c>
      <c r="C410" s="2" t="s">
        <v>30</v>
      </c>
      <c r="D410" s="2" t="s">
        <v>13</v>
      </c>
      <c r="E410" s="2">
        <v>18</v>
      </c>
      <c r="F410" s="2">
        <v>12</v>
      </c>
      <c r="G410" s="2" t="s">
        <v>32</v>
      </c>
      <c r="H410" s="2" t="s">
        <v>20</v>
      </c>
      <c r="I410" s="2" t="s">
        <v>796</v>
      </c>
      <c r="J410" s="2">
        <v>55</v>
      </c>
    </row>
    <row r="411" spans="1:10" x14ac:dyDescent="0.3">
      <c r="A411" s="2" t="s">
        <v>797</v>
      </c>
      <c r="B411" s="2" t="s">
        <v>23</v>
      </c>
      <c r="C411" s="2" t="s">
        <v>85</v>
      </c>
      <c r="D411" s="2" t="s">
        <v>13</v>
      </c>
      <c r="E411" s="2">
        <v>17</v>
      </c>
      <c r="F411" s="2">
        <v>12</v>
      </c>
      <c r="G411" s="2" t="s">
        <v>14</v>
      </c>
      <c r="H411" s="2" t="s">
        <v>76</v>
      </c>
      <c r="I411" s="2" t="s">
        <v>71</v>
      </c>
      <c r="J411" s="2">
        <v>77</v>
      </c>
    </row>
    <row r="412" spans="1:10" x14ac:dyDescent="0.3">
      <c r="A412" s="2" t="s">
        <v>798</v>
      </c>
      <c r="B412" s="2" t="s">
        <v>23</v>
      </c>
      <c r="C412" s="2" t="s">
        <v>19</v>
      </c>
      <c r="D412" s="2" t="s">
        <v>13</v>
      </c>
      <c r="E412" s="2">
        <v>17</v>
      </c>
      <c r="F412" s="2">
        <v>12</v>
      </c>
      <c r="G412" s="2" t="s">
        <v>14</v>
      </c>
      <c r="H412" s="2" t="s">
        <v>40</v>
      </c>
      <c r="I412" s="2" t="s">
        <v>159</v>
      </c>
      <c r="J412" s="2">
        <v>95</v>
      </c>
    </row>
    <row r="413" spans="1:10" x14ac:dyDescent="0.3">
      <c r="A413" s="2" t="s">
        <v>799</v>
      </c>
      <c r="B413" s="2" t="s">
        <v>54</v>
      </c>
      <c r="C413" s="2" t="s">
        <v>36</v>
      </c>
      <c r="D413" s="2" t="s">
        <v>31</v>
      </c>
      <c r="E413" s="2">
        <v>17</v>
      </c>
      <c r="F413" s="2">
        <v>12</v>
      </c>
      <c r="G413" s="2" t="s">
        <v>14</v>
      </c>
      <c r="H413" s="2" t="s">
        <v>46</v>
      </c>
      <c r="I413" s="2" t="s">
        <v>533</v>
      </c>
      <c r="J413" s="2">
        <v>59</v>
      </c>
    </row>
    <row r="414" spans="1:10" x14ac:dyDescent="0.3">
      <c r="A414" s="2" t="s">
        <v>800</v>
      </c>
      <c r="B414" s="2" t="s">
        <v>23</v>
      </c>
      <c r="C414" s="2" t="s">
        <v>79</v>
      </c>
      <c r="D414" s="2" t="s">
        <v>31</v>
      </c>
      <c r="E414" s="2">
        <v>18</v>
      </c>
      <c r="F414" s="2">
        <v>11</v>
      </c>
      <c r="G414" s="2" t="s">
        <v>32</v>
      </c>
      <c r="H414" s="2" t="s">
        <v>76</v>
      </c>
      <c r="I414" s="2" t="s">
        <v>801</v>
      </c>
      <c r="J414" s="2">
        <v>97</v>
      </c>
    </row>
    <row r="415" spans="1:10" x14ac:dyDescent="0.3">
      <c r="A415" s="2" t="s">
        <v>802</v>
      </c>
      <c r="B415" s="2" t="s">
        <v>29</v>
      </c>
      <c r="C415" s="2" t="s">
        <v>96</v>
      </c>
      <c r="D415" s="2" t="s">
        <v>13</v>
      </c>
      <c r="E415" s="2">
        <v>14</v>
      </c>
      <c r="F415" s="2">
        <v>10</v>
      </c>
      <c r="G415" s="2" t="s">
        <v>25</v>
      </c>
      <c r="H415" s="2" t="s">
        <v>61</v>
      </c>
      <c r="I415" s="2" t="s">
        <v>803</v>
      </c>
      <c r="J415" s="2">
        <v>89</v>
      </c>
    </row>
    <row r="416" spans="1:10" x14ac:dyDescent="0.3">
      <c r="A416" s="2" t="s">
        <v>804</v>
      </c>
      <c r="B416" s="2" t="s">
        <v>54</v>
      </c>
      <c r="C416" s="2" t="s">
        <v>79</v>
      </c>
      <c r="D416" s="2" t="s">
        <v>13</v>
      </c>
      <c r="E416" s="2">
        <v>19</v>
      </c>
      <c r="F416" s="2">
        <v>9</v>
      </c>
      <c r="G416" s="2" t="s">
        <v>25</v>
      </c>
      <c r="H416" s="2" t="s">
        <v>61</v>
      </c>
      <c r="I416" s="2" t="s">
        <v>56</v>
      </c>
      <c r="J416" s="2">
        <v>43</v>
      </c>
    </row>
    <row r="417" spans="1:10" x14ac:dyDescent="0.3">
      <c r="A417" s="2" t="s">
        <v>805</v>
      </c>
      <c r="B417" s="2" t="s">
        <v>29</v>
      </c>
      <c r="C417" s="2" t="s">
        <v>36</v>
      </c>
      <c r="D417" s="2" t="s">
        <v>31</v>
      </c>
      <c r="E417" s="2">
        <v>17</v>
      </c>
      <c r="F417" s="2">
        <v>10</v>
      </c>
      <c r="G417" s="2" t="s">
        <v>25</v>
      </c>
      <c r="H417" s="2" t="s">
        <v>15</v>
      </c>
      <c r="I417" s="2" t="s">
        <v>806</v>
      </c>
      <c r="J417" s="2">
        <v>59</v>
      </c>
    </row>
    <row r="418" spans="1:10" x14ac:dyDescent="0.3">
      <c r="A418" s="2" t="s">
        <v>807</v>
      </c>
      <c r="B418" s="2" t="s">
        <v>68</v>
      </c>
      <c r="C418" s="2" t="s">
        <v>79</v>
      </c>
      <c r="D418" s="2" t="s">
        <v>31</v>
      </c>
      <c r="E418" s="2">
        <v>16</v>
      </c>
      <c r="F418" s="2">
        <v>10</v>
      </c>
      <c r="G418" s="2" t="s">
        <v>43</v>
      </c>
      <c r="H418" s="2" t="s">
        <v>76</v>
      </c>
      <c r="I418" s="2" t="s">
        <v>305</v>
      </c>
      <c r="J418" s="2">
        <v>40</v>
      </c>
    </row>
    <row r="419" spans="1:10" x14ac:dyDescent="0.3">
      <c r="A419" s="2" t="s">
        <v>808</v>
      </c>
      <c r="B419" s="2" t="s">
        <v>54</v>
      </c>
      <c r="C419" s="2" t="s">
        <v>24</v>
      </c>
      <c r="D419" s="2" t="s">
        <v>13</v>
      </c>
      <c r="E419" s="2">
        <v>14</v>
      </c>
      <c r="F419" s="2">
        <v>9</v>
      </c>
      <c r="G419" s="2" t="s">
        <v>25</v>
      </c>
      <c r="H419" s="2" t="s">
        <v>46</v>
      </c>
      <c r="I419" s="2" t="s">
        <v>809</v>
      </c>
      <c r="J419" s="2">
        <v>92</v>
      </c>
    </row>
    <row r="420" spans="1:10" x14ac:dyDescent="0.3">
      <c r="A420" s="2" t="s">
        <v>810</v>
      </c>
      <c r="B420" s="2" t="s">
        <v>73</v>
      </c>
      <c r="C420" s="2" t="s">
        <v>12</v>
      </c>
      <c r="D420" s="2" t="s">
        <v>13</v>
      </c>
      <c r="E420" s="2">
        <v>14</v>
      </c>
      <c r="F420" s="2">
        <v>10</v>
      </c>
      <c r="G420" s="2" t="s">
        <v>14</v>
      </c>
      <c r="H420" s="2" t="s">
        <v>46</v>
      </c>
      <c r="I420" s="2" t="s">
        <v>385</v>
      </c>
      <c r="J420" s="2">
        <v>49</v>
      </c>
    </row>
    <row r="421" spans="1:10" x14ac:dyDescent="0.3">
      <c r="A421" s="2" t="s">
        <v>811</v>
      </c>
      <c r="B421" s="2" t="s">
        <v>29</v>
      </c>
      <c r="C421" s="2" t="s">
        <v>58</v>
      </c>
      <c r="D421" s="2" t="s">
        <v>13</v>
      </c>
      <c r="E421" s="2">
        <v>20</v>
      </c>
      <c r="F421" s="2">
        <v>11</v>
      </c>
      <c r="G421" s="2" t="s">
        <v>14</v>
      </c>
      <c r="H421" s="2" t="s">
        <v>61</v>
      </c>
      <c r="I421" s="2" t="s">
        <v>358</v>
      </c>
      <c r="J421" s="2">
        <v>44</v>
      </c>
    </row>
    <row r="422" spans="1:10" x14ac:dyDescent="0.3">
      <c r="A422" s="2" t="s">
        <v>812</v>
      </c>
      <c r="B422" s="2" t="s">
        <v>51</v>
      </c>
      <c r="C422" s="2" t="s">
        <v>55</v>
      </c>
      <c r="D422" s="2" t="s">
        <v>13</v>
      </c>
      <c r="E422" s="2">
        <v>15</v>
      </c>
      <c r="F422" s="2">
        <v>10</v>
      </c>
      <c r="G422" s="2" t="s">
        <v>43</v>
      </c>
      <c r="H422" s="2" t="s">
        <v>46</v>
      </c>
      <c r="I422" s="2" t="s">
        <v>82</v>
      </c>
      <c r="J422" s="2">
        <v>62</v>
      </c>
    </row>
    <row r="423" spans="1:10" x14ac:dyDescent="0.3">
      <c r="A423" s="2" t="s">
        <v>813</v>
      </c>
      <c r="B423" s="2" t="s">
        <v>73</v>
      </c>
      <c r="C423" s="2" t="s">
        <v>58</v>
      </c>
      <c r="D423" s="2" t="s">
        <v>13</v>
      </c>
      <c r="E423" s="2">
        <v>17</v>
      </c>
      <c r="F423" s="2">
        <v>12</v>
      </c>
      <c r="G423" s="2" t="s">
        <v>32</v>
      </c>
      <c r="H423" s="2" t="s">
        <v>46</v>
      </c>
      <c r="I423" s="2" t="s">
        <v>346</v>
      </c>
      <c r="J423" s="2">
        <v>60</v>
      </c>
    </row>
    <row r="424" spans="1:10" x14ac:dyDescent="0.3">
      <c r="A424" s="2" t="s">
        <v>814</v>
      </c>
      <c r="B424" s="2" t="s">
        <v>18</v>
      </c>
      <c r="C424" s="2" t="s">
        <v>24</v>
      </c>
      <c r="D424" s="2" t="s">
        <v>31</v>
      </c>
      <c r="E424" s="2">
        <v>17</v>
      </c>
      <c r="F424" s="2">
        <v>10</v>
      </c>
      <c r="G424" s="2" t="s">
        <v>14</v>
      </c>
      <c r="H424" s="2" t="s">
        <v>76</v>
      </c>
      <c r="I424" s="2" t="s">
        <v>815</v>
      </c>
      <c r="J424" s="2">
        <v>47</v>
      </c>
    </row>
    <row r="425" spans="1:10" x14ac:dyDescent="0.3">
      <c r="A425" s="2" t="s">
        <v>816</v>
      </c>
      <c r="B425" s="2" t="s">
        <v>23</v>
      </c>
      <c r="C425" s="2" t="s">
        <v>79</v>
      </c>
      <c r="D425" s="2" t="s">
        <v>31</v>
      </c>
      <c r="E425" s="2">
        <v>15</v>
      </c>
      <c r="F425" s="2">
        <v>9</v>
      </c>
      <c r="G425" s="2" t="s">
        <v>25</v>
      </c>
      <c r="H425" s="2" t="s">
        <v>76</v>
      </c>
      <c r="I425" s="2" t="s">
        <v>149</v>
      </c>
      <c r="J425" s="2">
        <v>79</v>
      </c>
    </row>
    <row r="426" spans="1:10" x14ac:dyDescent="0.3">
      <c r="A426" s="2" t="s">
        <v>817</v>
      </c>
      <c r="B426" s="2" t="s">
        <v>51</v>
      </c>
      <c r="C426" s="2" t="s">
        <v>55</v>
      </c>
      <c r="D426" s="2" t="s">
        <v>31</v>
      </c>
      <c r="E426" s="2">
        <v>19</v>
      </c>
      <c r="F426" s="2">
        <v>11</v>
      </c>
      <c r="G426" s="2" t="s">
        <v>14</v>
      </c>
      <c r="H426" s="2" t="s">
        <v>26</v>
      </c>
      <c r="I426" s="2" t="s">
        <v>818</v>
      </c>
      <c r="J426" s="2">
        <v>56</v>
      </c>
    </row>
    <row r="427" spans="1:10" x14ac:dyDescent="0.3">
      <c r="A427" s="2" t="s">
        <v>819</v>
      </c>
      <c r="B427" s="2" t="s">
        <v>18</v>
      </c>
      <c r="C427" s="2" t="s">
        <v>36</v>
      </c>
      <c r="D427" s="2" t="s">
        <v>31</v>
      </c>
      <c r="E427" s="2">
        <v>14</v>
      </c>
      <c r="F427" s="2">
        <v>10</v>
      </c>
      <c r="G427" s="2" t="s">
        <v>43</v>
      </c>
      <c r="H427" s="2" t="s">
        <v>76</v>
      </c>
      <c r="I427" s="2" t="s">
        <v>820</v>
      </c>
      <c r="J427" s="2">
        <v>56</v>
      </c>
    </row>
    <row r="428" spans="1:10" x14ac:dyDescent="0.3">
      <c r="A428" s="2" t="s">
        <v>821</v>
      </c>
      <c r="B428" s="2" t="s">
        <v>18</v>
      </c>
      <c r="C428" s="2" t="s">
        <v>79</v>
      </c>
      <c r="D428" s="2" t="s">
        <v>13</v>
      </c>
      <c r="E428" s="2">
        <v>20</v>
      </c>
      <c r="F428" s="2">
        <v>12</v>
      </c>
      <c r="G428" s="2" t="s">
        <v>32</v>
      </c>
      <c r="H428" s="2" t="s">
        <v>26</v>
      </c>
      <c r="I428" s="2" t="s">
        <v>822</v>
      </c>
      <c r="J428" s="2">
        <v>52</v>
      </c>
    </row>
    <row r="429" spans="1:10" x14ac:dyDescent="0.3">
      <c r="A429" s="2" t="s">
        <v>823</v>
      </c>
      <c r="B429" s="2" t="s">
        <v>11</v>
      </c>
      <c r="C429" s="2" t="s">
        <v>79</v>
      </c>
      <c r="D429" s="2" t="s">
        <v>31</v>
      </c>
      <c r="E429" s="2">
        <v>18</v>
      </c>
      <c r="F429" s="2">
        <v>12</v>
      </c>
      <c r="G429" s="2" t="s">
        <v>43</v>
      </c>
      <c r="H429" s="2" t="s">
        <v>37</v>
      </c>
      <c r="I429" s="2" t="s">
        <v>292</v>
      </c>
      <c r="J429" s="2">
        <v>94</v>
      </c>
    </row>
    <row r="430" spans="1:10" x14ac:dyDescent="0.3">
      <c r="A430" s="2" t="s">
        <v>824</v>
      </c>
      <c r="B430" s="2" t="s">
        <v>54</v>
      </c>
      <c r="C430" s="2" t="s">
        <v>19</v>
      </c>
      <c r="D430" s="2" t="s">
        <v>31</v>
      </c>
      <c r="E430" s="2">
        <v>20</v>
      </c>
      <c r="F430" s="2">
        <v>9</v>
      </c>
      <c r="G430" s="2" t="s">
        <v>14</v>
      </c>
      <c r="H430" s="2" t="s">
        <v>37</v>
      </c>
      <c r="I430" s="2" t="s">
        <v>825</v>
      </c>
      <c r="J430" s="2">
        <v>43</v>
      </c>
    </row>
    <row r="431" spans="1:10" x14ac:dyDescent="0.3">
      <c r="A431" s="2" t="s">
        <v>826</v>
      </c>
      <c r="B431" s="2" t="s">
        <v>51</v>
      </c>
      <c r="C431" s="2" t="s">
        <v>55</v>
      </c>
      <c r="D431" s="2" t="s">
        <v>31</v>
      </c>
      <c r="E431" s="2">
        <v>15</v>
      </c>
      <c r="F431" s="2">
        <v>10</v>
      </c>
      <c r="G431" s="2" t="s">
        <v>43</v>
      </c>
      <c r="H431" s="2" t="s">
        <v>37</v>
      </c>
      <c r="I431" s="2" t="s">
        <v>174</v>
      </c>
      <c r="J431" s="2">
        <v>42</v>
      </c>
    </row>
    <row r="432" spans="1:10" x14ac:dyDescent="0.3">
      <c r="A432" s="2" t="s">
        <v>827</v>
      </c>
      <c r="B432" s="2" t="s">
        <v>35</v>
      </c>
      <c r="C432" s="2" t="s">
        <v>12</v>
      </c>
      <c r="D432" s="2" t="s">
        <v>13</v>
      </c>
      <c r="E432" s="2">
        <v>14</v>
      </c>
      <c r="F432" s="2">
        <v>12</v>
      </c>
      <c r="G432" s="2" t="s">
        <v>25</v>
      </c>
      <c r="H432" s="2" t="s">
        <v>61</v>
      </c>
      <c r="I432" s="2" t="s">
        <v>570</v>
      </c>
      <c r="J432" s="2">
        <v>65</v>
      </c>
    </row>
    <row r="433" spans="1:10" x14ac:dyDescent="0.3">
      <c r="A433" s="2" t="s">
        <v>828</v>
      </c>
      <c r="B433" s="2" t="s">
        <v>29</v>
      </c>
      <c r="C433" s="2" t="s">
        <v>55</v>
      </c>
      <c r="D433" s="2" t="s">
        <v>13</v>
      </c>
      <c r="E433" s="2">
        <v>15</v>
      </c>
      <c r="F433" s="2">
        <v>9</v>
      </c>
      <c r="G433" s="2" t="s">
        <v>32</v>
      </c>
      <c r="H433" s="2" t="s">
        <v>40</v>
      </c>
      <c r="I433" s="2" t="s">
        <v>829</v>
      </c>
      <c r="J433" s="2">
        <v>64</v>
      </c>
    </row>
    <row r="434" spans="1:10" x14ac:dyDescent="0.3">
      <c r="A434" s="2" t="s">
        <v>830</v>
      </c>
      <c r="B434" s="2" t="s">
        <v>23</v>
      </c>
      <c r="C434" s="2" t="s">
        <v>58</v>
      </c>
      <c r="D434" s="2" t="s">
        <v>31</v>
      </c>
      <c r="E434" s="2">
        <v>17</v>
      </c>
      <c r="F434" s="2">
        <v>9</v>
      </c>
      <c r="G434" s="2" t="s">
        <v>43</v>
      </c>
      <c r="H434" s="2" t="s">
        <v>61</v>
      </c>
      <c r="I434" s="2" t="s">
        <v>820</v>
      </c>
      <c r="J434" s="2">
        <v>59</v>
      </c>
    </row>
    <row r="435" spans="1:10" x14ac:dyDescent="0.3">
      <c r="A435" s="2" t="s">
        <v>831</v>
      </c>
      <c r="B435" s="2" t="s">
        <v>54</v>
      </c>
      <c r="C435" s="2" t="s">
        <v>36</v>
      </c>
      <c r="D435" s="2" t="s">
        <v>31</v>
      </c>
      <c r="E435" s="2">
        <v>19</v>
      </c>
      <c r="F435" s="2">
        <v>9</v>
      </c>
      <c r="G435" s="2" t="s">
        <v>32</v>
      </c>
      <c r="H435" s="2" t="s">
        <v>15</v>
      </c>
      <c r="I435" s="2" t="s">
        <v>832</v>
      </c>
      <c r="J435" s="2">
        <v>35</v>
      </c>
    </row>
    <row r="436" spans="1:10" x14ac:dyDescent="0.3">
      <c r="A436" s="2" t="s">
        <v>833</v>
      </c>
      <c r="B436" s="2" t="s">
        <v>73</v>
      </c>
      <c r="C436" s="2" t="s">
        <v>96</v>
      </c>
      <c r="D436" s="2" t="s">
        <v>31</v>
      </c>
      <c r="E436" s="2">
        <v>15</v>
      </c>
      <c r="F436" s="2">
        <v>10</v>
      </c>
      <c r="G436" s="2" t="s">
        <v>43</v>
      </c>
      <c r="H436" s="2" t="s">
        <v>76</v>
      </c>
      <c r="I436" s="2" t="s">
        <v>834</v>
      </c>
      <c r="J436" s="2">
        <v>37</v>
      </c>
    </row>
    <row r="437" spans="1:10" x14ac:dyDescent="0.3">
      <c r="A437" s="2" t="s">
        <v>835</v>
      </c>
      <c r="B437" s="2" t="s">
        <v>18</v>
      </c>
      <c r="C437" s="2" t="s">
        <v>55</v>
      </c>
      <c r="D437" s="2" t="s">
        <v>31</v>
      </c>
      <c r="E437" s="2">
        <v>16</v>
      </c>
      <c r="F437" s="2">
        <v>10</v>
      </c>
      <c r="G437" s="2" t="s">
        <v>14</v>
      </c>
      <c r="H437" s="2" t="s">
        <v>61</v>
      </c>
      <c r="I437" s="2" t="s">
        <v>411</v>
      </c>
      <c r="J437" s="2">
        <v>52</v>
      </c>
    </row>
    <row r="438" spans="1:10" x14ac:dyDescent="0.3">
      <c r="A438" s="2" t="s">
        <v>836</v>
      </c>
      <c r="B438" s="2" t="s">
        <v>18</v>
      </c>
      <c r="C438" s="2" t="s">
        <v>58</v>
      </c>
      <c r="D438" s="2" t="s">
        <v>13</v>
      </c>
      <c r="E438" s="2">
        <v>16</v>
      </c>
      <c r="F438" s="2">
        <v>9</v>
      </c>
      <c r="G438" s="2" t="s">
        <v>14</v>
      </c>
      <c r="H438" s="2" t="s">
        <v>37</v>
      </c>
      <c r="I438" s="2" t="s">
        <v>837</v>
      </c>
      <c r="J438" s="2">
        <v>64</v>
      </c>
    </row>
    <row r="439" spans="1:10" x14ac:dyDescent="0.3">
      <c r="A439" s="2" t="s">
        <v>838</v>
      </c>
      <c r="B439" s="2" t="s">
        <v>29</v>
      </c>
      <c r="C439" s="2" t="s">
        <v>36</v>
      </c>
      <c r="D439" s="2" t="s">
        <v>31</v>
      </c>
      <c r="E439" s="2">
        <v>17</v>
      </c>
      <c r="F439" s="2">
        <v>10</v>
      </c>
      <c r="G439" s="2" t="s">
        <v>25</v>
      </c>
      <c r="H439" s="2" t="s">
        <v>15</v>
      </c>
      <c r="I439" s="2" t="s">
        <v>839</v>
      </c>
      <c r="J439" s="2">
        <v>35</v>
      </c>
    </row>
    <row r="440" spans="1:10" x14ac:dyDescent="0.3">
      <c r="A440" s="2" t="s">
        <v>840</v>
      </c>
      <c r="B440" s="2" t="s">
        <v>29</v>
      </c>
      <c r="C440" s="2" t="s">
        <v>12</v>
      </c>
      <c r="D440" s="2" t="s">
        <v>31</v>
      </c>
      <c r="E440" s="2">
        <v>20</v>
      </c>
      <c r="F440" s="2">
        <v>10</v>
      </c>
      <c r="G440" s="2" t="s">
        <v>43</v>
      </c>
      <c r="H440" s="2" t="s">
        <v>15</v>
      </c>
      <c r="I440" s="2" t="s">
        <v>841</v>
      </c>
      <c r="J440" s="2">
        <v>37</v>
      </c>
    </row>
    <row r="441" spans="1:10" x14ac:dyDescent="0.3">
      <c r="A441" s="2" t="s">
        <v>842</v>
      </c>
      <c r="B441" s="2" t="s">
        <v>23</v>
      </c>
      <c r="C441" s="2" t="s">
        <v>30</v>
      </c>
      <c r="D441" s="2" t="s">
        <v>13</v>
      </c>
      <c r="E441" s="2">
        <v>15</v>
      </c>
      <c r="F441" s="2">
        <v>9</v>
      </c>
      <c r="G441" s="2" t="s">
        <v>32</v>
      </c>
      <c r="H441" s="2" t="s">
        <v>37</v>
      </c>
      <c r="I441" s="2" t="s">
        <v>477</v>
      </c>
      <c r="J441" s="2">
        <v>51</v>
      </c>
    </row>
    <row r="442" spans="1:10" x14ac:dyDescent="0.3">
      <c r="A442" s="2" t="s">
        <v>843</v>
      </c>
      <c r="B442" s="2" t="s">
        <v>54</v>
      </c>
      <c r="C442" s="2" t="s">
        <v>12</v>
      </c>
      <c r="D442" s="2" t="s">
        <v>31</v>
      </c>
      <c r="E442" s="2">
        <v>17</v>
      </c>
      <c r="F442" s="2">
        <v>10</v>
      </c>
      <c r="G442" s="2" t="s">
        <v>25</v>
      </c>
      <c r="H442" s="2" t="s">
        <v>40</v>
      </c>
      <c r="I442" s="2" t="s">
        <v>844</v>
      </c>
      <c r="J442" s="2">
        <v>43</v>
      </c>
    </row>
    <row r="443" spans="1:10" x14ac:dyDescent="0.3">
      <c r="A443" s="2" t="s">
        <v>845</v>
      </c>
      <c r="B443" s="2" t="s">
        <v>11</v>
      </c>
      <c r="C443" s="2" t="s">
        <v>19</v>
      </c>
      <c r="D443" s="2" t="s">
        <v>31</v>
      </c>
      <c r="E443" s="2">
        <v>19</v>
      </c>
      <c r="F443" s="2">
        <v>11</v>
      </c>
      <c r="G443" s="2" t="s">
        <v>43</v>
      </c>
      <c r="H443" s="2" t="s">
        <v>76</v>
      </c>
      <c r="I443" s="2" t="s">
        <v>282</v>
      </c>
      <c r="J443" s="2">
        <v>44</v>
      </c>
    </row>
    <row r="444" spans="1:10" x14ac:dyDescent="0.3">
      <c r="A444" s="2" t="s">
        <v>846</v>
      </c>
      <c r="B444" s="2" t="s">
        <v>35</v>
      </c>
      <c r="C444" s="2" t="s">
        <v>79</v>
      </c>
      <c r="D444" s="2" t="s">
        <v>13</v>
      </c>
      <c r="E444" s="2">
        <v>17</v>
      </c>
      <c r="F444" s="2">
        <v>12</v>
      </c>
      <c r="G444" s="2" t="s">
        <v>25</v>
      </c>
      <c r="H444" s="2" t="s">
        <v>46</v>
      </c>
      <c r="I444" s="2" t="s">
        <v>847</v>
      </c>
      <c r="J444" s="2">
        <v>41</v>
      </c>
    </row>
    <row r="445" spans="1:10" x14ac:dyDescent="0.3">
      <c r="A445" s="2" t="s">
        <v>848</v>
      </c>
      <c r="B445" s="2" t="s">
        <v>18</v>
      </c>
      <c r="C445" s="2" t="s">
        <v>24</v>
      </c>
      <c r="D445" s="2" t="s">
        <v>31</v>
      </c>
      <c r="E445" s="2">
        <v>16</v>
      </c>
      <c r="F445" s="2">
        <v>10</v>
      </c>
      <c r="G445" s="2" t="s">
        <v>25</v>
      </c>
      <c r="H445" s="2" t="s">
        <v>61</v>
      </c>
      <c r="I445" s="2" t="s">
        <v>849</v>
      </c>
      <c r="J445" s="2">
        <v>78</v>
      </c>
    </row>
    <row r="446" spans="1:10" x14ac:dyDescent="0.3">
      <c r="A446" s="2" t="s">
        <v>850</v>
      </c>
      <c r="B446" s="2" t="s">
        <v>51</v>
      </c>
      <c r="C446" s="2" t="s">
        <v>96</v>
      </c>
      <c r="D446" s="2" t="s">
        <v>13</v>
      </c>
      <c r="E446" s="2">
        <v>14</v>
      </c>
      <c r="F446" s="2">
        <v>9</v>
      </c>
      <c r="G446" s="2" t="s">
        <v>25</v>
      </c>
      <c r="H446" s="2" t="s">
        <v>26</v>
      </c>
      <c r="I446" s="2" t="s">
        <v>851</v>
      </c>
      <c r="J446" s="2">
        <v>90</v>
      </c>
    </row>
    <row r="447" spans="1:10" x14ac:dyDescent="0.3">
      <c r="A447" s="2" t="s">
        <v>852</v>
      </c>
      <c r="B447" s="2" t="s">
        <v>29</v>
      </c>
      <c r="C447" s="2" t="s">
        <v>55</v>
      </c>
      <c r="D447" s="2" t="s">
        <v>13</v>
      </c>
      <c r="E447" s="2">
        <v>15</v>
      </c>
      <c r="F447" s="2">
        <v>9</v>
      </c>
      <c r="G447" s="2" t="s">
        <v>14</v>
      </c>
      <c r="H447" s="2" t="s">
        <v>20</v>
      </c>
      <c r="I447" s="2" t="s">
        <v>853</v>
      </c>
      <c r="J447" s="2">
        <v>74</v>
      </c>
    </row>
    <row r="448" spans="1:10" x14ac:dyDescent="0.3">
      <c r="A448" s="2" t="s">
        <v>854</v>
      </c>
      <c r="B448" s="2" t="s">
        <v>51</v>
      </c>
      <c r="C448" s="2" t="s">
        <v>55</v>
      </c>
      <c r="D448" s="2" t="s">
        <v>13</v>
      </c>
      <c r="E448" s="2">
        <v>15</v>
      </c>
      <c r="F448" s="2">
        <v>11</v>
      </c>
      <c r="G448" s="2" t="s">
        <v>14</v>
      </c>
      <c r="H448" s="2" t="s">
        <v>61</v>
      </c>
      <c r="I448" s="2" t="s">
        <v>855</v>
      </c>
      <c r="J448" s="2">
        <v>84</v>
      </c>
    </row>
    <row r="449" spans="1:10" x14ac:dyDescent="0.3">
      <c r="A449" s="2" t="s">
        <v>856</v>
      </c>
      <c r="B449" s="2" t="s">
        <v>29</v>
      </c>
      <c r="C449" s="2" t="s">
        <v>85</v>
      </c>
      <c r="D449" s="2" t="s">
        <v>13</v>
      </c>
      <c r="E449" s="2">
        <v>16</v>
      </c>
      <c r="F449" s="2">
        <v>9</v>
      </c>
      <c r="G449" s="2" t="s">
        <v>14</v>
      </c>
      <c r="H449" s="2" t="s">
        <v>61</v>
      </c>
      <c r="I449" s="2" t="s">
        <v>262</v>
      </c>
      <c r="J449" s="2">
        <v>78</v>
      </c>
    </row>
    <row r="450" spans="1:10" x14ac:dyDescent="0.3">
      <c r="A450" s="2" t="s">
        <v>857</v>
      </c>
      <c r="B450" s="2" t="s">
        <v>18</v>
      </c>
      <c r="C450" s="2" t="s">
        <v>96</v>
      </c>
      <c r="D450" s="2" t="s">
        <v>13</v>
      </c>
      <c r="E450" s="2">
        <v>20</v>
      </c>
      <c r="F450" s="2">
        <v>11</v>
      </c>
      <c r="G450" s="2" t="s">
        <v>32</v>
      </c>
      <c r="H450" s="2" t="s">
        <v>61</v>
      </c>
      <c r="I450" s="2" t="s">
        <v>570</v>
      </c>
      <c r="J450" s="2">
        <v>94</v>
      </c>
    </row>
    <row r="451" spans="1:10" x14ac:dyDescent="0.3">
      <c r="A451" s="2" t="s">
        <v>858</v>
      </c>
      <c r="B451" s="2" t="s">
        <v>35</v>
      </c>
      <c r="C451" s="2" t="s">
        <v>12</v>
      </c>
      <c r="D451" s="2" t="s">
        <v>31</v>
      </c>
      <c r="E451" s="2">
        <v>19</v>
      </c>
      <c r="F451" s="2">
        <v>9</v>
      </c>
      <c r="G451" s="2" t="s">
        <v>43</v>
      </c>
      <c r="H451" s="2" t="s">
        <v>26</v>
      </c>
      <c r="I451" s="2" t="s">
        <v>859</v>
      </c>
      <c r="J451" s="2">
        <v>88</v>
      </c>
    </row>
    <row r="452" spans="1:10" x14ac:dyDescent="0.3">
      <c r="A452" s="2" t="s">
        <v>860</v>
      </c>
      <c r="B452" s="2" t="s">
        <v>68</v>
      </c>
      <c r="C452" s="2" t="s">
        <v>12</v>
      </c>
      <c r="D452" s="2" t="s">
        <v>13</v>
      </c>
      <c r="E452" s="2">
        <v>16</v>
      </c>
      <c r="F452" s="2">
        <v>12</v>
      </c>
      <c r="G452" s="2" t="s">
        <v>14</v>
      </c>
      <c r="H452" s="2" t="s">
        <v>37</v>
      </c>
      <c r="I452" s="2" t="s">
        <v>861</v>
      </c>
      <c r="J452" s="2">
        <v>84</v>
      </c>
    </row>
    <row r="453" spans="1:10" x14ac:dyDescent="0.3">
      <c r="A453" s="2" t="s">
        <v>862</v>
      </c>
      <c r="B453" s="2" t="s">
        <v>51</v>
      </c>
      <c r="C453" s="2" t="s">
        <v>24</v>
      </c>
      <c r="D453" s="2" t="s">
        <v>13</v>
      </c>
      <c r="E453" s="2">
        <v>17</v>
      </c>
      <c r="F453" s="2">
        <v>9</v>
      </c>
      <c r="G453" s="2" t="s">
        <v>43</v>
      </c>
      <c r="H453" s="2" t="s">
        <v>15</v>
      </c>
      <c r="I453" s="2" t="s">
        <v>863</v>
      </c>
      <c r="J453" s="2">
        <v>86</v>
      </c>
    </row>
    <row r="454" spans="1:10" x14ac:dyDescent="0.3">
      <c r="A454" s="2" t="s">
        <v>864</v>
      </c>
      <c r="B454" s="2" t="s">
        <v>35</v>
      </c>
      <c r="C454" s="2" t="s">
        <v>58</v>
      </c>
      <c r="D454" s="2" t="s">
        <v>13</v>
      </c>
      <c r="E454" s="2">
        <v>17</v>
      </c>
      <c r="F454" s="2">
        <v>10</v>
      </c>
      <c r="G454" s="2" t="s">
        <v>14</v>
      </c>
      <c r="H454" s="2" t="s">
        <v>20</v>
      </c>
      <c r="I454" s="2" t="s">
        <v>865</v>
      </c>
      <c r="J454" s="2">
        <v>92</v>
      </c>
    </row>
    <row r="455" spans="1:10" x14ac:dyDescent="0.3">
      <c r="A455" s="2" t="s">
        <v>866</v>
      </c>
      <c r="B455" s="2" t="s">
        <v>18</v>
      </c>
      <c r="C455" s="2" t="s">
        <v>24</v>
      </c>
      <c r="D455" s="2" t="s">
        <v>13</v>
      </c>
      <c r="E455" s="2">
        <v>15</v>
      </c>
      <c r="F455" s="2">
        <v>11</v>
      </c>
      <c r="G455" s="2" t="s">
        <v>14</v>
      </c>
      <c r="H455" s="2" t="s">
        <v>61</v>
      </c>
      <c r="I455" s="2" t="s">
        <v>867</v>
      </c>
      <c r="J455" s="2">
        <v>97</v>
      </c>
    </row>
    <row r="456" spans="1:10" x14ac:dyDescent="0.3">
      <c r="A456" s="2" t="s">
        <v>868</v>
      </c>
      <c r="B456" s="2" t="s">
        <v>84</v>
      </c>
      <c r="C456" s="2" t="s">
        <v>30</v>
      </c>
      <c r="D456" s="2" t="s">
        <v>31</v>
      </c>
      <c r="E456" s="2">
        <v>15</v>
      </c>
      <c r="F456" s="2">
        <v>9</v>
      </c>
      <c r="G456" s="2" t="s">
        <v>43</v>
      </c>
      <c r="H456" s="2" t="s">
        <v>61</v>
      </c>
      <c r="I456" s="2" t="s">
        <v>151</v>
      </c>
      <c r="J456" s="2">
        <v>45</v>
      </c>
    </row>
    <row r="457" spans="1:10" x14ac:dyDescent="0.3">
      <c r="A457" s="2" t="s">
        <v>869</v>
      </c>
      <c r="B457" s="2" t="s">
        <v>73</v>
      </c>
      <c r="C457" s="2" t="s">
        <v>96</v>
      </c>
      <c r="D457" s="2" t="s">
        <v>31</v>
      </c>
      <c r="E457" s="2">
        <v>17</v>
      </c>
      <c r="F457" s="2">
        <v>9</v>
      </c>
      <c r="G457" s="2" t="s">
        <v>43</v>
      </c>
      <c r="H457" s="2" t="s">
        <v>26</v>
      </c>
      <c r="I457" s="2" t="s">
        <v>870</v>
      </c>
      <c r="J457" s="2">
        <v>53</v>
      </c>
    </row>
    <row r="458" spans="1:10" x14ac:dyDescent="0.3">
      <c r="A458" s="2" t="s">
        <v>871</v>
      </c>
      <c r="B458" s="2" t="s">
        <v>11</v>
      </c>
      <c r="C458" s="2" t="s">
        <v>12</v>
      </c>
      <c r="D458" s="2" t="s">
        <v>13</v>
      </c>
      <c r="E458" s="2">
        <v>20</v>
      </c>
      <c r="F458" s="2">
        <v>10</v>
      </c>
      <c r="G458" s="2" t="s">
        <v>25</v>
      </c>
      <c r="H458" s="2" t="s">
        <v>76</v>
      </c>
      <c r="I458" s="2" t="s">
        <v>872</v>
      </c>
      <c r="J458" s="2">
        <v>66</v>
      </c>
    </row>
    <row r="459" spans="1:10" x14ac:dyDescent="0.3">
      <c r="A459" s="2" t="s">
        <v>873</v>
      </c>
      <c r="B459" s="2" t="s">
        <v>18</v>
      </c>
      <c r="C459" s="2" t="s">
        <v>79</v>
      </c>
      <c r="D459" s="2" t="s">
        <v>31</v>
      </c>
      <c r="E459" s="2">
        <v>19</v>
      </c>
      <c r="F459" s="2">
        <v>12</v>
      </c>
      <c r="G459" s="2" t="s">
        <v>32</v>
      </c>
      <c r="H459" s="2" t="s">
        <v>76</v>
      </c>
      <c r="I459" s="2" t="s">
        <v>742</v>
      </c>
      <c r="J459" s="2">
        <v>83</v>
      </c>
    </row>
    <row r="460" spans="1:10" x14ac:dyDescent="0.3">
      <c r="A460" s="2" t="s">
        <v>874</v>
      </c>
      <c r="B460" s="2" t="s">
        <v>35</v>
      </c>
      <c r="C460" s="2" t="s">
        <v>36</v>
      </c>
      <c r="D460" s="2" t="s">
        <v>13</v>
      </c>
      <c r="E460" s="2">
        <v>16</v>
      </c>
      <c r="F460" s="2">
        <v>10</v>
      </c>
      <c r="G460" s="2" t="s">
        <v>14</v>
      </c>
      <c r="H460" s="2" t="s">
        <v>61</v>
      </c>
      <c r="I460" s="2" t="s">
        <v>875</v>
      </c>
      <c r="J460" s="2">
        <v>35</v>
      </c>
    </row>
    <row r="461" spans="1:10" x14ac:dyDescent="0.3">
      <c r="A461" s="2" t="s">
        <v>876</v>
      </c>
      <c r="B461" s="2" t="s">
        <v>18</v>
      </c>
      <c r="C461" s="2" t="s">
        <v>24</v>
      </c>
      <c r="D461" s="2" t="s">
        <v>31</v>
      </c>
      <c r="E461" s="2">
        <v>16</v>
      </c>
      <c r="F461" s="2">
        <v>9</v>
      </c>
      <c r="G461" s="2" t="s">
        <v>43</v>
      </c>
      <c r="H461" s="2" t="s">
        <v>26</v>
      </c>
      <c r="I461" s="2" t="s">
        <v>515</v>
      </c>
      <c r="J461" s="2">
        <v>48</v>
      </c>
    </row>
    <row r="462" spans="1:10" x14ac:dyDescent="0.3">
      <c r="A462" s="2" t="s">
        <v>877</v>
      </c>
      <c r="B462" s="2" t="s">
        <v>73</v>
      </c>
      <c r="C462" s="2" t="s">
        <v>85</v>
      </c>
      <c r="D462" s="2" t="s">
        <v>13</v>
      </c>
      <c r="E462" s="2">
        <v>19</v>
      </c>
      <c r="F462" s="2">
        <v>10</v>
      </c>
      <c r="G462" s="2" t="s">
        <v>25</v>
      </c>
      <c r="H462" s="2" t="s">
        <v>26</v>
      </c>
      <c r="I462" s="2" t="s">
        <v>878</v>
      </c>
      <c r="J462" s="2">
        <v>81</v>
      </c>
    </row>
    <row r="463" spans="1:10" x14ac:dyDescent="0.3">
      <c r="A463" s="2" t="s">
        <v>879</v>
      </c>
      <c r="B463" s="2" t="s">
        <v>18</v>
      </c>
      <c r="C463" s="2" t="s">
        <v>85</v>
      </c>
      <c r="D463" s="2" t="s">
        <v>13</v>
      </c>
      <c r="E463" s="2">
        <v>15</v>
      </c>
      <c r="F463" s="2">
        <v>11</v>
      </c>
      <c r="G463" s="2" t="s">
        <v>32</v>
      </c>
      <c r="H463" s="2" t="s">
        <v>37</v>
      </c>
      <c r="I463" s="2" t="s">
        <v>880</v>
      </c>
      <c r="J463" s="2">
        <v>86</v>
      </c>
    </row>
    <row r="464" spans="1:10" x14ac:dyDescent="0.3">
      <c r="A464" s="2" t="s">
        <v>881</v>
      </c>
      <c r="B464" s="2" t="s">
        <v>73</v>
      </c>
      <c r="C464" s="2" t="s">
        <v>24</v>
      </c>
      <c r="D464" s="2" t="s">
        <v>31</v>
      </c>
      <c r="E464" s="2">
        <v>14</v>
      </c>
      <c r="F464" s="2">
        <v>12</v>
      </c>
      <c r="G464" s="2" t="s">
        <v>25</v>
      </c>
      <c r="H464" s="2" t="s">
        <v>46</v>
      </c>
      <c r="I464" s="2" t="s">
        <v>882</v>
      </c>
      <c r="J464" s="2">
        <v>58</v>
      </c>
    </row>
    <row r="465" spans="1:10" x14ac:dyDescent="0.3">
      <c r="A465" s="2" t="s">
        <v>883</v>
      </c>
      <c r="B465" s="2" t="s">
        <v>23</v>
      </c>
      <c r="C465" s="2" t="s">
        <v>85</v>
      </c>
      <c r="D465" s="2" t="s">
        <v>13</v>
      </c>
      <c r="E465" s="2">
        <v>19</v>
      </c>
      <c r="F465" s="2">
        <v>9</v>
      </c>
      <c r="G465" s="2" t="s">
        <v>43</v>
      </c>
      <c r="H465" s="2" t="s">
        <v>20</v>
      </c>
      <c r="I465" s="2" t="s">
        <v>884</v>
      </c>
      <c r="J465" s="2">
        <v>69</v>
      </c>
    </row>
    <row r="466" spans="1:10" x14ac:dyDescent="0.3">
      <c r="A466" s="2" t="s">
        <v>885</v>
      </c>
      <c r="B466" s="2" t="s">
        <v>51</v>
      </c>
      <c r="C466" s="2" t="s">
        <v>55</v>
      </c>
      <c r="D466" s="2" t="s">
        <v>13</v>
      </c>
      <c r="E466" s="2">
        <v>16</v>
      </c>
      <c r="F466" s="2">
        <v>11</v>
      </c>
      <c r="G466" s="2" t="s">
        <v>32</v>
      </c>
      <c r="H466" s="2" t="s">
        <v>76</v>
      </c>
      <c r="I466" s="2" t="s">
        <v>886</v>
      </c>
      <c r="J466" s="2">
        <v>65</v>
      </c>
    </row>
    <row r="467" spans="1:10" x14ac:dyDescent="0.3">
      <c r="A467" s="2" t="s">
        <v>887</v>
      </c>
      <c r="B467" s="2" t="s">
        <v>11</v>
      </c>
      <c r="C467" s="2" t="s">
        <v>30</v>
      </c>
      <c r="D467" s="2" t="s">
        <v>31</v>
      </c>
      <c r="E467" s="2">
        <v>17</v>
      </c>
      <c r="F467" s="2">
        <v>9</v>
      </c>
      <c r="G467" s="2" t="s">
        <v>14</v>
      </c>
      <c r="H467" s="2" t="s">
        <v>76</v>
      </c>
      <c r="I467" s="2" t="s">
        <v>653</v>
      </c>
      <c r="J467" s="2">
        <v>53</v>
      </c>
    </row>
    <row r="468" spans="1:10" x14ac:dyDescent="0.3">
      <c r="A468" s="2" t="s">
        <v>888</v>
      </c>
      <c r="B468" s="2" t="s">
        <v>23</v>
      </c>
      <c r="C468" s="2" t="s">
        <v>58</v>
      </c>
      <c r="D468" s="2" t="s">
        <v>31</v>
      </c>
      <c r="E468" s="2">
        <v>18</v>
      </c>
      <c r="F468" s="2">
        <v>10</v>
      </c>
      <c r="G468" s="2" t="s">
        <v>14</v>
      </c>
      <c r="H468" s="2" t="s">
        <v>20</v>
      </c>
      <c r="I468" s="2" t="s">
        <v>153</v>
      </c>
      <c r="J468" s="2">
        <v>92</v>
      </c>
    </row>
    <row r="469" spans="1:10" x14ac:dyDescent="0.3">
      <c r="A469" s="2" t="s">
        <v>889</v>
      </c>
      <c r="B469" s="2" t="s">
        <v>68</v>
      </c>
      <c r="C469" s="2" t="s">
        <v>19</v>
      </c>
      <c r="D469" s="2" t="s">
        <v>31</v>
      </c>
      <c r="E469" s="2">
        <v>18</v>
      </c>
      <c r="F469" s="2">
        <v>12</v>
      </c>
      <c r="G469" s="2" t="s">
        <v>32</v>
      </c>
      <c r="H469" s="2" t="s">
        <v>46</v>
      </c>
      <c r="I469" s="2" t="s">
        <v>890</v>
      </c>
      <c r="J469" s="2">
        <v>88</v>
      </c>
    </row>
    <row r="470" spans="1:10" x14ac:dyDescent="0.3">
      <c r="A470" s="2" t="s">
        <v>891</v>
      </c>
      <c r="B470" s="2" t="s">
        <v>68</v>
      </c>
      <c r="C470" s="2" t="s">
        <v>79</v>
      </c>
      <c r="D470" s="2" t="s">
        <v>31</v>
      </c>
      <c r="E470" s="2">
        <v>17</v>
      </c>
      <c r="F470" s="2">
        <v>10</v>
      </c>
      <c r="G470" s="2" t="s">
        <v>32</v>
      </c>
      <c r="H470" s="2" t="s">
        <v>61</v>
      </c>
      <c r="I470" s="2" t="s">
        <v>892</v>
      </c>
      <c r="J470" s="2">
        <v>56</v>
      </c>
    </row>
    <row r="471" spans="1:10" x14ac:dyDescent="0.3">
      <c r="A471" s="2" t="s">
        <v>893</v>
      </c>
      <c r="B471" s="2" t="s">
        <v>29</v>
      </c>
      <c r="C471" s="2" t="s">
        <v>30</v>
      </c>
      <c r="D471" s="2" t="s">
        <v>13</v>
      </c>
      <c r="E471" s="2">
        <v>17</v>
      </c>
      <c r="F471" s="2">
        <v>9</v>
      </c>
      <c r="G471" s="2" t="s">
        <v>14</v>
      </c>
      <c r="H471" s="2" t="s">
        <v>46</v>
      </c>
      <c r="I471" s="2" t="s">
        <v>423</v>
      </c>
      <c r="J471" s="2">
        <v>46</v>
      </c>
    </row>
    <row r="472" spans="1:10" x14ac:dyDescent="0.3">
      <c r="A472" s="2" t="s">
        <v>894</v>
      </c>
      <c r="B472" s="2" t="s">
        <v>23</v>
      </c>
      <c r="C472" s="2" t="s">
        <v>79</v>
      </c>
      <c r="D472" s="2" t="s">
        <v>31</v>
      </c>
      <c r="E472" s="2">
        <v>20</v>
      </c>
      <c r="F472" s="2">
        <v>9</v>
      </c>
      <c r="G472" s="2" t="s">
        <v>14</v>
      </c>
      <c r="H472" s="2" t="s">
        <v>26</v>
      </c>
      <c r="I472" s="2" t="s">
        <v>895</v>
      </c>
      <c r="J472" s="2">
        <v>36</v>
      </c>
    </row>
    <row r="473" spans="1:10" x14ac:dyDescent="0.3">
      <c r="A473" s="2" t="s">
        <v>896</v>
      </c>
      <c r="B473" s="2" t="s">
        <v>11</v>
      </c>
      <c r="C473" s="2" t="s">
        <v>36</v>
      </c>
      <c r="D473" s="2" t="s">
        <v>13</v>
      </c>
      <c r="E473" s="2">
        <v>15</v>
      </c>
      <c r="F473" s="2">
        <v>11</v>
      </c>
      <c r="G473" s="2" t="s">
        <v>14</v>
      </c>
      <c r="H473" s="2" t="s">
        <v>26</v>
      </c>
      <c r="I473" s="2" t="s">
        <v>897</v>
      </c>
      <c r="J473" s="2">
        <v>95</v>
      </c>
    </row>
    <row r="474" spans="1:10" x14ac:dyDescent="0.3">
      <c r="A474" s="2" t="s">
        <v>898</v>
      </c>
      <c r="B474" s="2" t="s">
        <v>18</v>
      </c>
      <c r="C474" s="2" t="s">
        <v>19</v>
      </c>
      <c r="D474" s="2" t="s">
        <v>13</v>
      </c>
      <c r="E474" s="2">
        <v>17</v>
      </c>
      <c r="F474" s="2">
        <v>10</v>
      </c>
      <c r="G474" s="2" t="s">
        <v>25</v>
      </c>
      <c r="H474" s="2" t="s">
        <v>61</v>
      </c>
      <c r="I474" s="2" t="s">
        <v>471</v>
      </c>
      <c r="J474" s="2">
        <v>58</v>
      </c>
    </row>
    <row r="475" spans="1:10" x14ac:dyDescent="0.3">
      <c r="A475" s="2" t="s">
        <v>899</v>
      </c>
      <c r="B475" s="2" t="s">
        <v>11</v>
      </c>
      <c r="C475" s="2" t="s">
        <v>79</v>
      </c>
      <c r="D475" s="2" t="s">
        <v>13</v>
      </c>
      <c r="E475" s="2">
        <v>15</v>
      </c>
      <c r="F475" s="2">
        <v>10</v>
      </c>
      <c r="G475" s="2" t="s">
        <v>14</v>
      </c>
      <c r="H475" s="2" t="s">
        <v>37</v>
      </c>
      <c r="I475" s="2" t="s">
        <v>900</v>
      </c>
      <c r="J475" s="2">
        <v>88</v>
      </c>
    </row>
    <row r="476" spans="1:10" x14ac:dyDescent="0.3">
      <c r="A476" s="2" t="s">
        <v>901</v>
      </c>
      <c r="B476" s="2" t="s">
        <v>68</v>
      </c>
      <c r="C476" s="2" t="s">
        <v>19</v>
      </c>
      <c r="D476" s="2" t="s">
        <v>31</v>
      </c>
      <c r="E476" s="2">
        <v>18</v>
      </c>
      <c r="F476" s="2">
        <v>11</v>
      </c>
      <c r="G476" s="2" t="s">
        <v>14</v>
      </c>
      <c r="H476" s="2" t="s">
        <v>40</v>
      </c>
      <c r="I476" s="2" t="s">
        <v>139</v>
      </c>
      <c r="J476" s="2">
        <v>75</v>
      </c>
    </row>
    <row r="477" spans="1:10" x14ac:dyDescent="0.3">
      <c r="A477" s="2" t="s">
        <v>902</v>
      </c>
      <c r="B477" s="2" t="s">
        <v>35</v>
      </c>
      <c r="C477" s="2" t="s">
        <v>12</v>
      </c>
      <c r="D477" s="2" t="s">
        <v>31</v>
      </c>
      <c r="E477" s="2">
        <v>14</v>
      </c>
      <c r="F477" s="2">
        <v>11</v>
      </c>
      <c r="G477" s="2" t="s">
        <v>14</v>
      </c>
      <c r="H477" s="2" t="s">
        <v>37</v>
      </c>
      <c r="I477" s="2" t="s">
        <v>271</v>
      </c>
      <c r="J477" s="2">
        <v>59</v>
      </c>
    </row>
    <row r="478" spans="1:10" x14ac:dyDescent="0.3">
      <c r="A478" s="2" t="s">
        <v>903</v>
      </c>
      <c r="B478" s="2" t="s">
        <v>54</v>
      </c>
      <c r="C478" s="2" t="s">
        <v>30</v>
      </c>
      <c r="D478" s="2" t="s">
        <v>31</v>
      </c>
      <c r="E478" s="2">
        <v>20</v>
      </c>
      <c r="F478" s="2">
        <v>12</v>
      </c>
      <c r="G478" s="2" t="s">
        <v>43</v>
      </c>
      <c r="H478" s="2" t="s">
        <v>40</v>
      </c>
      <c r="I478" s="2" t="s">
        <v>904</v>
      </c>
      <c r="J478" s="2">
        <v>55</v>
      </c>
    </row>
    <row r="479" spans="1:10" x14ac:dyDescent="0.3">
      <c r="A479" s="2" t="s">
        <v>905</v>
      </c>
      <c r="B479" s="2" t="s">
        <v>54</v>
      </c>
      <c r="C479" s="2" t="s">
        <v>30</v>
      </c>
      <c r="D479" s="2" t="s">
        <v>13</v>
      </c>
      <c r="E479" s="2">
        <v>16</v>
      </c>
      <c r="F479" s="2">
        <v>12</v>
      </c>
      <c r="G479" s="2" t="s">
        <v>43</v>
      </c>
      <c r="H479" s="2" t="s">
        <v>40</v>
      </c>
      <c r="I479" s="2" t="s">
        <v>556</v>
      </c>
      <c r="J479" s="2">
        <v>81</v>
      </c>
    </row>
    <row r="480" spans="1:10" x14ac:dyDescent="0.3">
      <c r="A480" s="2" t="s">
        <v>906</v>
      </c>
      <c r="B480" s="2" t="s">
        <v>73</v>
      </c>
      <c r="C480" s="2" t="s">
        <v>36</v>
      </c>
      <c r="D480" s="2" t="s">
        <v>13</v>
      </c>
      <c r="E480" s="2">
        <v>17</v>
      </c>
      <c r="F480" s="2">
        <v>12</v>
      </c>
      <c r="G480" s="2" t="s">
        <v>25</v>
      </c>
      <c r="H480" s="2" t="s">
        <v>76</v>
      </c>
      <c r="I480" s="2" t="s">
        <v>907</v>
      </c>
      <c r="J480" s="2">
        <v>75</v>
      </c>
    </row>
    <row r="481" spans="1:10" x14ac:dyDescent="0.3">
      <c r="A481" s="2" t="s">
        <v>908</v>
      </c>
      <c r="B481" s="2" t="s">
        <v>11</v>
      </c>
      <c r="C481" s="2" t="s">
        <v>79</v>
      </c>
      <c r="D481" s="2" t="s">
        <v>31</v>
      </c>
      <c r="E481" s="2">
        <v>14</v>
      </c>
      <c r="F481" s="2">
        <v>10</v>
      </c>
      <c r="G481" s="2" t="s">
        <v>14</v>
      </c>
      <c r="H481" s="2" t="s">
        <v>46</v>
      </c>
      <c r="I481" s="2" t="s">
        <v>909</v>
      </c>
      <c r="J481" s="2">
        <v>55</v>
      </c>
    </row>
    <row r="482" spans="1:10" x14ac:dyDescent="0.3">
      <c r="A482" s="2" t="s">
        <v>910</v>
      </c>
      <c r="B482" s="2" t="s">
        <v>84</v>
      </c>
      <c r="C482" s="2" t="s">
        <v>12</v>
      </c>
      <c r="D482" s="2" t="s">
        <v>31</v>
      </c>
      <c r="E482" s="2">
        <v>18</v>
      </c>
      <c r="F482" s="2">
        <v>11</v>
      </c>
      <c r="G482" s="2" t="s">
        <v>25</v>
      </c>
      <c r="H482" s="2" t="s">
        <v>15</v>
      </c>
      <c r="I482" s="2" t="s">
        <v>911</v>
      </c>
      <c r="J482" s="2">
        <v>87</v>
      </c>
    </row>
    <row r="483" spans="1:10" x14ac:dyDescent="0.3">
      <c r="A483" s="2" t="s">
        <v>912</v>
      </c>
      <c r="B483" s="2" t="s">
        <v>23</v>
      </c>
      <c r="C483" s="2" t="s">
        <v>79</v>
      </c>
      <c r="D483" s="2" t="s">
        <v>31</v>
      </c>
      <c r="E483" s="2">
        <v>17</v>
      </c>
      <c r="F483" s="2">
        <v>12</v>
      </c>
      <c r="G483" s="2" t="s">
        <v>32</v>
      </c>
      <c r="H483" s="2" t="s">
        <v>46</v>
      </c>
      <c r="I483" s="2" t="s">
        <v>400</v>
      </c>
      <c r="J483" s="2">
        <v>70</v>
      </c>
    </row>
    <row r="484" spans="1:10" x14ac:dyDescent="0.3">
      <c r="A484" s="2" t="s">
        <v>913</v>
      </c>
      <c r="B484" s="2" t="s">
        <v>68</v>
      </c>
      <c r="C484" s="2" t="s">
        <v>58</v>
      </c>
      <c r="D484" s="2" t="s">
        <v>13</v>
      </c>
      <c r="E484" s="2">
        <v>14</v>
      </c>
      <c r="F484" s="2">
        <v>10</v>
      </c>
      <c r="G484" s="2" t="s">
        <v>14</v>
      </c>
      <c r="H484" s="2" t="s">
        <v>15</v>
      </c>
      <c r="I484" s="2" t="s">
        <v>914</v>
      </c>
      <c r="J484" s="2">
        <v>69</v>
      </c>
    </row>
    <row r="485" spans="1:10" x14ac:dyDescent="0.3">
      <c r="A485" s="2" t="s">
        <v>915</v>
      </c>
      <c r="B485" s="2" t="s">
        <v>23</v>
      </c>
      <c r="C485" s="2" t="s">
        <v>58</v>
      </c>
      <c r="D485" s="2" t="s">
        <v>31</v>
      </c>
      <c r="E485" s="2">
        <v>17</v>
      </c>
      <c r="F485" s="2">
        <v>9</v>
      </c>
      <c r="G485" s="2" t="s">
        <v>25</v>
      </c>
      <c r="H485" s="2" t="s">
        <v>46</v>
      </c>
      <c r="I485" s="2" t="s">
        <v>916</v>
      </c>
      <c r="J485" s="2">
        <v>85</v>
      </c>
    </row>
    <row r="486" spans="1:10" x14ac:dyDescent="0.3">
      <c r="A486" s="2" t="s">
        <v>917</v>
      </c>
      <c r="B486" s="2" t="s">
        <v>11</v>
      </c>
      <c r="C486" s="2" t="s">
        <v>96</v>
      </c>
      <c r="D486" s="2" t="s">
        <v>31</v>
      </c>
      <c r="E486" s="2">
        <v>19</v>
      </c>
      <c r="F486" s="2">
        <v>11</v>
      </c>
      <c r="G486" s="2" t="s">
        <v>43</v>
      </c>
      <c r="H486" s="2" t="s">
        <v>26</v>
      </c>
      <c r="I486" s="2" t="s">
        <v>918</v>
      </c>
      <c r="J486" s="2">
        <v>87</v>
      </c>
    </row>
    <row r="487" spans="1:10" x14ac:dyDescent="0.3">
      <c r="A487" s="2" t="s">
        <v>919</v>
      </c>
      <c r="B487" s="2" t="s">
        <v>23</v>
      </c>
      <c r="C487" s="2" t="s">
        <v>19</v>
      </c>
      <c r="D487" s="2" t="s">
        <v>13</v>
      </c>
      <c r="E487" s="2">
        <v>14</v>
      </c>
      <c r="F487" s="2">
        <v>12</v>
      </c>
      <c r="G487" s="2" t="s">
        <v>14</v>
      </c>
      <c r="H487" s="2" t="s">
        <v>15</v>
      </c>
      <c r="I487" s="2" t="s">
        <v>920</v>
      </c>
      <c r="J487" s="2">
        <v>92</v>
      </c>
    </row>
    <row r="488" spans="1:10" x14ac:dyDescent="0.3">
      <c r="A488" s="2" t="s">
        <v>921</v>
      </c>
      <c r="B488" s="2" t="s">
        <v>18</v>
      </c>
      <c r="C488" s="2" t="s">
        <v>24</v>
      </c>
      <c r="D488" s="2" t="s">
        <v>13</v>
      </c>
      <c r="E488" s="2">
        <v>19</v>
      </c>
      <c r="F488" s="2">
        <v>10</v>
      </c>
      <c r="G488" s="2" t="s">
        <v>14</v>
      </c>
      <c r="H488" s="2" t="s">
        <v>20</v>
      </c>
      <c r="I488" s="2" t="s">
        <v>922</v>
      </c>
      <c r="J488" s="2">
        <v>58</v>
      </c>
    </row>
    <row r="489" spans="1:10" x14ac:dyDescent="0.3">
      <c r="A489" s="2" t="s">
        <v>923</v>
      </c>
      <c r="B489" s="2" t="s">
        <v>68</v>
      </c>
      <c r="C489" s="2" t="s">
        <v>55</v>
      </c>
      <c r="D489" s="2" t="s">
        <v>31</v>
      </c>
      <c r="E489" s="2">
        <v>16</v>
      </c>
      <c r="F489" s="2">
        <v>12</v>
      </c>
      <c r="G489" s="2" t="s">
        <v>43</v>
      </c>
      <c r="H489" s="2" t="s">
        <v>37</v>
      </c>
      <c r="I489" s="2" t="s">
        <v>924</v>
      </c>
      <c r="J489" s="2">
        <v>77</v>
      </c>
    </row>
    <row r="490" spans="1:10" x14ac:dyDescent="0.3">
      <c r="A490" s="2" t="s">
        <v>925</v>
      </c>
      <c r="B490" s="2" t="s">
        <v>68</v>
      </c>
      <c r="C490" s="2" t="s">
        <v>30</v>
      </c>
      <c r="D490" s="2" t="s">
        <v>31</v>
      </c>
      <c r="E490" s="2">
        <v>18</v>
      </c>
      <c r="F490" s="2">
        <v>9</v>
      </c>
      <c r="G490" s="2" t="s">
        <v>32</v>
      </c>
      <c r="H490" s="2" t="s">
        <v>20</v>
      </c>
      <c r="I490" s="2" t="s">
        <v>732</v>
      </c>
      <c r="J490" s="2">
        <v>86</v>
      </c>
    </row>
    <row r="491" spans="1:10" x14ac:dyDescent="0.3">
      <c r="A491" s="2" t="s">
        <v>926</v>
      </c>
      <c r="B491" s="2" t="s">
        <v>73</v>
      </c>
      <c r="C491" s="2" t="s">
        <v>85</v>
      </c>
      <c r="D491" s="2" t="s">
        <v>13</v>
      </c>
      <c r="E491" s="2">
        <v>14</v>
      </c>
      <c r="F491" s="2">
        <v>9</v>
      </c>
      <c r="G491" s="2" t="s">
        <v>32</v>
      </c>
      <c r="H491" s="2" t="s">
        <v>20</v>
      </c>
      <c r="I491" s="2" t="s">
        <v>927</v>
      </c>
      <c r="J491" s="2">
        <v>94</v>
      </c>
    </row>
    <row r="492" spans="1:10" x14ac:dyDescent="0.3">
      <c r="A492" s="2" t="s">
        <v>928</v>
      </c>
      <c r="B492" s="2" t="s">
        <v>23</v>
      </c>
      <c r="C492" s="2" t="s">
        <v>55</v>
      </c>
      <c r="D492" s="2" t="s">
        <v>13</v>
      </c>
      <c r="E492" s="2">
        <v>20</v>
      </c>
      <c r="F492" s="2">
        <v>11</v>
      </c>
      <c r="G492" s="2" t="s">
        <v>14</v>
      </c>
      <c r="H492" s="2" t="s">
        <v>15</v>
      </c>
      <c r="I492" s="2" t="s">
        <v>608</v>
      </c>
      <c r="J492" s="2">
        <v>49</v>
      </c>
    </row>
    <row r="493" spans="1:10" x14ac:dyDescent="0.3">
      <c r="A493" s="2" t="s">
        <v>929</v>
      </c>
      <c r="B493" s="2" t="s">
        <v>35</v>
      </c>
      <c r="C493" s="2" t="s">
        <v>30</v>
      </c>
      <c r="D493" s="2" t="s">
        <v>13</v>
      </c>
      <c r="E493" s="2">
        <v>15</v>
      </c>
      <c r="F493" s="2">
        <v>12</v>
      </c>
      <c r="G493" s="2" t="s">
        <v>32</v>
      </c>
      <c r="H493" s="2" t="s">
        <v>26</v>
      </c>
      <c r="I493" s="2" t="s">
        <v>262</v>
      </c>
      <c r="J493" s="2">
        <v>55</v>
      </c>
    </row>
    <row r="494" spans="1:10" x14ac:dyDescent="0.3">
      <c r="A494" s="2" t="s">
        <v>930</v>
      </c>
      <c r="B494" s="2" t="s">
        <v>35</v>
      </c>
      <c r="C494" s="2" t="s">
        <v>96</v>
      </c>
      <c r="D494" s="2" t="s">
        <v>31</v>
      </c>
      <c r="E494" s="2">
        <v>20</v>
      </c>
      <c r="F494" s="2">
        <v>9</v>
      </c>
      <c r="G494" s="2" t="s">
        <v>25</v>
      </c>
      <c r="H494" s="2" t="s">
        <v>61</v>
      </c>
      <c r="I494" s="2" t="s">
        <v>342</v>
      </c>
      <c r="J494" s="2">
        <v>62</v>
      </c>
    </row>
    <row r="495" spans="1:10" x14ac:dyDescent="0.3">
      <c r="A495" s="2" t="s">
        <v>931</v>
      </c>
      <c r="B495" s="2" t="s">
        <v>23</v>
      </c>
      <c r="C495" s="2" t="s">
        <v>36</v>
      </c>
      <c r="D495" s="2" t="s">
        <v>13</v>
      </c>
      <c r="E495" s="2">
        <v>20</v>
      </c>
      <c r="F495" s="2">
        <v>9</v>
      </c>
      <c r="G495" s="2" t="s">
        <v>43</v>
      </c>
      <c r="H495" s="2" t="s">
        <v>40</v>
      </c>
      <c r="I495" s="2" t="s">
        <v>932</v>
      </c>
      <c r="J495" s="2">
        <v>85</v>
      </c>
    </row>
    <row r="496" spans="1:10" x14ac:dyDescent="0.3">
      <c r="A496" s="2" t="s">
        <v>933</v>
      </c>
      <c r="B496" s="2" t="s">
        <v>51</v>
      </c>
      <c r="C496" s="2" t="s">
        <v>96</v>
      </c>
      <c r="D496" s="2" t="s">
        <v>13</v>
      </c>
      <c r="E496" s="2">
        <v>20</v>
      </c>
      <c r="F496" s="2">
        <v>11</v>
      </c>
      <c r="G496" s="2" t="s">
        <v>25</v>
      </c>
      <c r="H496" s="2" t="s">
        <v>15</v>
      </c>
      <c r="I496" s="2" t="s">
        <v>494</v>
      </c>
      <c r="J496" s="2">
        <v>42</v>
      </c>
    </row>
    <row r="497" spans="1:10" x14ac:dyDescent="0.3">
      <c r="A497" s="2" t="s">
        <v>934</v>
      </c>
      <c r="B497" s="2" t="s">
        <v>51</v>
      </c>
      <c r="C497" s="2" t="s">
        <v>58</v>
      </c>
      <c r="D497" s="2" t="s">
        <v>31</v>
      </c>
      <c r="E497" s="2">
        <v>18</v>
      </c>
      <c r="F497" s="2">
        <v>11</v>
      </c>
      <c r="G497" s="2" t="s">
        <v>14</v>
      </c>
      <c r="H497" s="2" t="s">
        <v>37</v>
      </c>
      <c r="I497" s="2" t="s">
        <v>806</v>
      </c>
      <c r="J497" s="2">
        <v>88</v>
      </c>
    </row>
    <row r="498" spans="1:10" x14ac:dyDescent="0.3">
      <c r="A498" s="2" t="s">
        <v>935</v>
      </c>
      <c r="B498" s="2" t="s">
        <v>18</v>
      </c>
      <c r="C498" s="2" t="s">
        <v>12</v>
      </c>
      <c r="D498" s="2" t="s">
        <v>13</v>
      </c>
      <c r="E498" s="2">
        <v>20</v>
      </c>
      <c r="F498" s="2">
        <v>11</v>
      </c>
      <c r="G498" s="2" t="s">
        <v>43</v>
      </c>
      <c r="H498" s="2" t="s">
        <v>46</v>
      </c>
      <c r="I498" s="2" t="s">
        <v>936</v>
      </c>
      <c r="J498" s="2">
        <v>94</v>
      </c>
    </row>
    <row r="499" spans="1:10" x14ac:dyDescent="0.3">
      <c r="A499" s="2" t="s">
        <v>937</v>
      </c>
      <c r="B499" s="2" t="s">
        <v>73</v>
      </c>
      <c r="C499" s="2" t="s">
        <v>85</v>
      </c>
      <c r="D499" s="2" t="s">
        <v>31</v>
      </c>
      <c r="E499" s="2">
        <v>16</v>
      </c>
      <c r="F499" s="2">
        <v>10</v>
      </c>
      <c r="G499" s="2" t="s">
        <v>25</v>
      </c>
      <c r="H499" s="2" t="s">
        <v>76</v>
      </c>
      <c r="I499" s="2" t="s">
        <v>305</v>
      </c>
      <c r="J499" s="2">
        <v>90</v>
      </c>
    </row>
    <row r="500" spans="1:10" x14ac:dyDescent="0.3">
      <c r="A500" s="2" t="s">
        <v>938</v>
      </c>
      <c r="B500" s="2" t="s">
        <v>18</v>
      </c>
      <c r="C500" s="2" t="s">
        <v>58</v>
      </c>
      <c r="D500" s="2" t="s">
        <v>13</v>
      </c>
      <c r="E500" s="2">
        <v>16</v>
      </c>
      <c r="F500" s="2">
        <v>12</v>
      </c>
      <c r="G500" s="2" t="s">
        <v>25</v>
      </c>
      <c r="H500" s="2" t="s">
        <v>26</v>
      </c>
      <c r="I500" s="2" t="s">
        <v>939</v>
      </c>
      <c r="J500" s="2">
        <v>41</v>
      </c>
    </row>
    <row r="501" spans="1:10" x14ac:dyDescent="0.3">
      <c r="A501" s="2" t="s">
        <v>940</v>
      </c>
      <c r="B501" s="2" t="s">
        <v>51</v>
      </c>
      <c r="C501" s="2" t="s">
        <v>96</v>
      </c>
      <c r="D501" s="2" t="s">
        <v>31</v>
      </c>
      <c r="E501" s="2">
        <v>18</v>
      </c>
      <c r="F501" s="2">
        <v>9</v>
      </c>
      <c r="G501" s="2" t="s">
        <v>43</v>
      </c>
      <c r="H501" s="2" t="s">
        <v>76</v>
      </c>
      <c r="I501" s="2" t="s">
        <v>506</v>
      </c>
      <c r="J501" s="2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F0D1-2B9A-40D7-A6F7-3153EDB96861}">
  <dimension ref="A1:P501"/>
  <sheetViews>
    <sheetView topLeftCell="D1" workbookViewId="0">
      <selection activeCell="M29" sqref="M29"/>
    </sheetView>
  </sheetViews>
  <sheetFormatPr defaultRowHeight="14.4" x14ac:dyDescent="0.3"/>
  <cols>
    <col min="1" max="2" width="10.44140625" bestFit="1" customWidth="1"/>
    <col min="3" max="3" width="10.33203125" bestFit="1" customWidth="1"/>
    <col min="4" max="4" width="7.109375" bestFit="1" customWidth="1"/>
    <col min="5" max="5" width="4.21875" bestFit="1" customWidth="1"/>
    <col min="6" max="6" width="5.109375" bestFit="1" customWidth="1"/>
    <col min="7" max="7" width="7.21875" bestFit="1" customWidth="1"/>
    <col min="8" max="8" width="9.77734375" bestFit="1" customWidth="1"/>
    <col min="9" max="9" width="14.6640625" bestFit="1" customWidth="1"/>
    <col min="10" max="10" width="6.21875" bestFit="1" customWidth="1"/>
    <col min="12" max="12" width="2.33203125" bestFit="1" customWidth="1"/>
    <col min="13" max="13" width="52" bestFit="1" customWidth="1"/>
    <col min="14" max="14" width="5" bestFit="1" customWidth="1"/>
    <col min="16" max="16" width="6.88671875" bestFit="1" customWidth="1"/>
  </cols>
  <sheetData>
    <row r="1" spans="1:16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/>
    </row>
    <row r="2" spans="1:16" ht="18" x14ac:dyDescent="0.35">
      <c r="A2" s="15" t="s">
        <v>10</v>
      </c>
      <c r="B2" s="15" t="s">
        <v>11</v>
      </c>
      <c r="C2" s="15" t="s">
        <v>12</v>
      </c>
      <c r="D2" s="15" t="s">
        <v>13</v>
      </c>
      <c r="E2" s="15">
        <v>16</v>
      </c>
      <c r="F2" s="15">
        <v>10</v>
      </c>
      <c r="G2" s="15" t="s">
        <v>14</v>
      </c>
      <c r="H2" s="15" t="s">
        <v>15</v>
      </c>
      <c r="I2" s="15" t="s">
        <v>16</v>
      </c>
      <c r="J2" s="15">
        <v>37</v>
      </c>
      <c r="L2" s="16">
        <v>1</v>
      </c>
      <c r="M2" s="16" t="s">
        <v>962</v>
      </c>
    </row>
    <row r="3" spans="1:16" ht="18" x14ac:dyDescent="0.35">
      <c r="A3" s="15" t="s">
        <v>17</v>
      </c>
      <c r="B3" s="15" t="s">
        <v>18</v>
      </c>
      <c r="C3" s="15" t="s">
        <v>19</v>
      </c>
      <c r="D3" s="15" t="s">
        <v>13</v>
      </c>
      <c r="E3" s="15">
        <v>15</v>
      </c>
      <c r="F3" s="15">
        <v>12</v>
      </c>
      <c r="G3" s="15" t="s">
        <v>14</v>
      </c>
      <c r="H3" s="15" t="s">
        <v>20</v>
      </c>
      <c r="I3" s="15" t="s">
        <v>21</v>
      </c>
      <c r="J3" s="15">
        <v>98</v>
      </c>
      <c r="L3" s="17"/>
      <c r="M3" s="18">
        <f>COUNTA(A2:A501)</f>
        <v>500</v>
      </c>
    </row>
    <row r="4" spans="1:16" ht="18" x14ac:dyDescent="0.35">
      <c r="A4" s="15" t="s">
        <v>22</v>
      </c>
      <c r="B4" s="15" t="s">
        <v>23</v>
      </c>
      <c r="C4" s="15" t="s">
        <v>24</v>
      </c>
      <c r="D4" s="15" t="s">
        <v>13</v>
      </c>
      <c r="E4" s="15">
        <v>14</v>
      </c>
      <c r="F4" s="15">
        <v>12</v>
      </c>
      <c r="G4" s="15" t="s">
        <v>25</v>
      </c>
      <c r="H4" s="15" t="s">
        <v>26</v>
      </c>
      <c r="I4" s="15" t="s">
        <v>27</v>
      </c>
      <c r="J4" s="15">
        <v>38</v>
      </c>
      <c r="L4" s="17"/>
      <c r="M4" s="17"/>
    </row>
    <row r="5" spans="1:16" ht="18" x14ac:dyDescent="0.35">
      <c r="A5" s="15" t="s">
        <v>28</v>
      </c>
      <c r="B5" s="15" t="s">
        <v>29</v>
      </c>
      <c r="C5" s="15" t="s">
        <v>30</v>
      </c>
      <c r="D5" s="15" t="s">
        <v>31</v>
      </c>
      <c r="E5" s="15">
        <v>20</v>
      </c>
      <c r="F5" s="15">
        <v>9</v>
      </c>
      <c r="G5" s="15" t="s">
        <v>32</v>
      </c>
      <c r="H5" s="15" t="s">
        <v>26</v>
      </c>
      <c r="I5" s="15" t="s">
        <v>33</v>
      </c>
      <c r="J5" s="15">
        <v>84</v>
      </c>
      <c r="L5" s="16">
        <v>2</v>
      </c>
      <c r="M5" s="16" t="s">
        <v>963</v>
      </c>
    </row>
    <row r="6" spans="1:16" ht="18" x14ac:dyDescent="0.35">
      <c r="A6" s="15" t="s">
        <v>34</v>
      </c>
      <c r="B6" s="15" t="s">
        <v>35</v>
      </c>
      <c r="C6" s="15" t="s">
        <v>36</v>
      </c>
      <c r="D6" s="15" t="s">
        <v>31</v>
      </c>
      <c r="E6" s="15">
        <v>17</v>
      </c>
      <c r="F6" s="15">
        <v>10</v>
      </c>
      <c r="G6" s="15" t="s">
        <v>32</v>
      </c>
      <c r="H6" s="15" t="s">
        <v>37</v>
      </c>
      <c r="I6" s="15" t="s">
        <v>38</v>
      </c>
      <c r="J6" s="15">
        <v>45</v>
      </c>
      <c r="L6" s="17"/>
      <c r="M6" s="18">
        <f>MAX(J2:J501)</f>
        <v>100</v>
      </c>
    </row>
    <row r="7" spans="1:16" ht="18" x14ac:dyDescent="0.35">
      <c r="A7" s="15" t="s">
        <v>39</v>
      </c>
      <c r="B7" s="15" t="s">
        <v>11</v>
      </c>
      <c r="C7" s="15" t="s">
        <v>12</v>
      </c>
      <c r="D7" s="15" t="s">
        <v>31</v>
      </c>
      <c r="E7" s="15">
        <v>19</v>
      </c>
      <c r="F7" s="15">
        <v>10</v>
      </c>
      <c r="G7" s="15" t="s">
        <v>14</v>
      </c>
      <c r="H7" s="15" t="s">
        <v>40</v>
      </c>
      <c r="I7" s="15" t="s">
        <v>41</v>
      </c>
      <c r="J7" s="15">
        <v>36</v>
      </c>
      <c r="L7" s="17"/>
      <c r="M7" s="17"/>
    </row>
    <row r="8" spans="1:16" ht="18" x14ac:dyDescent="0.35">
      <c r="A8" s="15" t="s">
        <v>42</v>
      </c>
      <c r="B8" s="15" t="s">
        <v>29</v>
      </c>
      <c r="C8" s="15" t="s">
        <v>24</v>
      </c>
      <c r="D8" s="15" t="s">
        <v>31</v>
      </c>
      <c r="E8" s="15">
        <v>20</v>
      </c>
      <c r="F8" s="15">
        <v>9</v>
      </c>
      <c r="G8" s="15" t="s">
        <v>43</v>
      </c>
      <c r="H8" s="15" t="s">
        <v>40</v>
      </c>
      <c r="I8" s="15" t="s">
        <v>44</v>
      </c>
      <c r="J8" s="15">
        <v>88</v>
      </c>
      <c r="L8" s="16">
        <v>3</v>
      </c>
      <c r="M8" s="16" t="s">
        <v>964</v>
      </c>
    </row>
    <row r="9" spans="1:16" ht="18" x14ac:dyDescent="0.35">
      <c r="A9" s="15" t="s">
        <v>45</v>
      </c>
      <c r="B9" s="15" t="s">
        <v>35</v>
      </c>
      <c r="C9" s="15" t="s">
        <v>12</v>
      </c>
      <c r="D9" s="15" t="s">
        <v>13</v>
      </c>
      <c r="E9" s="15">
        <v>19</v>
      </c>
      <c r="F9" s="15">
        <v>12</v>
      </c>
      <c r="G9" s="15" t="s">
        <v>32</v>
      </c>
      <c r="H9" s="15" t="s">
        <v>46</v>
      </c>
      <c r="I9" s="15" t="s">
        <v>47</v>
      </c>
      <c r="J9" s="15">
        <v>60</v>
      </c>
      <c r="L9" s="18"/>
      <c r="M9" s="18">
        <f>MIN(J2:J501)</f>
        <v>35</v>
      </c>
    </row>
    <row r="10" spans="1:16" ht="18" x14ac:dyDescent="0.35">
      <c r="A10" s="15" t="s">
        <v>48</v>
      </c>
      <c r="B10" s="15" t="s">
        <v>18</v>
      </c>
      <c r="C10" s="15" t="s">
        <v>30</v>
      </c>
      <c r="D10" s="15" t="s">
        <v>31</v>
      </c>
      <c r="E10" s="15">
        <v>19</v>
      </c>
      <c r="F10" s="15">
        <v>12</v>
      </c>
      <c r="G10" s="15" t="s">
        <v>14</v>
      </c>
      <c r="H10" s="15" t="s">
        <v>46</v>
      </c>
      <c r="I10" s="15" t="s">
        <v>49</v>
      </c>
      <c r="J10" s="15">
        <v>92</v>
      </c>
      <c r="L10" s="17"/>
      <c r="M10" s="17"/>
    </row>
    <row r="11" spans="1:16" ht="18" x14ac:dyDescent="0.35">
      <c r="A11" s="15" t="s">
        <v>50</v>
      </c>
      <c r="B11" s="15" t="s">
        <v>51</v>
      </c>
      <c r="C11" s="15" t="s">
        <v>24</v>
      </c>
      <c r="D11" s="15" t="s">
        <v>31</v>
      </c>
      <c r="E11" s="15">
        <v>15</v>
      </c>
      <c r="F11" s="15">
        <v>9</v>
      </c>
      <c r="G11" s="15" t="s">
        <v>43</v>
      </c>
      <c r="H11" s="15" t="s">
        <v>15</v>
      </c>
      <c r="I11" s="15" t="s">
        <v>52</v>
      </c>
      <c r="J11" s="15">
        <v>90</v>
      </c>
      <c r="L11" s="16">
        <v>4</v>
      </c>
      <c r="M11" s="16" t="s">
        <v>965</v>
      </c>
    </row>
    <row r="12" spans="1:16" ht="18" x14ac:dyDescent="0.35">
      <c r="A12" s="15" t="s">
        <v>53</v>
      </c>
      <c r="B12" s="15" t="s">
        <v>54</v>
      </c>
      <c r="C12" s="15" t="s">
        <v>55</v>
      </c>
      <c r="D12" s="15" t="s">
        <v>31</v>
      </c>
      <c r="E12" s="15">
        <v>20</v>
      </c>
      <c r="F12" s="15">
        <v>10</v>
      </c>
      <c r="G12" s="15" t="s">
        <v>25</v>
      </c>
      <c r="H12" s="15" t="s">
        <v>40</v>
      </c>
      <c r="I12" s="15" t="s">
        <v>56</v>
      </c>
      <c r="J12" s="15">
        <v>59</v>
      </c>
      <c r="L12" s="18"/>
      <c r="M12" s="18">
        <f>AVERAGE(J2:J501)</f>
        <v>66.507999999999996</v>
      </c>
    </row>
    <row r="13" spans="1:16" ht="18" x14ac:dyDescent="0.35">
      <c r="A13" s="15" t="s">
        <v>57</v>
      </c>
      <c r="B13" s="15" t="s">
        <v>51</v>
      </c>
      <c r="C13" s="15" t="s">
        <v>58</v>
      </c>
      <c r="D13" s="15" t="s">
        <v>13</v>
      </c>
      <c r="E13" s="15">
        <v>14</v>
      </c>
      <c r="F13" s="15">
        <v>12</v>
      </c>
      <c r="G13" s="15" t="s">
        <v>32</v>
      </c>
      <c r="H13" s="15" t="s">
        <v>40</v>
      </c>
      <c r="I13" s="15" t="s">
        <v>59</v>
      </c>
      <c r="J13" s="15">
        <v>43</v>
      </c>
      <c r="L13" s="17"/>
      <c r="M13" s="17"/>
    </row>
    <row r="14" spans="1:16" ht="18" x14ac:dyDescent="0.35">
      <c r="A14" s="15" t="s">
        <v>60</v>
      </c>
      <c r="B14" s="15" t="s">
        <v>35</v>
      </c>
      <c r="C14" s="15" t="s">
        <v>55</v>
      </c>
      <c r="D14" s="15" t="s">
        <v>13</v>
      </c>
      <c r="E14" s="15">
        <v>15</v>
      </c>
      <c r="F14" s="15">
        <v>12</v>
      </c>
      <c r="G14" s="15" t="s">
        <v>14</v>
      </c>
      <c r="H14" s="15" t="s">
        <v>61</v>
      </c>
      <c r="I14" s="15" t="s">
        <v>62</v>
      </c>
      <c r="J14" s="15">
        <v>51</v>
      </c>
      <c r="L14" s="16">
        <v>5</v>
      </c>
      <c r="M14" s="16" t="s">
        <v>966</v>
      </c>
    </row>
    <row r="15" spans="1:16" ht="18" x14ac:dyDescent="0.35">
      <c r="A15" s="15" t="s">
        <v>63</v>
      </c>
      <c r="B15" s="15" t="s">
        <v>11</v>
      </c>
      <c r="C15" s="15" t="s">
        <v>55</v>
      </c>
      <c r="D15" s="15" t="s">
        <v>13</v>
      </c>
      <c r="E15" s="15">
        <v>16</v>
      </c>
      <c r="F15" s="15">
        <v>10</v>
      </c>
      <c r="G15" s="15" t="s">
        <v>25</v>
      </c>
      <c r="H15" s="15" t="s">
        <v>26</v>
      </c>
      <c r="I15" s="15" t="s">
        <v>64</v>
      </c>
      <c r="J15" s="15">
        <v>42</v>
      </c>
      <c r="L15" s="18"/>
      <c r="M15" s="18" t="s">
        <v>31</v>
      </c>
      <c r="N15" s="18">
        <f>COUNTIF(D2:D501,M15)</f>
        <v>271</v>
      </c>
      <c r="P15" t="s">
        <v>13</v>
      </c>
    </row>
    <row r="16" spans="1:16" ht="18" x14ac:dyDescent="0.35">
      <c r="A16" s="15" t="s">
        <v>65</v>
      </c>
      <c r="B16" s="15" t="s">
        <v>23</v>
      </c>
      <c r="C16" s="15" t="s">
        <v>30</v>
      </c>
      <c r="D16" s="15" t="s">
        <v>13</v>
      </c>
      <c r="E16" s="15">
        <v>20</v>
      </c>
      <c r="F16" s="15">
        <v>12</v>
      </c>
      <c r="G16" s="15" t="s">
        <v>14</v>
      </c>
      <c r="H16" s="15" t="s">
        <v>40</v>
      </c>
      <c r="I16" s="15" t="s">
        <v>66</v>
      </c>
      <c r="J16" s="15">
        <v>62</v>
      </c>
      <c r="L16" s="17"/>
      <c r="M16" s="17"/>
      <c r="P16" t="s">
        <v>31</v>
      </c>
    </row>
    <row r="17" spans="1:13" ht="18" x14ac:dyDescent="0.35">
      <c r="A17" s="15" t="s">
        <v>67</v>
      </c>
      <c r="B17" s="15" t="s">
        <v>68</v>
      </c>
      <c r="C17" s="15" t="s">
        <v>19</v>
      </c>
      <c r="D17" s="15" t="s">
        <v>13</v>
      </c>
      <c r="E17" s="15">
        <v>20</v>
      </c>
      <c r="F17" s="15">
        <v>9</v>
      </c>
      <c r="G17" s="15" t="s">
        <v>14</v>
      </c>
      <c r="H17" s="15" t="s">
        <v>20</v>
      </c>
      <c r="I17" s="15" t="s">
        <v>69</v>
      </c>
      <c r="J17" s="15">
        <v>55</v>
      </c>
      <c r="L17" s="16">
        <v>6</v>
      </c>
      <c r="M17" s="16" t="s">
        <v>967</v>
      </c>
    </row>
    <row r="18" spans="1:13" ht="18" x14ac:dyDescent="0.35">
      <c r="A18" s="15" t="s">
        <v>70</v>
      </c>
      <c r="B18" s="15" t="s">
        <v>51</v>
      </c>
      <c r="C18" s="15" t="s">
        <v>36</v>
      </c>
      <c r="D18" s="15" t="s">
        <v>13</v>
      </c>
      <c r="E18" s="15">
        <v>14</v>
      </c>
      <c r="F18" s="15">
        <v>12</v>
      </c>
      <c r="G18" s="15" t="s">
        <v>25</v>
      </c>
      <c r="H18" s="15" t="s">
        <v>37</v>
      </c>
      <c r="I18" s="15" t="s">
        <v>71</v>
      </c>
      <c r="J18" s="15">
        <v>42</v>
      </c>
      <c r="L18" s="18"/>
      <c r="M18" s="18">
        <f>AVERAGE(E2:E501)</f>
        <v>16.975999999999999</v>
      </c>
    </row>
    <row r="19" spans="1:13" x14ac:dyDescent="0.3">
      <c r="A19" s="15" t="s">
        <v>72</v>
      </c>
      <c r="B19" s="15" t="s">
        <v>73</v>
      </c>
      <c r="C19" s="15" t="s">
        <v>58</v>
      </c>
      <c r="D19" s="15" t="s">
        <v>31</v>
      </c>
      <c r="E19" s="15">
        <v>19</v>
      </c>
      <c r="F19" s="15">
        <v>9</v>
      </c>
      <c r="G19" s="15" t="s">
        <v>32</v>
      </c>
      <c r="H19" s="15" t="s">
        <v>46</v>
      </c>
      <c r="I19" s="15" t="s">
        <v>74</v>
      </c>
      <c r="J19" s="15">
        <v>76</v>
      </c>
    </row>
    <row r="20" spans="1:13" x14ac:dyDescent="0.3">
      <c r="A20" s="15" t="s">
        <v>75</v>
      </c>
      <c r="B20" s="15" t="s">
        <v>29</v>
      </c>
      <c r="C20" s="15" t="s">
        <v>58</v>
      </c>
      <c r="D20" s="15" t="s">
        <v>31</v>
      </c>
      <c r="E20" s="15">
        <v>17</v>
      </c>
      <c r="F20" s="15">
        <v>12</v>
      </c>
      <c r="G20" s="15" t="s">
        <v>32</v>
      </c>
      <c r="H20" s="15" t="s">
        <v>76</v>
      </c>
      <c r="I20" s="15" t="s">
        <v>77</v>
      </c>
      <c r="J20" s="15">
        <v>66</v>
      </c>
    </row>
    <row r="21" spans="1:13" x14ac:dyDescent="0.3">
      <c r="A21" s="15" t="s">
        <v>78</v>
      </c>
      <c r="B21" s="15" t="s">
        <v>68</v>
      </c>
      <c r="C21" s="15" t="s">
        <v>79</v>
      </c>
      <c r="D21" s="15" t="s">
        <v>31</v>
      </c>
      <c r="E21" s="15">
        <v>15</v>
      </c>
      <c r="F21" s="15">
        <v>10</v>
      </c>
      <c r="G21" s="15" t="s">
        <v>14</v>
      </c>
      <c r="H21" s="15" t="s">
        <v>20</v>
      </c>
      <c r="I21" s="15" t="s">
        <v>80</v>
      </c>
      <c r="J21" s="15">
        <v>59</v>
      </c>
    </row>
    <row r="22" spans="1:13" x14ac:dyDescent="0.3">
      <c r="A22" s="15" t="s">
        <v>81</v>
      </c>
      <c r="B22" s="15" t="s">
        <v>29</v>
      </c>
      <c r="C22" s="15" t="s">
        <v>58</v>
      </c>
      <c r="D22" s="15" t="s">
        <v>31</v>
      </c>
      <c r="E22" s="15">
        <v>19</v>
      </c>
      <c r="F22" s="15">
        <v>9</v>
      </c>
      <c r="G22" s="15" t="s">
        <v>14</v>
      </c>
      <c r="H22" s="15" t="s">
        <v>61</v>
      </c>
      <c r="I22" s="15" t="s">
        <v>82</v>
      </c>
      <c r="J22" s="15">
        <v>50</v>
      </c>
    </row>
    <row r="23" spans="1:13" x14ac:dyDescent="0.3">
      <c r="A23" s="15" t="s">
        <v>83</v>
      </c>
      <c r="B23" s="15" t="s">
        <v>84</v>
      </c>
      <c r="C23" s="15" t="s">
        <v>85</v>
      </c>
      <c r="D23" s="15" t="s">
        <v>31</v>
      </c>
      <c r="E23" s="15">
        <v>16</v>
      </c>
      <c r="F23" s="15">
        <v>9</v>
      </c>
      <c r="G23" s="15" t="s">
        <v>43</v>
      </c>
      <c r="H23" s="15" t="s">
        <v>37</v>
      </c>
      <c r="I23" s="15" t="s">
        <v>86</v>
      </c>
      <c r="J23" s="15">
        <v>52</v>
      </c>
    </row>
    <row r="24" spans="1:13" x14ac:dyDescent="0.3">
      <c r="A24" s="15" t="s">
        <v>87</v>
      </c>
      <c r="B24" s="15" t="s">
        <v>18</v>
      </c>
      <c r="C24" s="15" t="s">
        <v>12</v>
      </c>
      <c r="D24" s="15" t="s">
        <v>13</v>
      </c>
      <c r="E24" s="15">
        <v>20</v>
      </c>
      <c r="F24" s="15">
        <v>12</v>
      </c>
      <c r="G24" s="15" t="s">
        <v>32</v>
      </c>
      <c r="H24" s="15" t="s">
        <v>26</v>
      </c>
      <c r="I24" s="15" t="s">
        <v>88</v>
      </c>
      <c r="J24" s="15">
        <v>86</v>
      </c>
    </row>
    <row r="25" spans="1:13" x14ac:dyDescent="0.3">
      <c r="A25" s="15" t="s">
        <v>89</v>
      </c>
      <c r="B25" s="15" t="s">
        <v>68</v>
      </c>
      <c r="C25" s="15" t="s">
        <v>85</v>
      </c>
      <c r="D25" s="15" t="s">
        <v>31</v>
      </c>
      <c r="E25" s="15">
        <v>16</v>
      </c>
      <c r="F25" s="15">
        <v>9</v>
      </c>
      <c r="G25" s="15" t="s">
        <v>43</v>
      </c>
      <c r="H25" s="15" t="s">
        <v>20</v>
      </c>
      <c r="I25" s="15" t="s">
        <v>90</v>
      </c>
      <c r="J25" s="15">
        <v>52</v>
      </c>
    </row>
    <row r="26" spans="1:13" x14ac:dyDescent="0.3">
      <c r="A26" s="15" t="s">
        <v>91</v>
      </c>
      <c r="B26" s="15" t="s">
        <v>73</v>
      </c>
      <c r="C26" s="15" t="s">
        <v>12</v>
      </c>
      <c r="D26" s="15" t="s">
        <v>13</v>
      </c>
      <c r="E26" s="15">
        <v>20</v>
      </c>
      <c r="F26" s="15">
        <v>10</v>
      </c>
      <c r="G26" s="15" t="s">
        <v>43</v>
      </c>
      <c r="H26" s="15" t="s">
        <v>46</v>
      </c>
      <c r="I26" s="15" t="s">
        <v>92</v>
      </c>
      <c r="J26" s="15">
        <v>82</v>
      </c>
    </row>
    <row r="27" spans="1:13" x14ac:dyDescent="0.3">
      <c r="A27" s="15" t="s">
        <v>93</v>
      </c>
      <c r="B27" s="15" t="s">
        <v>29</v>
      </c>
      <c r="C27" s="15" t="s">
        <v>24</v>
      </c>
      <c r="D27" s="15" t="s">
        <v>31</v>
      </c>
      <c r="E27" s="15">
        <v>14</v>
      </c>
      <c r="F27" s="15">
        <v>12</v>
      </c>
      <c r="G27" s="15" t="s">
        <v>32</v>
      </c>
      <c r="H27" s="15" t="s">
        <v>61</v>
      </c>
      <c r="I27" s="15" t="s">
        <v>94</v>
      </c>
      <c r="J27" s="15">
        <v>72</v>
      </c>
    </row>
    <row r="28" spans="1:13" x14ac:dyDescent="0.3">
      <c r="A28" s="15" t="s">
        <v>95</v>
      </c>
      <c r="B28" s="15" t="s">
        <v>18</v>
      </c>
      <c r="C28" s="15" t="s">
        <v>96</v>
      </c>
      <c r="D28" s="15" t="s">
        <v>13</v>
      </c>
      <c r="E28" s="15">
        <v>19</v>
      </c>
      <c r="F28" s="15">
        <v>12</v>
      </c>
      <c r="G28" s="15" t="s">
        <v>14</v>
      </c>
      <c r="H28" s="15" t="s">
        <v>15</v>
      </c>
      <c r="I28" s="15" t="s">
        <v>97</v>
      </c>
      <c r="J28" s="15">
        <v>56</v>
      </c>
    </row>
    <row r="29" spans="1:13" x14ac:dyDescent="0.3">
      <c r="A29" s="15" t="s">
        <v>98</v>
      </c>
      <c r="B29" s="15" t="s">
        <v>68</v>
      </c>
      <c r="C29" s="15" t="s">
        <v>55</v>
      </c>
      <c r="D29" s="15" t="s">
        <v>13</v>
      </c>
      <c r="E29" s="15">
        <v>19</v>
      </c>
      <c r="F29" s="15">
        <v>11</v>
      </c>
      <c r="G29" s="15" t="s">
        <v>43</v>
      </c>
      <c r="H29" s="15" t="s">
        <v>15</v>
      </c>
      <c r="I29" s="15" t="s">
        <v>99</v>
      </c>
      <c r="J29" s="15">
        <v>56</v>
      </c>
    </row>
    <row r="30" spans="1:13" x14ac:dyDescent="0.3">
      <c r="A30" s="15" t="s">
        <v>100</v>
      </c>
      <c r="B30" s="15" t="s">
        <v>35</v>
      </c>
      <c r="C30" s="15" t="s">
        <v>12</v>
      </c>
      <c r="D30" s="15" t="s">
        <v>31</v>
      </c>
      <c r="E30" s="15">
        <v>19</v>
      </c>
      <c r="F30" s="15">
        <v>12</v>
      </c>
      <c r="G30" s="15" t="s">
        <v>25</v>
      </c>
      <c r="H30" s="15" t="s">
        <v>76</v>
      </c>
      <c r="I30" s="15" t="s">
        <v>101</v>
      </c>
      <c r="J30" s="15">
        <v>54</v>
      </c>
    </row>
    <row r="31" spans="1:13" x14ac:dyDescent="0.3">
      <c r="A31" s="15" t="s">
        <v>102</v>
      </c>
      <c r="B31" s="15" t="s">
        <v>35</v>
      </c>
      <c r="C31" s="15" t="s">
        <v>12</v>
      </c>
      <c r="D31" s="15" t="s">
        <v>13</v>
      </c>
      <c r="E31" s="15">
        <v>20</v>
      </c>
      <c r="F31" s="15">
        <v>11</v>
      </c>
      <c r="G31" s="15" t="s">
        <v>14</v>
      </c>
      <c r="H31" s="15" t="s">
        <v>26</v>
      </c>
      <c r="I31" s="15" t="s">
        <v>103</v>
      </c>
      <c r="J31" s="15">
        <v>70</v>
      </c>
    </row>
    <row r="32" spans="1:13" x14ac:dyDescent="0.3">
      <c r="A32" s="15" t="s">
        <v>104</v>
      </c>
      <c r="B32" s="15" t="s">
        <v>29</v>
      </c>
      <c r="C32" s="15" t="s">
        <v>79</v>
      </c>
      <c r="D32" s="15" t="s">
        <v>31</v>
      </c>
      <c r="E32" s="15">
        <v>18</v>
      </c>
      <c r="F32" s="15">
        <v>10</v>
      </c>
      <c r="G32" s="15" t="s">
        <v>25</v>
      </c>
      <c r="H32" s="15" t="s">
        <v>61</v>
      </c>
      <c r="I32" s="15" t="s">
        <v>105</v>
      </c>
      <c r="J32" s="15">
        <v>57</v>
      </c>
    </row>
    <row r="33" spans="1:10" x14ac:dyDescent="0.3">
      <c r="A33" s="15" t="s">
        <v>106</v>
      </c>
      <c r="B33" s="15" t="s">
        <v>51</v>
      </c>
      <c r="C33" s="15" t="s">
        <v>55</v>
      </c>
      <c r="D33" s="15" t="s">
        <v>13</v>
      </c>
      <c r="E33" s="15">
        <v>20</v>
      </c>
      <c r="F33" s="15">
        <v>9</v>
      </c>
      <c r="G33" s="15" t="s">
        <v>32</v>
      </c>
      <c r="H33" s="15" t="s">
        <v>26</v>
      </c>
      <c r="I33" s="15" t="s">
        <v>107</v>
      </c>
      <c r="J33" s="15">
        <v>91</v>
      </c>
    </row>
    <row r="34" spans="1:10" x14ac:dyDescent="0.3">
      <c r="A34" s="15" t="s">
        <v>108</v>
      </c>
      <c r="B34" s="15" t="s">
        <v>29</v>
      </c>
      <c r="C34" s="15" t="s">
        <v>96</v>
      </c>
      <c r="D34" s="15" t="s">
        <v>31</v>
      </c>
      <c r="E34" s="15">
        <v>15</v>
      </c>
      <c r="F34" s="15">
        <v>11</v>
      </c>
      <c r="G34" s="15" t="s">
        <v>43</v>
      </c>
      <c r="H34" s="15" t="s">
        <v>26</v>
      </c>
      <c r="I34" s="15" t="s">
        <v>109</v>
      </c>
      <c r="J34" s="15">
        <v>77</v>
      </c>
    </row>
    <row r="35" spans="1:10" x14ac:dyDescent="0.3">
      <c r="A35" s="15" t="s">
        <v>110</v>
      </c>
      <c r="B35" s="15" t="s">
        <v>51</v>
      </c>
      <c r="C35" s="15" t="s">
        <v>58</v>
      </c>
      <c r="D35" s="15" t="s">
        <v>31</v>
      </c>
      <c r="E35" s="15">
        <v>14</v>
      </c>
      <c r="F35" s="15">
        <v>10</v>
      </c>
      <c r="G35" s="15" t="s">
        <v>32</v>
      </c>
      <c r="H35" s="15" t="s">
        <v>76</v>
      </c>
      <c r="I35" s="15" t="s">
        <v>111</v>
      </c>
      <c r="J35" s="15">
        <v>60</v>
      </c>
    </row>
    <row r="36" spans="1:10" x14ac:dyDescent="0.3">
      <c r="A36" s="15" t="s">
        <v>112</v>
      </c>
      <c r="B36" s="15" t="s">
        <v>73</v>
      </c>
      <c r="C36" s="15" t="s">
        <v>30</v>
      </c>
      <c r="D36" s="15" t="s">
        <v>13</v>
      </c>
      <c r="E36" s="15">
        <v>15</v>
      </c>
      <c r="F36" s="15">
        <v>9</v>
      </c>
      <c r="G36" s="15" t="s">
        <v>14</v>
      </c>
      <c r="H36" s="15" t="s">
        <v>26</v>
      </c>
      <c r="I36" s="15" t="s">
        <v>113</v>
      </c>
      <c r="J36" s="15">
        <v>58</v>
      </c>
    </row>
    <row r="37" spans="1:10" x14ac:dyDescent="0.3">
      <c r="A37" s="15" t="s">
        <v>114</v>
      </c>
      <c r="B37" s="15" t="s">
        <v>73</v>
      </c>
      <c r="C37" s="15" t="s">
        <v>58</v>
      </c>
      <c r="D37" s="15" t="s">
        <v>13</v>
      </c>
      <c r="E37" s="15">
        <v>20</v>
      </c>
      <c r="F37" s="15">
        <v>9</v>
      </c>
      <c r="G37" s="15" t="s">
        <v>25</v>
      </c>
      <c r="H37" s="15" t="s">
        <v>46</v>
      </c>
      <c r="I37" s="15" t="s">
        <v>115</v>
      </c>
      <c r="J37" s="15">
        <v>40</v>
      </c>
    </row>
    <row r="38" spans="1:10" x14ac:dyDescent="0.3">
      <c r="A38" s="15" t="s">
        <v>116</v>
      </c>
      <c r="B38" s="15" t="s">
        <v>84</v>
      </c>
      <c r="C38" s="15" t="s">
        <v>19</v>
      </c>
      <c r="D38" s="15" t="s">
        <v>13</v>
      </c>
      <c r="E38" s="15">
        <v>19</v>
      </c>
      <c r="F38" s="15">
        <v>12</v>
      </c>
      <c r="G38" s="15" t="s">
        <v>14</v>
      </c>
      <c r="H38" s="15" t="s">
        <v>20</v>
      </c>
      <c r="I38" s="15" t="s">
        <v>117</v>
      </c>
      <c r="J38" s="15">
        <v>56</v>
      </c>
    </row>
    <row r="39" spans="1:10" x14ac:dyDescent="0.3">
      <c r="A39" s="15" t="s">
        <v>118</v>
      </c>
      <c r="B39" s="15" t="s">
        <v>84</v>
      </c>
      <c r="C39" s="15" t="s">
        <v>58</v>
      </c>
      <c r="D39" s="15" t="s">
        <v>31</v>
      </c>
      <c r="E39" s="15">
        <v>20</v>
      </c>
      <c r="F39" s="15">
        <v>10</v>
      </c>
      <c r="G39" s="15" t="s">
        <v>32</v>
      </c>
      <c r="H39" s="15" t="s">
        <v>26</v>
      </c>
      <c r="I39" s="15" t="s">
        <v>119</v>
      </c>
      <c r="J39" s="15">
        <v>52</v>
      </c>
    </row>
    <row r="40" spans="1:10" x14ac:dyDescent="0.3">
      <c r="A40" s="15" t="s">
        <v>120</v>
      </c>
      <c r="B40" s="15" t="s">
        <v>35</v>
      </c>
      <c r="C40" s="15" t="s">
        <v>36</v>
      </c>
      <c r="D40" s="15" t="s">
        <v>31</v>
      </c>
      <c r="E40" s="15">
        <v>20</v>
      </c>
      <c r="F40" s="15">
        <v>10</v>
      </c>
      <c r="G40" s="15" t="s">
        <v>43</v>
      </c>
      <c r="H40" s="15" t="s">
        <v>61</v>
      </c>
      <c r="I40" s="15" t="s">
        <v>121</v>
      </c>
      <c r="J40" s="15">
        <v>37</v>
      </c>
    </row>
    <row r="41" spans="1:10" x14ac:dyDescent="0.3">
      <c r="A41" s="15" t="s">
        <v>122</v>
      </c>
      <c r="B41" s="15" t="s">
        <v>18</v>
      </c>
      <c r="C41" s="15" t="s">
        <v>19</v>
      </c>
      <c r="D41" s="15" t="s">
        <v>13</v>
      </c>
      <c r="E41" s="15">
        <v>15</v>
      </c>
      <c r="F41" s="15">
        <v>10</v>
      </c>
      <c r="G41" s="15" t="s">
        <v>32</v>
      </c>
      <c r="H41" s="15" t="s">
        <v>20</v>
      </c>
      <c r="I41" s="15" t="s">
        <v>123</v>
      </c>
      <c r="J41" s="15">
        <v>51</v>
      </c>
    </row>
    <row r="42" spans="1:10" x14ac:dyDescent="0.3">
      <c r="A42" s="15" t="s">
        <v>124</v>
      </c>
      <c r="B42" s="15" t="s">
        <v>68</v>
      </c>
      <c r="C42" s="15" t="s">
        <v>36</v>
      </c>
      <c r="D42" s="15" t="s">
        <v>13</v>
      </c>
      <c r="E42" s="15">
        <v>18</v>
      </c>
      <c r="F42" s="15">
        <v>10</v>
      </c>
      <c r="G42" s="15" t="s">
        <v>43</v>
      </c>
      <c r="H42" s="15" t="s">
        <v>20</v>
      </c>
      <c r="I42" s="15" t="s">
        <v>125</v>
      </c>
      <c r="J42" s="15">
        <v>66</v>
      </c>
    </row>
    <row r="43" spans="1:10" x14ac:dyDescent="0.3">
      <c r="A43" s="15" t="s">
        <v>126</v>
      </c>
      <c r="B43" s="15" t="s">
        <v>18</v>
      </c>
      <c r="C43" s="15" t="s">
        <v>24</v>
      </c>
      <c r="D43" s="15" t="s">
        <v>13</v>
      </c>
      <c r="E43" s="15">
        <v>15</v>
      </c>
      <c r="F43" s="15">
        <v>9</v>
      </c>
      <c r="G43" s="15" t="s">
        <v>25</v>
      </c>
      <c r="H43" s="15" t="s">
        <v>76</v>
      </c>
      <c r="I43" s="15" t="s">
        <v>127</v>
      </c>
      <c r="J43" s="15">
        <v>59</v>
      </c>
    </row>
    <row r="44" spans="1:10" x14ac:dyDescent="0.3">
      <c r="A44" s="15" t="s">
        <v>128</v>
      </c>
      <c r="B44" s="15" t="s">
        <v>11</v>
      </c>
      <c r="C44" s="15" t="s">
        <v>24</v>
      </c>
      <c r="D44" s="15" t="s">
        <v>31</v>
      </c>
      <c r="E44" s="15">
        <v>17</v>
      </c>
      <c r="F44" s="15">
        <v>12</v>
      </c>
      <c r="G44" s="15" t="s">
        <v>32</v>
      </c>
      <c r="H44" s="15" t="s">
        <v>15</v>
      </c>
      <c r="I44" s="15" t="s">
        <v>129</v>
      </c>
      <c r="J44" s="15">
        <v>68</v>
      </c>
    </row>
    <row r="45" spans="1:10" x14ac:dyDescent="0.3">
      <c r="A45" s="15" t="s">
        <v>130</v>
      </c>
      <c r="B45" s="15" t="s">
        <v>73</v>
      </c>
      <c r="C45" s="15" t="s">
        <v>30</v>
      </c>
      <c r="D45" s="15" t="s">
        <v>13</v>
      </c>
      <c r="E45" s="15">
        <v>17</v>
      </c>
      <c r="F45" s="15">
        <v>12</v>
      </c>
      <c r="G45" s="15" t="s">
        <v>25</v>
      </c>
      <c r="H45" s="15" t="s">
        <v>40</v>
      </c>
      <c r="I45" s="15" t="s">
        <v>131</v>
      </c>
      <c r="J45" s="15">
        <v>82</v>
      </c>
    </row>
    <row r="46" spans="1:10" x14ac:dyDescent="0.3">
      <c r="A46" s="15" t="s">
        <v>132</v>
      </c>
      <c r="B46" s="15" t="s">
        <v>29</v>
      </c>
      <c r="C46" s="15" t="s">
        <v>12</v>
      </c>
      <c r="D46" s="15" t="s">
        <v>13</v>
      </c>
      <c r="E46" s="15">
        <v>17</v>
      </c>
      <c r="F46" s="15">
        <v>10</v>
      </c>
      <c r="G46" s="15" t="s">
        <v>25</v>
      </c>
      <c r="H46" s="15" t="s">
        <v>37</v>
      </c>
      <c r="I46" s="15" t="s">
        <v>133</v>
      </c>
      <c r="J46" s="15">
        <v>88</v>
      </c>
    </row>
    <row r="47" spans="1:10" x14ac:dyDescent="0.3">
      <c r="A47" s="15" t="s">
        <v>134</v>
      </c>
      <c r="B47" s="15" t="s">
        <v>23</v>
      </c>
      <c r="C47" s="15" t="s">
        <v>30</v>
      </c>
      <c r="D47" s="15" t="s">
        <v>31</v>
      </c>
      <c r="E47" s="15">
        <v>20</v>
      </c>
      <c r="F47" s="15">
        <v>9</v>
      </c>
      <c r="G47" s="15" t="s">
        <v>14</v>
      </c>
      <c r="H47" s="15" t="s">
        <v>15</v>
      </c>
      <c r="I47" s="15" t="s">
        <v>135</v>
      </c>
      <c r="J47" s="15">
        <v>50</v>
      </c>
    </row>
    <row r="48" spans="1:10" x14ac:dyDescent="0.3">
      <c r="A48" s="15" t="s">
        <v>136</v>
      </c>
      <c r="B48" s="15" t="s">
        <v>11</v>
      </c>
      <c r="C48" s="15" t="s">
        <v>79</v>
      </c>
      <c r="D48" s="15" t="s">
        <v>13</v>
      </c>
      <c r="E48" s="15">
        <v>14</v>
      </c>
      <c r="F48" s="15">
        <v>10</v>
      </c>
      <c r="G48" s="15" t="s">
        <v>43</v>
      </c>
      <c r="H48" s="15" t="s">
        <v>61</v>
      </c>
      <c r="I48" s="15" t="s">
        <v>137</v>
      </c>
      <c r="J48" s="15">
        <v>65</v>
      </c>
    </row>
    <row r="49" spans="1:10" x14ac:dyDescent="0.3">
      <c r="A49" s="15" t="s">
        <v>138</v>
      </c>
      <c r="B49" s="15" t="s">
        <v>51</v>
      </c>
      <c r="C49" s="15" t="s">
        <v>85</v>
      </c>
      <c r="D49" s="15" t="s">
        <v>13</v>
      </c>
      <c r="E49" s="15">
        <v>18</v>
      </c>
      <c r="F49" s="15">
        <v>11</v>
      </c>
      <c r="G49" s="15" t="s">
        <v>43</v>
      </c>
      <c r="H49" s="15" t="s">
        <v>61</v>
      </c>
      <c r="I49" s="15" t="s">
        <v>139</v>
      </c>
      <c r="J49" s="15">
        <v>100</v>
      </c>
    </row>
    <row r="50" spans="1:10" x14ac:dyDescent="0.3">
      <c r="A50" s="15" t="s">
        <v>140</v>
      </c>
      <c r="B50" s="15" t="s">
        <v>35</v>
      </c>
      <c r="C50" s="15" t="s">
        <v>30</v>
      </c>
      <c r="D50" s="15" t="s">
        <v>31</v>
      </c>
      <c r="E50" s="15">
        <v>19</v>
      </c>
      <c r="F50" s="15">
        <v>10</v>
      </c>
      <c r="G50" s="15" t="s">
        <v>32</v>
      </c>
      <c r="H50" s="15" t="s">
        <v>76</v>
      </c>
      <c r="I50" s="15" t="s">
        <v>141</v>
      </c>
      <c r="J50" s="15">
        <v>93</v>
      </c>
    </row>
    <row r="51" spans="1:10" x14ac:dyDescent="0.3">
      <c r="A51" s="15" t="s">
        <v>142</v>
      </c>
      <c r="B51" s="15" t="s">
        <v>29</v>
      </c>
      <c r="C51" s="15" t="s">
        <v>96</v>
      </c>
      <c r="D51" s="15" t="s">
        <v>31</v>
      </c>
      <c r="E51" s="15">
        <v>16</v>
      </c>
      <c r="F51" s="15">
        <v>12</v>
      </c>
      <c r="G51" s="15" t="s">
        <v>14</v>
      </c>
      <c r="H51" s="15" t="s">
        <v>37</v>
      </c>
      <c r="I51" s="15" t="s">
        <v>143</v>
      </c>
      <c r="J51" s="15">
        <v>85</v>
      </c>
    </row>
    <row r="52" spans="1:10" x14ac:dyDescent="0.3">
      <c r="A52" s="15" t="s">
        <v>144</v>
      </c>
      <c r="B52" s="15" t="s">
        <v>73</v>
      </c>
      <c r="C52" s="15" t="s">
        <v>12</v>
      </c>
      <c r="D52" s="15" t="s">
        <v>31</v>
      </c>
      <c r="E52" s="15">
        <v>20</v>
      </c>
      <c r="F52" s="15">
        <v>10</v>
      </c>
      <c r="G52" s="15" t="s">
        <v>14</v>
      </c>
      <c r="H52" s="15" t="s">
        <v>26</v>
      </c>
      <c r="I52" s="15" t="s">
        <v>145</v>
      </c>
      <c r="J52" s="15">
        <v>71</v>
      </c>
    </row>
    <row r="53" spans="1:10" x14ac:dyDescent="0.3">
      <c r="A53" s="15" t="s">
        <v>146</v>
      </c>
      <c r="B53" s="15" t="s">
        <v>35</v>
      </c>
      <c r="C53" s="15" t="s">
        <v>30</v>
      </c>
      <c r="D53" s="15" t="s">
        <v>31</v>
      </c>
      <c r="E53" s="15">
        <v>20</v>
      </c>
      <c r="F53" s="15">
        <v>9</v>
      </c>
      <c r="G53" s="15" t="s">
        <v>43</v>
      </c>
      <c r="H53" s="15" t="s">
        <v>15</v>
      </c>
      <c r="I53" s="15" t="s">
        <v>147</v>
      </c>
      <c r="J53" s="15">
        <v>40</v>
      </c>
    </row>
    <row r="54" spans="1:10" x14ac:dyDescent="0.3">
      <c r="A54" s="15" t="s">
        <v>148</v>
      </c>
      <c r="B54" s="15" t="s">
        <v>51</v>
      </c>
      <c r="C54" s="15" t="s">
        <v>96</v>
      </c>
      <c r="D54" s="15" t="s">
        <v>13</v>
      </c>
      <c r="E54" s="15">
        <v>19</v>
      </c>
      <c r="F54" s="15">
        <v>11</v>
      </c>
      <c r="G54" s="15" t="s">
        <v>14</v>
      </c>
      <c r="H54" s="15" t="s">
        <v>76</v>
      </c>
      <c r="I54" s="15" t="s">
        <v>149</v>
      </c>
      <c r="J54" s="15">
        <v>83</v>
      </c>
    </row>
    <row r="55" spans="1:10" x14ac:dyDescent="0.3">
      <c r="A55" s="15" t="s">
        <v>150</v>
      </c>
      <c r="B55" s="15" t="s">
        <v>23</v>
      </c>
      <c r="C55" s="15" t="s">
        <v>55</v>
      </c>
      <c r="D55" s="15" t="s">
        <v>31</v>
      </c>
      <c r="E55" s="15">
        <v>17</v>
      </c>
      <c r="F55" s="15">
        <v>9</v>
      </c>
      <c r="G55" s="15" t="s">
        <v>25</v>
      </c>
      <c r="H55" s="15" t="s">
        <v>20</v>
      </c>
      <c r="I55" s="15" t="s">
        <v>151</v>
      </c>
      <c r="J55" s="15">
        <v>55</v>
      </c>
    </row>
    <row r="56" spans="1:10" x14ac:dyDescent="0.3">
      <c r="A56" s="15" t="s">
        <v>152</v>
      </c>
      <c r="B56" s="15" t="s">
        <v>23</v>
      </c>
      <c r="C56" s="15" t="s">
        <v>55</v>
      </c>
      <c r="D56" s="15" t="s">
        <v>13</v>
      </c>
      <c r="E56" s="15">
        <v>17</v>
      </c>
      <c r="F56" s="15">
        <v>12</v>
      </c>
      <c r="G56" s="15" t="s">
        <v>32</v>
      </c>
      <c r="H56" s="15" t="s">
        <v>46</v>
      </c>
      <c r="I56" s="15" t="s">
        <v>153</v>
      </c>
      <c r="J56" s="15">
        <v>39</v>
      </c>
    </row>
    <row r="57" spans="1:10" x14ac:dyDescent="0.3">
      <c r="A57" s="15" t="s">
        <v>154</v>
      </c>
      <c r="B57" s="15" t="s">
        <v>51</v>
      </c>
      <c r="C57" s="15" t="s">
        <v>36</v>
      </c>
      <c r="D57" s="15" t="s">
        <v>31</v>
      </c>
      <c r="E57" s="15">
        <v>18</v>
      </c>
      <c r="F57" s="15">
        <v>12</v>
      </c>
      <c r="G57" s="15" t="s">
        <v>43</v>
      </c>
      <c r="H57" s="15" t="s">
        <v>76</v>
      </c>
      <c r="I57" s="15" t="s">
        <v>155</v>
      </c>
      <c r="J57" s="15">
        <v>77</v>
      </c>
    </row>
    <row r="58" spans="1:10" x14ac:dyDescent="0.3">
      <c r="A58" s="15" t="s">
        <v>156</v>
      </c>
      <c r="B58" s="15" t="s">
        <v>35</v>
      </c>
      <c r="C58" s="15" t="s">
        <v>55</v>
      </c>
      <c r="D58" s="15" t="s">
        <v>13</v>
      </c>
      <c r="E58" s="15">
        <v>19</v>
      </c>
      <c r="F58" s="15">
        <v>11</v>
      </c>
      <c r="G58" s="15" t="s">
        <v>14</v>
      </c>
      <c r="H58" s="15" t="s">
        <v>40</v>
      </c>
      <c r="I58" s="15" t="s">
        <v>157</v>
      </c>
      <c r="J58" s="15">
        <v>63</v>
      </c>
    </row>
    <row r="59" spans="1:10" x14ac:dyDescent="0.3">
      <c r="A59" s="15" t="s">
        <v>158</v>
      </c>
      <c r="B59" s="15" t="s">
        <v>18</v>
      </c>
      <c r="C59" s="15" t="s">
        <v>19</v>
      </c>
      <c r="D59" s="15" t="s">
        <v>13</v>
      </c>
      <c r="E59" s="15">
        <v>16</v>
      </c>
      <c r="F59" s="15">
        <v>12</v>
      </c>
      <c r="G59" s="15" t="s">
        <v>43</v>
      </c>
      <c r="H59" s="15" t="s">
        <v>40</v>
      </c>
      <c r="I59" s="15" t="s">
        <v>159</v>
      </c>
      <c r="J59" s="15">
        <v>36</v>
      </c>
    </row>
    <row r="60" spans="1:10" x14ac:dyDescent="0.3">
      <c r="A60" s="15" t="s">
        <v>160</v>
      </c>
      <c r="B60" s="15" t="s">
        <v>51</v>
      </c>
      <c r="C60" s="15" t="s">
        <v>85</v>
      </c>
      <c r="D60" s="15" t="s">
        <v>31</v>
      </c>
      <c r="E60" s="15">
        <v>17</v>
      </c>
      <c r="F60" s="15">
        <v>11</v>
      </c>
      <c r="G60" s="15" t="s">
        <v>43</v>
      </c>
      <c r="H60" s="15" t="s">
        <v>37</v>
      </c>
      <c r="I60" s="15" t="s">
        <v>161</v>
      </c>
      <c r="J60" s="15">
        <v>99</v>
      </c>
    </row>
    <row r="61" spans="1:10" x14ac:dyDescent="0.3">
      <c r="A61" s="15" t="s">
        <v>162</v>
      </c>
      <c r="B61" s="15" t="s">
        <v>73</v>
      </c>
      <c r="C61" s="15" t="s">
        <v>36</v>
      </c>
      <c r="D61" s="15" t="s">
        <v>31</v>
      </c>
      <c r="E61" s="15">
        <v>20</v>
      </c>
      <c r="F61" s="15">
        <v>9</v>
      </c>
      <c r="G61" s="15" t="s">
        <v>32</v>
      </c>
      <c r="H61" s="15" t="s">
        <v>20</v>
      </c>
      <c r="I61" s="15" t="s">
        <v>163</v>
      </c>
      <c r="J61" s="15">
        <v>49</v>
      </c>
    </row>
    <row r="62" spans="1:10" x14ac:dyDescent="0.3">
      <c r="A62" s="15" t="s">
        <v>164</v>
      </c>
      <c r="B62" s="15" t="s">
        <v>23</v>
      </c>
      <c r="C62" s="15" t="s">
        <v>19</v>
      </c>
      <c r="D62" s="15" t="s">
        <v>31</v>
      </c>
      <c r="E62" s="15">
        <v>17</v>
      </c>
      <c r="F62" s="15">
        <v>9</v>
      </c>
      <c r="G62" s="15" t="s">
        <v>25</v>
      </c>
      <c r="H62" s="15" t="s">
        <v>15</v>
      </c>
      <c r="I62" s="15" t="s">
        <v>165</v>
      </c>
      <c r="J62" s="15">
        <v>64</v>
      </c>
    </row>
    <row r="63" spans="1:10" x14ac:dyDescent="0.3">
      <c r="A63" s="15" t="s">
        <v>166</v>
      </c>
      <c r="B63" s="15" t="s">
        <v>84</v>
      </c>
      <c r="C63" s="15" t="s">
        <v>24</v>
      </c>
      <c r="D63" s="15" t="s">
        <v>13</v>
      </c>
      <c r="E63" s="15">
        <v>14</v>
      </c>
      <c r="F63" s="15">
        <v>10</v>
      </c>
      <c r="G63" s="15" t="s">
        <v>43</v>
      </c>
      <c r="H63" s="15" t="s">
        <v>15</v>
      </c>
      <c r="I63" s="15" t="s">
        <v>167</v>
      </c>
      <c r="J63" s="15">
        <v>45</v>
      </c>
    </row>
    <row r="64" spans="1:10" x14ac:dyDescent="0.3">
      <c r="A64" s="15" t="s">
        <v>168</v>
      </c>
      <c r="B64" s="15" t="s">
        <v>18</v>
      </c>
      <c r="C64" s="15" t="s">
        <v>79</v>
      </c>
      <c r="D64" s="15" t="s">
        <v>13</v>
      </c>
      <c r="E64" s="15">
        <v>17</v>
      </c>
      <c r="F64" s="15">
        <v>12</v>
      </c>
      <c r="G64" s="15" t="s">
        <v>25</v>
      </c>
      <c r="H64" s="15" t="s">
        <v>26</v>
      </c>
      <c r="I64" s="15" t="s">
        <v>137</v>
      </c>
      <c r="J64" s="15">
        <v>82</v>
      </c>
    </row>
    <row r="65" spans="1:10" x14ac:dyDescent="0.3">
      <c r="A65" s="15" t="s">
        <v>169</v>
      </c>
      <c r="B65" s="15" t="s">
        <v>11</v>
      </c>
      <c r="C65" s="15" t="s">
        <v>30</v>
      </c>
      <c r="D65" s="15" t="s">
        <v>31</v>
      </c>
      <c r="E65" s="15">
        <v>18</v>
      </c>
      <c r="F65" s="15">
        <v>9</v>
      </c>
      <c r="G65" s="15" t="s">
        <v>25</v>
      </c>
      <c r="H65" s="15" t="s">
        <v>46</v>
      </c>
      <c r="I65" s="15" t="s">
        <v>170</v>
      </c>
      <c r="J65" s="15">
        <v>60</v>
      </c>
    </row>
    <row r="66" spans="1:10" x14ac:dyDescent="0.3">
      <c r="A66" s="15" t="s">
        <v>171</v>
      </c>
      <c r="B66" s="15" t="s">
        <v>29</v>
      </c>
      <c r="C66" s="15" t="s">
        <v>85</v>
      </c>
      <c r="D66" s="15" t="s">
        <v>13</v>
      </c>
      <c r="E66" s="15">
        <v>14</v>
      </c>
      <c r="F66" s="15">
        <v>10</v>
      </c>
      <c r="G66" s="15" t="s">
        <v>32</v>
      </c>
      <c r="H66" s="15" t="s">
        <v>61</v>
      </c>
      <c r="I66" s="15" t="s">
        <v>172</v>
      </c>
      <c r="J66" s="15">
        <v>51</v>
      </c>
    </row>
    <row r="67" spans="1:10" x14ac:dyDescent="0.3">
      <c r="A67" s="15" t="s">
        <v>173</v>
      </c>
      <c r="B67" s="15" t="s">
        <v>54</v>
      </c>
      <c r="C67" s="15" t="s">
        <v>30</v>
      </c>
      <c r="D67" s="15" t="s">
        <v>31</v>
      </c>
      <c r="E67" s="15">
        <v>18</v>
      </c>
      <c r="F67" s="15">
        <v>9</v>
      </c>
      <c r="G67" s="15" t="s">
        <v>32</v>
      </c>
      <c r="H67" s="15" t="s">
        <v>40</v>
      </c>
      <c r="I67" s="15" t="s">
        <v>174</v>
      </c>
      <c r="J67" s="15">
        <v>54</v>
      </c>
    </row>
    <row r="68" spans="1:10" x14ac:dyDescent="0.3">
      <c r="A68" s="15" t="s">
        <v>175</v>
      </c>
      <c r="B68" s="15" t="s">
        <v>35</v>
      </c>
      <c r="C68" s="15" t="s">
        <v>30</v>
      </c>
      <c r="D68" s="15" t="s">
        <v>31</v>
      </c>
      <c r="E68" s="15">
        <v>20</v>
      </c>
      <c r="F68" s="15">
        <v>9</v>
      </c>
      <c r="G68" s="15" t="s">
        <v>14</v>
      </c>
      <c r="H68" s="15" t="s">
        <v>61</v>
      </c>
      <c r="I68" s="15" t="s">
        <v>176</v>
      </c>
      <c r="J68" s="15">
        <v>76</v>
      </c>
    </row>
    <row r="69" spans="1:10" x14ac:dyDescent="0.3">
      <c r="A69" s="15" t="s">
        <v>177</v>
      </c>
      <c r="B69" s="15" t="s">
        <v>29</v>
      </c>
      <c r="C69" s="15" t="s">
        <v>58</v>
      </c>
      <c r="D69" s="15" t="s">
        <v>31</v>
      </c>
      <c r="E69" s="15">
        <v>19</v>
      </c>
      <c r="F69" s="15">
        <v>12</v>
      </c>
      <c r="G69" s="15" t="s">
        <v>43</v>
      </c>
      <c r="H69" s="15" t="s">
        <v>61</v>
      </c>
      <c r="I69" s="15" t="s">
        <v>178</v>
      </c>
      <c r="J69" s="15">
        <v>99</v>
      </c>
    </row>
    <row r="70" spans="1:10" x14ac:dyDescent="0.3">
      <c r="A70" s="15" t="s">
        <v>179</v>
      </c>
      <c r="B70" s="15" t="s">
        <v>29</v>
      </c>
      <c r="C70" s="15" t="s">
        <v>58</v>
      </c>
      <c r="D70" s="15" t="s">
        <v>31</v>
      </c>
      <c r="E70" s="15">
        <v>16</v>
      </c>
      <c r="F70" s="15">
        <v>11</v>
      </c>
      <c r="G70" s="15" t="s">
        <v>25</v>
      </c>
      <c r="H70" s="15" t="s">
        <v>26</v>
      </c>
      <c r="I70" s="15" t="s">
        <v>180</v>
      </c>
      <c r="J70" s="15">
        <v>75</v>
      </c>
    </row>
    <row r="71" spans="1:10" x14ac:dyDescent="0.3">
      <c r="A71" s="15" t="s">
        <v>181</v>
      </c>
      <c r="B71" s="15" t="s">
        <v>11</v>
      </c>
      <c r="C71" s="15" t="s">
        <v>55</v>
      </c>
      <c r="D71" s="15" t="s">
        <v>31</v>
      </c>
      <c r="E71" s="15">
        <v>18</v>
      </c>
      <c r="F71" s="15">
        <v>10</v>
      </c>
      <c r="G71" s="15" t="s">
        <v>25</v>
      </c>
      <c r="H71" s="15" t="s">
        <v>46</v>
      </c>
      <c r="I71" s="15" t="s">
        <v>182</v>
      </c>
      <c r="J71" s="15">
        <v>98</v>
      </c>
    </row>
    <row r="72" spans="1:10" x14ac:dyDescent="0.3">
      <c r="A72" s="15" t="s">
        <v>183</v>
      </c>
      <c r="B72" s="15" t="s">
        <v>11</v>
      </c>
      <c r="C72" s="15" t="s">
        <v>30</v>
      </c>
      <c r="D72" s="15" t="s">
        <v>31</v>
      </c>
      <c r="E72" s="15">
        <v>17</v>
      </c>
      <c r="F72" s="15">
        <v>12</v>
      </c>
      <c r="G72" s="15" t="s">
        <v>14</v>
      </c>
      <c r="H72" s="15" t="s">
        <v>37</v>
      </c>
      <c r="I72" s="15" t="s">
        <v>184</v>
      </c>
      <c r="J72" s="15">
        <v>49</v>
      </c>
    </row>
    <row r="73" spans="1:10" x14ac:dyDescent="0.3">
      <c r="A73" s="15" t="s">
        <v>185</v>
      </c>
      <c r="B73" s="15" t="s">
        <v>35</v>
      </c>
      <c r="C73" s="15" t="s">
        <v>30</v>
      </c>
      <c r="D73" s="15" t="s">
        <v>31</v>
      </c>
      <c r="E73" s="15">
        <v>14</v>
      </c>
      <c r="F73" s="15">
        <v>12</v>
      </c>
      <c r="G73" s="15" t="s">
        <v>43</v>
      </c>
      <c r="H73" s="15" t="s">
        <v>61</v>
      </c>
      <c r="I73" s="15" t="s">
        <v>186</v>
      </c>
      <c r="J73" s="15">
        <v>45</v>
      </c>
    </row>
    <row r="74" spans="1:10" x14ac:dyDescent="0.3">
      <c r="A74" s="15" t="s">
        <v>187</v>
      </c>
      <c r="B74" s="15" t="s">
        <v>51</v>
      </c>
      <c r="C74" s="15" t="s">
        <v>12</v>
      </c>
      <c r="D74" s="15" t="s">
        <v>31</v>
      </c>
      <c r="E74" s="15">
        <v>17</v>
      </c>
      <c r="F74" s="15">
        <v>10</v>
      </c>
      <c r="G74" s="15" t="s">
        <v>43</v>
      </c>
      <c r="H74" s="15" t="s">
        <v>46</v>
      </c>
      <c r="I74" s="15" t="s">
        <v>101</v>
      </c>
      <c r="J74" s="15">
        <v>66</v>
      </c>
    </row>
    <row r="75" spans="1:10" x14ac:dyDescent="0.3">
      <c r="A75" s="15" t="s">
        <v>188</v>
      </c>
      <c r="B75" s="15" t="s">
        <v>23</v>
      </c>
      <c r="C75" s="15" t="s">
        <v>55</v>
      </c>
      <c r="D75" s="15" t="s">
        <v>31</v>
      </c>
      <c r="E75" s="15">
        <v>15</v>
      </c>
      <c r="F75" s="15">
        <v>9</v>
      </c>
      <c r="G75" s="15" t="s">
        <v>43</v>
      </c>
      <c r="H75" s="15" t="s">
        <v>20</v>
      </c>
      <c r="I75" s="15" t="s">
        <v>189</v>
      </c>
      <c r="J75" s="15">
        <v>88</v>
      </c>
    </row>
    <row r="76" spans="1:10" x14ac:dyDescent="0.3">
      <c r="A76" s="15" t="s">
        <v>190</v>
      </c>
      <c r="B76" s="15" t="s">
        <v>18</v>
      </c>
      <c r="C76" s="15" t="s">
        <v>19</v>
      </c>
      <c r="D76" s="15" t="s">
        <v>31</v>
      </c>
      <c r="E76" s="15">
        <v>14</v>
      </c>
      <c r="F76" s="15">
        <v>12</v>
      </c>
      <c r="G76" s="15" t="s">
        <v>32</v>
      </c>
      <c r="H76" s="15" t="s">
        <v>37</v>
      </c>
      <c r="I76" s="15" t="s">
        <v>191</v>
      </c>
      <c r="J76" s="15">
        <v>63</v>
      </c>
    </row>
    <row r="77" spans="1:10" x14ac:dyDescent="0.3">
      <c r="A77" s="15" t="s">
        <v>192</v>
      </c>
      <c r="B77" s="15" t="s">
        <v>68</v>
      </c>
      <c r="C77" s="15" t="s">
        <v>85</v>
      </c>
      <c r="D77" s="15" t="s">
        <v>13</v>
      </c>
      <c r="E77" s="15">
        <v>19</v>
      </c>
      <c r="F77" s="15">
        <v>11</v>
      </c>
      <c r="G77" s="15" t="s">
        <v>43</v>
      </c>
      <c r="H77" s="15" t="s">
        <v>61</v>
      </c>
      <c r="I77" s="15" t="s">
        <v>193</v>
      </c>
      <c r="J77" s="15">
        <v>78</v>
      </c>
    </row>
    <row r="78" spans="1:10" x14ac:dyDescent="0.3">
      <c r="A78" s="15" t="s">
        <v>194</v>
      </c>
      <c r="B78" s="15" t="s">
        <v>23</v>
      </c>
      <c r="C78" s="15" t="s">
        <v>19</v>
      </c>
      <c r="D78" s="15" t="s">
        <v>31</v>
      </c>
      <c r="E78" s="15">
        <v>20</v>
      </c>
      <c r="F78" s="15">
        <v>9</v>
      </c>
      <c r="G78" s="15" t="s">
        <v>25</v>
      </c>
      <c r="H78" s="15" t="s">
        <v>76</v>
      </c>
      <c r="I78" s="15" t="s">
        <v>195</v>
      </c>
      <c r="J78" s="15">
        <v>76</v>
      </c>
    </row>
    <row r="79" spans="1:10" x14ac:dyDescent="0.3">
      <c r="A79" s="15" t="s">
        <v>196</v>
      </c>
      <c r="B79" s="15" t="s">
        <v>23</v>
      </c>
      <c r="C79" s="15" t="s">
        <v>79</v>
      </c>
      <c r="D79" s="15" t="s">
        <v>13</v>
      </c>
      <c r="E79" s="15">
        <v>18</v>
      </c>
      <c r="F79" s="15">
        <v>12</v>
      </c>
      <c r="G79" s="15" t="s">
        <v>43</v>
      </c>
      <c r="H79" s="15" t="s">
        <v>76</v>
      </c>
      <c r="I79" s="15" t="s">
        <v>197</v>
      </c>
      <c r="J79" s="15">
        <v>67</v>
      </c>
    </row>
    <row r="80" spans="1:10" x14ac:dyDescent="0.3">
      <c r="A80" s="15" t="s">
        <v>198</v>
      </c>
      <c r="B80" s="15" t="s">
        <v>11</v>
      </c>
      <c r="C80" s="15" t="s">
        <v>85</v>
      </c>
      <c r="D80" s="15" t="s">
        <v>31</v>
      </c>
      <c r="E80" s="15">
        <v>14</v>
      </c>
      <c r="F80" s="15">
        <v>10</v>
      </c>
      <c r="G80" s="15" t="s">
        <v>25</v>
      </c>
      <c r="H80" s="15" t="s">
        <v>61</v>
      </c>
      <c r="I80" s="15" t="s">
        <v>199</v>
      </c>
      <c r="J80" s="15">
        <v>97</v>
      </c>
    </row>
    <row r="81" spans="1:10" x14ac:dyDescent="0.3">
      <c r="A81" s="15" t="s">
        <v>200</v>
      </c>
      <c r="B81" s="15" t="s">
        <v>29</v>
      </c>
      <c r="C81" s="15" t="s">
        <v>12</v>
      </c>
      <c r="D81" s="15" t="s">
        <v>13</v>
      </c>
      <c r="E81" s="15">
        <v>18</v>
      </c>
      <c r="F81" s="15">
        <v>12</v>
      </c>
      <c r="G81" s="15" t="s">
        <v>25</v>
      </c>
      <c r="H81" s="15" t="s">
        <v>26</v>
      </c>
      <c r="I81" s="15" t="s">
        <v>201</v>
      </c>
      <c r="J81" s="15">
        <v>89</v>
      </c>
    </row>
    <row r="82" spans="1:10" x14ac:dyDescent="0.3">
      <c r="A82" s="15" t="s">
        <v>202</v>
      </c>
      <c r="B82" s="15" t="s">
        <v>51</v>
      </c>
      <c r="C82" s="15" t="s">
        <v>55</v>
      </c>
      <c r="D82" s="15" t="s">
        <v>31</v>
      </c>
      <c r="E82" s="15">
        <v>15</v>
      </c>
      <c r="F82" s="15">
        <v>9</v>
      </c>
      <c r="G82" s="15" t="s">
        <v>14</v>
      </c>
      <c r="H82" s="15" t="s">
        <v>40</v>
      </c>
      <c r="I82" s="15" t="s">
        <v>111</v>
      </c>
      <c r="J82" s="15">
        <v>70</v>
      </c>
    </row>
    <row r="83" spans="1:10" x14ac:dyDescent="0.3">
      <c r="A83" s="15" t="s">
        <v>203</v>
      </c>
      <c r="B83" s="15" t="s">
        <v>35</v>
      </c>
      <c r="C83" s="15" t="s">
        <v>96</v>
      </c>
      <c r="D83" s="15" t="s">
        <v>13</v>
      </c>
      <c r="E83" s="15">
        <v>17</v>
      </c>
      <c r="F83" s="15">
        <v>12</v>
      </c>
      <c r="G83" s="15" t="s">
        <v>25</v>
      </c>
      <c r="H83" s="15" t="s">
        <v>20</v>
      </c>
      <c r="I83" s="15" t="s">
        <v>204</v>
      </c>
      <c r="J83" s="15">
        <v>90</v>
      </c>
    </row>
    <row r="84" spans="1:10" x14ac:dyDescent="0.3">
      <c r="A84" s="15" t="s">
        <v>205</v>
      </c>
      <c r="B84" s="15" t="s">
        <v>73</v>
      </c>
      <c r="C84" s="15" t="s">
        <v>24</v>
      </c>
      <c r="D84" s="15" t="s">
        <v>13</v>
      </c>
      <c r="E84" s="15">
        <v>17</v>
      </c>
      <c r="F84" s="15">
        <v>9</v>
      </c>
      <c r="G84" s="15" t="s">
        <v>14</v>
      </c>
      <c r="H84" s="15" t="s">
        <v>46</v>
      </c>
      <c r="I84" s="15" t="s">
        <v>206</v>
      </c>
      <c r="J84" s="15">
        <v>59</v>
      </c>
    </row>
    <row r="85" spans="1:10" x14ac:dyDescent="0.3">
      <c r="A85" s="15" t="s">
        <v>207</v>
      </c>
      <c r="B85" s="15" t="s">
        <v>54</v>
      </c>
      <c r="C85" s="15" t="s">
        <v>19</v>
      </c>
      <c r="D85" s="15" t="s">
        <v>31</v>
      </c>
      <c r="E85" s="15">
        <v>19</v>
      </c>
      <c r="F85" s="15">
        <v>9</v>
      </c>
      <c r="G85" s="15" t="s">
        <v>14</v>
      </c>
      <c r="H85" s="15" t="s">
        <v>61</v>
      </c>
      <c r="I85" s="15" t="s">
        <v>208</v>
      </c>
      <c r="J85" s="15">
        <v>76</v>
      </c>
    </row>
    <row r="86" spans="1:10" x14ac:dyDescent="0.3">
      <c r="A86" s="15" t="s">
        <v>209</v>
      </c>
      <c r="B86" s="15" t="s">
        <v>29</v>
      </c>
      <c r="C86" s="15" t="s">
        <v>30</v>
      </c>
      <c r="D86" s="15" t="s">
        <v>31</v>
      </c>
      <c r="E86" s="15">
        <v>18</v>
      </c>
      <c r="F86" s="15">
        <v>11</v>
      </c>
      <c r="G86" s="15" t="s">
        <v>43</v>
      </c>
      <c r="H86" s="15" t="s">
        <v>20</v>
      </c>
      <c r="I86" s="15" t="s">
        <v>210</v>
      </c>
      <c r="J86" s="15">
        <v>78</v>
      </c>
    </row>
    <row r="87" spans="1:10" x14ac:dyDescent="0.3">
      <c r="A87" s="15" t="s">
        <v>211</v>
      </c>
      <c r="B87" s="15" t="s">
        <v>35</v>
      </c>
      <c r="C87" s="15" t="s">
        <v>19</v>
      </c>
      <c r="D87" s="15" t="s">
        <v>31</v>
      </c>
      <c r="E87" s="15">
        <v>16</v>
      </c>
      <c r="F87" s="15">
        <v>9</v>
      </c>
      <c r="G87" s="15" t="s">
        <v>14</v>
      </c>
      <c r="H87" s="15" t="s">
        <v>37</v>
      </c>
      <c r="I87" s="15" t="s">
        <v>212</v>
      </c>
      <c r="J87" s="15">
        <v>57</v>
      </c>
    </row>
    <row r="88" spans="1:10" x14ac:dyDescent="0.3">
      <c r="A88" s="15" t="s">
        <v>213</v>
      </c>
      <c r="B88" s="15" t="s">
        <v>29</v>
      </c>
      <c r="C88" s="15" t="s">
        <v>24</v>
      </c>
      <c r="D88" s="15" t="s">
        <v>31</v>
      </c>
      <c r="E88" s="15">
        <v>17</v>
      </c>
      <c r="F88" s="15">
        <v>11</v>
      </c>
      <c r="G88" s="15" t="s">
        <v>14</v>
      </c>
      <c r="H88" s="15" t="s">
        <v>76</v>
      </c>
      <c r="I88" s="15" t="s">
        <v>214</v>
      </c>
      <c r="J88" s="15">
        <v>74</v>
      </c>
    </row>
    <row r="89" spans="1:10" x14ac:dyDescent="0.3">
      <c r="A89" s="15" t="s">
        <v>215</v>
      </c>
      <c r="B89" s="15" t="s">
        <v>84</v>
      </c>
      <c r="C89" s="15" t="s">
        <v>36</v>
      </c>
      <c r="D89" s="15" t="s">
        <v>31</v>
      </c>
      <c r="E89" s="15">
        <v>19</v>
      </c>
      <c r="F89" s="15">
        <v>12</v>
      </c>
      <c r="G89" s="15" t="s">
        <v>14</v>
      </c>
      <c r="H89" s="15" t="s">
        <v>37</v>
      </c>
      <c r="I89" s="15" t="s">
        <v>216</v>
      </c>
      <c r="J89" s="15">
        <v>84</v>
      </c>
    </row>
    <row r="90" spans="1:10" x14ac:dyDescent="0.3">
      <c r="A90" s="15" t="s">
        <v>217</v>
      </c>
      <c r="B90" s="15" t="s">
        <v>84</v>
      </c>
      <c r="C90" s="15" t="s">
        <v>96</v>
      </c>
      <c r="D90" s="15" t="s">
        <v>31</v>
      </c>
      <c r="E90" s="15">
        <v>17</v>
      </c>
      <c r="F90" s="15">
        <v>10</v>
      </c>
      <c r="G90" s="15" t="s">
        <v>43</v>
      </c>
      <c r="H90" s="15" t="s">
        <v>46</v>
      </c>
      <c r="I90" s="15" t="s">
        <v>218</v>
      </c>
      <c r="J90" s="15">
        <v>46</v>
      </c>
    </row>
    <row r="91" spans="1:10" x14ac:dyDescent="0.3">
      <c r="A91" s="15" t="s">
        <v>219</v>
      </c>
      <c r="B91" s="15" t="s">
        <v>68</v>
      </c>
      <c r="C91" s="15" t="s">
        <v>19</v>
      </c>
      <c r="D91" s="15" t="s">
        <v>13</v>
      </c>
      <c r="E91" s="15">
        <v>19</v>
      </c>
      <c r="F91" s="15">
        <v>9</v>
      </c>
      <c r="G91" s="15" t="s">
        <v>14</v>
      </c>
      <c r="H91" s="15" t="s">
        <v>40</v>
      </c>
      <c r="I91" s="15" t="s">
        <v>220</v>
      </c>
      <c r="J91" s="15">
        <v>63</v>
      </c>
    </row>
    <row r="92" spans="1:10" x14ac:dyDescent="0.3">
      <c r="A92" s="15" t="s">
        <v>221</v>
      </c>
      <c r="B92" s="15" t="s">
        <v>51</v>
      </c>
      <c r="C92" s="15" t="s">
        <v>55</v>
      </c>
      <c r="D92" s="15" t="s">
        <v>13</v>
      </c>
      <c r="E92" s="15">
        <v>14</v>
      </c>
      <c r="F92" s="15">
        <v>10</v>
      </c>
      <c r="G92" s="15" t="s">
        <v>43</v>
      </c>
      <c r="H92" s="15" t="s">
        <v>61</v>
      </c>
      <c r="I92" s="15" t="s">
        <v>222</v>
      </c>
      <c r="J92" s="15">
        <v>72</v>
      </c>
    </row>
    <row r="93" spans="1:10" x14ac:dyDescent="0.3">
      <c r="A93" s="15" t="s">
        <v>223</v>
      </c>
      <c r="B93" s="15" t="s">
        <v>68</v>
      </c>
      <c r="C93" s="15" t="s">
        <v>24</v>
      </c>
      <c r="D93" s="15" t="s">
        <v>13</v>
      </c>
      <c r="E93" s="15">
        <v>18</v>
      </c>
      <c r="F93" s="15">
        <v>11</v>
      </c>
      <c r="G93" s="15" t="s">
        <v>32</v>
      </c>
      <c r="H93" s="15" t="s">
        <v>40</v>
      </c>
      <c r="I93" s="15" t="s">
        <v>224</v>
      </c>
      <c r="J93" s="15">
        <v>87</v>
      </c>
    </row>
    <row r="94" spans="1:10" x14ac:dyDescent="0.3">
      <c r="A94" s="15" t="s">
        <v>225</v>
      </c>
      <c r="B94" s="15" t="s">
        <v>35</v>
      </c>
      <c r="C94" s="15" t="s">
        <v>85</v>
      </c>
      <c r="D94" s="15" t="s">
        <v>13</v>
      </c>
      <c r="E94" s="15">
        <v>20</v>
      </c>
      <c r="F94" s="15">
        <v>9</v>
      </c>
      <c r="G94" s="15" t="s">
        <v>14</v>
      </c>
      <c r="H94" s="15" t="s">
        <v>40</v>
      </c>
      <c r="I94" s="15" t="s">
        <v>226</v>
      </c>
      <c r="J94" s="15">
        <v>55</v>
      </c>
    </row>
    <row r="95" spans="1:10" x14ac:dyDescent="0.3">
      <c r="A95" s="15" t="s">
        <v>227</v>
      </c>
      <c r="B95" s="15" t="s">
        <v>68</v>
      </c>
      <c r="C95" s="15" t="s">
        <v>58</v>
      </c>
      <c r="D95" s="15" t="s">
        <v>13</v>
      </c>
      <c r="E95" s="15">
        <v>17</v>
      </c>
      <c r="F95" s="15">
        <v>12</v>
      </c>
      <c r="G95" s="15" t="s">
        <v>32</v>
      </c>
      <c r="H95" s="15" t="s">
        <v>26</v>
      </c>
      <c r="I95" s="15" t="s">
        <v>228</v>
      </c>
      <c r="J95" s="15">
        <v>37</v>
      </c>
    </row>
    <row r="96" spans="1:10" x14ac:dyDescent="0.3">
      <c r="A96" s="15" t="s">
        <v>229</v>
      </c>
      <c r="B96" s="15" t="s">
        <v>68</v>
      </c>
      <c r="C96" s="15" t="s">
        <v>24</v>
      </c>
      <c r="D96" s="15" t="s">
        <v>13</v>
      </c>
      <c r="E96" s="15">
        <v>17</v>
      </c>
      <c r="F96" s="15">
        <v>11</v>
      </c>
      <c r="G96" s="15" t="s">
        <v>43</v>
      </c>
      <c r="H96" s="15" t="s">
        <v>26</v>
      </c>
      <c r="I96" s="15" t="s">
        <v>230</v>
      </c>
      <c r="J96" s="15">
        <v>53</v>
      </c>
    </row>
    <row r="97" spans="1:10" x14ac:dyDescent="0.3">
      <c r="A97" s="15" t="s">
        <v>231</v>
      </c>
      <c r="B97" s="15" t="s">
        <v>23</v>
      </c>
      <c r="C97" s="15" t="s">
        <v>24</v>
      </c>
      <c r="D97" s="15" t="s">
        <v>31</v>
      </c>
      <c r="E97" s="15">
        <v>18</v>
      </c>
      <c r="F97" s="15">
        <v>9</v>
      </c>
      <c r="G97" s="15" t="s">
        <v>25</v>
      </c>
      <c r="H97" s="15" t="s">
        <v>61</v>
      </c>
      <c r="I97" s="15" t="s">
        <v>232</v>
      </c>
      <c r="J97" s="15">
        <v>88</v>
      </c>
    </row>
    <row r="98" spans="1:10" x14ac:dyDescent="0.3">
      <c r="A98" s="15" t="s">
        <v>233</v>
      </c>
      <c r="B98" s="15" t="s">
        <v>11</v>
      </c>
      <c r="C98" s="15" t="s">
        <v>55</v>
      </c>
      <c r="D98" s="15" t="s">
        <v>13</v>
      </c>
      <c r="E98" s="15">
        <v>14</v>
      </c>
      <c r="F98" s="15">
        <v>9</v>
      </c>
      <c r="G98" s="15" t="s">
        <v>25</v>
      </c>
      <c r="H98" s="15" t="s">
        <v>37</v>
      </c>
      <c r="I98" s="15" t="s">
        <v>234</v>
      </c>
      <c r="J98" s="15">
        <v>66</v>
      </c>
    </row>
    <row r="99" spans="1:10" x14ac:dyDescent="0.3">
      <c r="A99" s="15" t="s">
        <v>235</v>
      </c>
      <c r="B99" s="15" t="s">
        <v>11</v>
      </c>
      <c r="C99" s="15" t="s">
        <v>36</v>
      </c>
      <c r="D99" s="15" t="s">
        <v>31</v>
      </c>
      <c r="E99" s="15">
        <v>14</v>
      </c>
      <c r="F99" s="15">
        <v>12</v>
      </c>
      <c r="G99" s="15" t="s">
        <v>43</v>
      </c>
      <c r="H99" s="15" t="s">
        <v>40</v>
      </c>
      <c r="I99" s="15" t="s">
        <v>236</v>
      </c>
      <c r="J99" s="15">
        <v>65</v>
      </c>
    </row>
    <row r="100" spans="1:10" x14ac:dyDescent="0.3">
      <c r="A100" s="15" t="s">
        <v>237</v>
      </c>
      <c r="B100" s="15" t="s">
        <v>23</v>
      </c>
      <c r="C100" s="15" t="s">
        <v>24</v>
      </c>
      <c r="D100" s="15" t="s">
        <v>31</v>
      </c>
      <c r="E100" s="15">
        <v>16</v>
      </c>
      <c r="F100" s="15">
        <v>10</v>
      </c>
      <c r="G100" s="15" t="s">
        <v>43</v>
      </c>
      <c r="H100" s="15" t="s">
        <v>20</v>
      </c>
      <c r="I100" s="15" t="s">
        <v>238</v>
      </c>
      <c r="J100" s="15">
        <v>71</v>
      </c>
    </row>
    <row r="101" spans="1:10" x14ac:dyDescent="0.3">
      <c r="A101" s="15" t="s">
        <v>239</v>
      </c>
      <c r="B101" s="15" t="s">
        <v>68</v>
      </c>
      <c r="C101" s="15" t="s">
        <v>58</v>
      </c>
      <c r="D101" s="15" t="s">
        <v>13</v>
      </c>
      <c r="E101" s="15">
        <v>18</v>
      </c>
      <c r="F101" s="15">
        <v>11</v>
      </c>
      <c r="G101" s="15" t="s">
        <v>25</v>
      </c>
      <c r="H101" s="15" t="s">
        <v>15</v>
      </c>
      <c r="I101" s="15" t="s">
        <v>240</v>
      </c>
      <c r="J101" s="15">
        <v>48</v>
      </c>
    </row>
    <row r="102" spans="1:10" x14ac:dyDescent="0.3">
      <c r="A102" s="15" t="s">
        <v>241</v>
      </c>
      <c r="B102" s="15" t="s">
        <v>54</v>
      </c>
      <c r="C102" s="15" t="s">
        <v>85</v>
      </c>
      <c r="D102" s="15" t="s">
        <v>31</v>
      </c>
      <c r="E102" s="15">
        <v>15</v>
      </c>
      <c r="F102" s="15">
        <v>12</v>
      </c>
      <c r="G102" s="15" t="s">
        <v>14</v>
      </c>
      <c r="H102" s="15" t="s">
        <v>40</v>
      </c>
      <c r="I102" s="15" t="s">
        <v>242</v>
      </c>
      <c r="J102" s="15">
        <v>100</v>
      </c>
    </row>
    <row r="103" spans="1:10" x14ac:dyDescent="0.3">
      <c r="A103" s="15" t="s">
        <v>243</v>
      </c>
      <c r="B103" s="15" t="s">
        <v>23</v>
      </c>
      <c r="C103" s="15" t="s">
        <v>96</v>
      </c>
      <c r="D103" s="15" t="s">
        <v>31</v>
      </c>
      <c r="E103" s="15">
        <v>15</v>
      </c>
      <c r="F103" s="15">
        <v>11</v>
      </c>
      <c r="G103" s="15" t="s">
        <v>25</v>
      </c>
      <c r="H103" s="15" t="s">
        <v>61</v>
      </c>
      <c r="I103" s="15" t="s">
        <v>244</v>
      </c>
      <c r="J103" s="15">
        <v>72</v>
      </c>
    </row>
    <row r="104" spans="1:10" x14ac:dyDescent="0.3">
      <c r="A104" s="15" t="s">
        <v>245</v>
      </c>
      <c r="B104" s="15" t="s">
        <v>54</v>
      </c>
      <c r="C104" s="15" t="s">
        <v>19</v>
      </c>
      <c r="D104" s="15" t="s">
        <v>31</v>
      </c>
      <c r="E104" s="15">
        <v>18</v>
      </c>
      <c r="F104" s="15">
        <v>12</v>
      </c>
      <c r="G104" s="15" t="s">
        <v>32</v>
      </c>
      <c r="H104" s="15" t="s">
        <v>26</v>
      </c>
      <c r="I104" s="15" t="s">
        <v>246</v>
      </c>
      <c r="J104" s="15">
        <v>74</v>
      </c>
    </row>
    <row r="105" spans="1:10" x14ac:dyDescent="0.3">
      <c r="A105" s="15" t="s">
        <v>247</v>
      </c>
      <c r="B105" s="15" t="s">
        <v>29</v>
      </c>
      <c r="C105" s="15" t="s">
        <v>58</v>
      </c>
      <c r="D105" s="15" t="s">
        <v>31</v>
      </c>
      <c r="E105" s="15">
        <v>14</v>
      </c>
      <c r="F105" s="15">
        <v>12</v>
      </c>
      <c r="G105" s="15" t="s">
        <v>14</v>
      </c>
      <c r="H105" s="15" t="s">
        <v>40</v>
      </c>
      <c r="I105" s="15" t="s">
        <v>248</v>
      </c>
      <c r="J105" s="15">
        <v>66</v>
      </c>
    </row>
    <row r="106" spans="1:10" x14ac:dyDescent="0.3">
      <c r="A106" s="15" t="s">
        <v>249</v>
      </c>
      <c r="B106" s="15" t="s">
        <v>68</v>
      </c>
      <c r="C106" s="15" t="s">
        <v>30</v>
      </c>
      <c r="D106" s="15" t="s">
        <v>31</v>
      </c>
      <c r="E106" s="15">
        <v>16</v>
      </c>
      <c r="F106" s="15">
        <v>11</v>
      </c>
      <c r="G106" s="15" t="s">
        <v>32</v>
      </c>
      <c r="H106" s="15" t="s">
        <v>20</v>
      </c>
      <c r="I106" s="15" t="s">
        <v>250</v>
      </c>
      <c r="J106" s="15">
        <v>90</v>
      </c>
    </row>
    <row r="107" spans="1:10" x14ac:dyDescent="0.3">
      <c r="A107" s="15" t="s">
        <v>251</v>
      </c>
      <c r="B107" s="15" t="s">
        <v>23</v>
      </c>
      <c r="C107" s="15" t="s">
        <v>24</v>
      </c>
      <c r="D107" s="15" t="s">
        <v>13</v>
      </c>
      <c r="E107" s="15">
        <v>16</v>
      </c>
      <c r="F107" s="15">
        <v>12</v>
      </c>
      <c r="G107" s="15" t="s">
        <v>43</v>
      </c>
      <c r="H107" s="15" t="s">
        <v>40</v>
      </c>
      <c r="I107" s="15" t="s">
        <v>252</v>
      </c>
      <c r="J107" s="15">
        <v>50</v>
      </c>
    </row>
    <row r="108" spans="1:10" x14ac:dyDescent="0.3">
      <c r="A108" s="15" t="s">
        <v>253</v>
      </c>
      <c r="B108" s="15" t="s">
        <v>18</v>
      </c>
      <c r="C108" s="15" t="s">
        <v>24</v>
      </c>
      <c r="D108" s="15" t="s">
        <v>13</v>
      </c>
      <c r="E108" s="15">
        <v>15</v>
      </c>
      <c r="F108" s="15">
        <v>9</v>
      </c>
      <c r="G108" s="15" t="s">
        <v>25</v>
      </c>
      <c r="H108" s="15" t="s">
        <v>20</v>
      </c>
      <c r="I108" s="15" t="s">
        <v>254</v>
      </c>
      <c r="J108" s="15">
        <v>36</v>
      </c>
    </row>
    <row r="109" spans="1:10" x14ac:dyDescent="0.3">
      <c r="A109" s="15" t="s">
        <v>255</v>
      </c>
      <c r="B109" s="15" t="s">
        <v>51</v>
      </c>
      <c r="C109" s="15" t="s">
        <v>79</v>
      </c>
      <c r="D109" s="15" t="s">
        <v>31</v>
      </c>
      <c r="E109" s="15">
        <v>20</v>
      </c>
      <c r="F109" s="15">
        <v>12</v>
      </c>
      <c r="G109" s="15" t="s">
        <v>43</v>
      </c>
      <c r="H109" s="15" t="s">
        <v>40</v>
      </c>
      <c r="I109" s="15" t="s">
        <v>256</v>
      </c>
      <c r="J109" s="15">
        <v>48</v>
      </c>
    </row>
    <row r="110" spans="1:10" x14ac:dyDescent="0.3">
      <c r="A110" s="15" t="s">
        <v>257</v>
      </c>
      <c r="B110" s="15" t="s">
        <v>68</v>
      </c>
      <c r="C110" s="15" t="s">
        <v>79</v>
      </c>
      <c r="D110" s="15" t="s">
        <v>31</v>
      </c>
      <c r="E110" s="15">
        <v>20</v>
      </c>
      <c r="F110" s="15">
        <v>11</v>
      </c>
      <c r="G110" s="15" t="s">
        <v>43</v>
      </c>
      <c r="H110" s="15" t="s">
        <v>46</v>
      </c>
      <c r="I110" s="15" t="s">
        <v>258</v>
      </c>
      <c r="J110" s="15">
        <v>52</v>
      </c>
    </row>
    <row r="111" spans="1:10" x14ac:dyDescent="0.3">
      <c r="A111" s="15" t="s">
        <v>259</v>
      </c>
      <c r="B111" s="15" t="s">
        <v>54</v>
      </c>
      <c r="C111" s="15" t="s">
        <v>85</v>
      </c>
      <c r="D111" s="15" t="s">
        <v>13</v>
      </c>
      <c r="E111" s="15">
        <v>14</v>
      </c>
      <c r="F111" s="15">
        <v>11</v>
      </c>
      <c r="G111" s="15" t="s">
        <v>43</v>
      </c>
      <c r="H111" s="15" t="s">
        <v>46</v>
      </c>
      <c r="I111" s="15" t="s">
        <v>260</v>
      </c>
      <c r="J111" s="15">
        <v>62</v>
      </c>
    </row>
    <row r="112" spans="1:10" x14ac:dyDescent="0.3">
      <c r="A112" s="15" t="s">
        <v>261</v>
      </c>
      <c r="B112" s="15" t="s">
        <v>23</v>
      </c>
      <c r="C112" s="15" t="s">
        <v>36</v>
      </c>
      <c r="D112" s="15" t="s">
        <v>13</v>
      </c>
      <c r="E112" s="15">
        <v>15</v>
      </c>
      <c r="F112" s="15">
        <v>11</v>
      </c>
      <c r="G112" s="15" t="s">
        <v>25</v>
      </c>
      <c r="H112" s="15" t="s">
        <v>26</v>
      </c>
      <c r="I112" s="15" t="s">
        <v>262</v>
      </c>
      <c r="J112" s="15">
        <v>63</v>
      </c>
    </row>
    <row r="113" spans="1:10" x14ac:dyDescent="0.3">
      <c r="A113" s="15" t="s">
        <v>263</v>
      </c>
      <c r="B113" s="15" t="s">
        <v>29</v>
      </c>
      <c r="C113" s="15" t="s">
        <v>19</v>
      </c>
      <c r="D113" s="15" t="s">
        <v>13</v>
      </c>
      <c r="E113" s="15">
        <v>15</v>
      </c>
      <c r="F113" s="15">
        <v>11</v>
      </c>
      <c r="G113" s="15" t="s">
        <v>25</v>
      </c>
      <c r="H113" s="15" t="s">
        <v>46</v>
      </c>
      <c r="I113" s="15" t="s">
        <v>264</v>
      </c>
      <c r="J113" s="15">
        <v>58</v>
      </c>
    </row>
    <row r="114" spans="1:10" x14ac:dyDescent="0.3">
      <c r="A114" s="15" t="s">
        <v>265</v>
      </c>
      <c r="B114" s="15" t="s">
        <v>11</v>
      </c>
      <c r="C114" s="15" t="s">
        <v>85</v>
      </c>
      <c r="D114" s="15" t="s">
        <v>31</v>
      </c>
      <c r="E114" s="15">
        <v>14</v>
      </c>
      <c r="F114" s="15">
        <v>9</v>
      </c>
      <c r="G114" s="15" t="s">
        <v>43</v>
      </c>
      <c r="H114" s="15" t="s">
        <v>61</v>
      </c>
      <c r="I114" s="15" t="s">
        <v>56</v>
      </c>
      <c r="J114" s="15">
        <v>41</v>
      </c>
    </row>
    <row r="115" spans="1:10" x14ac:dyDescent="0.3">
      <c r="A115" s="15" t="s">
        <v>266</v>
      </c>
      <c r="B115" s="15" t="s">
        <v>54</v>
      </c>
      <c r="C115" s="15" t="s">
        <v>58</v>
      </c>
      <c r="D115" s="15" t="s">
        <v>13</v>
      </c>
      <c r="E115" s="15">
        <v>19</v>
      </c>
      <c r="F115" s="15">
        <v>11</v>
      </c>
      <c r="G115" s="15" t="s">
        <v>14</v>
      </c>
      <c r="H115" s="15" t="s">
        <v>40</v>
      </c>
      <c r="I115" s="15" t="s">
        <v>267</v>
      </c>
      <c r="J115" s="15">
        <v>41</v>
      </c>
    </row>
    <row r="116" spans="1:10" x14ac:dyDescent="0.3">
      <c r="A116" s="15" t="s">
        <v>268</v>
      </c>
      <c r="B116" s="15" t="s">
        <v>68</v>
      </c>
      <c r="C116" s="15" t="s">
        <v>24</v>
      </c>
      <c r="D116" s="15" t="s">
        <v>31</v>
      </c>
      <c r="E116" s="15">
        <v>16</v>
      </c>
      <c r="F116" s="15">
        <v>12</v>
      </c>
      <c r="G116" s="15" t="s">
        <v>43</v>
      </c>
      <c r="H116" s="15" t="s">
        <v>26</v>
      </c>
      <c r="I116" s="15" t="s">
        <v>269</v>
      </c>
      <c r="J116" s="15">
        <v>47</v>
      </c>
    </row>
    <row r="117" spans="1:10" x14ac:dyDescent="0.3">
      <c r="A117" s="15" t="s">
        <v>270</v>
      </c>
      <c r="B117" s="15" t="s">
        <v>73</v>
      </c>
      <c r="C117" s="15" t="s">
        <v>30</v>
      </c>
      <c r="D117" s="15" t="s">
        <v>31</v>
      </c>
      <c r="E117" s="15">
        <v>15</v>
      </c>
      <c r="F117" s="15">
        <v>9</v>
      </c>
      <c r="G117" s="15" t="s">
        <v>43</v>
      </c>
      <c r="H117" s="15" t="s">
        <v>26</v>
      </c>
      <c r="I117" s="15" t="s">
        <v>271</v>
      </c>
      <c r="J117" s="15">
        <v>76</v>
      </c>
    </row>
    <row r="118" spans="1:10" x14ac:dyDescent="0.3">
      <c r="A118" s="15" t="s">
        <v>272</v>
      </c>
      <c r="B118" s="15" t="s">
        <v>54</v>
      </c>
      <c r="C118" s="15" t="s">
        <v>24</v>
      </c>
      <c r="D118" s="15" t="s">
        <v>13</v>
      </c>
      <c r="E118" s="15">
        <v>15</v>
      </c>
      <c r="F118" s="15">
        <v>9</v>
      </c>
      <c r="G118" s="15" t="s">
        <v>43</v>
      </c>
      <c r="H118" s="15" t="s">
        <v>20</v>
      </c>
      <c r="I118" s="15" t="s">
        <v>273</v>
      </c>
      <c r="J118" s="15">
        <v>50</v>
      </c>
    </row>
    <row r="119" spans="1:10" x14ac:dyDescent="0.3">
      <c r="A119" s="15" t="s">
        <v>274</v>
      </c>
      <c r="B119" s="15" t="s">
        <v>35</v>
      </c>
      <c r="C119" s="15" t="s">
        <v>36</v>
      </c>
      <c r="D119" s="15" t="s">
        <v>13</v>
      </c>
      <c r="E119" s="15">
        <v>19</v>
      </c>
      <c r="F119" s="15">
        <v>9</v>
      </c>
      <c r="G119" s="15" t="s">
        <v>32</v>
      </c>
      <c r="H119" s="15" t="s">
        <v>61</v>
      </c>
      <c r="I119" s="15" t="s">
        <v>275</v>
      </c>
      <c r="J119" s="15">
        <v>63</v>
      </c>
    </row>
    <row r="120" spans="1:10" x14ac:dyDescent="0.3">
      <c r="A120" s="15" t="s">
        <v>276</v>
      </c>
      <c r="B120" s="15" t="s">
        <v>84</v>
      </c>
      <c r="C120" s="15" t="s">
        <v>30</v>
      </c>
      <c r="D120" s="15" t="s">
        <v>31</v>
      </c>
      <c r="E120" s="15">
        <v>14</v>
      </c>
      <c r="F120" s="15">
        <v>12</v>
      </c>
      <c r="G120" s="15" t="s">
        <v>14</v>
      </c>
      <c r="H120" s="15" t="s">
        <v>26</v>
      </c>
      <c r="I120" s="15" t="s">
        <v>277</v>
      </c>
      <c r="J120" s="15">
        <v>62</v>
      </c>
    </row>
    <row r="121" spans="1:10" x14ac:dyDescent="0.3">
      <c r="A121" s="15" t="s">
        <v>278</v>
      </c>
      <c r="B121" s="15" t="s">
        <v>73</v>
      </c>
      <c r="C121" s="15" t="s">
        <v>36</v>
      </c>
      <c r="D121" s="15" t="s">
        <v>13</v>
      </c>
      <c r="E121" s="15">
        <v>14</v>
      </c>
      <c r="F121" s="15">
        <v>11</v>
      </c>
      <c r="G121" s="15" t="s">
        <v>32</v>
      </c>
      <c r="H121" s="15" t="s">
        <v>37</v>
      </c>
      <c r="I121" s="15" t="s">
        <v>279</v>
      </c>
      <c r="J121" s="15">
        <v>51</v>
      </c>
    </row>
    <row r="122" spans="1:10" x14ac:dyDescent="0.3">
      <c r="A122" s="15" t="s">
        <v>280</v>
      </c>
      <c r="B122" s="15" t="s">
        <v>84</v>
      </c>
      <c r="C122" s="15" t="s">
        <v>58</v>
      </c>
      <c r="D122" s="15" t="s">
        <v>13</v>
      </c>
      <c r="E122" s="15">
        <v>18</v>
      </c>
      <c r="F122" s="15">
        <v>12</v>
      </c>
      <c r="G122" s="15" t="s">
        <v>32</v>
      </c>
      <c r="H122" s="15" t="s">
        <v>76</v>
      </c>
      <c r="I122" s="15" t="s">
        <v>159</v>
      </c>
      <c r="J122" s="15">
        <v>98</v>
      </c>
    </row>
    <row r="123" spans="1:10" x14ac:dyDescent="0.3">
      <c r="A123" s="15" t="s">
        <v>281</v>
      </c>
      <c r="B123" s="15" t="s">
        <v>51</v>
      </c>
      <c r="C123" s="15" t="s">
        <v>36</v>
      </c>
      <c r="D123" s="15" t="s">
        <v>31</v>
      </c>
      <c r="E123" s="15">
        <v>15</v>
      </c>
      <c r="F123" s="15">
        <v>11</v>
      </c>
      <c r="G123" s="15" t="s">
        <v>43</v>
      </c>
      <c r="H123" s="15" t="s">
        <v>37</v>
      </c>
      <c r="I123" s="15" t="s">
        <v>282</v>
      </c>
      <c r="J123" s="15">
        <v>66</v>
      </c>
    </row>
    <row r="124" spans="1:10" x14ac:dyDescent="0.3">
      <c r="A124" s="15" t="s">
        <v>283</v>
      </c>
      <c r="B124" s="15" t="s">
        <v>68</v>
      </c>
      <c r="C124" s="15" t="s">
        <v>79</v>
      </c>
      <c r="D124" s="15" t="s">
        <v>31</v>
      </c>
      <c r="E124" s="15">
        <v>16</v>
      </c>
      <c r="F124" s="15">
        <v>11</v>
      </c>
      <c r="G124" s="15" t="s">
        <v>32</v>
      </c>
      <c r="H124" s="15" t="s">
        <v>40</v>
      </c>
      <c r="I124" s="15" t="s">
        <v>284</v>
      </c>
      <c r="J124" s="15">
        <v>95</v>
      </c>
    </row>
    <row r="125" spans="1:10" x14ac:dyDescent="0.3">
      <c r="A125" s="15" t="s">
        <v>285</v>
      </c>
      <c r="B125" s="15" t="s">
        <v>18</v>
      </c>
      <c r="C125" s="15" t="s">
        <v>36</v>
      </c>
      <c r="D125" s="15" t="s">
        <v>31</v>
      </c>
      <c r="E125" s="15">
        <v>14</v>
      </c>
      <c r="F125" s="15">
        <v>11</v>
      </c>
      <c r="G125" s="15" t="s">
        <v>25</v>
      </c>
      <c r="H125" s="15" t="s">
        <v>46</v>
      </c>
      <c r="I125" s="15" t="s">
        <v>286</v>
      </c>
      <c r="J125" s="15">
        <v>64</v>
      </c>
    </row>
    <row r="126" spans="1:10" x14ac:dyDescent="0.3">
      <c r="A126" s="15" t="s">
        <v>287</v>
      </c>
      <c r="B126" s="15" t="s">
        <v>54</v>
      </c>
      <c r="C126" s="15" t="s">
        <v>24</v>
      </c>
      <c r="D126" s="15" t="s">
        <v>31</v>
      </c>
      <c r="E126" s="15">
        <v>14</v>
      </c>
      <c r="F126" s="15">
        <v>12</v>
      </c>
      <c r="G126" s="15" t="s">
        <v>32</v>
      </c>
      <c r="H126" s="15" t="s">
        <v>76</v>
      </c>
      <c r="I126" s="15" t="s">
        <v>288</v>
      </c>
      <c r="J126" s="15">
        <v>48</v>
      </c>
    </row>
    <row r="127" spans="1:10" x14ac:dyDescent="0.3">
      <c r="A127" s="15" t="s">
        <v>289</v>
      </c>
      <c r="B127" s="15" t="s">
        <v>23</v>
      </c>
      <c r="C127" s="15" t="s">
        <v>79</v>
      </c>
      <c r="D127" s="15" t="s">
        <v>31</v>
      </c>
      <c r="E127" s="15">
        <v>17</v>
      </c>
      <c r="F127" s="15">
        <v>9</v>
      </c>
      <c r="G127" s="15" t="s">
        <v>25</v>
      </c>
      <c r="H127" s="15" t="s">
        <v>37</v>
      </c>
      <c r="I127" s="15" t="s">
        <v>290</v>
      </c>
      <c r="J127" s="15">
        <v>62</v>
      </c>
    </row>
    <row r="128" spans="1:10" x14ac:dyDescent="0.3">
      <c r="A128" s="15" t="s">
        <v>291</v>
      </c>
      <c r="B128" s="15" t="s">
        <v>11</v>
      </c>
      <c r="C128" s="15" t="s">
        <v>30</v>
      </c>
      <c r="D128" s="15" t="s">
        <v>31</v>
      </c>
      <c r="E128" s="15">
        <v>16</v>
      </c>
      <c r="F128" s="15">
        <v>9</v>
      </c>
      <c r="G128" s="15" t="s">
        <v>25</v>
      </c>
      <c r="H128" s="15" t="s">
        <v>61</v>
      </c>
      <c r="I128" s="15" t="s">
        <v>292</v>
      </c>
      <c r="J128" s="15">
        <v>97</v>
      </c>
    </row>
    <row r="129" spans="1:10" x14ac:dyDescent="0.3">
      <c r="A129" s="15" t="s">
        <v>293</v>
      </c>
      <c r="B129" s="15" t="s">
        <v>73</v>
      </c>
      <c r="C129" s="15" t="s">
        <v>96</v>
      </c>
      <c r="D129" s="15" t="s">
        <v>31</v>
      </c>
      <c r="E129" s="15">
        <v>20</v>
      </c>
      <c r="F129" s="15">
        <v>9</v>
      </c>
      <c r="G129" s="15" t="s">
        <v>43</v>
      </c>
      <c r="H129" s="15" t="s">
        <v>26</v>
      </c>
      <c r="I129" s="15" t="s">
        <v>74</v>
      </c>
      <c r="J129" s="15">
        <v>100</v>
      </c>
    </row>
    <row r="130" spans="1:10" x14ac:dyDescent="0.3">
      <c r="A130" s="15" t="s">
        <v>294</v>
      </c>
      <c r="B130" s="15" t="s">
        <v>35</v>
      </c>
      <c r="C130" s="15" t="s">
        <v>55</v>
      </c>
      <c r="D130" s="15" t="s">
        <v>13</v>
      </c>
      <c r="E130" s="15">
        <v>20</v>
      </c>
      <c r="F130" s="15">
        <v>9</v>
      </c>
      <c r="G130" s="15" t="s">
        <v>25</v>
      </c>
      <c r="H130" s="15" t="s">
        <v>46</v>
      </c>
      <c r="I130" s="15" t="s">
        <v>295</v>
      </c>
      <c r="J130" s="15">
        <v>99</v>
      </c>
    </row>
    <row r="131" spans="1:10" x14ac:dyDescent="0.3">
      <c r="A131" s="15" t="s">
        <v>296</v>
      </c>
      <c r="B131" s="15" t="s">
        <v>84</v>
      </c>
      <c r="C131" s="15" t="s">
        <v>19</v>
      </c>
      <c r="D131" s="15" t="s">
        <v>31</v>
      </c>
      <c r="E131" s="15">
        <v>20</v>
      </c>
      <c r="F131" s="15">
        <v>10</v>
      </c>
      <c r="G131" s="15" t="s">
        <v>43</v>
      </c>
      <c r="H131" s="15" t="s">
        <v>20</v>
      </c>
      <c r="I131" s="15" t="s">
        <v>297</v>
      </c>
      <c r="J131" s="15">
        <v>100</v>
      </c>
    </row>
    <row r="132" spans="1:10" x14ac:dyDescent="0.3">
      <c r="A132" s="15" t="s">
        <v>298</v>
      </c>
      <c r="B132" s="15" t="s">
        <v>29</v>
      </c>
      <c r="C132" s="15" t="s">
        <v>96</v>
      </c>
      <c r="D132" s="15" t="s">
        <v>31</v>
      </c>
      <c r="E132" s="15">
        <v>20</v>
      </c>
      <c r="F132" s="15">
        <v>10</v>
      </c>
      <c r="G132" s="15" t="s">
        <v>32</v>
      </c>
      <c r="H132" s="15" t="s">
        <v>26</v>
      </c>
      <c r="I132" s="15" t="s">
        <v>299</v>
      </c>
      <c r="J132" s="15">
        <v>56</v>
      </c>
    </row>
    <row r="133" spans="1:10" x14ac:dyDescent="0.3">
      <c r="A133" s="15" t="s">
        <v>300</v>
      </c>
      <c r="B133" s="15" t="s">
        <v>11</v>
      </c>
      <c r="C133" s="15" t="s">
        <v>79</v>
      </c>
      <c r="D133" s="15" t="s">
        <v>31</v>
      </c>
      <c r="E133" s="15">
        <v>18</v>
      </c>
      <c r="F133" s="15">
        <v>9</v>
      </c>
      <c r="G133" s="15" t="s">
        <v>14</v>
      </c>
      <c r="H133" s="15" t="s">
        <v>20</v>
      </c>
      <c r="I133" s="15" t="s">
        <v>301</v>
      </c>
      <c r="J133" s="15">
        <v>66</v>
      </c>
    </row>
    <row r="134" spans="1:10" x14ac:dyDescent="0.3">
      <c r="A134" s="15" t="s">
        <v>302</v>
      </c>
      <c r="B134" s="15" t="s">
        <v>29</v>
      </c>
      <c r="C134" s="15" t="s">
        <v>79</v>
      </c>
      <c r="D134" s="15" t="s">
        <v>13</v>
      </c>
      <c r="E134" s="15">
        <v>14</v>
      </c>
      <c r="F134" s="15">
        <v>12</v>
      </c>
      <c r="G134" s="15" t="s">
        <v>14</v>
      </c>
      <c r="H134" s="15" t="s">
        <v>20</v>
      </c>
      <c r="I134" s="15" t="s">
        <v>303</v>
      </c>
      <c r="J134" s="15">
        <v>66</v>
      </c>
    </row>
    <row r="135" spans="1:10" x14ac:dyDescent="0.3">
      <c r="A135" s="15" t="s">
        <v>304</v>
      </c>
      <c r="B135" s="15" t="s">
        <v>51</v>
      </c>
      <c r="C135" s="15" t="s">
        <v>36</v>
      </c>
      <c r="D135" s="15" t="s">
        <v>31</v>
      </c>
      <c r="E135" s="15">
        <v>15</v>
      </c>
      <c r="F135" s="15">
        <v>12</v>
      </c>
      <c r="G135" s="15" t="s">
        <v>32</v>
      </c>
      <c r="H135" s="15" t="s">
        <v>46</v>
      </c>
      <c r="I135" s="15" t="s">
        <v>305</v>
      </c>
      <c r="J135" s="15">
        <v>77</v>
      </c>
    </row>
    <row r="136" spans="1:10" x14ac:dyDescent="0.3">
      <c r="A136" s="15" t="s">
        <v>306</v>
      </c>
      <c r="B136" s="15" t="s">
        <v>23</v>
      </c>
      <c r="C136" s="15" t="s">
        <v>19</v>
      </c>
      <c r="D136" s="15" t="s">
        <v>31</v>
      </c>
      <c r="E136" s="15">
        <v>16</v>
      </c>
      <c r="F136" s="15">
        <v>10</v>
      </c>
      <c r="G136" s="15" t="s">
        <v>43</v>
      </c>
      <c r="H136" s="15" t="s">
        <v>61</v>
      </c>
      <c r="I136" s="15" t="s">
        <v>307</v>
      </c>
      <c r="J136" s="15">
        <v>47</v>
      </c>
    </row>
    <row r="137" spans="1:10" x14ac:dyDescent="0.3">
      <c r="A137" s="15" t="s">
        <v>308</v>
      </c>
      <c r="B137" s="15" t="s">
        <v>23</v>
      </c>
      <c r="C137" s="15" t="s">
        <v>36</v>
      </c>
      <c r="D137" s="15" t="s">
        <v>13</v>
      </c>
      <c r="E137" s="15">
        <v>18</v>
      </c>
      <c r="F137" s="15">
        <v>10</v>
      </c>
      <c r="G137" s="15" t="s">
        <v>43</v>
      </c>
      <c r="H137" s="15" t="s">
        <v>40</v>
      </c>
      <c r="I137" s="15" t="s">
        <v>309</v>
      </c>
      <c r="J137" s="15">
        <v>57</v>
      </c>
    </row>
    <row r="138" spans="1:10" x14ac:dyDescent="0.3">
      <c r="A138" s="15" t="s">
        <v>310</v>
      </c>
      <c r="B138" s="15" t="s">
        <v>29</v>
      </c>
      <c r="C138" s="15" t="s">
        <v>96</v>
      </c>
      <c r="D138" s="15" t="s">
        <v>31</v>
      </c>
      <c r="E138" s="15">
        <v>16</v>
      </c>
      <c r="F138" s="15">
        <v>9</v>
      </c>
      <c r="G138" s="15" t="s">
        <v>32</v>
      </c>
      <c r="H138" s="15" t="s">
        <v>46</v>
      </c>
      <c r="I138" s="15" t="s">
        <v>311</v>
      </c>
      <c r="J138" s="15">
        <v>67</v>
      </c>
    </row>
    <row r="139" spans="1:10" x14ac:dyDescent="0.3">
      <c r="A139" s="15" t="s">
        <v>312</v>
      </c>
      <c r="B139" s="15" t="s">
        <v>29</v>
      </c>
      <c r="C139" s="15" t="s">
        <v>12</v>
      </c>
      <c r="D139" s="15" t="s">
        <v>31</v>
      </c>
      <c r="E139" s="15">
        <v>14</v>
      </c>
      <c r="F139" s="15">
        <v>12</v>
      </c>
      <c r="G139" s="15" t="s">
        <v>43</v>
      </c>
      <c r="H139" s="15" t="s">
        <v>61</v>
      </c>
      <c r="I139" s="15" t="s">
        <v>313</v>
      </c>
      <c r="J139" s="15">
        <v>44</v>
      </c>
    </row>
    <row r="140" spans="1:10" x14ac:dyDescent="0.3">
      <c r="A140" s="15" t="s">
        <v>314</v>
      </c>
      <c r="B140" s="15" t="s">
        <v>68</v>
      </c>
      <c r="C140" s="15" t="s">
        <v>79</v>
      </c>
      <c r="D140" s="15" t="s">
        <v>13</v>
      </c>
      <c r="E140" s="15">
        <v>15</v>
      </c>
      <c r="F140" s="15">
        <v>11</v>
      </c>
      <c r="G140" s="15" t="s">
        <v>14</v>
      </c>
      <c r="H140" s="15" t="s">
        <v>46</v>
      </c>
      <c r="I140" s="15" t="s">
        <v>315</v>
      </c>
      <c r="J140" s="15">
        <v>35</v>
      </c>
    </row>
    <row r="141" spans="1:10" x14ac:dyDescent="0.3">
      <c r="A141" s="15" t="s">
        <v>316</v>
      </c>
      <c r="B141" s="15" t="s">
        <v>23</v>
      </c>
      <c r="C141" s="15" t="s">
        <v>36</v>
      </c>
      <c r="D141" s="15" t="s">
        <v>31</v>
      </c>
      <c r="E141" s="15">
        <v>20</v>
      </c>
      <c r="F141" s="15">
        <v>11</v>
      </c>
      <c r="G141" s="15" t="s">
        <v>14</v>
      </c>
      <c r="H141" s="15" t="s">
        <v>37</v>
      </c>
      <c r="I141" s="15" t="s">
        <v>317</v>
      </c>
      <c r="J141" s="15">
        <v>52</v>
      </c>
    </row>
    <row r="142" spans="1:10" x14ac:dyDescent="0.3">
      <c r="A142" s="15" t="s">
        <v>318</v>
      </c>
      <c r="B142" s="15" t="s">
        <v>54</v>
      </c>
      <c r="C142" s="15" t="s">
        <v>96</v>
      </c>
      <c r="D142" s="15" t="s">
        <v>13</v>
      </c>
      <c r="E142" s="15">
        <v>18</v>
      </c>
      <c r="F142" s="15">
        <v>9</v>
      </c>
      <c r="G142" s="15" t="s">
        <v>32</v>
      </c>
      <c r="H142" s="15" t="s">
        <v>76</v>
      </c>
      <c r="I142" s="15" t="s">
        <v>319</v>
      </c>
      <c r="J142" s="15">
        <v>86</v>
      </c>
    </row>
    <row r="143" spans="1:10" x14ac:dyDescent="0.3">
      <c r="A143" s="15" t="s">
        <v>320</v>
      </c>
      <c r="B143" s="15" t="s">
        <v>84</v>
      </c>
      <c r="C143" s="15" t="s">
        <v>55</v>
      </c>
      <c r="D143" s="15" t="s">
        <v>31</v>
      </c>
      <c r="E143" s="15">
        <v>16</v>
      </c>
      <c r="F143" s="15">
        <v>12</v>
      </c>
      <c r="G143" s="15" t="s">
        <v>32</v>
      </c>
      <c r="H143" s="15" t="s">
        <v>76</v>
      </c>
      <c r="I143" s="15" t="s">
        <v>321</v>
      </c>
      <c r="J143" s="15">
        <v>66</v>
      </c>
    </row>
    <row r="144" spans="1:10" x14ac:dyDescent="0.3">
      <c r="A144" s="15" t="s">
        <v>322</v>
      </c>
      <c r="B144" s="15" t="s">
        <v>35</v>
      </c>
      <c r="C144" s="15" t="s">
        <v>12</v>
      </c>
      <c r="D144" s="15" t="s">
        <v>13</v>
      </c>
      <c r="E144" s="15">
        <v>14</v>
      </c>
      <c r="F144" s="15">
        <v>11</v>
      </c>
      <c r="G144" s="15" t="s">
        <v>14</v>
      </c>
      <c r="H144" s="15" t="s">
        <v>26</v>
      </c>
      <c r="I144" s="15" t="s">
        <v>323</v>
      </c>
      <c r="J144" s="15">
        <v>93</v>
      </c>
    </row>
    <row r="145" spans="1:10" x14ac:dyDescent="0.3">
      <c r="A145" s="15" t="s">
        <v>324</v>
      </c>
      <c r="B145" s="15" t="s">
        <v>23</v>
      </c>
      <c r="C145" s="15" t="s">
        <v>85</v>
      </c>
      <c r="D145" s="15" t="s">
        <v>31</v>
      </c>
      <c r="E145" s="15">
        <v>16</v>
      </c>
      <c r="F145" s="15">
        <v>9</v>
      </c>
      <c r="G145" s="15" t="s">
        <v>32</v>
      </c>
      <c r="H145" s="15" t="s">
        <v>61</v>
      </c>
      <c r="I145" s="15" t="s">
        <v>325</v>
      </c>
      <c r="J145" s="15">
        <v>54</v>
      </c>
    </row>
    <row r="146" spans="1:10" x14ac:dyDescent="0.3">
      <c r="A146" s="15" t="s">
        <v>326</v>
      </c>
      <c r="B146" s="15" t="s">
        <v>54</v>
      </c>
      <c r="C146" s="15" t="s">
        <v>55</v>
      </c>
      <c r="D146" s="15" t="s">
        <v>13</v>
      </c>
      <c r="E146" s="15">
        <v>20</v>
      </c>
      <c r="F146" s="15">
        <v>9</v>
      </c>
      <c r="G146" s="15" t="s">
        <v>32</v>
      </c>
      <c r="H146" s="15" t="s">
        <v>15</v>
      </c>
      <c r="I146" s="15" t="s">
        <v>77</v>
      </c>
      <c r="J146" s="15">
        <v>75</v>
      </c>
    </row>
    <row r="147" spans="1:10" x14ac:dyDescent="0.3">
      <c r="A147" s="15" t="s">
        <v>327</v>
      </c>
      <c r="B147" s="15" t="s">
        <v>73</v>
      </c>
      <c r="C147" s="15" t="s">
        <v>96</v>
      </c>
      <c r="D147" s="15" t="s">
        <v>13</v>
      </c>
      <c r="E147" s="15">
        <v>20</v>
      </c>
      <c r="F147" s="15">
        <v>9</v>
      </c>
      <c r="G147" s="15" t="s">
        <v>32</v>
      </c>
      <c r="H147" s="15" t="s">
        <v>61</v>
      </c>
      <c r="I147" s="15" t="s">
        <v>328</v>
      </c>
      <c r="J147" s="15">
        <v>40</v>
      </c>
    </row>
    <row r="148" spans="1:10" x14ac:dyDescent="0.3">
      <c r="A148" s="15" t="s">
        <v>329</v>
      </c>
      <c r="B148" s="15" t="s">
        <v>11</v>
      </c>
      <c r="C148" s="15" t="s">
        <v>24</v>
      </c>
      <c r="D148" s="15" t="s">
        <v>31</v>
      </c>
      <c r="E148" s="15">
        <v>15</v>
      </c>
      <c r="F148" s="15">
        <v>9</v>
      </c>
      <c r="G148" s="15" t="s">
        <v>43</v>
      </c>
      <c r="H148" s="15" t="s">
        <v>61</v>
      </c>
      <c r="I148" s="15" t="s">
        <v>330</v>
      </c>
      <c r="J148" s="15">
        <v>83</v>
      </c>
    </row>
    <row r="149" spans="1:10" x14ac:dyDescent="0.3">
      <c r="A149" s="15" t="s">
        <v>331</v>
      </c>
      <c r="B149" s="15" t="s">
        <v>73</v>
      </c>
      <c r="C149" s="15" t="s">
        <v>30</v>
      </c>
      <c r="D149" s="15" t="s">
        <v>31</v>
      </c>
      <c r="E149" s="15">
        <v>19</v>
      </c>
      <c r="F149" s="15">
        <v>10</v>
      </c>
      <c r="G149" s="15" t="s">
        <v>43</v>
      </c>
      <c r="H149" s="15" t="s">
        <v>20</v>
      </c>
      <c r="I149" s="15" t="s">
        <v>191</v>
      </c>
      <c r="J149" s="15">
        <v>93</v>
      </c>
    </row>
    <row r="150" spans="1:10" x14ac:dyDescent="0.3">
      <c r="A150" s="15" t="s">
        <v>332</v>
      </c>
      <c r="B150" s="15" t="s">
        <v>29</v>
      </c>
      <c r="C150" s="15" t="s">
        <v>12</v>
      </c>
      <c r="D150" s="15" t="s">
        <v>31</v>
      </c>
      <c r="E150" s="15">
        <v>16</v>
      </c>
      <c r="F150" s="15">
        <v>11</v>
      </c>
      <c r="G150" s="15" t="s">
        <v>32</v>
      </c>
      <c r="H150" s="15" t="s">
        <v>76</v>
      </c>
      <c r="I150" s="15" t="s">
        <v>333</v>
      </c>
      <c r="J150" s="15">
        <v>42</v>
      </c>
    </row>
    <row r="151" spans="1:10" x14ac:dyDescent="0.3">
      <c r="A151" s="15" t="s">
        <v>334</v>
      </c>
      <c r="B151" s="15" t="s">
        <v>73</v>
      </c>
      <c r="C151" s="15" t="s">
        <v>12</v>
      </c>
      <c r="D151" s="15" t="s">
        <v>31</v>
      </c>
      <c r="E151" s="15">
        <v>18</v>
      </c>
      <c r="F151" s="15">
        <v>11</v>
      </c>
      <c r="G151" s="15" t="s">
        <v>32</v>
      </c>
      <c r="H151" s="15" t="s">
        <v>76</v>
      </c>
      <c r="I151" s="15" t="s">
        <v>335</v>
      </c>
      <c r="J151" s="15">
        <v>97</v>
      </c>
    </row>
    <row r="152" spans="1:10" x14ac:dyDescent="0.3">
      <c r="A152" s="15" t="s">
        <v>336</v>
      </c>
      <c r="B152" s="15" t="s">
        <v>11</v>
      </c>
      <c r="C152" s="15" t="s">
        <v>58</v>
      </c>
      <c r="D152" s="15" t="s">
        <v>31</v>
      </c>
      <c r="E152" s="15">
        <v>19</v>
      </c>
      <c r="F152" s="15">
        <v>12</v>
      </c>
      <c r="G152" s="15" t="s">
        <v>25</v>
      </c>
      <c r="H152" s="15" t="s">
        <v>61</v>
      </c>
      <c r="I152" s="15" t="s">
        <v>218</v>
      </c>
      <c r="J152" s="15">
        <v>68</v>
      </c>
    </row>
    <row r="153" spans="1:10" x14ac:dyDescent="0.3">
      <c r="A153" s="15" t="s">
        <v>337</v>
      </c>
      <c r="B153" s="15" t="s">
        <v>23</v>
      </c>
      <c r="C153" s="15" t="s">
        <v>30</v>
      </c>
      <c r="D153" s="15" t="s">
        <v>31</v>
      </c>
      <c r="E153" s="15">
        <v>19</v>
      </c>
      <c r="F153" s="15">
        <v>9</v>
      </c>
      <c r="G153" s="15" t="s">
        <v>32</v>
      </c>
      <c r="H153" s="15" t="s">
        <v>61</v>
      </c>
      <c r="I153" s="15" t="s">
        <v>338</v>
      </c>
      <c r="J153" s="15">
        <v>51</v>
      </c>
    </row>
    <row r="154" spans="1:10" x14ac:dyDescent="0.3">
      <c r="A154" s="15" t="s">
        <v>339</v>
      </c>
      <c r="B154" s="15" t="s">
        <v>23</v>
      </c>
      <c r="C154" s="15" t="s">
        <v>36</v>
      </c>
      <c r="D154" s="15" t="s">
        <v>13</v>
      </c>
      <c r="E154" s="15">
        <v>18</v>
      </c>
      <c r="F154" s="15">
        <v>9</v>
      </c>
      <c r="G154" s="15" t="s">
        <v>32</v>
      </c>
      <c r="H154" s="15" t="s">
        <v>37</v>
      </c>
      <c r="I154" s="15" t="s">
        <v>340</v>
      </c>
      <c r="J154" s="15">
        <v>64</v>
      </c>
    </row>
    <row r="155" spans="1:10" x14ac:dyDescent="0.3">
      <c r="A155" s="15" t="s">
        <v>341</v>
      </c>
      <c r="B155" s="15" t="s">
        <v>54</v>
      </c>
      <c r="C155" s="15" t="s">
        <v>55</v>
      </c>
      <c r="D155" s="15" t="s">
        <v>13</v>
      </c>
      <c r="E155" s="15">
        <v>14</v>
      </c>
      <c r="F155" s="15">
        <v>9</v>
      </c>
      <c r="G155" s="15" t="s">
        <v>25</v>
      </c>
      <c r="H155" s="15" t="s">
        <v>37</v>
      </c>
      <c r="I155" s="15" t="s">
        <v>342</v>
      </c>
      <c r="J155" s="15">
        <v>82</v>
      </c>
    </row>
    <row r="156" spans="1:10" x14ac:dyDescent="0.3">
      <c r="A156" s="15" t="s">
        <v>343</v>
      </c>
      <c r="B156" s="15" t="s">
        <v>68</v>
      </c>
      <c r="C156" s="15" t="s">
        <v>79</v>
      </c>
      <c r="D156" s="15" t="s">
        <v>13</v>
      </c>
      <c r="E156" s="15">
        <v>19</v>
      </c>
      <c r="F156" s="15">
        <v>11</v>
      </c>
      <c r="G156" s="15" t="s">
        <v>14</v>
      </c>
      <c r="H156" s="15" t="s">
        <v>40</v>
      </c>
      <c r="I156" s="15" t="s">
        <v>344</v>
      </c>
      <c r="J156" s="15">
        <v>35</v>
      </c>
    </row>
    <row r="157" spans="1:10" x14ac:dyDescent="0.3">
      <c r="A157" s="15" t="s">
        <v>345</v>
      </c>
      <c r="B157" s="15" t="s">
        <v>29</v>
      </c>
      <c r="C157" s="15" t="s">
        <v>24</v>
      </c>
      <c r="D157" s="15" t="s">
        <v>31</v>
      </c>
      <c r="E157" s="15">
        <v>15</v>
      </c>
      <c r="F157" s="15">
        <v>9</v>
      </c>
      <c r="G157" s="15" t="s">
        <v>14</v>
      </c>
      <c r="H157" s="15" t="s">
        <v>26</v>
      </c>
      <c r="I157" s="15" t="s">
        <v>346</v>
      </c>
      <c r="J157" s="15">
        <v>49</v>
      </c>
    </row>
    <row r="158" spans="1:10" x14ac:dyDescent="0.3">
      <c r="A158" s="15" t="s">
        <v>347</v>
      </c>
      <c r="B158" s="15" t="s">
        <v>23</v>
      </c>
      <c r="C158" s="15" t="s">
        <v>85</v>
      </c>
      <c r="D158" s="15" t="s">
        <v>31</v>
      </c>
      <c r="E158" s="15">
        <v>15</v>
      </c>
      <c r="F158" s="15">
        <v>11</v>
      </c>
      <c r="G158" s="15" t="s">
        <v>32</v>
      </c>
      <c r="H158" s="15" t="s">
        <v>26</v>
      </c>
      <c r="I158" s="15" t="s">
        <v>348</v>
      </c>
      <c r="J158" s="15">
        <v>37</v>
      </c>
    </row>
    <row r="159" spans="1:10" x14ac:dyDescent="0.3">
      <c r="A159" s="15" t="s">
        <v>349</v>
      </c>
      <c r="B159" s="15" t="s">
        <v>35</v>
      </c>
      <c r="C159" s="15" t="s">
        <v>30</v>
      </c>
      <c r="D159" s="15" t="s">
        <v>31</v>
      </c>
      <c r="E159" s="15">
        <v>18</v>
      </c>
      <c r="F159" s="15">
        <v>12</v>
      </c>
      <c r="G159" s="15" t="s">
        <v>43</v>
      </c>
      <c r="H159" s="15" t="s">
        <v>37</v>
      </c>
      <c r="I159" s="15" t="s">
        <v>350</v>
      </c>
      <c r="J159" s="15">
        <v>53</v>
      </c>
    </row>
    <row r="160" spans="1:10" x14ac:dyDescent="0.3">
      <c r="A160" s="15" t="s">
        <v>351</v>
      </c>
      <c r="B160" s="15" t="s">
        <v>68</v>
      </c>
      <c r="C160" s="15" t="s">
        <v>96</v>
      </c>
      <c r="D160" s="15" t="s">
        <v>13</v>
      </c>
      <c r="E160" s="15">
        <v>15</v>
      </c>
      <c r="F160" s="15">
        <v>10</v>
      </c>
      <c r="G160" s="15" t="s">
        <v>25</v>
      </c>
      <c r="H160" s="15" t="s">
        <v>20</v>
      </c>
      <c r="I160" s="15" t="s">
        <v>352</v>
      </c>
      <c r="J160" s="15">
        <v>50</v>
      </c>
    </row>
    <row r="161" spans="1:10" x14ac:dyDescent="0.3">
      <c r="A161" s="15" t="s">
        <v>353</v>
      </c>
      <c r="B161" s="15" t="s">
        <v>51</v>
      </c>
      <c r="C161" s="15" t="s">
        <v>55</v>
      </c>
      <c r="D161" s="15" t="s">
        <v>31</v>
      </c>
      <c r="E161" s="15">
        <v>20</v>
      </c>
      <c r="F161" s="15">
        <v>9</v>
      </c>
      <c r="G161" s="15" t="s">
        <v>25</v>
      </c>
      <c r="H161" s="15" t="s">
        <v>46</v>
      </c>
      <c r="I161" s="15" t="s">
        <v>354</v>
      </c>
      <c r="J161" s="15">
        <v>53</v>
      </c>
    </row>
    <row r="162" spans="1:10" x14ac:dyDescent="0.3">
      <c r="A162" s="15" t="s">
        <v>355</v>
      </c>
      <c r="B162" s="15" t="s">
        <v>68</v>
      </c>
      <c r="C162" s="15" t="s">
        <v>79</v>
      </c>
      <c r="D162" s="15" t="s">
        <v>13</v>
      </c>
      <c r="E162" s="15">
        <v>15</v>
      </c>
      <c r="F162" s="15">
        <v>12</v>
      </c>
      <c r="G162" s="15" t="s">
        <v>14</v>
      </c>
      <c r="H162" s="15" t="s">
        <v>20</v>
      </c>
      <c r="I162" s="15" t="s">
        <v>356</v>
      </c>
      <c r="J162" s="15">
        <v>37</v>
      </c>
    </row>
    <row r="163" spans="1:10" x14ac:dyDescent="0.3">
      <c r="A163" s="15" t="s">
        <v>357</v>
      </c>
      <c r="B163" s="15" t="s">
        <v>23</v>
      </c>
      <c r="C163" s="15" t="s">
        <v>24</v>
      </c>
      <c r="D163" s="15" t="s">
        <v>13</v>
      </c>
      <c r="E163" s="15">
        <v>16</v>
      </c>
      <c r="F163" s="15">
        <v>9</v>
      </c>
      <c r="G163" s="15" t="s">
        <v>25</v>
      </c>
      <c r="H163" s="15" t="s">
        <v>20</v>
      </c>
      <c r="I163" s="15" t="s">
        <v>358</v>
      </c>
      <c r="J163" s="15">
        <v>66</v>
      </c>
    </row>
    <row r="164" spans="1:10" x14ac:dyDescent="0.3">
      <c r="A164" s="15" t="s">
        <v>359</v>
      </c>
      <c r="B164" s="15" t="s">
        <v>68</v>
      </c>
      <c r="C164" s="15" t="s">
        <v>85</v>
      </c>
      <c r="D164" s="15" t="s">
        <v>13</v>
      </c>
      <c r="E164" s="15">
        <v>19</v>
      </c>
      <c r="F164" s="15">
        <v>11</v>
      </c>
      <c r="G164" s="15" t="s">
        <v>43</v>
      </c>
      <c r="H164" s="15" t="s">
        <v>76</v>
      </c>
      <c r="I164" s="15" t="s">
        <v>360</v>
      </c>
      <c r="J164" s="15">
        <v>64</v>
      </c>
    </row>
    <row r="165" spans="1:10" x14ac:dyDescent="0.3">
      <c r="A165" s="15" t="s">
        <v>361</v>
      </c>
      <c r="B165" s="15" t="s">
        <v>11</v>
      </c>
      <c r="C165" s="15" t="s">
        <v>30</v>
      </c>
      <c r="D165" s="15" t="s">
        <v>13</v>
      </c>
      <c r="E165" s="15">
        <v>20</v>
      </c>
      <c r="F165" s="15">
        <v>10</v>
      </c>
      <c r="G165" s="15" t="s">
        <v>32</v>
      </c>
      <c r="H165" s="15" t="s">
        <v>15</v>
      </c>
      <c r="I165" s="15" t="s">
        <v>362</v>
      </c>
      <c r="J165" s="15">
        <v>49</v>
      </c>
    </row>
    <row r="166" spans="1:10" x14ac:dyDescent="0.3">
      <c r="A166" s="15" t="s">
        <v>363</v>
      </c>
      <c r="B166" s="15" t="s">
        <v>11</v>
      </c>
      <c r="C166" s="15" t="s">
        <v>85</v>
      </c>
      <c r="D166" s="15" t="s">
        <v>31</v>
      </c>
      <c r="E166" s="15">
        <v>15</v>
      </c>
      <c r="F166" s="15">
        <v>10</v>
      </c>
      <c r="G166" s="15" t="s">
        <v>14</v>
      </c>
      <c r="H166" s="15" t="s">
        <v>37</v>
      </c>
      <c r="I166" s="15" t="s">
        <v>364</v>
      </c>
      <c r="J166" s="15">
        <v>71</v>
      </c>
    </row>
    <row r="167" spans="1:10" x14ac:dyDescent="0.3">
      <c r="A167" s="15" t="s">
        <v>365</v>
      </c>
      <c r="B167" s="15" t="s">
        <v>11</v>
      </c>
      <c r="C167" s="15" t="s">
        <v>55</v>
      </c>
      <c r="D167" s="15" t="s">
        <v>13</v>
      </c>
      <c r="E167" s="15">
        <v>16</v>
      </c>
      <c r="F167" s="15">
        <v>10</v>
      </c>
      <c r="G167" s="15" t="s">
        <v>32</v>
      </c>
      <c r="H167" s="15" t="s">
        <v>15</v>
      </c>
      <c r="I167" s="15" t="s">
        <v>366</v>
      </c>
      <c r="J167" s="15">
        <v>72</v>
      </c>
    </row>
    <row r="168" spans="1:10" x14ac:dyDescent="0.3">
      <c r="A168" s="15" t="s">
        <v>367</v>
      </c>
      <c r="B168" s="15" t="s">
        <v>35</v>
      </c>
      <c r="C168" s="15" t="s">
        <v>12</v>
      </c>
      <c r="D168" s="15" t="s">
        <v>31</v>
      </c>
      <c r="E168" s="15">
        <v>15</v>
      </c>
      <c r="F168" s="15">
        <v>10</v>
      </c>
      <c r="G168" s="15" t="s">
        <v>32</v>
      </c>
      <c r="H168" s="15" t="s">
        <v>20</v>
      </c>
      <c r="I168" s="15" t="s">
        <v>368</v>
      </c>
      <c r="J168" s="15">
        <v>99</v>
      </c>
    </row>
    <row r="169" spans="1:10" x14ac:dyDescent="0.3">
      <c r="A169" s="15" t="s">
        <v>369</v>
      </c>
      <c r="B169" s="15" t="s">
        <v>23</v>
      </c>
      <c r="C169" s="15" t="s">
        <v>24</v>
      </c>
      <c r="D169" s="15" t="s">
        <v>31</v>
      </c>
      <c r="E169" s="15">
        <v>17</v>
      </c>
      <c r="F169" s="15">
        <v>12</v>
      </c>
      <c r="G169" s="15" t="s">
        <v>43</v>
      </c>
      <c r="H169" s="15" t="s">
        <v>61</v>
      </c>
      <c r="I169" s="15" t="s">
        <v>370</v>
      </c>
      <c r="J169" s="15">
        <v>96</v>
      </c>
    </row>
    <row r="170" spans="1:10" x14ac:dyDescent="0.3">
      <c r="A170" s="15" t="s">
        <v>371</v>
      </c>
      <c r="B170" s="15" t="s">
        <v>35</v>
      </c>
      <c r="C170" s="15" t="s">
        <v>58</v>
      </c>
      <c r="D170" s="15" t="s">
        <v>31</v>
      </c>
      <c r="E170" s="15">
        <v>19</v>
      </c>
      <c r="F170" s="15">
        <v>9</v>
      </c>
      <c r="G170" s="15" t="s">
        <v>14</v>
      </c>
      <c r="H170" s="15" t="s">
        <v>20</v>
      </c>
      <c r="I170" s="15" t="s">
        <v>372</v>
      </c>
      <c r="J170" s="15">
        <v>87</v>
      </c>
    </row>
    <row r="171" spans="1:10" x14ac:dyDescent="0.3">
      <c r="A171" s="15" t="s">
        <v>373</v>
      </c>
      <c r="B171" s="15" t="s">
        <v>51</v>
      </c>
      <c r="C171" s="15" t="s">
        <v>19</v>
      </c>
      <c r="D171" s="15" t="s">
        <v>13</v>
      </c>
      <c r="E171" s="15">
        <v>15</v>
      </c>
      <c r="F171" s="15">
        <v>11</v>
      </c>
      <c r="G171" s="15" t="s">
        <v>14</v>
      </c>
      <c r="H171" s="15" t="s">
        <v>61</v>
      </c>
      <c r="I171" s="15" t="s">
        <v>374</v>
      </c>
      <c r="J171" s="15">
        <v>78</v>
      </c>
    </row>
    <row r="172" spans="1:10" x14ac:dyDescent="0.3">
      <c r="A172" s="15" t="s">
        <v>375</v>
      </c>
      <c r="B172" s="15" t="s">
        <v>35</v>
      </c>
      <c r="C172" s="15" t="s">
        <v>36</v>
      </c>
      <c r="D172" s="15" t="s">
        <v>13</v>
      </c>
      <c r="E172" s="15">
        <v>18</v>
      </c>
      <c r="F172" s="15">
        <v>11</v>
      </c>
      <c r="G172" s="15" t="s">
        <v>25</v>
      </c>
      <c r="H172" s="15" t="s">
        <v>40</v>
      </c>
      <c r="I172" s="15" t="s">
        <v>376</v>
      </c>
      <c r="J172" s="15">
        <v>62</v>
      </c>
    </row>
    <row r="173" spans="1:10" x14ac:dyDescent="0.3">
      <c r="A173" s="15" t="s">
        <v>377</v>
      </c>
      <c r="B173" s="15" t="s">
        <v>35</v>
      </c>
      <c r="C173" s="15" t="s">
        <v>30</v>
      </c>
      <c r="D173" s="15" t="s">
        <v>13</v>
      </c>
      <c r="E173" s="15">
        <v>20</v>
      </c>
      <c r="F173" s="15">
        <v>11</v>
      </c>
      <c r="G173" s="15" t="s">
        <v>32</v>
      </c>
      <c r="H173" s="15" t="s">
        <v>37</v>
      </c>
      <c r="I173" s="15" t="s">
        <v>189</v>
      </c>
      <c r="J173" s="15">
        <v>79</v>
      </c>
    </row>
    <row r="174" spans="1:10" x14ac:dyDescent="0.3">
      <c r="A174" s="15" t="s">
        <v>378</v>
      </c>
      <c r="B174" s="15" t="s">
        <v>18</v>
      </c>
      <c r="C174" s="15" t="s">
        <v>55</v>
      </c>
      <c r="D174" s="15" t="s">
        <v>31</v>
      </c>
      <c r="E174" s="15">
        <v>17</v>
      </c>
      <c r="F174" s="15">
        <v>9</v>
      </c>
      <c r="G174" s="15" t="s">
        <v>32</v>
      </c>
      <c r="H174" s="15" t="s">
        <v>26</v>
      </c>
      <c r="I174" s="15" t="s">
        <v>379</v>
      </c>
      <c r="J174" s="15">
        <v>66</v>
      </c>
    </row>
    <row r="175" spans="1:10" x14ac:dyDescent="0.3">
      <c r="A175" s="15" t="s">
        <v>380</v>
      </c>
      <c r="B175" s="15" t="s">
        <v>11</v>
      </c>
      <c r="C175" s="15" t="s">
        <v>24</v>
      </c>
      <c r="D175" s="15" t="s">
        <v>31</v>
      </c>
      <c r="E175" s="15">
        <v>18</v>
      </c>
      <c r="F175" s="15">
        <v>11</v>
      </c>
      <c r="G175" s="15" t="s">
        <v>32</v>
      </c>
      <c r="H175" s="15" t="s">
        <v>61</v>
      </c>
      <c r="I175" s="15" t="s">
        <v>381</v>
      </c>
      <c r="J175" s="15">
        <v>67</v>
      </c>
    </row>
    <row r="176" spans="1:10" x14ac:dyDescent="0.3">
      <c r="A176" s="15" t="s">
        <v>382</v>
      </c>
      <c r="B176" s="15" t="s">
        <v>51</v>
      </c>
      <c r="C176" s="15" t="s">
        <v>85</v>
      </c>
      <c r="D176" s="15" t="s">
        <v>13</v>
      </c>
      <c r="E176" s="15">
        <v>16</v>
      </c>
      <c r="F176" s="15">
        <v>10</v>
      </c>
      <c r="G176" s="15" t="s">
        <v>43</v>
      </c>
      <c r="H176" s="15" t="s">
        <v>61</v>
      </c>
      <c r="I176" s="15" t="s">
        <v>383</v>
      </c>
      <c r="J176" s="15">
        <v>72</v>
      </c>
    </row>
    <row r="177" spans="1:10" x14ac:dyDescent="0.3">
      <c r="A177" s="15" t="s">
        <v>384</v>
      </c>
      <c r="B177" s="15" t="s">
        <v>54</v>
      </c>
      <c r="C177" s="15" t="s">
        <v>19</v>
      </c>
      <c r="D177" s="15" t="s">
        <v>31</v>
      </c>
      <c r="E177" s="15">
        <v>16</v>
      </c>
      <c r="F177" s="15">
        <v>12</v>
      </c>
      <c r="G177" s="15" t="s">
        <v>25</v>
      </c>
      <c r="H177" s="15" t="s">
        <v>20</v>
      </c>
      <c r="I177" s="15" t="s">
        <v>385</v>
      </c>
      <c r="J177" s="15">
        <v>39</v>
      </c>
    </row>
    <row r="178" spans="1:10" x14ac:dyDescent="0.3">
      <c r="A178" s="15" t="s">
        <v>386</v>
      </c>
      <c r="B178" s="15" t="s">
        <v>68</v>
      </c>
      <c r="C178" s="15" t="s">
        <v>96</v>
      </c>
      <c r="D178" s="15" t="s">
        <v>13</v>
      </c>
      <c r="E178" s="15">
        <v>18</v>
      </c>
      <c r="F178" s="15">
        <v>9</v>
      </c>
      <c r="G178" s="15" t="s">
        <v>25</v>
      </c>
      <c r="H178" s="15" t="s">
        <v>46</v>
      </c>
      <c r="I178" s="15" t="s">
        <v>387</v>
      </c>
      <c r="J178" s="15">
        <v>74</v>
      </c>
    </row>
    <row r="179" spans="1:10" x14ac:dyDescent="0.3">
      <c r="A179" s="15" t="s">
        <v>388</v>
      </c>
      <c r="B179" s="15" t="s">
        <v>73</v>
      </c>
      <c r="C179" s="15" t="s">
        <v>12</v>
      </c>
      <c r="D179" s="15" t="s">
        <v>31</v>
      </c>
      <c r="E179" s="15">
        <v>19</v>
      </c>
      <c r="F179" s="15">
        <v>11</v>
      </c>
      <c r="G179" s="15" t="s">
        <v>43</v>
      </c>
      <c r="H179" s="15" t="s">
        <v>61</v>
      </c>
      <c r="I179" s="15" t="s">
        <v>214</v>
      </c>
      <c r="J179" s="15">
        <v>88</v>
      </c>
    </row>
    <row r="180" spans="1:10" x14ac:dyDescent="0.3">
      <c r="A180" s="15" t="s">
        <v>389</v>
      </c>
      <c r="B180" s="15" t="s">
        <v>54</v>
      </c>
      <c r="C180" s="15" t="s">
        <v>58</v>
      </c>
      <c r="D180" s="15" t="s">
        <v>31</v>
      </c>
      <c r="E180" s="15">
        <v>14</v>
      </c>
      <c r="F180" s="15">
        <v>11</v>
      </c>
      <c r="G180" s="15" t="s">
        <v>32</v>
      </c>
      <c r="H180" s="15" t="s">
        <v>76</v>
      </c>
      <c r="I180" s="15" t="s">
        <v>390</v>
      </c>
      <c r="J180" s="15">
        <v>54</v>
      </c>
    </row>
    <row r="181" spans="1:10" x14ac:dyDescent="0.3">
      <c r="A181" s="15" t="s">
        <v>391</v>
      </c>
      <c r="B181" s="15" t="s">
        <v>68</v>
      </c>
      <c r="C181" s="15" t="s">
        <v>19</v>
      </c>
      <c r="D181" s="15" t="s">
        <v>13</v>
      </c>
      <c r="E181" s="15">
        <v>19</v>
      </c>
      <c r="F181" s="15">
        <v>12</v>
      </c>
      <c r="G181" s="15" t="s">
        <v>25</v>
      </c>
      <c r="H181" s="15" t="s">
        <v>46</v>
      </c>
      <c r="I181" s="15" t="s">
        <v>392</v>
      </c>
      <c r="J181" s="15">
        <v>46</v>
      </c>
    </row>
    <row r="182" spans="1:10" x14ac:dyDescent="0.3">
      <c r="A182" s="15" t="s">
        <v>393</v>
      </c>
      <c r="B182" s="15" t="s">
        <v>68</v>
      </c>
      <c r="C182" s="15" t="s">
        <v>85</v>
      </c>
      <c r="D182" s="15" t="s">
        <v>13</v>
      </c>
      <c r="E182" s="15">
        <v>15</v>
      </c>
      <c r="F182" s="15">
        <v>10</v>
      </c>
      <c r="G182" s="15" t="s">
        <v>32</v>
      </c>
      <c r="H182" s="15" t="s">
        <v>37</v>
      </c>
      <c r="I182" s="15" t="s">
        <v>394</v>
      </c>
      <c r="J182" s="15">
        <v>89</v>
      </c>
    </row>
    <row r="183" spans="1:10" x14ac:dyDescent="0.3">
      <c r="A183" s="15" t="s">
        <v>395</v>
      </c>
      <c r="B183" s="15" t="s">
        <v>11</v>
      </c>
      <c r="C183" s="15" t="s">
        <v>96</v>
      </c>
      <c r="D183" s="15" t="s">
        <v>13</v>
      </c>
      <c r="E183" s="15">
        <v>18</v>
      </c>
      <c r="F183" s="15">
        <v>11</v>
      </c>
      <c r="G183" s="15" t="s">
        <v>25</v>
      </c>
      <c r="H183" s="15" t="s">
        <v>37</v>
      </c>
      <c r="I183" s="15" t="s">
        <v>396</v>
      </c>
      <c r="J183" s="15">
        <v>65</v>
      </c>
    </row>
    <row r="184" spans="1:10" x14ac:dyDescent="0.3">
      <c r="A184" s="15" t="s">
        <v>397</v>
      </c>
      <c r="B184" s="15" t="s">
        <v>23</v>
      </c>
      <c r="C184" s="15" t="s">
        <v>12</v>
      </c>
      <c r="D184" s="15" t="s">
        <v>13</v>
      </c>
      <c r="E184" s="15">
        <v>20</v>
      </c>
      <c r="F184" s="15">
        <v>9</v>
      </c>
      <c r="G184" s="15" t="s">
        <v>25</v>
      </c>
      <c r="H184" s="15" t="s">
        <v>46</v>
      </c>
      <c r="I184" s="15" t="s">
        <v>398</v>
      </c>
      <c r="J184" s="15">
        <v>91</v>
      </c>
    </row>
    <row r="185" spans="1:10" x14ac:dyDescent="0.3">
      <c r="A185" s="15" t="s">
        <v>399</v>
      </c>
      <c r="B185" s="15" t="s">
        <v>35</v>
      </c>
      <c r="C185" s="15" t="s">
        <v>79</v>
      </c>
      <c r="D185" s="15" t="s">
        <v>13</v>
      </c>
      <c r="E185" s="15">
        <v>17</v>
      </c>
      <c r="F185" s="15">
        <v>10</v>
      </c>
      <c r="G185" s="15" t="s">
        <v>43</v>
      </c>
      <c r="H185" s="15" t="s">
        <v>37</v>
      </c>
      <c r="I185" s="15" t="s">
        <v>400</v>
      </c>
      <c r="J185" s="15">
        <v>78</v>
      </c>
    </row>
    <row r="186" spans="1:10" x14ac:dyDescent="0.3">
      <c r="A186" s="15" t="s">
        <v>401</v>
      </c>
      <c r="B186" s="15" t="s">
        <v>11</v>
      </c>
      <c r="C186" s="15" t="s">
        <v>79</v>
      </c>
      <c r="D186" s="15" t="s">
        <v>31</v>
      </c>
      <c r="E186" s="15">
        <v>15</v>
      </c>
      <c r="F186" s="15">
        <v>11</v>
      </c>
      <c r="G186" s="15" t="s">
        <v>43</v>
      </c>
      <c r="H186" s="15" t="s">
        <v>40</v>
      </c>
      <c r="I186" s="15" t="s">
        <v>402</v>
      </c>
      <c r="J186" s="15">
        <v>84</v>
      </c>
    </row>
    <row r="187" spans="1:10" x14ac:dyDescent="0.3">
      <c r="A187" s="15" t="s">
        <v>403</v>
      </c>
      <c r="B187" s="15" t="s">
        <v>11</v>
      </c>
      <c r="C187" s="15" t="s">
        <v>12</v>
      </c>
      <c r="D187" s="15" t="s">
        <v>31</v>
      </c>
      <c r="E187" s="15">
        <v>19</v>
      </c>
      <c r="F187" s="15">
        <v>9</v>
      </c>
      <c r="G187" s="15" t="s">
        <v>43</v>
      </c>
      <c r="H187" s="15" t="s">
        <v>46</v>
      </c>
      <c r="I187" s="15" t="s">
        <v>404</v>
      </c>
      <c r="J187" s="15">
        <v>37</v>
      </c>
    </row>
    <row r="188" spans="1:10" x14ac:dyDescent="0.3">
      <c r="A188" s="15" t="s">
        <v>405</v>
      </c>
      <c r="B188" s="15" t="s">
        <v>18</v>
      </c>
      <c r="C188" s="15" t="s">
        <v>19</v>
      </c>
      <c r="D188" s="15" t="s">
        <v>31</v>
      </c>
      <c r="E188" s="15">
        <v>18</v>
      </c>
      <c r="F188" s="15">
        <v>12</v>
      </c>
      <c r="G188" s="15" t="s">
        <v>25</v>
      </c>
      <c r="H188" s="15" t="s">
        <v>37</v>
      </c>
      <c r="I188" s="15" t="s">
        <v>406</v>
      </c>
      <c r="J188" s="15">
        <v>70</v>
      </c>
    </row>
    <row r="189" spans="1:10" x14ac:dyDescent="0.3">
      <c r="A189" s="15" t="s">
        <v>407</v>
      </c>
      <c r="B189" s="15" t="s">
        <v>29</v>
      </c>
      <c r="C189" s="15" t="s">
        <v>12</v>
      </c>
      <c r="D189" s="15" t="s">
        <v>31</v>
      </c>
      <c r="E189" s="15">
        <v>16</v>
      </c>
      <c r="F189" s="15">
        <v>10</v>
      </c>
      <c r="G189" s="15" t="s">
        <v>14</v>
      </c>
      <c r="H189" s="15" t="s">
        <v>40</v>
      </c>
      <c r="I189" s="15" t="s">
        <v>71</v>
      </c>
      <c r="J189" s="15">
        <v>100</v>
      </c>
    </row>
    <row r="190" spans="1:10" x14ac:dyDescent="0.3">
      <c r="A190" s="15" t="s">
        <v>408</v>
      </c>
      <c r="B190" s="15" t="s">
        <v>51</v>
      </c>
      <c r="C190" s="15" t="s">
        <v>85</v>
      </c>
      <c r="D190" s="15" t="s">
        <v>13</v>
      </c>
      <c r="E190" s="15">
        <v>17</v>
      </c>
      <c r="F190" s="15">
        <v>11</v>
      </c>
      <c r="G190" s="15" t="s">
        <v>25</v>
      </c>
      <c r="H190" s="15" t="s">
        <v>46</v>
      </c>
      <c r="I190" s="15" t="s">
        <v>52</v>
      </c>
      <c r="J190" s="15">
        <v>42</v>
      </c>
    </row>
    <row r="191" spans="1:10" x14ac:dyDescent="0.3">
      <c r="A191" s="15" t="s">
        <v>409</v>
      </c>
      <c r="B191" s="15" t="s">
        <v>84</v>
      </c>
      <c r="C191" s="15" t="s">
        <v>24</v>
      </c>
      <c r="D191" s="15" t="s">
        <v>13</v>
      </c>
      <c r="E191" s="15">
        <v>20</v>
      </c>
      <c r="F191" s="15">
        <v>9</v>
      </c>
      <c r="G191" s="15" t="s">
        <v>25</v>
      </c>
      <c r="H191" s="15" t="s">
        <v>46</v>
      </c>
      <c r="I191" s="15" t="s">
        <v>290</v>
      </c>
      <c r="J191" s="15">
        <v>68</v>
      </c>
    </row>
    <row r="192" spans="1:10" x14ac:dyDescent="0.3">
      <c r="A192" s="15" t="s">
        <v>410</v>
      </c>
      <c r="B192" s="15" t="s">
        <v>18</v>
      </c>
      <c r="C192" s="15" t="s">
        <v>55</v>
      </c>
      <c r="D192" s="15" t="s">
        <v>31</v>
      </c>
      <c r="E192" s="15">
        <v>20</v>
      </c>
      <c r="F192" s="15">
        <v>10</v>
      </c>
      <c r="G192" s="15" t="s">
        <v>43</v>
      </c>
      <c r="H192" s="15" t="s">
        <v>40</v>
      </c>
      <c r="I192" s="15" t="s">
        <v>411</v>
      </c>
      <c r="J192" s="15">
        <v>59</v>
      </c>
    </row>
    <row r="193" spans="1:10" x14ac:dyDescent="0.3">
      <c r="A193" s="15" t="s">
        <v>412</v>
      </c>
      <c r="B193" s="15" t="s">
        <v>73</v>
      </c>
      <c r="C193" s="15" t="s">
        <v>55</v>
      </c>
      <c r="D193" s="15" t="s">
        <v>13</v>
      </c>
      <c r="E193" s="15">
        <v>16</v>
      </c>
      <c r="F193" s="15">
        <v>12</v>
      </c>
      <c r="G193" s="15" t="s">
        <v>32</v>
      </c>
      <c r="H193" s="15" t="s">
        <v>46</v>
      </c>
      <c r="I193" s="15" t="s">
        <v>413</v>
      </c>
      <c r="J193" s="15">
        <v>85</v>
      </c>
    </row>
    <row r="194" spans="1:10" x14ac:dyDescent="0.3">
      <c r="A194" s="15" t="s">
        <v>414</v>
      </c>
      <c r="B194" s="15" t="s">
        <v>11</v>
      </c>
      <c r="C194" s="15" t="s">
        <v>55</v>
      </c>
      <c r="D194" s="15" t="s">
        <v>13</v>
      </c>
      <c r="E194" s="15">
        <v>16</v>
      </c>
      <c r="F194" s="15">
        <v>12</v>
      </c>
      <c r="G194" s="15" t="s">
        <v>32</v>
      </c>
      <c r="H194" s="15" t="s">
        <v>37</v>
      </c>
      <c r="I194" s="15" t="s">
        <v>415</v>
      </c>
      <c r="J194" s="15">
        <v>47</v>
      </c>
    </row>
    <row r="195" spans="1:10" x14ac:dyDescent="0.3">
      <c r="A195" s="15" t="s">
        <v>416</v>
      </c>
      <c r="B195" s="15" t="s">
        <v>18</v>
      </c>
      <c r="C195" s="15" t="s">
        <v>79</v>
      </c>
      <c r="D195" s="15" t="s">
        <v>31</v>
      </c>
      <c r="E195" s="15">
        <v>20</v>
      </c>
      <c r="F195" s="15">
        <v>9</v>
      </c>
      <c r="G195" s="15" t="s">
        <v>25</v>
      </c>
      <c r="H195" s="15" t="s">
        <v>37</v>
      </c>
      <c r="I195" s="15" t="s">
        <v>417</v>
      </c>
      <c r="J195" s="15">
        <v>53</v>
      </c>
    </row>
    <row r="196" spans="1:10" x14ac:dyDescent="0.3">
      <c r="A196" s="15" t="s">
        <v>418</v>
      </c>
      <c r="B196" s="15" t="s">
        <v>84</v>
      </c>
      <c r="C196" s="15" t="s">
        <v>24</v>
      </c>
      <c r="D196" s="15" t="s">
        <v>13</v>
      </c>
      <c r="E196" s="15">
        <v>15</v>
      </c>
      <c r="F196" s="15">
        <v>9</v>
      </c>
      <c r="G196" s="15" t="s">
        <v>25</v>
      </c>
      <c r="H196" s="15" t="s">
        <v>20</v>
      </c>
      <c r="I196" s="15" t="s">
        <v>419</v>
      </c>
      <c r="J196" s="15">
        <v>63</v>
      </c>
    </row>
    <row r="197" spans="1:10" x14ac:dyDescent="0.3">
      <c r="A197" s="15" t="s">
        <v>420</v>
      </c>
      <c r="B197" s="15" t="s">
        <v>73</v>
      </c>
      <c r="C197" s="15" t="s">
        <v>85</v>
      </c>
      <c r="D197" s="15" t="s">
        <v>13</v>
      </c>
      <c r="E197" s="15">
        <v>16</v>
      </c>
      <c r="F197" s="15">
        <v>11</v>
      </c>
      <c r="G197" s="15" t="s">
        <v>43</v>
      </c>
      <c r="H197" s="15" t="s">
        <v>46</v>
      </c>
      <c r="I197" s="15" t="s">
        <v>421</v>
      </c>
      <c r="J197" s="15">
        <v>55</v>
      </c>
    </row>
    <row r="198" spans="1:10" x14ac:dyDescent="0.3">
      <c r="A198" s="15" t="s">
        <v>422</v>
      </c>
      <c r="B198" s="15" t="s">
        <v>73</v>
      </c>
      <c r="C198" s="15" t="s">
        <v>96</v>
      </c>
      <c r="D198" s="15" t="s">
        <v>13</v>
      </c>
      <c r="E198" s="15">
        <v>14</v>
      </c>
      <c r="F198" s="15">
        <v>10</v>
      </c>
      <c r="G198" s="15" t="s">
        <v>25</v>
      </c>
      <c r="H198" s="15" t="s">
        <v>15</v>
      </c>
      <c r="I198" s="15" t="s">
        <v>423</v>
      </c>
      <c r="J198" s="15">
        <v>99</v>
      </c>
    </row>
    <row r="199" spans="1:10" x14ac:dyDescent="0.3">
      <c r="A199" s="15" t="s">
        <v>424</v>
      </c>
      <c r="B199" s="15" t="s">
        <v>29</v>
      </c>
      <c r="C199" s="15" t="s">
        <v>36</v>
      </c>
      <c r="D199" s="15" t="s">
        <v>31</v>
      </c>
      <c r="E199" s="15">
        <v>16</v>
      </c>
      <c r="F199" s="15">
        <v>12</v>
      </c>
      <c r="G199" s="15" t="s">
        <v>32</v>
      </c>
      <c r="H199" s="15" t="s">
        <v>37</v>
      </c>
      <c r="I199" s="15" t="s">
        <v>180</v>
      </c>
      <c r="J199" s="15">
        <v>89</v>
      </c>
    </row>
    <row r="200" spans="1:10" x14ac:dyDescent="0.3">
      <c r="A200" s="15" t="s">
        <v>425</v>
      </c>
      <c r="B200" s="15" t="s">
        <v>73</v>
      </c>
      <c r="C200" s="15" t="s">
        <v>30</v>
      </c>
      <c r="D200" s="15" t="s">
        <v>31</v>
      </c>
      <c r="E200" s="15">
        <v>15</v>
      </c>
      <c r="F200" s="15">
        <v>9</v>
      </c>
      <c r="G200" s="15" t="s">
        <v>14</v>
      </c>
      <c r="H200" s="15" t="s">
        <v>76</v>
      </c>
      <c r="I200" s="15" t="s">
        <v>149</v>
      </c>
      <c r="J200" s="15">
        <v>54</v>
      </c>
    </row>
    <row r="201" spans="1:10" x14ac:dyDescent="0.3">
      <c r="A201" s="15" t="s">
        <v>426</v>
      </c>
      <c r="B201" s="15" t="s">
        <v>54</v>
      </c>
      <c r="C201" s="15" t="s">
        <v>96</v>
      </c>
      <c r="D201" s="15" t="s">
        <v>31</v>
      </c>
      <c r="E201" s="15">
        <v>16</v>
      </c>
      <c r="F201" s="15">
        <v>12</v>
      </c>
      <c r="G201" s="15" t="s">
        <v>25</v>
      </c>
      <c r="H201" s="15" t="s">
        <v>20</v>
      </c>
      <c r="I201" s="15" t="s">
        <v>427</v>
      </c>
      <c r="J201" s="15">
        <v>82</v>
      </c>
    </row>
    <row r="202" spans="1:10" x14ac:dyDescent="0.3">
      <c r="A202" s="15" t="s">
        <v>428</v>
      </c>
      <c r="B202" s="15" t="s">
        <v>54</v>
      </c>
      <c r="C202" s="15" t="s">
        <v>55</v>
      </c>
      <c r="D202" s="15" t="s">
        <v>13</v>
      </c>
      <c r="E202" s="15">
        <v>16</v>
      </c>
      <c r="F202" s="15">
        <v>11</v>
      </c>
      <c r="G202" s="15" t="s">
        <v>25</v>
      </c>
      <c r="H202" s="15" t="s">
        <v>15</v>
      </c>
      <c r="I202" s="15" t="s">
        <v>429</v>
      </c>
      <c r="J202" s="15">
        <v>86</v>
      </c>
    </row>
    <row r="203" spans="1:10" x14ac:dyDescent="0.3">
      <c r="A203" s="15" t="s">
        <v>430</v>
      </c>
      <c r="B203" s="15" t="s">
        <v>54</v>
      </c>
      <c r="C203" s="15" t="s">
        <v>30</v>
      </c>
      <c r="D203" s="15" t="s">
        <v>13</v>
      </c>
      <c r="E203" s="15">
        <v>18</v>
      </c>
      <c r="F203" s="15">
        <v>11</v>
      </c>
      <c r="G203" s="15" t="s">
        <v>25</v>
      </c>
      <c r="H203" s="15" t="s">
        <v>26</v>
      </c>
      <c r="I203" s="15" t="s">
        <v>431</v>
      </c>
      <c r="J203" s="15">
        <v>91</v>
      </c>
    </row>
    <row r="204" spans="1:10" x14ac:dyDescent="0.3">
      <c r="A204" s="15" t="s">
        <v>432</v>
      </c>
      <c r="B204" s="15" t="s">
        <v>51</v>
      </c>
      <c r="C204" s="15" t="s">
        <v>24</v>
      </c>
      <c r="D204" s="15" t="s">
        <v>31</v>
      </c>
      <c r="E204" s="15">
        <v>17</v>
      </c>
      <c r="F204" s="15">
        <v>11</v>
      </c>
      <c r="G204" s="15" t="s">
        <v>43</v>
      </c>
      <c r="H204" s="15" t="s">
        <v>15</v>
      </c>
      <c r="I204" s="15" t="s">
        <v>400</v>
      </c>
      <c r="J204" s="15">
        <v>53</v>
      </c>
    </row>
    <row r="205" spans="1:10" x14ac:dyDescent="0.3">
      <c r="A205" s="15" t="s">
        <v>433</v>
      </c>
      <c r="B205" s="15" t="s">
        <v>84</v>
      </c>
      <c r="C205" s="15" t="s">
        <v>36</v>
      </c>
      <c r="D205" s="15" t="s">
        <v>13</v>
      </c>
      <c r="E205" s="15">
        <v>14</v>
      </c>
      <c r="F205" s="15">
        <v>9</v>
      </c>
      <c r="G205" s="15" t="s">
        <v>32</v>
      </c>
      <c r="H205" s="15" t="s">
        <v>15</v>
      </c>
      <c r="I205" s="15" t="s">
        <v>434</v>
      </c>
      <c r="J205" s="15">
        <v>47</v>
      </c>
    </row>
    <row r="206" spans="1:10" x14ac:dyDescent="0.3">
      <c r="A206" s="15" t="s">
        <v>435</v>
      </c>
      <c r="B206" s="15" t="s">
        <v>29</v>
      </c>
      <c r="C206" s="15" t="s">
        <v>30</v>
      </c>
      <c r="D206" s="15" t="s">
        <v>31</v>
      </c>
      <c r="E206" s="15">
        <v>20</v>
      </c>
      <c r="F206" s="15">
        <v>12</v>
      </c>
      <c r="G206" s="15" t="s">
        <v>43</v>
      </c>
      <c r="H206" s="15" t="s">
        <v>26</v>
      </c>
      <c r="I206" s="15" t="s">
        <v>436</v>
      </c>
      <c r="J206" s="15">
        <v>36</v>
      </c>
    </row>
    <row r="207" spans="1:10" x14ac:dyDescent="0.3">
      <c r="A207" s="15" t="s">
        <v>437</v>
      </c>
      <c r="B207" s="15" t="s">
        <v>73</v>
      </c>
      <c r="C207" s="15" t="s">
        <v>30</v>
      </c>
      <c r="D207" s="15" t="s">
        <v>13</v>
      </c>
      <c r="E207" s="15">
        <v>14</v>
      </c>
      <c r="F207" s="15">
        <v>11</v>
      </c>
      <c r="G207" s="15" t="s">
        <v>32</v>
      </c>
      <c r="H207" s="15" t="s">
        <v>76</v>
      </c>
      <c r="I207" s="15" t="s">
        <v>438</v>
      </c>
      <c r="J207" s="15">
        <v>62</v>
      </c>
    </row>
    <row r="208" spans="1:10" x14ac:dyDescent="0.3">
      <c r="A208" s="15" t="s">
        <v>439</v>
      </c>
      <c r="B208" s="15" t="s">
        <v>11</v>
      </c>
      <c r="C208" s="15" t="s">
        <v>12</v>
      </c>
      <c r="D208" s="15" t="s">
        <v>13</v>
      </c>
      <c r="E208" s="15">
        <v>15</v>
      </c>
      <c r="F208" s="15">
        <v>9</v>
      </c>
      <c r="G208" s="15" t="s">
        <v>25</v>
      </c>
      <c r="H208" s="15" t="s">
        <v>15</v>
      </c>
      <c r="I208" s="15" t="s">
        <v>440</v>
      </c>
      <c r="J208" s="15">
        <v>90</v>
      </c>
    </row>
    <row r="209" spans="1:10" x14ac:dyDescent="0.3">
      <c r="A209" s="15" t="s">
        <v>441</v>
      </c>
      <c r="B209" s="15" t="s">
        <v>35</v>
      </c>
      <c r="C209" s="15" t="s">
        <v>12</v>
      </c>
      <c r="D209" s="15" t="s">
        <v>13</v>
      </c>
      <c r="E209" s="15">
        <v>17</v>
      </c>
      <c r="F209" s="15">
        <v>10</v>
      </c>
      <c r="G209" s="15" t="s">
        <v>32</v>
      </c>
      <c r="H209" s="15" t="s">
        <v>15</v>
      </c>
      <c r="I209" s="15" t="s">
        <v>442</v>
      </c>
      <c r="J209" s="15">
        <v>91</v>
      </c>
    </row>
    <row r="210" spans="1:10" x14ac:dyDescent="0.3">
      <c r="A210" s="15" t="s">
        <v>443</v>
      </c>
      <c r="B210" s="15" t="s">
        <v>18</v>
      </c>
      <c r="C210" s="15" t="s">
        <v>96</v>
      </c>
      <c r="D210" s="15" t="s">
        <v>13</v>
      </c>
      <c r="E210" s="15">
        <v>17</v>
      </c>
      <c r="F210" s="15">
        <v>9</v>
      </c>
      <c r="G210" s="15" t="s">
        <v>43</v>
      </c>
      <c r="H210" s="15" t="s">
        <v>37</v>
      </c>
      <c r="I210" s="15" t="s">
        <v>444</v>
      </c>
      <c r="J210" s="15">
        <v>60</v>
      </c>
    </row>
    <row r="211" spans="1:10" x14ac:dyDescent="0.3">
      <c r="A211" s="15" t="s">
        <v>445</v>
      </c>
      <c r="B211" s="15" t="s">
        <v>54</v>
      </c>
      <c r="C211" s="15" t="s">
        <v>96</v>
      </c>
      <c r="D211" s="15" t="s">
        <v>13</v>
      </c>
      <c r="E211" s="15">
        <v>20</v>
      </c>
      <c r="F211" s="15">
        <v>10</v>
      </c>
      <c r="G211" s="15" t="s">
        <v>32</v>
      </c>
      <c r="H211" s="15" t="s">
        <v>46</v>
      </c>
      <c r="I211" s="15" t="s">
        <v>182</v>
      </c>
      <c r="J211" s="15">
        <v>85</v>
      </c>
    </row>
    <row r="212" spans="1:10" x14ac:dyDescent="0.3">
      <c r="A212" s="15" t="s">
        <v>446</v>
      </c>
      <c r="B212" s="15" t="s">
        <v>73</v>
      </c>
      <c r="C212" s="15" t="s">
        <v>24</v>
      </c>
      <c r="D212" s="15" t="s">
        <v>13</v>
      </c>
      <c r="E212" s="15">
        <v>17</v>
      </c>
      <c r="F212" s="15">
        <v>10</v>
      </c>
      <c r="G212" s="15" t="s">
        <v>14</v>
      </c>
      <c r="H212" s="15" t="s">
        <v>20</v>
      </c>
      <c r="I212" s="15" t="s">
        <v>447</v>
      </c>
      <c r="J212" s="15">
        <v>58</v>
      </c>
    </row>
    <row r="213" spans="1:10" x14ac:dyDescent="0.3">
      <c r="A213" s="15" t="s">
        <v>448</v>
      </c>
      <c r="B213" s="15" t="s">
        <v>73</v>
      </c>
      <c r="C213" s="15" t="s">
        <v>36</v>
      </c>
      <c r="D213" s="15" t="s">
        <v>31</v>
      </c>
      <c r="E213" s="15">
        <v>19</v>
      </c>
      <c r="F213" s="15">
        <v>12</v>
      </c>
      <c r="G213" s="15" t="s">
        <v>14</v>
      </c>
      <c r="H213" s="15" t="s">
        <v>37</v>
      </c>
      <c r="I213" s="15" t="s">
        <v>449</v>
      </c>
      <c r="J213" s="15">
        <v>65</v>
      </c>
    </row>
    <row r="214" spans="1:10" x14ac:dyDescent="0.3">
      <c r="A214" s="15" t="s">
        <v>450</v>
      </c>
      <c r="B214" s="15" t="s">
        <v>54</v>
      </c>
      <c r="C214" s="15" t="s">
        <v>55</v>
      </c>
      <c r="D214" s="15" t="s">
        <v>31</v>
      </c>
      <c r="E214" s="15">
        <v>19</v>
      </c>
      <c r="F214" s="15">
        <v>12</v>
      </c>
      <c r="G214" s="15" t="s">
        <v>43</v>
      </c>
      <c r="H214" s="15" t="s">
        <v>20</v>
      </c>
      <c r="I214" s="15" t="s">
        <v>451</v>
      </c>
      <c r="J214" s="15">
        <v>58</v>
      </c>
    </row>
    <row r="215" spans="1:10" x14ac:dyDescent="0.3">
      <c r="A215" s="15" t="s">
        <v>452</v>
      </c>
      <c r="B215" s="15" t="s">
        <v>51</v>
      </c>
      <c r="C215" s="15" t="s">
        <v>12</v>
      </c>
      <c r="D215" s="15" t="s">
        <v>13</v>
      </c>
      <c r="E215" s="15">
        <v>18</v>
      </c>
      <c r="F215" s="15">
        <v>9</v>
      </c>
      <c r="G215" s="15" t="s">
        <v>32</v>
      </c>
      <c r="H215" s="15" t="s">
        <v>76</v>
      </c>
      <c r="I215" s="15" t="s">
        <v>453</v>
      </c>
      <c r="J215" s="15">
        <v>35</v>
      </c>
    </row>
    <row r="216" spans="1:10" x14ac:dyDescent="0.3">
      <c r="A216" s="15" t="s">
        <v>454</v>
      </c>
      <c r="B216" s="15" t="s">
        <v>29</v>
      </c>
      <c r="C216" s="15" t="s">
        <v>12</v>
      </c>
      <c r="D216" s="15" t="s">
        <v>31</v>
      </c>
      <c r="E216" s="15">
        <v>16</v>
      </c>
      <c r="F216" s="15">
        <v>11</v>
      </c>
      <c r="G216" s="15" t="s">
        <v>43</v>
      </c>
      <c r="H216" s="15" t="s">
        <v>61</v>
      </c>
      <c r="I216" s="15" t="s">
        <v>385</v>
      </c>
      <c r="J216" s="15">
        <v>40</v>
      </c>
    </row>
    <row r="217" spans="1:10" x14ac:dyDescent="0.3">
      <c r="A217" s="15" t="s">
        <v>455</v>
      </c>
      <c r="B217" s="15" t="s">
        <v>29</v>
      </c>
      <c r="C217" s="15" t="s">
        <v>30</v>
      </c>
      <c r="D217" s="15" t="s">
        <v>13</v>
      </c>
      <c r="E217" s="15">
        <v>16</v>
      </c>
      <c r="F217" s="15">
        <v>9</v>
      </c>
      <c r="G217" s="15" t="s">
        <v>14</v>
      </c>
      <c r="H217" s="15" t="s">
        <v>61</v>
      </c>
      <c r="I217" s="15" t="s">
        <v>447</v>
      </c>
      <c r="J217" s="15">
        <v>60</v>
      </c>
    </row>
    <row r="218" spans="1:10" x14ac:dyDescent="0.3">
      <c r="A218" s="15" t="s">
        <v>456</v>
      </c>
      <c r="B218" s="15" t="s">
        <v>11</v>
      </c>
      <c r="C218" s="15" t="s">
        <v>55</v>
      </c>
      <c r="D218" s="15" t="s">
        <v>13</v>
      </c>
      <c r="E218" s="15">
        <v>15</v>
      </c>
      <c r="F218" s="15">
        <v>9</v>
      </c>
      <c r="G218" s="15" t="s">
        <v>32</v>
      </c>
      <c r="H218" s="15" t="s">
        <v>61</v>
      </c>
      <c r="I218" s="15" t="s">
        <v>457</v>
      </c>
      <c r="J218" s="15">
        <v>97</v>
      </c>
    </row>
    <row r="219" spans="1:10" x14ac:dyDescent="0.3">
      <c r="A219" s="15" t="s">
        <v>458</v>
      </c>
      <c r="B219" s="15" t="s">
        <v>11</v>
      </c>
      <c r="C219" s="15" t="s">
        <v>55</v>
      </c>
      <c r="D219" s="15" t="s">
        <v>13</v>
      </c>
      <c r="E219" s="15">
        <v>19</v>
      </c>
      <c r="F219" s="15">
        <v>11</v>
      </c>
      <c r="G219" s="15" t="s">
        <v>14</v>
      </c>
      <c r="H219" s="15" t="s">
        <v>46</v>
      </c>
      <c r="I219" s="15" t="s">
        <v>459</v>
      </c>
      <c r="J219" s="15">
        <v>81</v>
      </c>
    </row>
    <row r="220" spans="1:10" x14ac:dyDescent="0.3">
      <c r="A220" s="15" t="s">
        <v>460</v>
      </c>
      <c r="B220" s="15" t="s">
        <v>51</v>
      </c>
      <c r="C220" s="15" t="s">
        <v>96</v>
      </c>
      <c r="D220" s="15" t="s">
        <v>31</v>
      </c>
      <c r="E220" s="15">
        <v>16</v>
      </c>
      <c r="F220" s="15">
        <v>12</v>
      </c>
      <c r="G220" s="15" t="s">
        <v>43</v>
      </c>
      <c r="H220" s="15" t="s">
        <v>15</v>
      </c>
      <c r="I220" s="15" t="s">
        <v>461</v>
      </c>
      <c r="J220" s="15">
        <v>65</v>
      </c>
    </row>
    <row r="221" spans="1:10" x14ac:dyDescent="0.3">
      <c r="A221" s="15" t="s">
        <v>462</v>
      </c>
      <c r="B221" s="15" t="s">
        <v>11</v>
      </c>
      <c r="C221" s="15" t="s">
        <v>24</v>
      </c>
      <c r="D221" s="15" t="s">
        <v>31</v>
      </c>
      <c r="E221" s="15">
        <v>19</v>
      </c>
      <c r="F221" s="15">
        <v>12</v>
      </c>
      <c r="G221" s="15" t="s">
        <v>43</v>
      </c>
      <c r="H221" s="15" t="s">
        <v>37</v>
      </c>
      <c r="I221" s="15" t="s">
        <v>463</v>
      </c>
      <c r="J221" s="15">
        <v>45</v>
      </c>
    </row>
    <row r="222" spans="1:10" x14ac:dyDescent="0.3">
      <c r="A222" s="15" t="s">
        <v>464</v>
      </c>
      <c r="B222" s="15" t="s">
        <v>11</v>
      </c>
      <c r="C222" s="15" t="s">
        <v>36</v>
      </c>
      <c r="D222" s="15" t="s">
        <v>13</v>
      </c>
      <c r="E222" s="15">
        <v>16</v>
      </c>
      <c r="F222" s="15">
        <v>11</v>
      </c>
      <c r="G222" s="15" t="s">
        <v>25</v>
      </c>
      <c r="H222" s="15" t="s">
        <v>40</v>
      </c>
      <c r="I222" s="15" t="s">
        <v>465</v>
      </c>
      <c r="J222" s="15">
        <v>79</v>
      </c>
    </row>
    <row r="223" spans="1:10" x14ac:dyDescent="0.3">
      <c r="A223" s="15" t="s">
        <v>466</v>
      </c>
      <c r="B223" s="15" t="s">
        <v>11</v>
      </c>
      <c r="C223" s="15" t="s">
        <v>55</v>
      </c>
      <c r="D223" s="15" t="s">
        <v>31</v>
      </c>
      <c r="E223" s="15">
        <v>20</v>
      </c>
      <c r="F223" s="15">
        <v>11</v>
      </c>
      <c r="G223" s="15" t="s">
        <v>32</v>
      </c>
      <c r="H223" s="15" t="s">
        <v>40</v>
      </c>
      <c r="I223" s="15" t="s">
        <v>467</v>
      </c>
      <c r="J223" s="15">
        <v>46</v>
      </c>
    </row>
    <row r="224" spans="1:10" x14ac:dyDescent="0.3">
      <c r="A224" s="15" t="s">
        <v>468</v>
      </c>
      <c r="B224" s="15" t="s">
        <v>73</v>
      </c>
      <c r="C224" s="15" t="s">
        <v>12</v>
      </c>
      <c r="D224" s="15" t="s">
        <v>13</v>
      </c>
      <c r="E224" s="15">
        <v>17</v>
      </c>
      <c r="F224" s="15">
        <v>10</v>
      </c>
      <c r="G224" s="15" t="s">
        <v>43</v>
      </c>
      <c r="H224" s="15" t="s">
        <v>15</v>
      </c>
      <c r="I224" s="15" t="s">
        <v>469</v>
      </c>
      <c r="J224" s="15">
        <v>75</v>
      </c>
    </row>
    <row r="225" spans="1:10" x14ac:dyDescent="0.3">
      <c r="A225" s="15" t="s">
        <v>470</v>
      </c>
      <c r="B225" s="15" t="s">
        <v>35</v>
      </c>
      <c r="C225" s="15" t="s">
        <v>96</v>
      </c>
      <c r="D225" s="15" t="s">
        <v>31</v>
      </c>
      <c r="E225" s="15">
        <v>16</v>
      </c>
      <c r="F225" s="15">
        <v>11</v>
      </c>
      <c r="G225" s="15" t="s">
        <v>32</v>
      </c>
      <c r="H225" s="15" t="s">
        <v>61</v>
      </c>
      <c r="I225" s="15" t="s">
        <v>471</v>
      </c>
      <c r="J225" s="15">
        <v>65</v>
      </c>
    </row>
    <row r="226" spans="1:10" x14ac:dyDescent="0.3">
      <c r="A226" s="15" t="s">
        <v>472</v>
      </c>
      <c r="B226" s="15" t="s">
        <v>84</v>
      </c>
      <c r="C226" s="15" t="s">
        <v>79</v>
      </c>
      <c r="D226" s="15" t="s">
        <v>31</v>
      </c>
      <c r="E226" s="15">
        <v>15</v>
      </c>
      <c r="F226" s="15">
        <v>11</v>
      </c>
      <c r="G226" s="15" t="s">
        <v>14</v>
      </c>
      <c r="H226" s="15" t="s">
        <v>40</v>
      </c>
      <c r="I226" s="15" t="s">
        <v>317</v>
      </c>
      <c r="J226" s="15">
        <v>72</v>
      </c>
    </row>
    <row r="227" spans="1:10" x14ac:dyDescent="0.3">
      <c r="A227" s="15" t="s">
        <v>473</v>
      </c>
      <c r="B227" s="15" t="s">
        <v>18</v>
      </c>
      <c r="C227" s="15" t="s">
        <v>19</v>
      </c>
      <c r="D227" s="15" t="s">
        <v>31</v>
      </c>
      <c r="E227" s="15">
        <v>16</v>
      </c>
      <c r="F227" s="15">
        <v>11</v>
      </c>
      <c r="G227" s="15" t="s">
        <v>14</v>
      </c>
      <c r="H227" s="15" t="s">
        <v>61</v>
      </c>
      <c r="I227" s="15" t="s">
        <v>474</v>
      </c>
      <c r="J227" s="15">
        <v>75</v>
      </c>
    </row>
    <row r="228" spans="1:10" x14ac:dyDescent="0.3">
      <c r="A228" s="15" t="s">
        <v>475</v>
      </c>
      <c r="B228" s="15" t="s">
        <v>35</v>
      </c>
      <c r="C228" s="15" t="s">
        <v>79</v>
      </c>
      <c r="D228" s="15" t="s">
        <v>13</v>
      </c>
      <c r="E228" s="15">
        <v>17</v>
      </c>
      <c r="F228" s="15">
        <v>9</v>
      </c>
      <c r="G228" s="15" t="s">
        <v>32</v>
      </c>
      <c r="H228" s="15" t="s">
        <v>15</v>
      </c>
      <c r="I228" s="15" t="s">
        <v>248</v>
      </c>
      <c r="J228" s="15">
        <v>50</v>
      </c>
    </row>
    <row r="229" spans="1:10" x14ac:dyDescent="0.3">
      <c r="A229" s="15" t="s">
        <v>476</v>
      </c>
      <c r="B229" s="15" t="s">
        <v>29</v>
      </c>
      <c r="C229" s="15" t="s">
        <v>55</v>
      </c>
      <c r="D229" s="15" t="s">
        <v>13</v>
      </c>
      <c r="E229" s="15">
        <v>19</v>
      </c>
      <c r="F229" s="15">
        <v>10</v>
      </c>
      <c r="G229" s="15" t="s">
        <v>43</v>
      </c>
      <c r="H229" s="15" t="s">
        <v>26</v>
      </c>
      <c r="I229" s="15" t="s">
        <v>477</v>
      </c>
      <c r="J229" s="15">
        <v>88</v>
      </c>
    </row>
    <row r="230" spans="1:10" x14ac:dyDescent="0.3">
      <c r="A230" s="15" t="s">
        <v>478</v>
      </c>
      <c r="B230" s="15" t="s">
        <v>11</v>
      </c>
      <c r="C230" s="15" t="s">
        <v>36</v>
      </c>
      <c r="D230" s="15" t="s">
        <v>13</v>
      </c>
      <c r="E230" s="15">
        <v>17</v>
      </c>
      <c r="F230" s="15">
        <v>12</v>
      </c>
      <c r="G230" s="15" t="s">
        <v>14</v>
      </c>
      <c r="H230" s="15" t="s">
        <v>37</v>
      </c>
      <c r="I230" s="15" t="s">
        <v>479</v>
      </c>
      <c r="J230" s="15">
        <v>63</v>
      </c>
    </row>
    <row r="231" spans="1:10" x14ac:dyDescent="0.3">
      <c r="A231" s="15" t="s">
        <v>480</v>
      </c>
      <c r="B231" s="15" t="s">
        <v>35</v>
      </c>
      <c r="C231" s="15" t="s">
        <v>12</v>
      </c>
      <c r="D231" s="15" t="s">
        <v>31</v>
      </c>
      <c r="E231" s="15">
        <v>18</v>
      </c>
      <c r="F231" s="15">
        <v>10</v>
      </c>
      <c r="G231" s="15" t="s">
        <v>14</v>
      </c>
      <c r="H231" s="15" t="s">
        <v>37</v>
      </c>
      <c r="I231" s="15" t="s">
        <v>481</v>
      </c>
      <c r="J231" s="15">
        <v>36</v>
      </c>
    </row>
    <row r="232" spans="1:10" x14ac:dyDescent="0.3">
      <c r="A232" s="15" t="s">
        <v>482</v>
      </c>
      <c r="B232" s="15" t="s">
        <v>35</v>
      </c>
      <c r="C232" s="15" t="s">
        <v>24</v>
      </c>
      <c r="D232" s="15" t="s">
        <v>13</v>
      </c>
      <c r="E232" s="15">
        <v>18</v>
      </c>
      <c r="F232" s="15">
        <v>11</v>
      </c>
      <c r="G232" s="15" t="s">
        <v>14</v>
      </c>
      <c r="H232" s="15" t="s">
        <v>61</v>
      </c>
      <c r="I232" s="15" t="s">
        <v>483</v>
      </c>
      <c r="J232" s="15">
        <v>86</v>
      </c>
    </row>
    <row r="233" spans="1:10" x14ac:dyDescent="0.3">
      <c r="A233" s="15" t="s">
        <v>484</v>
      </c>
      <c r="B233" s="15" t="s">
        <v>29</v>
      </c>
      <c r="C233" s="15" t="s">
        <v>79</v>
      </c>
      <c r="D233" s="15" t="s">
        <v>31</v>
      </c>
      <c r="E233" s="15">
        <v>14</v>
      </c>
      <c r="F233" s="15">
        <v>11</v>
      </c>
      <c r="G233" s="15" t="s">
        <v>32</v>
      </c>
      <c r="H233" s="15" t="s">
        <v>40</v>
      </c>
      <c r="I233" s="15" t="s">
        <v>184</v>
      </c>
      <c r="J233" s="15">
        <v>42</v>
      </c>
    </row>
    <row r="234" spans="1:10" x14ac:dyDescent="0.3">
      <c r="A234" s="15" t="s">
        <v>485</v>
      </c>
      <c r="B234" s="15" t="s">
        <v>18</v>
      </c>
      <c r="C234" s="15" t="s">
        <v>12</v>
      </c>
      <c r="D234" s="15" t="s">
        <v>31</v>
      </c>
      <c r="E234" s="15">
        <v>16</v>
      </c>
      <c r="F234" s="15">
        <v>12</v>
      </c>
      <c r="G234" s="15" t="s">
        <v>14</v>
      </c>
      <c r="H234" s="15" t="s">
        <v>76</v>
      </c>
      <c r="I234" s="15" t="s">
        <v>486</v>
      </c>
      <c r="J234" s="15">
        <v>70</v>
      </c>
    </row>
    <row r="235" spans="1:10" x14ac:dyDescent="0.3">
      <c r="A235" s="15" t="s">
        <v>487</v>
      </c>
      <c r="B235" s="15" t="s">
        <v>18</v>
      </c>
      <c r="C235" s="15" t="s">
        <v>79</v>
      </c>
      <c r="D235" s="15" t="s">
        <v>13</v>
      </c>
      <c r="E235" s="15">
        <v>16</v>
      </c>
      <c r="F235" s="15">
        <v>11</v>
      </c>
      <c r="G235" s="15" t="s">
        <v>43</v>
      </c>
      <c r="H235" s="15" t="s">
        <v>61</v>
      </c>
      <c r="I235" s="15" t="s">
        <v>488</v>
      </c>
      <c r="J235" s="15">
        <v>86</v>
      </c>
    </row>
    <row r="236" spans="1:10" x14ac:dyDescent="0.3">
      <c r="A236" s="15" t="s">
        <v>489</v>
      </c>
      <c r="B236" s="15" t="s">
        <v>68</v>
      </c>
      <c r="C236" s="15" t="s">
        <v>58</v>
      </c>
      <c r="D236" s="15" t="s">
        <v>31</v>
      </c>
      <c r="E236" s="15">
        <v>20</v>
      </c>
      <c r="F236" s="15">
        <v>10</v>
      </c>
      <c r="G236" s="15" t="s">
        <v>32</v>
      </c>
      <c r="H236" s="15" t="s">
        <v>20</v>
      </c>
      <c r="I236" s="15" t="s">
        <v>370</v>
      </c>
      <c r="J236" s="15">
        <v>93</v>
      </c>
    </row>
    <row r="237" spans="1:10" x14ac:dyDescent="0.3">
      <c r="A237" s="15" t="s">
        <v>490</v>
      </c>
      <c r="B237" s="15" t="s">
        <v>73</v>
      </c>
      <c r="C237" s="15" t="s">
        <v>96</v>
      </c>
      <c r="D237" s="15" t="s">
        <v>13</v>
      </c>
      <c r="E237" s="15">
        <v>17</v>
      </c>
      <c r="F237" s="15">
        <v>10</v>
      </c>
      <c r="G237" s="15" t="s">
        <v>32</v>
      </c>
      <c r="H237" s="15" t="s">
        <v>61</v>
      </c>
      <c r="I237" s="15" t="s">
        <v>491</v>
      </c>
      <c r="J237" s="15">
        <v>60</v>
      </c>
    </row>
    <row r="238" spans="1:10" x14ac:dyDescent="0.3">
      <c r="A238" s="15" t="s">
        <v>492</v>
      </c>
      <c r="B238" s="15" t="s">
        <v>18</v>
      </c>
      <c r="C238" s="15" t="s">
        <v>85</v>
      </c>
      <c r="D238" s="15" t="s">
        <v>31</v>
      </c>
      <c r="E238" s="15">
        <v>19</v>
      </c>
      <c r="F238" s="15">
        <v>11</v>
      </c>
      <c r="G238" s="15" t="s">
        <v>43</v>
      </c>
      <c r="H238" s="15" t="s">
        <v>15</v>
      </c>
      <c r="I238" s="15" t="s">
        <v>394</v>
      </c>
      <c r="J238" s="15">
        <v>50</v>
      </c>
    </row>
    <row r="239" spans="1:10" x14ac:dyDescent="0.3">
      <c r="A239" s="15" t="s">
        <v>493</v>
      </c>
      <c r="B239" s="15" t="s">
        <v>51</v>
      </c>
      <c r="C239" s="15" t="s">
        <v>96</v>
      </c>
      <c r="D239" s="15" t="s">
        <v>31</v>
      </c>
      <c r="E239" s="15">
        <v>14</v>
      </c>
      <c r="F239" s="15">
        <v>12</v>
      </c>
      <c r="G239" s="15" t="s">
        <v>14</v>
      </c>
      <c r="H239" s="15" t="s">
        <v>26</v>
      </c>
      <c r="I239" s="15" t="s">
        <v>494</v>
      </c>
      <c r="J239" s="15">
        <v>47</v>
      </c>
    </row>
    <row r="240" spans="1:10" x14ac:dyDescent="0.3">
      <c r="A240" s="15" t="s">
        <v>495</v>
      </c>
      <c r="B240" s="15" t="s">
        <v>35</v>
      </c>
      <c r="C240" s="15" t="s">
        <v>12</v>
      </c>
      <c r="D240" s="15" t="s">
        <v>13</v>
      </c>
      <c r="E240" s="15">
        <v>15</v>
      </c>
      <c r="F240" s="15">
        <v>12</v>
      </c>
      <c r="G240" s="15" t="s">
        <v>43</v>
      </c>
      <c r="H240" s="15" t="s">
        <v>20</v>
      </c>
      <c r="I240" s="15" t="s">
        <v>496</v>
      </c>
      <c r="J240" s="15">
        <v>49</v>
      </c>
    </row>
    <row r="241" spans="1:10" x14ac:dyDescent="0.3">
      <c r="A241" s="15" t="s">
        <v>497</v>
      </c>
      <c r="B241" s="15" t="s">
        <v>51</v>
      </c>
      <c r="C241" s="15" t="s">
        <v>96</v>
      </c>
      <c r="D241" s="15" t="s">
        <v>13</v>
      </c>
      <c r="E241" s="15">
        <v>16</v>
      </c>
      <c r="F241" s="15">
        <v>9</v>
      </c>
      <c r="G241" s="15" t="s">
        <v>25</v>
      </c>
      <c r="H241" s="15" t="s">
        <v>26</v>
      </c>
      <c r="I241" s="15" t="s">
        <v>498</v>
      </c>
      <c r="J241" s="15">
        <v>42</v>
      </c>
    </row>
    <row r="242" spans="1:10" x14ac:dyDescent="0.3">
      <c r="A242" s="15" t="s">
        <v>499</v>
      </c>
      <c r="B242" s="15" t="s">
        <v>54</v>
      </c>
      <c r="C242" s="15" t="s">
        <v>19</v>
      </c>
      <c r="D242" s="15" t="s">
        <v>31</v>
      </c>
      <c r="E242" s="15">
        <v>20</v>
      </c>
      <c r="F242" s="15">
        <v>9</v>
      </c>
      <c r="G242" s="15" t="s">
        <v>32</v>
      </c>
      <c r="H242" s="15" t="s">
        <v>46</v>
      </c>
      <c r="I242" s="15" t="s">
        <v>500</v>
      </c>
      <c r="J242" s="15">
        <v>42</v>
      </c>
    </row>
    <row r="243" spans="1:10" x14ac:dyDescent="0.3">
      <c r="A243" s="15" t="s">
        <v>501</v>
      </c>
      <c r="B243" s="15" t="s">
        <v>84</v>
      </c>
      <c r="C243" s="15" t="s">
        <v>19</v>
      </c>
      <c r="D243" s="15" t="s">
        <v>13</v>
      </c>
      <c r="E243" s="15">
        <v>18</v>
      </c>
      <c r="F243" s="15">
        <v>10</v>
      </c>
      <c r="G243" s="15" t="s">
        <v>14</v>
      </c>
      <c r="H243" s="15" t="s">
        <v>61</v>
      </c>
      <c r="I243" s="15" t="s">
        <v>502</v>
      </c>
      <c r="J243" s="15">
        <v>76</v>
      </c>
    </row>
    <row r="244" spans="1:10" x14ac:dyDescent="0.3">
      <c r="A244" s="15" t="s">
        <v>503</v>
      </c>
      <c r="B244" s="15" t="s">
        <v>84</v>
      </c>
      <c r="C244" s="15" t="s">
        <v>19</v>
      </c>
      <c r="D244" s="15" t="s">
        <v>31</v>
      </c>
      <c r="E244" s="15">
        <v>15</v>
      </c>
      <c r="F244" s="15">
        <v>10</v>
      </c>
      <c r="G244" s="15" t="s">
        <v>43</v>
      </c>
      <c r="H244" s="15" t="s">
        <v>61</v>
      </c>
      <c r="I244" s="15" t="s">
        <v>504</v>
      </c>
      <c r="J244" s="15">
        <v>44</v>
      </c>
    </row>
    <row r="245" spans="1:10" x14ac:dyDescent="0.3">
      <c r="A245" s="15" t="s">
        <v>505</v>
      </c>
      <c r="B245" s="15" t="s">
        <v>11</v>
      </c>
      <c r="C245" s="15" t="s">
        <v>12</v>
      </c>
      <c r="D245" s="15" t="s">
        <v>31</v>
      </c>
      <c r="E245" s="15">
        <v>19</v>
      </c>
      <c r="F245" s="15">
        <v>10</v>
      </c>
      <c r="G245" s="15" t="s">
        <v>14</v>
      </c>
      <c r="H245" s="15" t="s">
        <v>40</v>
      </c>
      <c r="I245" s="15" t="s">
        <v>506</v>
      </c>
      <c r="J245" s="15">
        <v>77</v>
      </c>
    </row>
    <row r="246" spans="1:10" x14ac:dyDescent="0.3">
      <c r="A246" s="15" t="s">
        <v>507</v>
      </c>
      <c r="B246" s="15" t="s">
        <v>54</v>
      </c>
      <c r="C246" s="15" t="s">
        <v>12</v>
      </c>
      <c r="D246" s="15" t="s">
        <v>31</v>
      </c>
      <c r="E246" s="15">
        <v>16</v>
      </c>
      <c r="F246" s="15">
        <v>12</v>
      </c>
      <c r="G246" s="15" t="s">
        <v>43</v>
      </c>
      <c r="H246" s="15" t="s">
        <v>61</v>
      </c>
      <c r="I246" s="15" t="s">
        <v>483</v>
      </c>
      <c r="J246" s="15">
        <v>45</v>
      </c>
    </row>
    <row r="247" spans="1:10" x14ac:dyDescent="0.3">
      <c r="A247" s="15" t="s">
        <v>508</v>
      </c>
      <c r="B247" s="15" t="s">
        <v>73</v>
      </c>
      <c r="C247" s="15" t="s">
        <v>55</v>
      </c>
      <c r="D247" s="15" t="s">
        <v>13</v>
      </c>
      <c r="E247" s="15">
        <v>15</v>
      </c>
      <c r="F247" s="15">
        <v>11</v>
      </c>
      <c r="G247" s="15" t="s">
        <v>43</v>
      </c>
      <c r="H247" s="15" t="s">
        <v>46</v>
      </c>
      <c r="I247" s="15" t="s">
        <v>509</v>
      </c>
      <c r="J247" s="15">
        <v>54</v>
      </c>
    </row>
    <row r="248" spans="1:10" x14ac:dyDescent="0.3">
      <c r="A248" s="15" t="s">
        <v>510</v>
      </c>
      <c r="B248" s="15" t="s">
        <v>54</v>
      </c>
      <c r="C248" s="15" t="s">
        <v>79</v>
      </c>
      <c r="D248" s="15" t="s">
        <v>31</v>
      </c>
      <c r="E248" s="15">
        <v>15</v>
      </c>
      <c r="F248" s="15">
        <v>9</v>
      </c>
      <c r="G248" s="15" t="s">
        <v>14</v>
      </c>
      <c r="H248" s="15" t="s">
        <v>40</v>
      </c>
      <c r="I248" s="15" t="s">
        <v>479</v>
      </c>
      <c r="J248" s="15">
        <v>66</v>
      </c>
    </row>
    <row r="249" spans="1:10" x14ac:dyDescent="0.3">
      <c r="A249" s="15" t="s">
        <v>511</v>
      </c>
      <c r="B249" s="15" t="s">
        <v>35</v>
      </c>
      <c r="C249" s="15" t="s">
        <v>19</v>
      </c>
      <c r="D249" s="15" t="s">
        <v>31</v>
      </c>
      <c r="E249" s="15">
        <v>15</v>
      </c>
      <c r="F249" s="15">
        <v>9</v>
      </c>
      <c r="G249" s="15" t="s">
        <v>25</v>
      </c>
      <c r="H249" s="15" t="s">
        <v>15</v>
      </c>
      <c r="I249" s="15" t="s">
        <v>512</v>
      </c>
      <c r="J249" s="15">
        <v>95</v>
      </c>
    </row>
    <row r="250" spans="1:10" x14ac:dyDescent="0.3">
      <c r="A250" s="15" t="s">
        <v>513</v>
      </c>
      <c r="B250" s="15" t="s">
        <v>11</v>
      </c>
      <c r="C250" s="15" t="s">
        <v>19</v>
      </c>
      <c r="D250" s="15" t="s">
        <v>31</v>
      </c>
      <c r="E250" s="15">
        <v>14</v>
      </c>
      <c r="F250" s="15">
        <v>12</v>
      </c>
      <c r="G250" s="15" t="s">
        <v>32</v>
      </c>
      <c r="H250" s="15" t="s">
        <v>15</v>
      </c>
      <c r="I250" s="15" t="s">
        <v>381</v>
      </c>
      <c r="J250" s="15">
        <v>65</v>
      </c>
    </row>
    <row r="251" spans="1:10" x14ac:dyDescent="0.3">
      <c r="A251" s="15" t="s">
        <v>514</v>
      </c>
      <c r="B251" s="15" t="s">
        <v>11</v>
      </c>
      <c r="C251" s="15" t="s">
        <v>12</v>
      </c>
      <c r="D251" s="15" t="s">
        <v>31</v>
      </c>
      <c r="E251" s="15">
        <v>15</v>
      </c>
      <c r="F251" s="15">
        <v>11</v>
      </c>
      <c r="G251" s="15" t="s">
        <v>25</v>
      </c>
      <c r="H251" s="15" t="s">
        <v>20</v>
      </c>
      <c r="I251" s="15" t="s">
        <v>515</v>
      </c>
      <c r="J251" s="15">
        <v>61</v>
      </c>
    </row>
    <row r="252" spans="1:10" x14ac:dyDescent="0.3">
      <c r="A252" s="15" t="s">
        <v>516</v>
      </c>
      <c r="B252" s="15" t="s">
        <v>18</v>
      </c>
      <c r="C252" s="15" t="s">
        <v>96</v>
      </c>
      <c r="D252" s="15" t="s">
        <v>31</v>
      </c>
      <c r="E252" s="15">
        <v>14</v>
      </c>
      <c r="F252" s="15">
        <v>11</v>
      </c>
      <c r="G252" s="15" t="s">
        <v>32</v>
      </c>
      <c r="H252" s="15" t="s">
        <v>46</v>
      </c>
      <c r="I252" s="15" t="s">
        <v>517</v>
      </c>
      <c r="J252" s="15">
        <v>86</v>
      </c>
    </row>
    <row r="253" spans="1:10" x14ac:dyDescent="0.3">
      <c r="A253" s="15" t="s">
        <v>518</v>
      </c>
      <c r="B253" s="15" t="s">
        <v>51</v>
      </c>
      <c r="C253" s="15" t="s">
        <v>96</v>
      </c>
      <c r="D253" s="15" t="s">
        <v>31</v>
      </c>
      <c r="E253" s="15">
        <v>17</v>
      </c>
      <c r="F253" s="15">
        <v>11</v>
      </c>
      <c r="G253" s="15" t="s">
        <v>25</v>
      </c>
      <c r="H253" s="15" t="s">
        <v>61</v>
      </c>
      <c r="I253" s="15" t="s">
        <v>519</v>
      </c>
      <c r="J253" s="15">
        <v>52</v>
      </c>
    </row>
    <row r="254" spans="1:10" x14ac:dyDescent="0.3">
      <c r="A254" s="15" t="s">
        <v>520</v>
      </c>
      <c r="B254" s="15" t="s">
        <v>68</v>
      </c>
      <c r="C254" s="15" t="s">
        <v>12</v>
      </c>
      <c r="D254" s="15" t="s">
        <v>31</v>
      </c>
      <c r="E254" s="15">
        <v>20</v>
      </c>
      <c r="F254" s="15">
        <v>10</v>
      </c>
      <c r="G254" s="15" t="s">
        <v>32</v>
      </c>
      <c r="H254" s="15" t="s">
        <v>26</v>
      </c>
      <c r="I254" s="15" t="s">
        <v>521</v>
      </c>
      <c r="J254" s="15">
        <v>42</v>
      </c>
    </row>
    <row r="255" spans="1:10" x14ac:dyDescent="0.3">
      <c r="A255" s="15" t="s">
        <v>522</v>
      </c>
      <c r="B255" s="15" t="s">
        <v>54</v>
      </c>
      <c r="C255" s="15" t="s">
        <v>79</v>
      </c>
      <c r="D255" s="15" t="s">
        <v>31</v>
      </c>
      <c r="E255" s="15">
        <v>18</v>
      </c>
      <c r="F255" s="15">
        <v>10</v>
      </c>
      <c r="G255" s="15" t="s">
        <v>14</v>
      </c>
      <c r="H255" s="15" t="s">
        <v>61</v>
      </c>
      <c r="I255" s="15" t="s">
        <v>523</v>
      </c>
      <c r="J255" s="15">
        <v>82</v>
      </c>
    </row>
    <row r="256" spans="1:10" x14ac:dyDescent="0.3">
      <c r="A256" s="15" t="s">
        <v>524</v>
      </c>
      <c r="B256" s="15" t="s">
        <v>35</v>
      </c>
      <c r="C256" s="15" t="s">
        <v>85</v>
      </c>
      <c r="D256" s="15" t="s">
        <v>13</v>
      </c>
      <c r="E256" s="15">
        <v>20</v>
      </c>
      <c r="F256" s="15">
        <v>10</v>
      </c>
      <c r="G256" s="15" t="s">
        <v>14</v>
      </c>
      <c r="H256" s="15" t="s">
        <v>40</v>
      </c>
      <c r="I256" s="15" t="s">
        <v>525</v>
      </c>
      <c r="J256" s="15">
        <v>92</v>
      </c>
    </row>
    <row r="257" spans="1:10" x14ac:dyDescent="0.3">
      <c r="A257" s="15" t="s">
        <v>526</v>
      </c>
      <c r="B257" s="15" t="s">
        <v>18</v>
      </c>
      <c r="C257" s="15" t="s">
        <v>12</v>
      </c>
      <c r="D257" s="15" t="s">
        <v>31</v>
      </c>
      <c r="E257" s="15">
        <v>18</v>
      </c>
      <c r="F257" s="15">
        <v>9</v>
      </c>
      <c r="G257" s="15" t="s">
        <v>14</v>
      </c>
      <c r="H257" s="15" t="s">
        <v>15</v>
      </c>
      <c r="I257" s="15" t="s">
        <v>346</v>
      </c>
      <c r="J257" s="15">
        <v>59</v>
      </c>
    </row>
    <row r="258" spans="1:10" x14ac:dyDescent="0.3">
      <c r="A258" s="15" t="s">
        <v>527</v>
      </c>
      <c r="B258" s="15" t="s">
        <v>11</v>
      </c>
      <c r="C258" s="15" t="s">
        <v>85</v>
      </c>
      <c r="D258" s="15" t="s">
        <v>13</v>
      </c>
      <c r="E258" s="15">
        <v>20</v>
      </c>
      <c r="F258" s="15">
        <v>12</v>
      </c>
      <c r="G258" s="15" t="s">
        <v>25</v>
      </c>
      <c r="H258" s="15" t="s">
        <v>46</v>
      </c>
      <c r="I258" s="15" t="s">
        <v>451</v>
      </c>
      <c r="J258" s="15">
        <v>86</v>
      </c>
    </row>
    <row r="259" spans="1:10" x14ac:dyDescent="0.3">
      <c r="A259" s="15" t="s">
        <v>528</v>
      </c>
      <c r="B259" s="15" t="s">
        <v>51</v>
      </c>
      <c r="C259" s="15" t="s">
        <v>19</v>
      </c>
      <c r="D259" s="15" t="s">
        <v>13</v>
      </c>
      <c r="E259" s="15">
        <v>19</v>
      </c>
      <c r="F259" s="15">
        <v>9</v>
      </c>
      <c r="G259" s="15" t="s">
        <v>43</v>
      </c>
      <c r="H259" s="15" t="s">
        <v>46</v>
      </c>
      <c r="I259" s="15" t="s">
        <v>222</v>
      </c>
      <c r="J259" s="15">
        <v>46</v>
      </c>
    </row>
    <row r="260" spans="1:10" x14ac:dyDescent="0.3">
      <c r="A260" s="15" t="s">
        <v>529</v>
      </c>
      <c r="B260" s="15" t="s">
        <v>84</v>
      </c>
      <c r="C260" s="15" t="s">
        <v>24</v>
      </c>
      <c r="D260" s="15" t="s">
        <v>31</v>
      </c>
      <c r="E260" s="15">
        <v>20</v>
      </c>
      <c r="F260" s="15">
        <v>12</v>
      </c>
      <c r="G260" s="15" t="s">
        <v>25</v>
      </c>
      <c r="H260" s="15" t="s">
        <v>76</v>
      </c>
      <c r="I260" s="15" t="s">
        <v>186</v>
      </c>
      <c r="J260" s="15">
        <v>51</v>
      </c>
    </row>
    <row r="261" spans="1:10" x14ac:dyDescent="0.3">
      <c r="A261" s="15" t="s">
        <v>530</v>
      </c>
      <c r="B261" s="15" t="s">
        <v>54</v>
      </c>
      <c r="C261" s="15" t="s">
        <v>58</v>
      </c>
      <c r="D261" s="15" t="s">
        <v>13</v>
      </c>
      <c r="E261" s="15">
        <v>17</v>
      </c>
      <c r="F261" s="15">
        <v>10</v>
      </c>
      <c r="G261" s="15" t="s">
        <v>32</v>
      </c>
      <c r="H261" s="15" t="s">
        <v>15</v>
      </c>
      <c r="I261" s="15" t="s">
        <v>64</v>
      </c>
      <c r="J261" s="15">
        <v>46</v>
      </c>
    </row>
    <row r="262" spans="1:10" x14ac:dyDescent="0.3">
      <c r="A262" s="15" t="s">
        <v>531</v>
      </c>
      <c r="B262" s="15" t="s">
        <v>23</v>
      </c>
      <c r="C262" s="15" t="s">
        <v>36</v>
      </c>
      <c r="D262" s="15" t="s">
        <v>13</v>
      </c>
      <c r="E262" s="15">
        <v>20</v>
      </c>
      <c r="F262" s="15">
        <v>11</v>
      </c>
      <c r="G262" s="15" t="s">
        <v>43</v>
      </c>
      <c r="H262" s="15" t="s">
        <v>20</v>
      </c>
      <c r="I262" s="15" t="s">
        <v>178</v>
      </c>
      <c r="J262" s="15">
        <v>44</v>
      </c>
    </row>
    <row r="263" spans="1:10" x14ac:dyDescent="0.3">
      <c r="A263" s="15" t="s">
        <v>532</v>
      </c>
      <c r="B263" s="15" t="s">
        <v>51</v>
      </c>
      <c r="C263" s="15" t="s">
        <v>19</v>
      </c>
      <c r="D263" s="15" t="s">
        <v>31</v>
      </c>
      <c r="E263" s="15">
        <v>14</v>
      </c>
      <c r="F263" s="15">
        <v>11</v>
      </c>
      <c r="G263" s="15" t="s">
        <v>43</v>
      </c>
      <c r="H263" s="15" t="s">
        <v>20</v>
      </c>
      <c r="I263" s="15" t="s">
        <v>533</v>
      </c>
      <c r="J263" s="15">
        <v>93</v>
      </c>
    </row>
    <row r="264" spans="1:10" x14ac:dyDescent="0.3">
      <c r="A264" s="15" t="s">
        <v>534</v>
      </c>
      <c r="B264" s="15" t="s">
        <v>23</v>
      </c>
      <c r="C264" s="15" t="s">
        <v>19</v>
      </c>
      <c r="D264" s="15" t="s">
        <v>13</v>
      </c>
      <c r="E264" s="15">
        <v>20</v>
      </c>
      <c r="F264" s="15">
        <v>11</v>
      </c>
      <c r="G264" s="15" t="s">
        <v>32</v>
      </c>
      <c r="H264" s="15" t="s">
        <v>76</v>
      </c>
      <c r="I264" s="15" t="s">
        <v>358</v>
      </c>
      <c r="J264" s="15">
        <v>41</v>
      </c>
    </row>
    <row r="265" spans="1:10" x14ac:dyDescent="0.3">
      <c r="A265" s="15" t="s">
        <v>535</v>
      </c>
      <c r="B265" s="15" t="s">
        <v>84</v>
      </c>
      <c r="C265" s="15" t="s">
        <v>58</v>
      </c>
      <c r="D265" s="15" t="s">
        <v>13</v>
      </c>
      <c r="E265" s="15">
        <v>20</v>
      </c>
      <c r="F265" s="15">
        <v>9</v>
      </c>
      <c r="G265" s="15" t="s">
        <v>25</v>
      </c>
      <c r="H265" s="15" t="s">
        <v>46</v>
      </c>
      <c r="I265" s="15" t="s">
        <v>536</v>
      </c>
      <c r="J265" s="15">
        <v>58</v>
      </c>
    </row>
    <row r="266" spans="1:10" x14ac:dyDescent="0.3">
      <c r="A266" s="15" t="s">
        <v>537</v>
      </c>
      <c r="B266" s="15" t="s">
        <v>68</v>
      </c>
      <c r="C266" s="15" t="s">
        <v>36</v>
      </c>
      <c r="D266" s="15" t="s">
        <v>31</v>
      </c>
      <c r="E266" s="15">
        <v>16</v>
      </c>
      <c r="F266" s="15">
        <v>12</v>
      </c>
      <c r="G266" s="15" t="s">
        <v>25</v>
      </c>
      <c r="H266" s="15" t="s">
        <v>26</v>
      </c>
      <c r="I266" s="15" t="s">
        <v>538</v>
      </c>
      <c r="J266" s="15">
        <v>42</v>
      </c>
    </row>
    <row r="267" spans="1:10" x14ac:dyDescent="0.3">
      <c r="A267" s="15" t="s">
        <v>539</v>
      </c>
      <c r="B267" s="15" t="s">
        <v>73</v>
      </c>
      <c r="C267" s="15" t="s">
        <v>36</v>
      </c>
      <c r="D267" s="15" t="s">
        <v>31</v>
      </c>
      <c r="E267" s="15">
        <v>14</v>
      </c>
      <c r="F267" s="15">
        <v>12</v>
      </c>
      <c r="G267" s="15" t="s">
        <v>43</v>
      </c>
      <c r="H267" s="15" t="s">
        <v>61</v>
      </c>
      <c r="I267" s="15" t="s">
        <v>387</v>
      </c>
      <c r="J267" s="15">
        <v>37</v>
      </c>
    </row>
    <row r="268" spans="1:10" x14ac:dyDescent="0.3">
      <c r="A268" s="15" t="s">
        <v>540</v>
      </c>
      <c r="B268" s="15" t="s">
        <v>51</v>
      </c>
      <c r="C268" s="15" t="s">
        <v>85</v>
      </c>
      <c r="D268" s="15" t="s">
        <v>13</v>
      </c>
      <c r="E268" s="15">
        <v>18</v>
      </c>
      <c r="F268" s="15">
        <v>10</v>
      </c>
      <c r="G268" s="15" t="s">
        <v>14</v>
      </c>
      <c r="H268" s="15" t="s">
        <v>46</v>
      </c>
      <c r="I268" s="15" t="s">
        <v>541</v>
      </c>
      <c r="J268" s="15">
        <v>63</v>
      </c>
    </row>
    <row r="269" spans="1:10" x14ac:dyDescent="0.3">
      <c r="A269" s="15" t="s">
        <v>542</v>
      </c>
      <c r="B269" s="15" t="s">
        <v>84</v>
      </c>
      <c r="C269" s="15" t="s">
        <v>55</v>
      </c>
      <c r="D269" s="15" t="s">
        <v>31</v>
      </c>
      <c r="E269" s="15">
        <v>18</v>
      </c>
      <c r="F269" s="15">
        <v>12</v>
      </c>
      <c r="G269" s="15" t="s">
        <v>32</v>
      </c>
      <c r="H269" s="15" t="s">
        <v>40</v>
      </c>
      <c r="I269" s="15" t="s">
        <v>543</v>
      </c>
      <c r="J269" s="15">
        <v>51</v>
      </c>
    </row>
    <row r="270" spans="1:10" x14ac:dyDescent="0.3">
      <c r="A270" s="15" t="s">
        <v>544</v>
      </c>
      <c r="B270" s="15" t="s">
        <v>68</v>
      </c>
      <c r="C270" s="15" t="s">
        <v>19</v>
      </c>
      <c r="D270" s="15" t="s">
        <v>31</v>
      </c>
      <c r="E270" s="15">
        <v>16</v>
      </c>
      <c r="F270" s="15">
        <v>9</v>
      </c>
      <c r="G270" s="15" t="s">
        <v>14</v>
      </c>
      <c r="H270" s="15" t="s">
        <v>40</v>
      </c>
      <c r="I270" s="15" t="s">
        <v>545</v>
      </c>
      <c r="J270" s="15">
        <v>37</v>
      </c>
    </row>
    <row r="271" spans="1:10" x14ac:dyDescent="0.3">
      <c r="A271" s="15" t="s">
        <v>546</v>
      </c>
      <c r="B271" s="15" t="s">
        <v>51</v>
      </c>
      <c r="C271" s="15" t="s">
        <v>36</v>
      </c>
      <c r="D271" s="15" t="s">
        <v>31</v>
      </c>
      <c r="E271" s="15">
        <v>14</v>
      </c>
      <c r="F271" s="15">
        <v>9</v>
      </c>
      <c r="G271" s="15" t="s">
        <v>14</v>
      </c>
      <c r="H271" s="15" t="s">
        <v>46</v>
      </c>
      <c r="I271" s="15" t="s">
        <v>547</v>
      </c>
      <c r="J271" s="15">
        <v>81</v>
      </c>
    </row>
    <row r="272" spans="1:10" x14ac:dyDescent="0.3">
      <c r="A272" s="15" t="s">
        <v>548</v>
      </c>
      <c r="B272" s="15" t="s">
        <v>51</v>
      </c>
      <c r="C272" s="15" t="s">
        <v>24</v>
      </c>
      <c r="D272" s="15" t="s">
        <v>31</v>
      </c>
      <c r="E272" s="15">
        <v>15</v>
      </c>
      <c r="F272" s="15">
        <v>11</v>
      </c>
      <c r="G272" s="15" t="s">
        <v>32</v>
      </c>
      <c r="H272" s="15" t="s">
        <v>40</v>
      </c>
      <c r="I272" s="15" t="s">
        <v>549</v>
      </c>
      <c r="J272" s="15">
        <v>90</v>
      </c>
    </row>
    <row r="273" spans="1:10" x14ac:dyDescent="0.3">
      <c r="A273" s="15" t="s">
        <v>550</v>
      </c>
      <c r="B273" s="15" t="s">
        <v>73</v>
      </c>
      <c r="C273" s="15" t="s">
        <v>19</v>
      </c>
      <c r="D273" s="15" t="s">
        <v>13</v>
      </c>
      <c r="E273" s="15">
        <v>14</v>
      </c>
      <c r="F273" s="15">
        <v>11</v>
      </c>
      <c r="G273" s="15" t="s">
        <v>32</v>
      </c>
      <c r="H273" s="15" t="s">
        <v>26</v>
      </c>
      <c r="I273" s="15" t="s">
        <v>551</v>
      </c>
      <c r="J273" s="15">
        <v>90</v>
      </c>
    </row>
    <row r="274" spans="1:10" x14ac:dyDescent="0.3">
      <c r="A274" s="15" t="s">
        <v>552</v>
      </c>
      <c r="B274" s="15" t="s">
        <v>35</v>
      </c>
      <c r="C274" s="15" t="s">
        <v>30</v>
      </c>
      <c r="D274" s="15" t="s">
        <v>13</v>
      </c>
      <c r="E274" s="15">
        <v>19</v>
      </c>
      <c r="F274" s="15">
        <v>11</v>
      </c>
      <c r="G274" s="15" t="s">
        <v>14</v>
      </c>
      <c r="H274" s="15" t="s">
        <v>76</v>
      </c>
      <c r="I274" s="15" t="s">
        <v>553</v>
      </c>
      <c r="J274" s="15">
        <v>81</v>
      </c>
    </row>
    <row r="275" spans="1:10" x14ac:dyDescent="0.3">
      <c r="A275" s="15" t="s">
        <v>554</v>
      </c>
      <c r="B275" s="15" t="s">
        <v>29</v>
      </c>
      <c r="C275" s="15" t="s">
        <v>79</v>
      </c>
      <c r="D275" s="15" t="s">
        <v>13</v>
      </c>
      <c r="E275" s="15">
        <v>15</v>
      </c>
      <c r="F275" s="15">
        <v>9</v>
      </c>
      <c r="G275" s="15" t="s">
        <v>32</v>
      </c>
      <c r="H275" s="15" t="s">
        <v>76</v>
      </c>
      <c r="I275" s="15" t="s">
        <v>184</v>
      </c>
      <c r="J275" s="15">
        <v>53</v>
      </c>
    </row>
    <row r="276" spans="1:10" x14ac:dyDescent="0.3">
      <c r="A276" s="15" t="s">
        <v>555</v>
      </c>
      <c r="B276" s="15" t="s">
        <v>73</v>
      </c>
      <c r="C276" s="15" t="s">
        <v>55</v>
      </c>
      <c r="D276" s="15" t="s">
        <v>31</v>
      </c>
      <c r="E276" s="15">
        <v>16</v>
      </c>
      <c r="F276" s="15">
        <v>9</v>
      </c>
      <c r="G276" s="15" t="s">
        <v>14</v>
      </c>
      <c r="H276" s="15" t="s">
        <v>76</v>
      </c>
      <c r="I276" s="15" t="s">
        <v>556</v>
      </c>
      <c r="J276" s="15">
        <v>93</v>
      </c>
    </row>
    <row r="277" spans="1:10" x14ac:dyDescent="0.3">
      <c r="A277" s="15" t="s">
        <v>557</v>
      </c>
      <c r="B277" s="15" t="s">
        <v>23</v>
      </c>
      <c r="C277" s="15" t="s">
        <v>96</v>
      </c>
      <c r="D277" s="15" t="s">
        <v>13</v>
      </c>
      <c r="E277" s="15">
        <v>18</v>
      </c>
      <c r="F277" s="15">
        <v>11</v>
      </c>
      <c r="G277" s="15" t="s">
        <v>25</v>
      </c>
      <c r="H277" s="15" t="s">
        <v>76</v>
      </c>
      <c r="I277" s="15" t="s">
        <v>182</v>
      </c>
      <c r="J277" s="15">
        <v>77</v>
      </c>
    </row>
    <row r="278" spans="1:10" x14ac:dyDescent="0.3">
      <c r="A278" s="15" t="s">
        <v>558</v>
      </c>
      <c r="B278" s="15" t="s">
        <v>54</v>
      </c>
      <c r="C278" s="15" t="s">
        <v>30</v>
      </c>
      <c r="D278" s="15" t="s">
        <v>31</v>
      </c>
      <c r="E278" s="15">
        <v>19</v>
      </c>
      <c r="F278" s="15">
        <v>10</v>
      </c>
      <c r="G278" s="15" t="s">
        <v>43</v>
      </c>
      <c r="H278" s="15" t="s">
        <v>76</v>
      </c>
      <c r="I278" s="15" t="s">
        <v>559</v>
      </c>
      <c r="J278" s="15">
        <v>40</v>
      </c>
    </row>
    <row r="279" spans="1:10" x14ac:dyDescent="0.3">
      <c r="A279" s="15" t="s">
        <v>560</v>
      </c>
      <c r="B279" s="15" t="s">
        <v>68</v>
      </c>
      <c r="C279" s="15" t="s">
        <v>85</v>
      </c>
      <c r="D279" s="15" t="s">
        <v>31</v>
      </c>
      <c r="E279" s="15">
        <v>15</v>
      </c>
      <c r="F279" s="15">
        <v>10</v>
      </c>
      <c r="G279" s="15" t="s">
        <v>43</v>
      </c>
      <c r="H279" s="15" t="s">
        <v>26</v>
      </c>
      <c r="I279" s="15" t="s">
        <v>561</v>
      </c>
      <c r="J279" s="15">
        <v>63</v>
      </c>
    </row>
    <row r="280" spans="1:10" x14ac:dyDescent="0.3">
      <c r="A280" s="15" t="s">
        <v>562</v>
      </c>
      <c r="B280" s="15" t="s">
        <v>29</v>
      </c>
      <c r="C280" s="15" t="s">
        <v>79</v>
      </c>
      <c r="D280" s="15" t="s">
        <v>31</v>
      </c>
      <c r="E280" s="15">
        <v>15</v>
      </c>
      <c r="F280" s="15">
        <v>12</v>
      </c>
      <c r="G280" s="15" t="s">
        <v>32</v>
      </c>
      <c r="H280" s="15" t="s">
        <v>46</v>
      </c>
      <c r="I280" s="15" t="s">
        <v>121</v>
      </c>
      <c r="J280" s="15">
        <v>53</v>
      </c>
    </row>
    <row r="281" spans="1:10" x14ac:dyDescent="0.3">
      <c r="A281" s="15" t="s">
        <v>563</v>
      </c>
      <c r="B281" s="15" t="s">
        <v>35</v>
      </c>
      <c r="C281" s="15" t="s">
        <v>55</v>
      </c>
      <c r="D281" s="15" t="s">
        <v>31</v>
      </c>
      <c r="E281" s="15">
        <v>19</v>
      </c>
      <c r="F281" s="15">
        <v>10</v>
      </c>
      <c r="G281" s="15" t="s">
        <v>43</v>
      </c>
      <c r="H281" s="15" t="s">
        <v>46</v>
      </c>
      <c r="I281" s="15" t="s">
        <v>564</v>
      </c>
      <c r="J281" s="15">
        <v>72</v>
      </c>
    </row>
    <row r="282" spans="1:10" x14ac:dyDescent="0.3">
      <c r="A282" s="15" t="s">
        <v>565</v>
      </c>
      <c r="B282" s="15" t="s">
        <v>54</v>
      </c>
      <c r="C282" s="15" t="s">
        <v>79</v>
      </c>
      <c r="D282" s="15" t="s">
        <v>31</v>
      </c>
      <c r="E282" s="15">
        <v>20</v>
      </c>
      <c r="F282" s="15">
        <v>9</v>
      </c>
      <c r="G282" s="15" t="s">
        <v>43</v>
      </c>
      <c r="H282" s="15" t="s">
        <v>20</v>
      </c>
      <c r="I282" s="15" t="s">
        <v>566</v>
      </c>
      <c r="J282" s="15">
        <v>67</v>
      </c>
    </row>
    <row r="283" spans="1:10" x14ac:dyDescent="0.3">
      <c r="A283" s="15" t="s">
        <v>567</v>
      </c>
      <c r="B283" s="15" t="s">
        <v>54</v>
      </c>
      <c r="C283" s="15" t="s">
        <v>12</v>
      </c>
      <c r="D283" s="15" t="s">
        <v>31</v>
      </c>
      <c r="E283" s="15">
        <v>18</v>
      </c>
      <c r="F283" s="15">
        <v>12</v>
      </c>
      <c r="G283" s="15" t="s">
        <v>25</v>
      </c>
      <c r="H283" s="15" t="s">
        <v>26</v>
      </c>
      <c r="I283" s="15" t="s">
        <v>568</v>
      </c>
      <c r="J283" s="15">
        <v>96</v>
      </c>
    </row>
    <row r="284" spans="1:10" x14ac:dyDescent="0.3">
      <c r="A284" s="15" t="s">
        <v>569</v>
      </c>
      <c r="B284" s="15" t="s">
        <v>54</v>
      </c>
      <c r="C284" s="15" t="s">
        <v>12</v>
      </c>
      <c r="D284" s="15" t="s">
        <v>31</v>
      </c>
      <c r="E284" s="15">
        <v>17</v>
      </c>
      <c r="F284" s="15">
        <v>9</v>
      </c>
      <c r="G284" s="15" t="s">
        <v>25</v>
      </c>
      <c r="H284" s="15" t="s">
        <v>37</v>
      </c>
      <c r="I284" s="15" t="s">
        <v>570</v>
      </c>
      <c r="J284" s="15">
        <v>100</v>
      </c>
    </row>
    <row r="285" spans="1:10" x14ac:dyDescent="0.3">
      <c r="A285" s="15" t="s">
        <v>571</v>
      </c>
      <c r="B285" s="15" t="s">
        <v>68</v>
      </c>
      <c r="C285" s="15" t="s">
        <v>12</v>
      </c>
      <c r="D285" s="15" t="s">
        <v>13</v>
      </c>
      <c r="E285" s="15">
        <v>16</v>
      </c>
      <c r="F285" s="15">
        <v>10</v>
      </c>
      <c r="G285" s="15" t="s">
        <v>25</v>
      </c>
      <c r="H285" s="15" t="s">
        <v>26</v>
      </c>
      <c r="I285" s="15" t="s">
        <v>434</v>
      </c>
      <c r="J285" s="15">
        <v>63</v>
      </c>
    </row>
    <row r="286" spans="1:10" x14ac:dyDescent="0.3">
      <c r="A286" s="15" t="s">
        <v>572</v>
      </c>
      <c r="B286" s="15" t="s">
        <v>23</v>
      </c>
      <c r="C286" s="15" t="s">
        <v>19</v>
      </c>
      <c r="D286" s="15" t="s">
        <v>31</v>
      </c>
      <c r="E286" s="15">
        <v>19</v>
      </c>
      <c r="F286" s="15">
        <v>10</v>
      </c>
      <c r="G286" s="15" t="s">
        <v>32</v>
      </c>
      <c r="H286" s="15" t="s">
        <v>20</v>
      </c>
      <c r="I286" s="15" t="s">
        <v>400</v>
      </c>
      <c r="J286" s="15">
        <v>53</v>
      </c>
    </row>
    <row r="287" spans="1:10" x14ac:dyDescent="0.3">
      <c r="A287" s="15" t="s">
        <v>573</v>
      </c>
      <c r="B287" s="15" t="s">
        <v>54</v>
      </c>
      <c r="C287" s="15" t="s">
        <v>24</v>
      </c>
      <c r="D287" s="15" t="s">
        <v>13</v>
      </c>
      <c r="E287" s="15">
        <v>19</v>
      </c>
      <c r="F287" s="15">
        <v>9</v>
      </c>
      <c r="G287" s="15" t="s">
        <v>43</v>
      </c>
      <c r="H287" s="15" t="s">
        <v>46</v>
      </c>
      <c r="I287" s="15" t="s">
        <v>574</v>
      </c>
      <c r="J287" s="15">
        <v>94</v>
      </c>
    </row>
    <row r="288" spans="1:10" x14ac:dyDescent="0.3">
      <c r="A288" s="15" t="s">
        <v>575</v>
      </c>
      <c r="B288" s="15" t="s">
        <v>35</v>
      </c>
      <c r="C288" s="15" t="s">
        <v>30</v>
      </c>
      <c r="D288" s="15" t="s">
        <v>31</v>
      </c>
      <c r="E288" s="15">
        <v>14</v>
      </c>
      <c r="F288" s="15">
        <v>10</v>
      </c>
      <c r="G288" s="15" t="s">
        <v>32</v>
      </c>
      <c r="H288" s="15" t="s">
        <v>40</v>
      </c>
      <c r="I288" s="15" t="s">
        <v>576</v>
      </c>
      <c r="J288" s="15">
        <v>50</v>
      </c>
    </row>
    <row r="289" spans="1:10" x14ac:dyDescent="0.3">
      <c r="A289" s="15" t="s">
        <v>577</v>
      </c>
      <c r="B289" s="15" t="s">
        <v>84</v>
      </c>
      <c r="C289" s="15" t="s">
        <v>79</v>
      </c>
      <c r="D289" s="15" t="s">
        <v>31</v>
      </c>
      <c r="E289" s="15">
        <v>15</v>
      </c>
      <c r="F289" s="15">
        <v>11</v>
      </c>
      <c r="G289" s="15" t="s">
        <v>25</v>
      </c>
      <c r="H289" s="15" t="s">
        <v>40</v>
      </c>
      <c r="I289" s="15" t="s">
        <v>578</v>
      </c>
      <c r="J289" s="15">
        <v>72</v>
      </c>
    </row>
    <row r="290" spans="1:10" x14ac:dyDescent="0.3">
      <c r="A290" s="15" t="s">
        <v>579</v>
      </c>
      <c r="B290" s="15" t="s">
        <v>51</v>
      </c>
      <c r="C290" s="15" t="s">
        <v>55</v>
      </c>
      <c r="D290" s="15" t="s">
        <v>31</v>
      </c>
      <c r="E290" s="15">
        <v>20</v>
      </c>
      <c r="F290" s="15">
        <v>9</v>
      </c>
      <c r="G290" s="15" t="s">
        <v>25</v>
      </c>
      <c r="H290" s="15" t="s">
        <v>26</v>
      </c>
      <c r="I290" s="15" t="s">
        <v>212</v>
      </c>
      <c r="J290" s="15">
        <v>35</v>
      </c>
    </row>
    <row r="291" spans="1:10" x14ac:dyDescent="0.3">
      <c r="A291" s="15" t="s">
        <v>580</v>
      </c>
      <c r="B291" s="15" t="s">
        <v>29</v>
      </c>
      <c r="C291" s="15" t="s">
        <v>36</v>
      </c>
      <c r="D291" s="15" t="s">
        <v>13</v>
      </c>
      <c r="E291" s="15">
        <v>17</v>
      </c>
      <c r="F291" s="15">
        <v>10</v>
      </c>
      <c r="G291" s="15" t="s">
        <v>32</v>
      </c>
      <c r="H291" s="15" t="s">
        <v>15</v>
      </c>
      <c r="I291" s="15" t="s">
        <v>581</v>
      </c>
      <c r="J291" s="15">
        <v>37</v>
      </c>
    </row>
    <row r="292" spans="1:10" x14ac:dyDescent="0.3">
      <c r="A292" s="15" t="s">
        <v>582</v>
      </c>
      <c r="B292" s="15" t="s">
        <v>51</v>
      </c>
      <c r="C292" s="15" t="s">
        <v>55</v>
      </c>
      <c r="D292" s="15" t="s">
        <v>31</v>
      </c>
      <c r="E292" s="15">
        <v>14</v>
      </c>
      <c r="F292" s="15">
        <v>11</v>
      </c>
      <c r="G292" s="15" t="s">
        <v>25</v>
      </c>
      <c r="H292" s="15" t="s">
        <v>37</v>
      </c>
      <c r="I292" s="15" t="s">
        <v>583</v>
      </c>
      <c r="J292" s="15">
        <v>47</v>
      </c>
    </row>
    <row r="293" spans="1:10" x14ac:dyDescent="0.3">
      <c r="A293" s="15" t="s">
        <v>584</v>
      </c>
      <c r="B293" s="15" t="s">
        <v>68</v>
      </c>
      <c r="C293" s="15" t="s">
        <v>55</v>
      </c>
      <c r="D293" s="15" t="s">
        <v>31</v>
      </c>
      <c r="E293" s="15">
        <v>16</v>
      </c>
      <c r="F293" s="15">
        <v>9</v>
      </c>
      <c r="G293" s="15" t="s">
        <v>14</v>
      </c>
      <c r="H293" s="15" t="s">
        <v>61</v>
      </c>
      <c r="I293" s="15" t="s">
        <v>585</v>
      </c>
      <c r="J293" s="15">
        <v>59</v>
      </c>
    </row>
    <row r="294" spans="1:10" x14ac:dyDescent="0.3">
      <c r="A294" s="15" t="s">
        <v>586</v>
      </c>
      <c r="B294" s="15" t="s">
        <v>11</v>
      </c>
      <c r="C294" s="15" t="s">
        <v>24</v>
      </c>
      <c r="D294" s="15" t="s">
        <v>31</v>
      </c>
      <c r="E294" s="15">
        <v>17</v>
      </c>
      <c r="F294" s="15">
        <v>11</v>
      </c>
      <c r="G294" s="15" t="s">
        <v>43</v>
      </c>
      <c r="H294" s="15" t="s">
        <v>61</v>
      </c>
      <c r="I294" s="15" t="s">
        <v>587</v>
      </c>
      <c r="J294" s="15">
        <v>73</v>
      </c>
    </row>
    <row r="295" spans="1:10" x14ac:dyDescent="0.3">
      <c r="A295" s="15" t="s">
        <v>588</v>
      </c>
      <c r="B295" s="15" t="s">
        <v>68</v>
      </c>
      <c r="C295" s="15" t="s">
        <v>85</v>
      </c>
      <c r="D295" s="15" t="s">
        <v>31</v>
      </c>
      <c r="E295" s="15">
        <v>17</v>
      </c>
      <c r="F295" s="15">
        <v>9</v>
      </c>
      <c r="G295" s="15" t="s">
        <v>25</v>
      </c>
      <c r="H295" s="15" t="s">
        <v>61</v>
      </c>
      <c r="I295" s="15" t="s">
        <v>589</v>
      </c>
      <c r="J295" s="15">
        <v>45</v>
      </c>
    </row>
    <row r="296" spans="1:10" x14ac:dyDescent="0.3">
      <c r="A296" s="15" t="s">
        <v>590</v>
      </c>
      <c r="B296" s="15" t="s">
        <v>35</v>
      </c>
      <c r="C296" s="15" t="s">
        <v>12</v>
      </c>
      <c r="D296" s="15" t="s">
        <v>13</v>
      </c>
      <c r="E296" s="15">
        <v>14</v>
      </c>
      <c r="F296" s="15">
        <v>11</v>
      </c>
      <c r="G296" s="15" t="s">
        <v>25</v>
      </c>
      <c r="H296" s="15" t="s">
        <v>20</v>
      </c>
      <c r="I296" s="15" t="s">
        <v>591</v>
      </c>
      <c r="J296" s="15">
        <v>64</v>
      </c>
    </row>
    <row r="297" spans="1:10" x14ac:dyDescent="0.3">
      <c r="A297" s="15" t="s">
        <v>592</v>
      </c>
      <c r="B297" s="15" t="s">
        <v>51</v>
      </c>
      <c r="C297" s="15" t="s">
        <v>19</v>
      </c>
      <c r="D297" s="15" t="s">
        <v>31</v>
      </c>
      <c r="E297" s="15">
        <v>18</v>
      </c>
      <c r="F297" s="15">
        <v>10</v>
      </c>
      <c r="G297" s="15" t="s">
        <v>43</v>
      </c>
      <c r="H297" s="15" t="s">
        <v>76</v>
      </c>
      <c r="I297" s="15" t="s">
        <v>593</v>
      </c>
      <c r="J297" s="15">
        <v>98</v>
      </c>
    </row>
    <row r="298" spans="1:10" x14ac:dyDescent="0.3">
      <c r="A298" s="15" t="s">
        <v>594</v>
      </c>
      <c r="B298" s="15" t="s">
        <v>54</v>
      </c>
      <c r="C298" s="15" t="s">
        <v>55</v>
      </c>
      <c r="D298" s="15" t="s">
        <v>13</v>
      </c>
      <c r="E298" s="15">
        <v>20</v>
      </c>
      <c r="F298" s="15">
        <v>11</v>
      </c>
      <c r="G298" s="15" t="s">
        <v>43</v>
      </c>
      <c r="H298" s="15" t="s">
        <v>40</v>
      </c>
      <c r="I298" s="15" t="s">
        <v>595</v>
      </c>
      <c r="J298" s="15">
        <v>84</v>
      </c>
    </row>
    <row r="299" spans="1:10" x14ac:dyDescent="0.3">
      <c r="A299" s="15" t="s">
        <v>596</v>
      </c>
      <c r="B299" s="15" t="s">
        <v>11</v>
      </c>
      <c r="C299" s="15" t="s">
        <v>30</v>
      </c>
      <c r="D299" s="15" t="s">
        <v>13</v>
      </c>
      <c r="E299" s="15">
        <v>14</v>
      </c>
      <c r="F299" s="15">
        <v>9</v>
      </c>
      <c r="G299" s="15" t="s">
        <v>25</v>
      </c>
      <c r="H299" s="15" t="s">
        <v>76</v>
      </c>
      <c r="I299" s="15" t="s">
        <v>447</v>
      </c>
      <c r="J299" s="15">
        <v>62</v>
      </c>
    </row>
    <row r="300" spans="1:10" x14ac:dyDescent="0.3">
      <c r="A300" s="15" t="s">
        <v>597</v>
      </c>
      <c r="B300" s="15" t="s">
        <v>18</v>
      </c>
      <c r="C300" s="15" t="s">
        <v>85</v>
      </c>
      <c r="D300" s="15" t="s">
        <v>31</v>
      </c>
      <c r="E300" s="15">
        <v>18</v>
      </c>
      <c r="F300" s="15">
        <v>11</v>
      </c>
      <c r="G300" s="15" t="s">
        <v>43</v>
      </c>
      <c r="H300" s="15" t="s">
        <v>40</v>
      </c>
      <c r="I300" s="15" t="s">
        <v>598</v>
      </c>
      <c r="J300" s="15">
        <v>55</v>
      </c>
    </row>
    <row r="301" spans="1:10" x14ac:dyDescent="0.3">
      <c r="A301" s="15" t="s">
        <v>599</v>
      </c>
      <c r="B301" s="15" t="s">
        <v>84</v>
      </c>
      <c r="C301" s="15" t="s">
        <v>30</v>
      </c>
      <c r="D301" s="15" t="s">
        <v>13</v>
      </c>
      <c r="E301" s="15">
        <v>17</v>
      </c>
      <c r="F301" s="15">
        <v>11</v>
      </c>
      <c r="G301" s="15" t="s">
        <v>43</v>
      </c>
      <c r="H301" s="15" t="s">
        <v>15</v>
      </c>
      <c r="I301" s="15" t="s">
        <v>600</v>
      </c>
      <c r="J301" s="15">
        <v>73</v>
      </c>
    </row>
    <row r="302" spans="1:10" x14ac:dyDescent="0.3">
      <c r="A302" s="15" t="s">
        <v>601</v>
      </c>
      <c r="B302" s="15" t="s">
        <v>73</v>
      </c>
      <c r="C302" s="15" t="s">
        <v>55</v>
      </c>
      <c r="D302" s="15" t="s">
        <v>31</v>
      </c>
      <c r="E302" s="15">
        <v>17</v>
      </c>
      <c r="F302" s="15">
        <v>11</v>
      </c>
      <c r="G302" s="15" t="s">
        <v>43</v>
      </c>
      <c r="H302" s="15" t="s">
        <v>61</v>
      </c>
      <c r="I302" s="15" t="s">
        <v>502</v>
      </c>
      <c r="J302" s="15">
        <v>76</v>
      </c>
    </row>
    <row r="303" spans="1:10" x14ac:dyDescent="0.3">
      <c r="A303" s="15" t="s">
        <v>602</v>
      </c>
      <c r="B303" s="15" t="s">
        <v>23</v>
      </c>
      <c r="C303" s="15" t="s">
        <v>19</v>
      </c>
      <c r="D303" s="15" t="s">
        <v>13</v>
      </c>
      <c r="E303" s="15">
        <v>15</v>
      </c>
      <c r="F303" s="15">
        <v>12</v>
      </c>
      <c r="G303" s="15" t="s">
        <v>14</v>
      </c>
      <c r="H303" s="15" t="s">
        <v>61</v>
      </c>
      <c r="I303" s="15" t="s">
        <v>603</v>
      </c>
      <c r="J303" s="15">
        <v>54</v>
      </c>
    </row>
    <row r="304" spans="1:10" x14ac:dyDescent="0.3">
      <c r="A304" s="15" t="s">
        <v>604</v>
      </c>
      <c r="B304" s="15" t="s">
        <v>51</v>
      </c>
      <c r="C304" s="15" t="s">
        <v>85</v>
      </c>
      <c r="D304" s="15" t="s">
        <v>31</v>
      </c>
      <c r="E304" s="15">
        <v>20</v>
      </c>
      <c r="F304" s="15">
        <v>12</v>
      </c>
      <c r="G304" s="15" t="s">
        <v>25</v>
      </c>
      <c r="H304" s="15" t="s">
        <v>26</v>
      </c>
      <c r="I304" s="15" t="s">
        <v>299</v>
      </c>
      <c r="J304" s="15">
        <v>69</v>
      </c>
    </row>
    <row r="305" spans="1:10" x14ac:dyDescent="0.3">
      <c r="A305" s="15" t="s">
        <v>605</v>
      </c>
      <c r="B305" s="15" t="s">
        <v>54</v>
      </c>
      <c r="C305" s="15" t="s">
        <v>19</v>
      </c>
      <c r="D305" s="15" t="s">
        <v>31</v>
      </c>
      <c r="E305" s="15">
        <v>20</v>
      </c>
      <c r="F305" s="15">
        <v>10</v>
      </c>
      <c r="G305" s="15" t="s">
        <v>43</v>
      </c>
      <c r="H305" s="15" t="s">
        <v>37</v>
      </c>
      <c r="I305" s="15" t="s">
        <v>606</v>
      </c>
      <c r="J305" s="15">
        <v>99</v>
      </c>
    </row>
    <row r="306" spans="1:10" x14ac:dyDescent="0.3">
      <c r="A306" s="15" t="s">
        <v>607</v>
      </c>
      <c r="B306" s="15" t="s">
        <v>68</v>
      </c>
      <c r="C306" s="15" t="s">
        <v>55</v>
      </c>
      <c r="D306" s="15" t="s">
        <v>13</v>
      </c>
      <c r="E306" s="15">
        <v>19</v>
      </c>
      <c r="F306" s="15">
        <v>11</v>
      </c>
      <c r="G306" s="15" t="s">
        <v>25</v>
      </c>
      <c r="H306" s="15" t="s">
        <v>20</v>
      </c>
      <c r="I306" s="15" t="s">
        <v>608</v>
      </c>
      <c r="J306" s="15">
        <v>43</v>
      </c>
    </row>
    <row r="307" spans="1:10" x14ac:dyDescent="0.3">
      <c r="A307" s="15" t="s">
        <v>609</v>
      </c>
      <c r="B307" s="15" t="s">
        <v>68</v>
      </c>
      <c r="C307" s="15" t="s">
        <v>58</v>
      </c>
      <c r="D307" s="15" t="s">
        <v>13</v>
      </c>
      <c r="E307" s="15">
        <v>14</v>
      </c>
      <c r="F307" s="15">
        <v>10</v>
      </c>
      <c r="G307" s="15" t="s">
        <v>25</v>
      </c>
      <c r="H307" s="15" t="s">
        <v>37</v>
      </c>
      <c r="I307" s="15" t="s">
        <v>610</v>
      </c>
      <c r="J307" s="15">
        <v>90</v>
      </c>
    </row>
    <row r="308" spans="1:10" x14ac:dyDescent="0.3">
      <c r="A308" s="15" t="s">
        <v>611</v>
      </c>
      <c r="B308" s="15" t="s">
        <v>18</v>
      </c>
      <c r="C308" s="15" t="s">
        <v>24</v>
      </c>
      <c r="D308" s="15" t="s">
        <v>31</v>
      </c>
      <c r="E308" s="15">
        <v>19</v>
      </c>
      <c r="F308" s="15">
        <v>12</v>
      </c>
      <c r="G308" s="15" t="s">
        <v>43</v>
      </c>
      <c r="H308" s="15" t="s">
        <v>26</v>
      </c>
      <c r="I308" s="15" t="s">
        <v>612</v>
      </c>
      <c r="J308" s="15">
        <v>82</v>
      </c>
    </row>
    <row r="309" spans="1:10" x14ac:dyDescent="0.3">
      <c r="A309" s="15" t="s">
        <v>613</v>
      </c>
      <c r="B309" s="15" t="s">
        <v>68</v>
      </c>
      <c r="C309" s="15" t="s">
        <v>85</v>
      </c>
      <c r="D309" s="15" t="s">
        <v>31</v>
      </c>
      <c r="E309" s="15">
        <v>15</v>
      </c>
      <c r="F309" s="15">
        <v>9</v>
      </c>
      <c r="G309" s="15" t="s">
        <v>32</v>
      </c>
      <c r="H309" s="15" t="s">
        <v>37</v>
      </c>
      <c r="I309" s="15" t="s">
        <v>614</v>
      </c>
      <c r="J309" s="15">
        <v>39</v>
      </c>
    </row>
    <row r="310" spans="1:10" x14ac:dyDescent="0.3">
      <c r="A310" s="15" t="s">
        <v>615</v>
      </c>
      <c r="B310" s="15" t="s">
        <v>18</v>
      </c>
      <c r="C310" s="15" t="s">
        <v>12</v>
      </c>
      <c r="D310" s="15" t="s">
        <v>13</v>
      </c>
      <c r="E310" s="15">
        <v>17</v>
      </c>
      <c r="F310" s="15">
        <v>12</v>
      </c>
      <c r="G310" s="15" t="s">
        <v>14</v>
      </c>
      <c r="H310" s="15" t="s">
        <v>61</v>
      </c>
      <c r="I310" s="15" t="s">
        <v>616</v>
      </c>
      <c r="J310" s="15">
        <v>99</v>
      </c>
    </row>
    <row r="311" spans="1:10" x14ac:dyDescent="0.3">
      <c r="A311" s="15" t="s">
        <v>617</v>
      </c>
      <c r="B311" s="15" t="s">
        <v>35</v>
      </c>
      <c r="C311" s="15" t="s">
        <v>12</v>
      </c>
      <c r="D311" s="15" t="s">
        <v>13</v>
      </c>
      <c r="E311" s="15">
        <v>15</v>
      </c>
      <c r="F311" s="15">
        <v>9</v>
      </c>
      <c r="G311" s="15" t="s">
        <v>25</v>
      </c>
      <c r="H311" s="15" t="s">
        <v>46</v>
      </c>
      <c r="I311" s="15" t="s">
        <v>155</v>
      </c>
      <c r="J311" s="15">
        <v>85</v>
      </c>
    </row>
    <row r="312" spans="1:10" x14ac:dyDescent="0.3">
      <c r="A312" s="15" t="s">
        <v>618</v>
      </c>
      <c r="B312" s="15" t="s">
        <v>73</v>
      </c>
      <c r="C312" s="15" t="s">
        <v>85</v>
      </c>
      <c r="D312" s="15" t="s">
        <v>31</v>
      </c>
      <c r="E312" s="15">
        <v>14</v>
      </c>
      <c r="F312" s="15">
        <v>11</v>
      </c>
      <c r="G312" s="15" t="s">
        <v>25</v>
      </c>
      <c r="H312" s="15" t="s">
        <v>20</v>
      </c>
      <c r="I312" s="15" t="s">
        <v>619</v>
      </c>
      <c r="J312" s="15">
        <v>67</v>
      </c>
    </row>
    <row r="313" spans="1:10" x14ac:dyDescent="0.3">
      <c r="A313" s="15" t="s">
        <v>620</v>
      </c>
      <c r="B313" s="15" t="s">
        <v>84</v>
      </c>
      <c r="C313" s="15" t="s">
        <v>24</v>
      </c>
      <c r="D313" s="15" t="s">
        <v>31</v>
      </c>
      <c r="E313" s="15">
        <v>19</v>
      </c>
      <c r="F313" s="15">
        <v>12</v>
      </c>
      <c r="G313" s="15" t="s">
        <v>14</v>
      </c>
      <c r="H313" s="15" t="s">
        <v>61</v>
      </c>
      <c r="I313" s="15" t="s">
        <v>621</v>
      </c>
      <c r="J313" s="15">
        <v>77</v>
      </c>
    </row>
    <row r="314" spans="1:10" x14ac:dyDescent="0.3">
      <c r="A314" s="15" t="s">
        <v>622</v>
      </c>
      <c r="B314" s="15" t="s">
        <v>23</v>
      </c>
      <c r="C314" s="15" t="s">
        <v>96</v>
      </c>
      <c r="D314" s="15" t="s">
        <v>31</v>
      </c>
      <c r="E314" s="15">
        <v>17</v>
      </c>
      <c r="F314" s="15">
        <v>12</v>
      </c>
      <c r="G314" s="15" t="s">
        <v>43</v>
      </c>
      <c r="H314" s="15" t="s">
        <v>46</v>
      </c>
      <c r="I314" s="15" t="s">
        <v>170</v>
      </c>
      <c r="J314" s="15">
        <v>62</v>
      </c>
    </row>
    <row r="315" spans="1:10" x14ac:dyDescent="0.3">
      <c r="A315" s="15" t="s">
        <v>623</v>
      </c>
      <c r="B315" s="15" t="s">
        <v>29</v>
      </c>
      <c r="C315" s="15" t="s">
        <v>12</v>
      </c>
      <c r="D315" s="15" t="s">
        <v>31</v>
      </c>
      <c r="E315" s="15">
        <v>19</v>
      </c>
      <c r="F315" s="15">
        <v>11</v>
      </c>
      <c r="G315" s="15" t="s">
        <v>25</v>
      </c>
      <c r="H315" s="15" t="s">
        <v>76</v>
      </c>
      <c r="I315" s="15" t="s">
        <v>624</v>
      </c>
      <c r="J315" s="15">
        <v>49</v>
      </c>
    </row>
    <row r="316" spans="1:10" x14ac:dyDescent="0.3">
      <c r="A316" s="15" t="s">
        <v>625</v>
      </c>
      <c r="B316" s="15" t="s">
        <v>68</v>
      </c>
      <c r="C316" s="15" t="s">
        <v>96</v>
      </c>
      <c r="D316" s="15" t="s">
        <v>31</v>
      </c>
      <c r="E316" s="15">
        <v>19</v>
      </c>
      <c r="F316" s="15">
        <v>12</v>
      </c>
      <c r="G316" s="15" t="s">
        <v>32</v>
      </c>
      <c r="H316" s="15" t="s">
        <v>15</v>
      </c>
      <c r="I316" s="15" t="s">
        <v>626</v>
      </c>
      <c r="J316" s="15">
        <v>86</v>
      </c>
    </row>
    <row r="317" spans="1:10" x14ac:dyDescent="0.3">
      <c r="A317" s="15" t="s">
        <v>627</v>
      </c>
      <c r="B317" s="15" t="s">
        <v>35</v>
      </c>
      <c r="C317" s="15" t="s">
        <v>85</v>
      </c>
      <c r="D317" s="15" t="s">
        <v>31</v>
      </c>
      <c r="E317" s="15">
        <v>16</v>
      </c>
      <c r="F317" s="15">
        <v>9</v>
      </c>
      <c r="G317" s="15" t="s">
        <v>43</v>
      </c>
      <c r="H317" s="15" t="s">
        <v>20</v>
      </c>
      <c r="I317" s="15" t="s">
        <v>628</v>
      </c>
      <c r="J317" s="15">
        <v>84</v>
      </c>
    </row>
    <row r="318" spans="1:10" x14ac:dyDescent="0.3">
      <c r="A318" s="15" t="s">
        <v>629</v>
      </c>
      <c r="B318" s="15" t="s">
        <v>35</v>
      </c>
      <c r="C318" s="15" t="s">
        <v>58</v>
      </c>
      <c r="D318" s="15" t="s">
        <v>13</v>
      </c>
      <c r="E318" s="15">
        <v>18</v>
      </c>
      <c r="F318" s="15">
        <v>9</v>
      </c>
      <c r="G318" s="15" t="s">
        <v>25</v>
      </c>
      <c r="H318" s="15" t="s">
        <v>76</v>
      </c>
      <c r="I318" s="15" t="s">
        <v>105</v>
      </c>
      <c r="J318" s="15">
        <v>82</v>
      </c>
    </row>
    <row r="319" spans="1:10" x14ac:dyDescent="0.3">
      <c r="A319" s="15" t="s">
        <v>630</v>
      </c>
      <c r="B319" s="15" t="s">
        <v>84</v>
      </c>
      <c r="C319" s="15" t="s">
        <v>96</v>
      </c>
      <c r="D319" s="15" t="s">
        <v>31</v>
      </c>
      <c r="E319" s="15">
        <v>19</v>
      </c>
      <c r="F319" s="15">
        <v>10</v>
      </c>
      <c r="G319" s="15" t="s">
        <v>43</v>
      </c>
      <c r="H319" s="15" t="s">
        <v>20</v>
      </c>
      <c r="I319" s="15" t="s">
        <v>631</v>
      </c>
      <c r="J319" s="15">
        <v>63</v>
      </c>
    </row>
    <row r="320" spans="1:10" x14ac:dyDescent="0.3">
      <c r="A320" s="15" t="s">
        <v>632</v>
      </c>
      <c r="B320" s="15" t="s">
        <v>54</v>
      </c>
      <c r="C320" s="15" t="s">
        <v>55</v>
      </c>
      <c r="D320" s="15" t="s">
        <v>31</v>
      </c>
      <c r="E320" s="15">
        <v>19</v>
      </c>
      <c r="F320" s="15">
        <v>11</v>
      </c>
      <c r="G320" s="15" t="s">
        <v>25</v>
      </c>
      <c r="H320" s="15" t="s">
        <v>61</v>
      </c>
      <c r="I320" s="15" t="s">
        <v>633</v>
      </c>
      <c r="J320" s="15">
        <v>82</v>
      </c>
    </row>
    <row r="321" spans="1:10" x14ac:dyDescent="0.3">
      <c r="A321" s="15" t="s">
        <v>634</v>
      </c>
      <c r="B321" s="15" t="s">
        <v>54</v>
      </c>
      <c r="C321" s="15" t="s">
        <v>30</v>
      </c>
      <c r="D321" s="15" t="s">
        <v>31</v>
      </c>
      <c r="E321" s="15">
        <v>15</v>
      </c>
      <c r="F321" s="15">
        <v>9</v>
      </c>
      <c r="G321" s="15" t="s">
        <v>25</v>
      </c>
      <c r="H321" s="15" t="s">
        <v>40</v>
      </c>
      <c r="I321" s="15" t="s">
        <v>635</v>
      </c>
      <c r="J321" s="15">
        <v>53</v>
      </c>
    </row>
    <row r="322" spans="1:10" x14ac:dyDescent="0.3">
      <c r="A322" s="15" t="s">
        <v>636</v>
      </c>
      <c r="B322" s="15" t="s">
        <v>11</v>
      </c>
      <c r="C322" s="15" t="s">
        <v>79</v>
      </c>
      <c r="D322" s="15" t="s">
        <v>13</v>
      </c>
      <c r="E322" s="15">
        <v>19</v>
      </c>
      <c r="F322" s="15">
        <v>9</v>
      </c>
      <c r="G322" s="15" t="s">
        <v>32</v>
      </c>
      <c r="H322" s="15" t="s">
        <v>76</v>
      </c>
      <c r="I322" s="15" t="s">
        <v>637</v>
      </c>
      <c r="J322" s="15">
        <v>97</v>
      </c>
    </row>
    <row r="323" spans="1:10" x14ac:dyDescent="0.3">
      <c r="A323" s="15" t="s">
        <v>638</v>
      </c>
      <c r="B323" s="15" t="s">
        <v>54</v>
      </c>
      <c r="C323" s="15" t="s">
        <v>12</v>
      </c>
      <c r="D323" s="15" t="s">
        <v>31</v>
      </c>
      <c r="E323" s="15">
        <v>15</v>
      </c>
      <c r="F323" s="15">
        <v>12</v>
      </c>
      <c r="G323" s="15" t="s">
        <v>43</v>
      </c>
      <c r="H323" s="15" t="s">
        <v>76</v>
      </c>
      <c r="I323" s="15" t="s">
        <v>639</v>
      </c>
      <c r="J323" s="15">
        <v>51</v>
      </c>
    </row>
    <row r="324" spans="1:10" x14ac:dyDescent="0.3">
      <c r="A324" s="15" t="s">
        <v>640</v>
      </c>
      <c r="B324" s="15" t="s">
        <v>84</v>
      </c>
      <c r="C324" s="15" t="s">
        <v>79</v>
      </c>
      <c r="D324" s="15" t="s">
        <v>31</v>
      </c>
      <c r="E324" s="15">
        <v>14</v>
      </c>
      <c r="F324" s="15">
        <v>9</v>
      </c>
      <c r="G324" s="15" t="s">
        <v>14</v>
      </c>
      <c r="H324" s="15" t="s">
        <v>37</v>
      </c>
      <c r="I324" s="15" t="s">
        <v>641</v>
      </c>
      <c r="J324" s="15">
        <v>43</v>
      </c>
    </row>
    <row r="325" spans="1:10" x14ac:dyDescent="0.3">
      <c r="A325" s="15" t="s">
        <v>642</v>
      </c>
      <c r="B325" s="15" t="s">
        <v>18</v>
      </c>
      <c r="C325" s="15" t="s">
        <v>19</v>
      </c>
      <c r="D325" s="15" t="s">
        <v>13</v>
      </c>
      <c r="E325" s="15">
        <v>14</v>
      </c>
      <c r="F325" s="15">
        <v>9</v>
      </c>
      <c r="G325" s="15" t="s">
        <v>43</v>
      </c>
      <c r="H325" s="15" t="s">
        <v>20</v>
      </c>
      <c r="I325" s="15" t="s">
        <v>643</v>
      </c>
      <c r="J325" s="15">
        <v>57</v>
      </c>
    </row>
    <row r="326" spans="1:10" x14ac:dyDescent="0.3">
      <c r="A326" s="15" t="s">
        <v>644</v>
      </c>
      <c r="B326" s="15" t="s">
        <v>51</v>
      </c>
      <c r="C326" s="15" t="s">
        <v>36</v>
      </c>
      <c r="D326" s="15" t="s">
        <v>31</v>
      </c>
      <c r="E326" s="15">
        <v>16</v>
      </c>
      <c r="F326" s="15">
        <v>11</v>
      </c>
      <c r="G326" s="15" t="s">
        <v>43</v>
      </c>
      <c r="H326" s="15" t="s">
        <v>20</v>
      </c>
      <c r="I326" s="15" t="s">
        <v>645</v>
      </c>
      <c r="J326" s="15">
        <v>81</v>
      </c>
    </row>
    <row r="327" spans="1:10" x14ac:dyDescent="0.3">
      <c r="A327" s="15" t="s">
        <v>646</v>
      </c>
      <c r="B327" s="15" t="s">
        <v>84</v>
      </c>
      <c r="C327" s="15" t="s">
        <v>12</v>
      </c>
      <c r="D327" s="15" t="s">
        <v>31</v>
      </c>
      <c r="E327" s="15">
        <v>17</v>
      </c>
      <c r="F327" s="15">
        <v>12</v>
      </c>
      <c r="G327" s="15" t="s">
        <v>25</v>
      </c>
      <c r="H327" s="15" t="s">
        <v>76</v>
      </c>
      <c r="I327" s="15" t="s">
        <v>647</v>
      </c>
      <c r="J327" s="15">
        <v>83</v>
      </c>
    </row>
    <row r="328" spans="1:10" x14ac:dyDescent="0.3">
      <c r="A328" s="15" t="s">
        <v>648</v>
      </c>
      <c r="B328" s="15" t="s">
        <v>51</v>
      </c>
      <c r="C328" s="15" t="s">
        <v>79</v>
      </c>
      <c r="D328" s="15" t="s">
        <v>13</v>
      </c>
      <c r="E328" s="15">
        <v>14</v>
      </c>
      <c r="F328" s="15">
        <v>9</v>
      </c>
      <c r="G328" s="15" t="s">
        <v>25</v>
      </c>
      <c r="H328" s="15" t="s">
        <v>15</v>
      </c>
      <c r="I328" s="15" t="s">
        <v>649</v>
      </c>
      <c r="J328" s="15">
        <v>77</v>
      </c>
    </row>
    <row r="329" spans="1:10" x14ac:dyDescent="0.3">
      <c r="A329" s="15" t="s">
        <v>650</v>
      </c>
      <c r="B329" s="15" t="s">
        <v>23</v>
      </c>
      <c r="C329" s="15" t="s">
        <v>24</v>
      </c>
      <c r="D329" s="15" t="s">
        <v>13</v>
      </c>
      <c r="E329" s="15">
        <v>17</v>
      </c>
      <c r="F329" s="15">
        <v>12</v>
      </c>
      <c r="G329" s="15" t="s">
        <v>25</v>
      </c>
      <c r="H329" s="15" t="s">
        <v>46</v>
      </c>
      <c r="I329" s="15" t="s">
        <v>651</v>
      </c>
      <c r="J329" s="15">
        <v>45</v>
      </c>
    </row>
    <row r="330" spans="1:10" x14ac:dyDescent="0.3">
      <c r="A330" s="15" t="s">
        <v>652</v>
      </c>
      <c r="B330" s="15" t="s">
        <v>51</v>
      </c>
      <c r="C330" s="15" t="s">
        <v>55</v>
      </c>
      <c r="D330" s="15" t="s">
        <v>13</v>
      </c>
      <c r="E330" s="15">
        <v>16</v>
      </c>
      <c r="F330" s="15">
        <v>12</v>
      </c>
      <c r="G330" s="15" t="s">
        <v>32</v>
      </c>
      <c r="H330" s="15" t="s">
        <v>61</v>
      </c>
      <c r="I330" s="15" t="s">
        <v>653</v>
      </c>
      <c r="J330" s="15">
        <v>45</v>
      </c>
    </row>
    <row r="331" spans="1:10" x14ac:dyDescent="0.3">
      <c r="A331" s="15" t="s">
        <v>654</v>
      </c>
      <c r="B331" s="15" t="s">
        <v>18</v>
      </c>
      <c r="C331" s="15" t="s">
        <v>24</v>
      </c>
      <c r="D331" s="15" t="s">
        <v>31</v>
      </c>
      <c r="E331" s="15">
        <v>14</v>
      </c>
      <c r="F331" s="15">
        <v>12</v>
      </c>
      <c r="G331" s="15" t="s">
        <v>14</v>
      </c>
      <c r="H331" s="15" t="s">
        <v>46</v>
      </c>
      <c r="I331" s="15" t="s">
        <v>655</v>
      </c>
      <c r="J331" s="15">
        <v>42</v>
      </c>
    </row>
    <row r="332" spans="1:10" x14ac:dyDescent="0.3">
      <c r="A332" s="15" t="s">
        <v>656</v>
      </c>
      <c r="B332" s="15" t="s">
        <v>29</v>
      </c>
      <c r="C332" s="15" t="s">
        <v>30</v>
      </c>
      <c r="D332" s="15" t="s">
        <v>13</v>
      </c>
      <c r="E332" s="15">
        <v>19</v>
      </c>
      <c r="F332" s="15">
        <v>10</v>
      </c>
      <c r="G332" s="15" t="s">
        <v>43</v>
      </c>
      <c r="H332" s="15" t="s">
        <v>15</v>
      </c>
      <c r="I332" s="15" t="s">
        <v>657</v>
      </c>
      <c r="J332" s="15">
        <v>85</v>
      </c>
    </row>
    <row r="333" spans="1:10" x14ac:dyDescent="0.3">
      <c r="A333" s="15" t="s">
        <v>658</v>
      </c>
      <c r="B333" s="15" t="s">
        <v>11</v>
      </c>
      <c r="C333" s="15" t="s">
        <v>96</v>
      </c>
      <c r="D333" s="15" t="s">
        <v>31</v>
      </c>
      <c r="E333" s="15">
        <v>20</v>
      </c>
      <c r="F333" s="15">
        <v>10</v>
      </c>
      <c r="G333" s="15" t="s">
        <v>43</v>
      </c>
      <c r="H333" s="15" t="s">
        <v>37</v>
      </c>
      <c r="I333" s="15" t="s">
        <v>659</v>
      </c>
      <c r="J333" s="15">
        <v>62</v>
      </c>
    </row>
    <row r="334" spans="1:10" x14ac:dyDescent="0.3">
      <c r="A334" s="15" t="s">
        <v>660</v>
      </c>
      <c r="B334" s="15" t="s">
        <v>23</v>
      </c>
      <c r="C334" s="15" t="s">
        <v>12</v>
      </c>
      <c r="D334" s="15" t="s">
        <v>13</v>
      </c>
      <c r="E334" s="15">
        <v>16</v>
      </c>
      <c r="F334" s="15">
        <v>11</v>
      </c>
      <c r="G334" s="15" t="s">
        <v>25</v>
      </c>
      <c r="H334" s="15" t="s">
        <v>40</v>
      </c>
      <c r="I334" s="15" t="s">
        <v>41</v>
      </c>
      <c r="J334" s="15">
        <v>86</v>
      </c>
    </row>
    <row r="335" spans="1:10" x14ac:dyDescent="0.3">
      <c r="A335" s="15" t="s">
        <v>661</v>
      </c>
      <c r="B335" s="15" t="s">
        <v>54</v>
      </c>
      <c r="C335" s="15" t="s">
        <v>12</v>
      </c>
      <c r="D335" s="15" t="s">
        <v>31</v>
      </c>
      <c r="E335" s="15">
        <v>19</v>
      </c>
      <c r="F335" s="15">
        <v>10</v>
      </c>
      <c r="G335" s="15" t="s">
        <v>14</v>
      </c>
      <c r="H335" s="15" t="s">
        <v>76</v>
      </c>
      <c r="I335" s="15" t="s">
        <v>662</v>
      </c>
      <c r="J335" s="15">
        <v>54</v>
      </c>
    </row>
    <row r="336" spans="1:10" x14ac:dyDescent="0.3">
      <c r="A336" s="15" t="s">
        <v>663</v>
      </c>
      <c r="B336" s="15" t="s">
        <v>73</v>
      </c>
      <c r="C336" s="15" t="s">
        <v>36</v>
      </c>
      <c r="D336" s="15" t="s">
        <v>13</v>
      </c>
      <c r="E336" s="15">
        <v>20</v>
      </c>
      <c r="F336" s="15">
        <v>12</v>
      </c>
      <c r="G336" s="15" t="s">
        <v>25</v>
      </c>
      <c r="H336" s="15" t="s">
        <v>40</v>
      </c>
      <c r="I336" s="15" t="s">
        <v>664</v>
      </c>
      <c r="J336" s="15">
        <v>50</v>
      </c>
    </row>
    <row r="337" spans="1:10" x14ac:dyDescent="0.3">
      <c r="A337" s="15" t="s">
        <v>665</v>
      </c>
      <c r="B337" s="15" t="s">
        <v>51</v>
      </c>
      <c r="C337" s="15" t="s">
        <v>96</v>
      </c>
      <c r="D337" s="15" t="s">
        <v>13</v>
      </c>
      <c r="E337" s="15">
        <v>14</v>
      </c>
      <c r="F337" s="15">
        <v>10</v>
      </c>
      <c r="G337" s="15" t="s">
        <v>14</v>
      </c>
      <c r="H337" s="15" t="s">
        <v>37</v>
      </c>
      <c r="I337" s="15" t="s">
        <v>666</v>
      </c>
      <c r="J337" s="15">
        <v>68</v>
      </c>
    </row>
    <row r="338" spans="1:10" x14ac:dyDescent="0.3">
      <c r="A338" s="15" t="s">
        <v>667</v>
      </c>
      <c r="B338" s="15" t="s">
        <v>35</v>
      </c>
      <c r="C338" s="15" t="s">
        <v>12</v>
      </c>
      <c r="D338" s="15" t="s">
        <v>31</v>
      </c>
      <c r="E338" s="15">
        <v>15</v>
      </c>
      <c r="F338" s="15">
        <v>12</v>
      </c>
      <c r="G338" s="15" t="s">
        <v>14</v>
      </c>
      <c r="H338" s="15" t="s">
        <v>46</v>
      </c>
      <c r="I338" s="15" t="s">
        <v>668</v>
      </c>
      <c r="J338" s="15">
        <v>82</v>
      </c>
    </row>
    <row r="339" spans="1:10" x14ac:dyDescent="0.3">
      <c r="A339" s="15" t="s">
        <v>669</v>
      </c>
      <c r="B339" s="15" t="s">
        <v>11</v>
      </c>
      <c r="C339" s="15" t="s">
        <v>24</v>
      </c>
      <c r="D339" s="15" t="s">
        <v>13</v>
      </c>
      <c r="E339" s="15">
        <v>19</v>
      </c>
      <c r="F339" s="15">
        <v>9</v>
      </c>
      <c r="G339" s="15" t="s">
        <v>32</v>
      </c>
      <c r="H339" s="15" t="s">
        <v>40</v>
      </c>
      <c r="I339" s="15" t="s">
        <v>670</v>
      </c>
      <c r="J339" s="15">
        <v>51</v>
      </c>
    </row>
    <row r="340" spans="1:10" x14ac:dyDescent="0.3">
      <c r="A340" s="15" t="s">
        <v>671</v>
      </c>
      <c r="B340" s="15" t="s">
        <v>11</v>
      </c>
      <c r="C340" s="15" t="s">
        <v>36</v>
      </c>
      <c r="D340" s="15" t="s">
        <v>13</v>
      </c>
      <c r="E340" s="15">
        <v>14</v>
      </c>
      <c r="F340" s="15">
        <v>10</v>
      </c>
      <c r="G340" s="15" t="s">
        <v>32</v>
      </c>
      <c r="H340" s="15" t="s">
        <v>40</v>
      </c>
      <c r="I340" s="15" t="s">
        <v>672</v>
      </c>
      <c r="J340" s="15">
        <v>64</v>
      </c>
    </row>
    <row r="341" spans="1:10" x14ac:dyDescent="0.3">
      <c r="A341" s="15" t="s">
        <v>673</v>
      </c>
      <c r="B341" s="15" t="s">
        <v>11</v>
      </c>
      <c r="C341" s="15" t="s">
        <v>19</v>
      </c>
      <c r="D341" s="15" t="s">
        <v>31</v>
      </c>
      <c r="E341" s="15">
        <v>17</v>
      </c>
      <c r="F341" s="15">
        <v>10</v>
      </c>
      <c r="G341" s="15" t="s">
        <v>32</v>
      </c>
      <c r="H341" s="15" t="s">
        <v>46</v>
      </c>
      <c r="I341" s="15" t="s">
        <v>674</v>
      </c>
      <c r="J341" s="15">
        <v>85</v>
      </c>
    </row>
    <row r="342" spans="1:10" x14ac:dyDescent="0.3">
      <c r="A342" s="15" t="s">
        <v>675</v>
      </c>
      <c r="B342" s="15" t="s">
        <v>73</v>
      </c>
      <c r="C342" s="15" t="s">
        <v>24</v>
      </c>
      <c r="D342" s="15" t="s">
        <v>13</v>
      </c>
      <c r="E342" s="15">
        <v>19</v>
      </c>
      <c r="F342" s="15">
        <v>11</v>
      </c>
      <c r="G342" s="15" t="s">
        <v>14</v>
      </c>
      <c r="H342" s="15" t="s">
        <v>37</v>
      </c>
      <c r="I342" s="15" t="s">
        <v>676</v>
      </c>
      <c r="J342" s="15">
        <v>51</v>
      </c>
    </row>
    <row r="343" spans="1:10" x14ac:dyDescent="0.3">
      <c r="A343" s="15" t="s">
        <v>677</v>
      </c>
      <c r="B343" s="15" t="s">
        <v>23</v>
      </c>
      <c r="C343" s="15" t="s">
        <v>85</v>
      </c>
      <c r="D343" s="15" t="s">
        <v>13</v>
      </c>
      <c r="E343" s="15">
        <v>20</v>
      </c>
      <c r="F343" s="15">
        <v>10</v>
      </c>
      <c r="G343" s="15" t="s">
        <v>32</v>
      </c>
      <c r="H343" s="15" t="s">
        <v>40</v>
      </c>
      <c r="I343" s="15" t="s">
        <v>678</v>
      </c>
      <c r="J343" s="15">
        <v>56</v>
      </c>
    </row>
    <row r="344" spans="1:10" x14ac:dyDescent="0.3">
      <c r="A344" s="15" t="s">
        <v>679</v>
      </c>
      <c r="B344" s="15" t="s">
        <v>18</v>
      </c>
      <c r="C344" s="15" t="s">
        <v>96</v>
      </c>
      <c r="D344" s="15" t="s">
        <v>13</v>
      </c>
      <c r="E344" s="15">
        <v>14</v>
      </c>
      <c r="F344" s="15">
        <v>12</v>
      </c>
      <c r="G344" s="15" t="s">
        <v>32</v>
      </c>
      <c r="H344" s="15" t="s">
        <v>46</v>
      </c>
      <c r="I344" s="15" t="s">
        <v>680</v>
      </c>
      <c r="J344" s="15">
        <v>44</v>
      </c>
    </row>
    <row r="345" spans="1:10" x14ac:dyDescent="0.3">
      <c r="A345" s="15" t="s">
        <v>681</v>
      </c>
      <c r="B345" s="15" t="s">
        <v>35</v>
      </c>
      <c r="C345" s="15" t="s">
        <v>36</v>
      </c>
      <c r="D345" s="15" t="s">
        <v>13</v>
      </c>
      <c r="E345" s="15">
        <v>14</v>
      </c>
      <c r="F345" s="15">
        <v>9</v>
      </c>
      <c r="G345" s="15" t="s">
        <v>43</v>
      </c>
      <c r="H345" s="15" t="s">
        <v>46</v>
      </c>
      <c r="I345" s="15" t="s">
        <v>682</v>
      </c>
      <c r="J345" s="15">
        <v>67</v>
      </c>
    </row>
    <row r="346" spans="1:10" x14ac:dyDescent="0.3">
      <c r="A346" s="15" t="s">
        <v>683</v>
      </c>
      <c r="B346" s="15" t="s">
        <v>84</v>
      </c>
      <c r="C346" s="15" t="s">
        <v>55</v>
      </c>
      <c r="D346" s="15" t="s">
        <v>31</v>
      </c>
      <c r="E346" s="15">
        <v>16</v>
      </c>
      <c r="F346" s="15">
        <v>12</v>
      </c>
      <c r="G346" s="15" t="s">
        <v>14</v>
      </c>
      <c r="H346" s="15" t="s">
        <v>76</v>
      </c>
      <c r="I346" s="15" t="s">
        <v>125</v>
      </c>
      <c r="J346" s="15">
        <v>60</v>
      </c>
    </row>
    <row r="347" spans="1:10" x14ac:dyDescent="0.3">
      <c r="A347" s="15" t="s">
        <v>684</v>
      </c>
      <c r="B347" s="15" t="s">
        <v>54</v>
      </c>
      <c r="C347" s="15" t="s">
        <v>24</v>
      </c>
      <c r="D347" s="15" t="s">
        <v>31</v>
      </c>
      <c r="E347" s="15">
        <v>17</v>
      </c>
      <c r="F347" s="15">
        <v>10</v>
      </c>
      <c r="G347" s="15" t="s">
        <v>43</v>
      </c>
      <c r="H347" s="15" t="s">
        <v>46</v>
      </c>
      <c r="I347" s="15" t="s">
        <v>685</v>
      </c>
      <c r="J347" s="15">
        <v>74</v>
      </c>
    </row>
    <row r="348" spans="1:10" x14ac:dyDescent="0.3">
      <c r="A348" s="15" t="s">
        <v>686</v>
      </c>
      <c r="B348" s="15" t="s">
        <v>23</v>
      </c>
      <c r="C348" s="15" t="s">
        <v>96</v>
      </c>
      <c r="D348" s="15" t="s">
        <v>31</v>
      </c>
      <c r="E348" s="15">
        <v>16</v>
      </c>
      <c r="F348" s="15">
        <v>9</v>
      </c>
      <c r="G348" s="15" t="s">
        <v>25</v>
      </c>
      <c r="H348" s="15" t="s">
        <v>20</v>
      </c>
      <c r="I348" s="15" t="s">
        <v>277</v>
      </c>
      <c r="J348" s="15">
        <v>71</v>
      </c>
    </row>
    <row r="349" spans="1:10" x14ac:dyDescent="0.3">
      <c r="A349" s="15" t="s">
        <v>687</v>
      </c>
      <c r="B349" s="15" t="s">
        <v>84</v>
      </c>
      <c r="C349" s="15" t="s">
        <v>19</v>
      </c>
      <c r="D349" s="15" t="s">
        <v>13</v>
      </c>
      <c r="E349" s="15">
        <v>16</v>
      </c>
      <c r="F349" s="15">
        <v>10</v>
      </c>
      <c r="G349" s="15" t="s">
        <v>25</v>
      </c>
      <c r="H349" s="15" t="s">
        <v>46</v>
      </c>
      <c r="I349" s="15" t="s">
        <v>564</v>
      </c>
      <c r="J349" s="15">
        <v>52</v>
      </c>
    </row>
    <row r="350" spans="1:10" x14ac:dyDescent="0.3">
      <c r="A350" s="15" t="s">
        <v>688</v>
      </c>
      <c r="B350" s="15" t="s">
        <v>23</v>
      </c>
      <c r="C350" s="15" t="s">
        <v>96</v>
      </c>
      <c r="D350" s="15" t="s">
        <v>31</v>
      </c>
      <c r="E350" s="15">
        <v>19</v>
      </c>
      <c r="F350" s="15">
        <v>10</v>
      </c>
      <c r="G350" s="15" t="s">
        <v>25</v>
      </c>
      <c r="H350" s="15" t="s">
        <v>40</v>
      </c>
      <c r="I350" s="15" t="s">
        <v>195</v>
      </c>
      <c r="J350" s="15">
        <v>55</v>
      </c>
    </row>
    <row r="351" spans="1:10" x14ac:dyDescent="0.3">
      <c r="A351" s="15" t="s">
        <v>689</v>
      </c>
      <c r="B351" s="15" t="s">
        <v>68</v>
      </c>
      <c r="C351" s="15" t="s">
        <v>96</v>
      </c>
      <c r="D351" s="15" t="s">
        <v>13</v>
      </c>
      <c r="E351" s="15">
        <v>20</v>
      </c>
      <c r="F351" s="15">
        <v>12</v>
      </c>
      <c r="G351" s="15" t="s">
        <v>43</v>
      </c>
      <c r="H351" s="15" t="s">
        <v>20</v>
      </c>
      <c r="I351" s="15" t="s">
        <v>626</v>
      </c>
      <c r="J351" s="15">
        <v>48</v>
      </c>
    </row>
    <row r="352" spans="1:10" x14ac:dyDescent="0.3">
      <c r="A352" s="15" t="s">
        <v>690</v>
      </c>
      <c r="B352" s="15" t="s">
        <v>23</v>
      </c>
      <c r="C352" s="15" t="s">
        <v>85</v>
      </c>
      <c r="D352" s="15" t="s">
        <v>13</v>
      </c>
      <c r="E352" s="15">
        <v>19</v>
      </c>
      <c r="F352" s="15">
        <v>9</v>
      </c>
      <c r="G352" s="15" t="s">
        <v>14</v>
      </c>
      <c r="H352" s="15" t="s">
        <v>76</v>
      </c>
      <c r="I352" s="15" t="s">
        <v>635</v>
      </c>
      <c r="J352" s="15">
        <v>91</v>
      </c>
    </row>
    <row r="353" spans="1:10" x14ac:dyDescent="0.3">
      <c r="A353" s="15" t="s">
        <v>691</v>
      </c>
      <c r="B353" s="15" t="s">
        <v>84</v>
      </c>
      <c r="C353" s="15" t="s">
        <v>55</v>
      </c>
      <c r="D353" s="15" t="s">
        <v>13</v>
      </c>
      <c r="E353" s="15">
        <v>16</v>
      </c>
      <c r="F353" s="15">
        <v>10</v>
      </c>
      <c r="G353" s="15" t="s">
        <v>43</v>
      </c>
      <c r="H353" s="15" t="s">
        <v>46</v>
      </c>
      <c r="I353" s="15" t="s">
        <v>692</v>
      </c>
      <c r="J353" s="15">
        <v>91</v>
      </c>
    </row>
    <row r="354" spans="1:10" x14ac:dyDescent="0.3">
      <c r="A354" s="15" t="s">
        <v>693</v>
      </c>
      <c r="B354" s="15" t="s">
        <v>73</v>
      </c>
      <c r="C354" s="15" t="s">
        <v>58</v>
      </c>
      <c r="D354" s="15" t="s">
        <v>31</v>
      </c>
      <c r="E354" s="15">
        <v>16</v>
      </c>
      <c r="F354" s="15">
        <v>11</v>
      </c>
      <c r="G354" s="15" t="s">
        <v>25</v>
      </c>
      <c r="H354" s="15" t="s">
        <v>37</v>
      </c>
      <c r="I354" s="15" t="s">
        <v>694</v>
      </c>
      <c r="J354" s="15">
        <v>65</v>
      </c>
    </row>
    <row r="355" spans="1:10" x14ac:dyDescent="0.3">
      <c r="A355" s="15" t="s">
        <v>695</v>
      </c>
      <c r="B355" s="15" t="s">
        <v>51</v>
      </c>
      <c r="C355" s="15" t="s">
        <v>24</v>
      </c>
      <c r="D355" s="15" t="s">
        <v>13</v>
      </c>
      <c r="E355" s="15">
        <v>17</v>
      </c>
      <c r="F355" s="15">
        <v>9</v>
      </c>
      <c r="G355" s="15" t="s">
        <v>32</v>
      </c>
      <c r="H355" s="15" t="s">
        <v>15</v>
      </c>
      <c r="I355" s="15" t="s">
        <v>696</v>
      </c>
      <c r="J355" s="15">
        <v>69</v>
      </c>
    </row>
    <row r="356" spans="1:10" x14ac:dyDescent="0.3">
      <c r="A356" s="15" t="s">
        <v>697</v>
      </c>
      <c r="B356" s="15" t="s">
        <v>29</v>
      </c>
      <c r="C356" s="15" t="s">
        <v>30</v>
      </c>
      <c r="D356" s="15" t="s">
        <v>31</v>
      </c>
      <c r="E356" s="15">
        <v>19</v>
      </c>
      <c r="F356" s="15">
        <v>10</v>
      </c>
      <c r="G356" s="15" t="s">
        <v>25</v>
      </c>
      <c r="H356" s="15" t="s">
        <v>61</v>
      </c>
      <c r="I356" s="15" t="s">
        <v>698</v>
      </c>
      <c r="J356" s="15">
        <v>75</v>
      </c>
    </row>
    <row r="357" spans="1:10" x14ac:dyDescent="0.3">
      <c r="A357" s="15" t="s">
        <v>699</v>
      </c>
      <c r="B357" s="15" t="s">
        <v>11</v>
      </c>
      <c r="C357" s="15" t="s">
        <v>30</v>
      </c>
      <c r="D357" s="15" t="s">
        <v>31</v>
      </c>
      <c r="E357" s="15">
        <v>16</v>
      </c>
      <c r="F357" s="15">
        <v>11</v>
      </c>
      <c r="G357" s="15" t="s">
        <v>43</v>
      </c>
      <c r="H357" s="15" t="s">
        <v>40</v>
      </c>
      <c r="I357" s="15" t="s">
        <v>97</v>
      </c>
      <c r="J357" s="15">
        <v>72</v>
      </c>
    </row>
    <row r="358" spans="1:10" x14ac:dyDescent="0.3">
      <c r="A358" s="15" t="s">
        <v>700</v>
      </c>
      <c r="B358" s="15" t="s">
        <v>23</v>
      </c>
      <c r="C358" s="15" t="s">
        <v>55</v>
      </c>
      <c r="D358" s="15" t="s">
        <v>31</v>
      </c>
      <c r="E358" s="15">
        <v>20</v>
      </c>
      <c r="F358" s="15">
        <v>10</v>
      </c>
      <c r="G358" s="15" t="s">
        <v>14</v>
      </c>
      <c r="H358" s="15" t="s">
        <v>15</v>
      </c>
      <c r="I358" s="15" t="s">
        <v>678</v>
      </c>
      <c r="J358" s="15">
        <v>59</v>
      </c>
    </row>
    <row r="359" spans="1:10" x14ac:dyDescent="0.3">
      <c r="A359" s="15" t="s">
        <v>701</v>
      </c>
      <c r="B359" s="15" t="s">
        <v>54</v>
      </c>
      <c r="C359" s="15" t="s">
        <v>30</v>
      </c>
      <c r="D359" s="15" t="s">
        <v>31</v>
      </c>
      <c r="E359" s="15">
        <v>15</v>
      </c>
      <c r="F359" s="15">
        <v>11</v>
      </c>
      <c r="G359" s="15" t="s">
        <v>14</v>
      </c>
      <c r="H359" s="15" t="s">
        <v>76</v>
      </c>
      <c r="I359" s="15" t="s">
        <v>702</v>
      </c>
      <c r="J359" s="15">
        <v>42</v>
      </c>
    </row>
    <row r="360" spans="1:10" x14ac:dyDescent="0.3">
      <c r="A360" s="15" t="s">
        <v>703</v>
      </c>
      <c r="B360" s="15" t="s">
        <v>73</v>
      </c>
      <c r="C360" s="15" t="s">
        <v>30</v>
      </c>
      <c r="D360" s="15" t="s">
        <v>31</v>
      </c>
      <c r="E360" s="15">
        <v>17</v>
      </c>
      <c r="F360" s="15">
        <v>12</v>
      </c>
      <c r="G360" s="15" t="s">
        <v>32</v>
      </c>
      <c r="H360" s="15" t="s">
        <v>40</v>
      </c>
      <c r="I360" s="15" t="s">
        <v>704</v>
      </c>
      <c r="J360" s="15">
        <v>93</v>
      </c>
    </row>
    <row r="361" spans="1:10" x14ac:dyDescent="0.3">
      <c r="A361" s="15" t="s">
        <v>705</v>
      </c>
      <c r="B361" s="15" t="s">
        <v>84</v>
      </c>
      <c r="C361" s="15" t="s">
        <v>55</v>
      </c>
      <c r="D361" s="15" t="s">
        <v>31</v>
      </c>
      <c r="E361" s="15">
        <v>14</v>
      </c>
      <c r="F361" s="15">
        <v>12</v>
      </c>
      <c r="G361" s="15" t="s">
        <v>43</v>
      </c>
      <c r="H361" s="15" t="s">
        <v>76</v>
      </c>
      <c r="I361" s="15" t="s">
        <v>706</v>
      </c>
      <c r="J361" s="15">
        <v>63</v>
      </c>
    </row>
    <row r="362" spans="1:10" x14ac:dyDescent="0.3">
      <c r="A362" s="15" t="s">
        <v>707</v>
      </c>
      <c r="B362" s="15" t="s">
        <v>68</v>
      </c>
      <c r="C362" s="15" t="s">
        <v>96</v>
      </c>
      <c r="D362" s="15" t="s">
        <v>31</v>
      </c>
      <c r="E362" s="15">
        <v>20</v>
      </c>
      <c r="F362" s="15">
        <v>12</v>
      </c>
      <c r="G362" s="15" t="s">
        <v>43</v>
      </c>
      <c r="H362" s="15" t="s">
        <v>37</v>
      </c>
      <c r="I362" s="15" t="s">
        <v>708</v>
      </c>
      <c r="J362" s="15">
        <v>35</v>
      </c>
    </row>
    <row r="363" spans="1:10" x14ac:dyDescent="0.3">
      <c r="A363" s="15" t="s">
        <v>709</v>
      </c>
      <c r="B363" s="15" t="s">
        <v>54</v>
      </c>
      <c r="C363" s="15" t="s">
        <v>19</v>
      </c>
      <c r="D363" s="15" t="s">
        <v>31</v>
      </c>
      <c r="E363" s="15">
        <v>18</v>
      </c>
      <c r="F363" s="15">
        <v>10</v>
      </c>
      <c r="G363" s="15" t="s">
        <v>43</v>
      </c>
      <c r="H363" s="15" t="s">
        <v>37</v>
      </c>
      <c r="I363" s="15" t="s">
        <v>710</v>
      </c>
      <c r="J363" s="15">
        <v>89</v>
      </c>
    </row>
    <row r="364" spans="1:10" x14ac:dyDescent="0.3">
      <c r="A364" s="15" t="s">
        <v>711</v>
      </c>
      <c r="B364" s="15" t="s">
        <v>29</v>
      </c>
      <c r="C364" s="15" t="s">
        <v>79</v>
      </c>
      <c r="D364" s="15" t="s">
        <v>13</v>
      </c>
      <c r="E364" s="15">
        <v>14</v>
      </c>
      <c r="F364" s="15">
        <v>9</v>
      </c>
      <c r="G364" s="15" t="s">
        <v>32</v>
      </c>
      <c r="H364" s="15" t="s">
        <v>15</v>
      </c>
      <c r="I364" s="15" t="s">
        <v>712</v>
      </c>
      <c r="J364" s="15">
        <v>72</v>
      </c>
    </row>
    <row r="365" spans="1:10" x14ac:dyDescent="0.3">
      <c r="A365" s="15" t="s">
        <v>713</v>
      </c>
      <c r="B365" s="15" t="s">
        <v>29</v>
      </c>
      <c r="C365" s="15" t="s">
        <v>24</v>
      </c>
      <c r="D365" s="15" t="s">
        <v>31</v>
      </c>
      <c r="E365" s="15">
        <v>16</v>
      </c>
      <c r="F365" s="15">
        <v>12</v>
      </c>
      <c r="G365" s="15" t="s">
        <v>32</v>
      </c>
      <c r="H365" s="15" t="s">
        <v>26</v>
      </c>
      <c r="I365" s="15" t="s">
        <v>714</v>
      </c>
      <c r="J365" s="15">
        <v>57</v>
      </c>
    </row>
    <row r="366" spans="1:10" x14ac:dyDescent="0.3">
      <c r="A366" s="15" t="s">
        <v>715</v>
      </c>
      <c r="B366" s="15" t="s">
        <v>51</v>
      </c>
      <c r="C366" s="15" t="s">
        <v>79</v>
      </c>
      <c r="D366" s="15" t="s">
        <v>13</v>
      </c>
      <c r="E366" s="15">
        <v>19</v>
      </c>
      <c r="F366" s="15">
        <v>10</v>
      </c>
      <c r="G366" s="15" t="s">
        <v>32</v>
      </c>
      <c r="H366" s="15" t="s">
        <v>40</v>
      </c>
      <c r="I366" s="15" t="s">
        <v>702</v>
      </c>
      <c r="J366" s="15">
        <v>84</v>
      </c>
    </row>
    <row r="367" spans="1:10" x14ac:dyDescent="0.3">
      <c r="A367" s="15" t="s">
        <v>716</v>
      </c>
      <c r="B367" s="15" t="s">
        <v>23</v>
      </c>
      <c r="C367" s="15" t="s">
        <v>58</v>
      </c>
      <c r="D367" s="15" t="s">
        <v>31</v>
      </c>
      <c r="E367" s="15">
        <v>17</v>
      </c>
      <c r="F367" s="15">
        <v>9</v>
      </c>
      <c r="G367" s="15" t="s">
        <v>25</v>
      </c>
      <c r="H367" s="15" t="s">
        <v>15</v>
      </c>
      <c r="I367" s="15" t="s">
        <v>717</v>
      </c>
      <c r="J367" s="15">
        <v>51</v>
      </c>
    </row>
    <row r="368" spans="1:10" x14ac:dyDescent="0.3">
      <c r="A368" s="15" t="s">
        <v>718</v>
      </c>
      <c r="B368" s="15" t="s">
        <v>84</v>
      </c>
      <c r="C368" s="15" t="s">
        <v>12</v>
      </c>
      <c r="D368" s="15" t="s">
        <v>31</v>
      </c>
      <c r="E368" s="15">
        <v>20</v>
      </c>
      <c r="F368" s="15">
        <v>10</v>
      </c>
      <c r="G368" s="15" t="s">
        <v>25</v>
      </c>
      <c r="H368" s="15" t="s">
        <v>61</v>
      </c>
      <c r="I368" s="15" t="s">
        <v>639</v>
      </c>
      <c r="J368" s="15">
        <v>35</v>
      </c>
    </row>
    <row r="369" spans="1:10" x14ac:dyDescent="0.3">
      <c r="A369" s="15" t="s">
        <v>719</v>
      </c>
      <c r="B369" s="15" t="s">
        <v>18</v>
      </c>
      <c r="C369" s="15" t="s">
        <v>24</v>
      </c>
      <c r="D369" s="15" t="s">
        <v>31</v>
      </c>
      <c r="E369" s="15">
        <v>18</v>
      </c>
      <c r="F369" s="15">
        <v>11</v>
      </c>
      <c r="G369" s="15" t="s">
        <v>43</v>
      </c>
      <c r="H369" s="15" t="s">
        <v>40</v>
      </c>
      <c r="I369" s="15" t="s">
        <v>720</v>
      </c>
      <c r="J369" s="15">
        <v>83</v>
      </c>
    </row>
    <row r="370" spans="1:10" x14ac:dyDescent="0.3">
      <c r="A370" s="15" t="s">
        <v>721</v>
      </c>
      <c r="B370" s="15" t="s">
        <v>23</v>
      </c>
      <c r="C370" s="15" t="s">
        <v>19</v>
      </c>
      <c r="D370" s="15" t="s">
        <v>31</v>
      </c>
      <c r="E370" s="15">
        <v>18</v>
      </c>
      <c r="F370" s="15">
        <v>10</v>
      </c>
      <c r="G370" s="15" t="s">
        <v>14</v>
      </c>
      <c r="H370" s="15" t="s">
        <v>26</v>
      </c>
      <c r="I370" s="15" t="s">
        <v>722</v>
      </c>
      <c r="J370" s="15">
        <v>43</v>
      </c>
    </row>
    <row r="371" spans="1:10" x14ac:dyDescent="0.3">
      <c r="A371" s="15" t="s">
        <v>723</v>
      </c>
      <c r="B371" s="15" t="s">
        <v>68</v>
      </c>
      <c r="C371" s="15" t="s">
        <v>79</v>
      </c>
      <c r="D371" s="15" t="s">
        <v>31</v>
      </c>
      <c r="E371" s="15">
        <v>19</v>
      </c>
      <c r="F371" s="15">
        <v>12</v>
      </c>
      <c r="G371" s="15" t="s">
        <v>25</v>
      </c>
      <c r="H371" s="15" t="s">
        <v>40</v>
      </c>
      <c r="I371" s="15" t="s">
        <v>724</v>
      </c>
      <c r="J371" s="15">
        <v>65</v>
      </c>
    </row>
    <row r="372" spans="1:10" x14ac:dyDescent="0.3">
      <c r="A372" s="15" t="s">
        <v>725</v>
      </c>
      <c r="B372" s="15" t="s">
        <v>11</v>
      </c>
      <c r="C372" s="15" t="s">
        <v>55</v>
      </c>
      <c r="D372" s="15" t="s">
        <v>31</v>
      </c>
      <c r="E372" s="15">
        <v>15</v>
      </c>
      <c r="F372" s="15">
        <v>9</v>
      </c>
      <c r="G372" s="15" t="s">
        <v>25</v>
      </c>
      <c r="H372" s="15" t="s">
        <v>37</v>
      </c>
      <c r="I372" s="15" t="s">
        <v>726</v>
      </c>
      <c r="J372" s="15">
        <v>72</v>
      </c>
    </row>
    <row r="373" spans="1:10" x14ac:dyDescent="0.3">
      <c r="A373" s="15" t="s">
        <v>727</v>
      </c>
      <c r="B373" s="15" t="s">
        <v>68</v>
      </c>
      <c r="C373" s="15" t="s">
        <v>12</v>
      </c>
      <c r="D373" s="15" t="s">
        <v>13</v>
      </c>
      <c r="E373" s="15">
        <v>14</v>
      </c>
      <c r="F373" s="15">
        <v>9</v>
      </c>
      <c r="G373" s="15" t="s">
        <v>14</v>
      </c>
      <c r="H373" s="15" t="s">
        <v>20</v>
      </c>
      <c r="I373" s="15" t="s">
        <v>728</v>
      </c>
      <c r="J373" s="15">
        <v>68</v>
      </c>
    </row>
    <row r="374" spans="1:10" x14ac:dyDescent="0.3">
      <c r="A374" s="15" t="s">
        <v>729</v>
      </c>
      <c r="B374" s="15" t="s">
        <v>35</v>
      </c>
      <c r="C374" s="15" t="s">
        <v>79</v>
      </c>
      <c r="D374" s="15" t="s">
        <v>13</v>
      </c>
      <c r="E374" s="15">
        <v>15</v>
      </c>
      <c r="F374" s="15">
        <v>9</v>
      </c>
      <c r="G374" s="15" t="s">
        <v>43</v>
      </c>
      <c r="H374" s="15" t="s">
        <v>76</v>
      </c>
      <c r="I374" s="15" t="s">
        <v>730</v>
      </c>
      <c r="J374" s="15">
        <v>39</v>
      </c>
    </row>
    <row r="375" spans="1:10" x14ac:dyDescent="0.3">
      <c r="A375" s="15" t="s">
        <v>731</v>
      </c>
      <c r="B375" s="15" t="s">
        <v>84</v>
      </c>
      <c r="C375" s="15" t="s">
        <v>85</v>
      </c>
      <c r="D375" s="15" t="s">
        <v>31</v>
      </c>
      <c r="E375" s="15">
        <v>17</v>
      </c>
      <c r="F375" s="15">
        <v>9</v>
      </c>
      <c r="G375" s="15" t="s">
        <v>43</v>
      </c>
      <c r="H375" s="15" t="s">
        <v>76</v>
      </c>
      <c r="I375" s="15" t="s">
        <v>732</v>
      </c>
      <c r="J375" s="15">
        <v>97</v>
      </c>
    </row>
    <row r="376" spans="1:10" x14ac:dyDescent="0.3">
      <c r="A376" s="15" t="s">
        <v>733</v>
      </c>
      <c r="B376" s="15" t="s">
        <v>84</v>
      </c>
      <c r="C376" s="15" t="s">
        <v>85</v>
      </c>
      <c r="D376" s="15" t="s">
        <v>31</v>
      </c>
      <c r="E376" s="15">
        <v>17</v>
      </c>
      <c r="F376" s="15">
        <v>12</v>
      </c>
      <c r="G376" s="15" t="s">
        <v>43</v>
      </c>
      <c r="H376" s="15" t="s">
        <v>15</v>
      </c>
      <c r="I376" s="15" t="s">
        <v>734</v>
      </c>
      <c r="J376" s="15">
        <v>77</v>
      </c>
    </row>
    <row r="377" spans="1:10" x14ac:dyDescent="0.3">
      <c r="A377" s="15" t="s">
        <v>735</v>
      </c>
      <c r="B377" s="15" t="s">
        <v>68</v>
      </c>
      <c r="C377" s="15" t="s">
        <v>24</v>
      </c>
      <c r="D377" s="15" t="s">
        <v>31</v>
      </c>
      <c r="E377" s="15">
        <v>16</v>
      </c>
      <c r="F377" s="15">
        <v>12</v>
      </c>
      <c r="G377" s="15" t="s">
        <v>43</v>
      </c>
      <c r="H377" s="15" t="s">
        <v>26</v>
      </c>
      <c r="I377" s="15" t="s">
        <v>736</v>
      </c>
      <c r="J377" s="15">
        <v>85</v>
      </c>
    </row>
    <row r="378" spans="1:10" x14ac:dyDescent="0.3">
      <c r="A378" s="15" t="s">
        <v>737</v>
      </c>
      <c r="B378" s="15" t="s">
        <v>54</v>
      </c>
      <c r="C378" s="15" t="s">
        <v>96</v>
      </c>
      <c r="D378" s="15" t="s">
        <v>13</v>
      </c>
      <c r="E378" s="15">
        <v>19</v>
      </c>
      <c r="F378" s="15">
        <v>12</v>
      </c>
      <c r="G378" s="15" t="s">
        <v>25</v>
      </c>
      <c r="H378" s="15" t="s">
        <v>20</v>
      </c>
      <c r="I378" s="15" t="s">
        <v>738</v>
      </c>
      <c r="J378" s="15">
        <v>85</v>
      </c>
    </row>
    <row r="379" spans="1:10" x14ac:dyDescent="0.3">
      <c r="A379" s="15" t="s">
        <v>739</v>
      </c>
      <c r="B379" s="15" t="s">
        <v>18</v>
      </c>
      <c r="C379" s="15" t="s">
        <v>79</v>
      </c>
      <c r="D379" s="15" t="s">
        <v>31</v>
      </c>
      <c r="E379" s="15">
        <v>14</v>
      </c>
      <c r="F379" s="15">
        <v>10</v>
      </c>
      <c r="G379" s="15" t="s">
        <v>32</v>
      </c>
      <c r="H379" s="15" t="s">
        <v>20</v>
      </c>
      <c r="I379" s="15" t="s">
        <v>740</v>
      </c>
      <c r="J379" s="15">
        <v>99</v>
      </c>
    </row>
    <row r="380" spans="1:10" x14ac:dyDescent="0.3">
      <c r="A380" s="15" t="s">
        <v>741</v>
      </c>
      <c r="B380" s="15" t="s">
        <v>54</v>
      </c>
      <c r="C380" s="15" t="s">
        <v>24</v>
      </c>
      <c r="D380" s="15" t="s">
        <v>13</v>
      </c>
      <c r="E380" s="15">
        <v>14</v>
      </c>
      <c r="F380" s="15">
        <v>9</v>
      </c>
      <c r="G380" s="15" t="s">
        <v>14</v>
      </c>
      <c r="H380" s="15" t="s">
        <v>76</v>
      </c>
      <c r="I380" s="15" t="s">
        <v>742</v>
      </c>
      <c r="J380" s="15">
        <v>55</v>
      </c>
    </row>
    <row r="381" spans="1:10" x14ac:dyDescent="0.3">
      <c r="A381" s="15" t="s">
        <v>743</v>
      </c>
      <c r="B381" s="15" t="s">
        <v>84</v>
      </c>
      <c r="C381" s="15" t="s">
        <v>19</v>
      </c>
      <c r="D381" s="15" t="s">
        <v>13</v>
      </c>
      <c r="E381" s="15">
        <v>15</v>
      </c>
      <c r="F381" s="15">
        <v>10</v>
      </c>
      <c r="G381" s="15" t="s">
        <v>43</v>
      </c>
      <c r="H381" s="15" t="s">
        <v>26</v>
      </c>
      <c r="I381" s="15" t="s">
        <v>744</v>
      </c>
      <c r="J381" s="15">
        <v>60</v>
      </c>
    </row>
    <row r="382" spans="1:10" x14ac:dyDescent="0.3">
      <c r="A382" s="15" t="s">
        <v>745</v>
      </c>
      <c r="B382" s="15" t="s">
        <v>73</v>
      </c>
      <c r="C382" s="15" t="s">
        <v>36</v>
      </c>
      <c r="D382" s="15" t="s">
        <v>13</v>
      </c>
      <c r="E382" s="15">
        <v>16</v>
      </c>
      <c r="F382" s="15">
        <v>9</v>
      </c>
      <c r="G382" s="15" t="s">
        <v>32</v>
      </c>
      <c r="H382" s="15" t="s">
        <v>76</v>
      </c>
      <c r="I382" s="15" t="s">
        <v>746</v>
      </c>
      <c r="J382" s="15">
        <v>38</v>
      </c>
    </row>
    <row r="383" spans="1:10" x14ac:dyDescent="0.3">
      <c r="A383" s="15" t="s">
        <v>747</v>
      </c>
      <c r="B383" s="15" t="s">
        <v>51</v>
      </c>
      <c r="C383" s="15" t="s">
        <v>96</v>
      </c>
      <c r="D383" s="15" t="s">
        <v>13</v>
      </c>
      <c r="E383" s="15">
        <v>17</v>
      </c>
      <c r="F383" s="15">
        <v>12</v>
      </c>
      <c r="G383" s="15" t="s">
        <v>14</v>
      </c>
      <c r="H383" s="15" t="s">
        <v>26</v>
      </c>
      <c r="I383" s="15" t="s">
        <v>748</v>
      </c>
      <c r="J383" s="15">
        <v>67</v>
      </c>
    </row>
    <row r="384" spans="1:10" x14ac:dyDescent="0.3">
      <c r="A384" s="15" t="s">
        <v>749</v>
      </c>
      <c r="B384" s="15" t="s">
        <v>84</v>
      </c>
      <c r="C384" s="15" t="s">
        <v>30</v>
      </c>
      <c r="D384" s="15" t="s">
        <v>13</v>
      </c>
      <c r="E384" s="15">
        <v>15</v>
      </c>
      <c r="F384" s="15">
        <v>12</v>
      </c>
      <c r="G384" s="15" t="s">
        <v>25</v>
      </c>
      <c r="H384" s="15" t="s">
        <v>61</v>
      </c>
      <c r="I384" s="15" t="s">
        <v>750</v>
      </c>
      <c r="J384" s="15">
        <v>95</v>
      </c>
    </row>
    <row r="385" spans="1:10" x14ac:dyDescent="0.3">
      <c r="A385" s="15" t="s">
        <v>751</v>
      </c>
      <c r="B385" s="15" t="s">
        <v>73</v>
      </c>
      <c r="C385" s="15" t="s">
        <v>79</v>
      </c>
      <c r="D385" s="15" t="s">
        <v>31</v>
      </c>
      <c r="E385" s="15">
        <v>20</v>
      </c>
      <c r="F385" s="15">
        <v>12</v>
      </c>
      <c r="G385" s="15" t="s">
        <v>25</v>
      </c>
      <c r="H385" s="15" t="s">
        <v>76</v>
      </c>
      <c r="I385" s="15" t="s">
        <v>752</v>
      </c>
      <c r="J385" s="15">
        <v>91</v>
      </c>
    </row>
    <row r="386" spans="1:10" x14ac:dyDescent="0.3">
      <c r="A386" s="15" t="s">
        <v>753</v>
      </c>
      <c r="B386" s="15" t="s">
        <v>73</v>
      </c>
      <c r="C386" s="15" t="s">
        <v>24</v>
      </c>
      <c r="D386" s="15" t="s">
        <v>13</v>
      </c>
      <c r="E386" s="15">
        <v>18</v>
      </c>
      <c r="F386" s="15">
        <v>11</v>
      </c>
      <c r="G386" s="15" t="s">
        <v>32</v>
      </c>
      <c r="H386" s="15" t="s">
        <v>40</v>
      </c>
      <c r="I386" s="15" t="s">
        <v>313</v>
      </c>
      <c r="J386" s="15">
        <v>58</v>
      </c>
    </row>
    <row r="387" spans="1:10" x14ac:dyDescent="0.3">
      <c r="A387" s="15" t="s">
        <v>754</v>
      </c>
      <c r="B387" s="15" t="s">
        <v>54</v>
      </c>
      <c r="C387" s="15" t="s">
        <v>12</v>
      </c>
      <c r="D387" s="15" t="s">
        <v>13</v>
      </c>
      <c r="E387" s="15">
        <v>14</v>
      </c>
      <c r="F387" s="15">
        <v>12</v>
      </c>
      <c r="G387" s="15" t="s">
        <v>32</v>
      </c>
      <c r="H387" s="15" t="s">
        <v>20</v>
      </c>
      <c r="I387" s="15" t="s">
        <v>755</v>
      </c>
      <c r="J387" s="15">
        <v>98</v>
      </c>
    </row>
    <row r="388" spans="1:10" x14ac:dyDescent="0.3">
      <c r="A388" s="15" t="s">
        <v>756</v>
      </c>
      <c r="B388" s="15" t="s">
        <v>11</v>
      </c>
      <c r="C388" s="15" t="s">
        <v>30</v>
      </c>
      <c r="D388" s="15" t="s">
        <v>13</v>
      </c>
      <c r="E388" s="15">
        <v>15</v>
      </c>
      <c r="F388" s="15">
        <v>11</v>
      </c>
      <c r="G388" s="15" t="s">
        <v>14</v>
      </c>
      <c r="H388" s="15" t="s">
        <v>76</v>
      </c>
      <c r="I388" s="15" t="s">
        <v>757</v>
      </c>
      <c r="J388" s="15">
        <v>39</v>
      </c>
    </row>
    <row r="389" spans="1:10" x14ac:dyDescent="0.3">
      <c r="A389" s="15" t="s">
        <v>758</v>
      </c>
      <c r="B389" s="15" t="s">
        <v>73</v>
      </c>
      <c r="C389" s="15" t="s">
        <v>12</v>
      </c>
      <c r="D389" s="15" t="s">
        <v>31</v>
      </c>
      <c r="E389" s="15">
        <v>16</v>
      </c>
      <c r="F389" s="15">
        <v>11</v>
      </c>
      <c r="G389" s="15" t="s">
        <v>43</v>
      </c>
      <c r="H389" s="15" t="s">
        <v>40</v>
      </c>
      <c r="I389" s="15" t="s">
        <v>759</v>
      </c>
      <c r="J389" s="15">
        <v>70</v>
      </c>
    </row>
    <row r="390" spans="1:10" x14ac:dyDescent="0.3">
      <c r="A390" s="15" t="s">
        <v>760</v>
      </c>
      <c r="B390" s="15" t="s">
        <v>84</v>
      </c>
      <c r="C390" s="15" t="s">
        <v>96</v>
      </c>
      <c r="D390" s="15" t="s">
        <v>31</v>
      </c>
      <c r="E390" s="15">
        <v>16</v>
      </c>
      <c r="F390" s="15">
        <v>11</v>
      </c>
      <c r="G390" s="15" t="s">
        <v>32</v>
      </c>
      <c r="H390" s="15" t="s">
        <v>76</v>
      </c>
      <c r="I390" s="15" t="s">
        <v>761</v>
      </c>
      <c r="J390" s="15">
        <v>83</v>
      </c>
    </row>
    <row r="391" spans="1:10" x14ac:dyDescent="0.3">
      <c r="A391" s="15" t="s">
        <v>762</v>
      </c>
      <c r="B391" s="15" t="s">
        <v>68</v>
      </c>
      <c r="C391" s="15" t="s">
        <v>85</v>
      </c>
      <c r="D391" s="15" t="s">
        <v>31</v>
      </c>
      <c r="E391" s="15">
        <v>20</v>
      </c>
      <c r="F391" s="15">
        <v>12</v>
      </c>
      <c r="G391" s="15" t="s">
        <v>43</v>
      </c>
      <c r="H391" s="15" t="s">
        <v>20</v>
      </c>
      <c r="I391" s="15" t="s">
        <v>763</v>
      </c>
      <c r="J391" s="15">
        <v>82</v>
      </c>
    </row>
    <row r="392" spans="1:10" x14ac:dyDescent="0.3">
      <c r="A392" s="15" t="s">
        <v>764</v>
      </c>
      <c r="B392" s="15" t="s">
        <v>18</v>
      </c>
      <c r="C392" s="15" t="s">
        <v>55</v>
      </c>
      <c r="D392" s="15" t="s">
        <v>13</v>
      </c>
      <c r="E392" s="15">
        <v>16</v>
      </c>
      <c r="F392" s="15">
        <v>12</v>
      </c>
      <c r="G392" s="15" t="s">
        <v>14</v>
      </c>
      <c r="H392" s="15" t="s">
        <v>40</v>
      </c>
      <c r="I392" s="15" t="s">
        <v>765</v>
      </c>
      <c r="J392" s="15">
        <v>61</v>
      </c>
    </row>
    <row r="393" spans="1:10" x14ac:dyDescent="0.3">
      <c r="A393" s="15" t="s">
        <v>766</v>
      </c>
      <c r="B393" s="15" t="s">
        <v>35</v>
      </c>
      <c r="C393" s="15" t="s">
        <v>58</v>
      </c>
      <c r="D393" s="15" t="s">
        <v>13</v>
      </c>
      <c r="E393" s="15">
        <v>20</v>
      </c>
      <c r="F393" s="15">
        <v>11</v>
      </c>
      <c r="G393" s="15" t="s">
        <v>32</v>
      </c>
      <c r="H393" s="15" t="s">
        <v>46</v>
      </c>
      <c r="I393" s="15" t="s">
        <v>767</v>
      </c>
      <c r="J393" s="15">
        <v>54</v>
      </c>
    </row>
    <row r="394" spans="1:10" x14ac:dyDescent="0.3">
      <c r="A394" s="15" t="s">
        <v>768</v>
      </c>
      <c r="B394" s="15" t="s">
        <v>23</v>
      </c>
      <c r="C394" s="15" t="s">
        <v>24</v>
      </c>
      <c r="D394" s="15" t="s">
        <v>13</v>
      </c>
      <c r="E394" s="15">
        <v>17</v>
      </c>
      <c r="F394" s="15">
        <v>11</v>
      </c>
      <c r="G394" s="15" t="s">
        <v>25</v>
      </c>
      <c r="H394" s="15" t="s">
        <v>40</v>
      </c>
      <c r="I394" s="15" t="s">
        <v>258</v>
      </c>
      <c r="J394" s="15">
        <v>61</v>
      </c>
    </row>
    <row r="395" spans="1:10" x14ac:dyDescent="0.3">
      <c r="A395" s="15" t="s">
        <v>769</v>
      </c>
      <c r="B395" s="15" t="s">
        <v>35</v>
      </c>
      <c r="C395" s="15" t="s">
        <v>30</v>
      </c>
      <c r="D395" s="15" t="s">
        <v>13</v>
      </c>
      <c r="E395" s="15">
        <v>16</v>
      </c>
      <c r="F395" s="15">
        <v>11</v>
      </c>
      <c r="G395" s="15" t="s">
        <v>32</v>
      </c>
      <c r="H395" s="15" t="s">
        <v>46</v>
      </c>
      <c r="I395" s="15" t="s">
        <v>770</v>
      </c>
      <c r="J395" s="15">
        <v>85</v>
      </c>
    </row>
    <row r="396" spans="1:10" x14ac:dyDescent="0.3">
      <c r="A396" s="15" t="s">
        <v>771</v>
      </c>
      <c r="B396" s="15" t="s">
        <v>23</v>
      </c>
      <c r="C396" s="15" t="s">
        <v>24</v>
      </c>
      <c r="D396" s="15" t="s">
        <v>31</v>
      </c>
      <c r="E396" s="15">
        <v>18</v>
      </c>
      <c r="F396" s="15">
        <v>11</v>
      </c>
      <c r="G396" s="15" t="s">
        <v>25</v>
      </c>
      <c r="H396" s="15" t="s">
        <v>46</v>
      </c>
      <c r="I396" s="15" t="s">
        <v>772</v>
      </c>
      <c r="J396" s="15">
        <v>89</v>
      </c>
    </row>
    <row r="397" spans="1:10" x14ac:dyDescent="0.3">
      <c r="A397" s="15" t="s">
        <v>773</v>
      </c>
      <c r="B397" s="15" t="s">
        <v>68</v>
      </c>
      <c r="C397" s="15" t="s">
        <v>19</v>
      </c>
      <c r="D397" s="15" t="s">
        <v>13</v>
      </c>
      <c r="E397" s="15">
        <v>14</v>
      </c>
      <c r="F397" s="15">
        <v>11</v>
      </c>
      <c r="G397" s="15" t="s">
        <v>14</v>
      </c>
      <c r="H397" s="15" t="s">
        <v>20</v>
      </c>
      <c r="I397" s="15" t="s">
        <v>774</v>
      </c>
      <c r="J397" s="15">
        <v>72</v>
      </c>
    </row>
    <row r="398" spans="1:10" x14ac:dyDescent="0.3">
      <c r="A398" s="15" t="s">
        <v>775</v>
      </c>
      <c r="B398" s="15" t="s">
        <v>29</v>
      </c>
      <c r="C398" s="15" t="s">
        <v>85</v>
      </c>
      <c r="D398" s="15" t="s">
        <v>31</v>
      </c>
      <c r="E398" s="15">
        <v>20</v>
      </c>
      <c r="F398" s="15">
        <v>10</v>
      </c>
      <c r="G398" s="15" t="s">
        <v>14</v>
      </c>
      <c r="H398" s="15" t="s">
        <v>46</v>
      </c>
      <c r="I398" s="15" t="s">
        <v>366</v>
      </c>
      <c r="J398" s="15">
        <v>100</v>
      </c>
    </row>
    <row r="399" spans="1:10" x14ac:dyDescent="0.3">
      <c r="A399" s="15" t="s">
        <v>776</v>
      </c>
      <c r="B399" s="15" t="s">
        <v>11</v>
      </c>
      <c r="C399" s="15" t="s">
        <v>12</v>
      </c>
      <c r="D399" s="15" t="s">
        <v>31</v>
      </c>
      <c r="E399" s="15">
        <v>20</v>
      </c>
      <c r="F399" s="15">
        <v>9</v>
      </c>
      <c r="G399" s="15" t="s">
        <v>14</v>
      </c>
      <c r="H399" s="15" t="s">
        <v>76</v>
      </c>
      <c r="I399" s="15" t="s">
        <v>777</v>
      </c>
      <c r="J399" s="15">
        <v>84</v>
      </c>
    </row>
    <row r="400" spans="1:10" x14ac:dyDescent="0.3">
      <c r="A400" s="15" t="s">
        <v>778</v>
      </c>
      <c r="B400" s="15" t="s">
        <v>73</v>
      </c>
      <c r="C400" s="15" t="s">
        <v>19</v>
      </c>
      <c r="D400" s="15" t="s">
        <v>13</v>
      </c>
      <c r="E400" s="15">
        <v>17</v>
      </c>
      <c r="F400" s="15">
        <v>12</v>
      </c>
      <c r="G400" s="15" t="s">
        <v>14</v>
      </c>
      <c r="H400" s="15" t="s">
        <v>37</v>
      </c>
      <c r="I400" s="15" t="s">
        <v>779</v>
      </c>
      <c r="J400" s="15">
        <v>76</v>
      </c>
    </row>
    <row r="401" spans="1:10" x14ac:dyDescent="0.3">
      <c r="A401" s="15" t="s">
        <v>780</v>
      </c>
      <c r="B401" s="15" t="s">
        <v>35</v>
      </c>
      <c r="C401" s="15" t="s">
        <v>36</v>
      </c>
      <c r="D401" s="15" t="s">
        <v>31</v>
      </c>
      <c r="E401" s="15">
        <v>14</v>
      </c>
      <c r="F401" s="15">
        <v>9</v>
      </c>
      <c r="G401" s="15" t="s">
        <v>25</v>
      </c>
      <c r="H401" s="15" t="s">
        <v>40</v>
      </c>
      <c r="I401" s="15" t="s">
        <v>781</v>
      </c>
      <c r="J401" s="15">
        <v>36</v>
      </c>
    </row>
    <row r="402" spans="1:10" x14ac:dyDescent="0.3">
      <c r="A402" s="15" t="s">
        <v>782</v>
      </c>
      <c r="B402" s="15" t="s">
        <v>84</v>
      </c>
      <c r="C402" s="15" t="s">
        <v>12</v>
      </c>
      <c r="D402" s="15" t="s">
        <v>31</v>
      </c>
      <c r="E402" s="15">
        <v>14</v>
      </c>
      <c r="F402" s="15">
        <v>11</v>
      </c>
      <c r="G402" s="15" t="s">
        <v>14</v>
      </c>
      <c r="H402" s="15" t="s">
        <v>37</v>
      </c>
      <c r="I402" s="15" t="s">
        <v>252</v>
      </c>
      <c r="J402" s="15">
        <v>95</v>
      </c>
    </row>
    <row r="403" spans="1:10" x14ac:dyDescent="0.3">
      <c r="A403" s="15" t="s">
        <v>783</v>
      </c>
      <c r="B403" s="15" t="s">
        <v>54</v>
      </c>
      <c r="C403" s="15" t="s">
        <v>79</v>
      </c>
      <c r="D403" s="15" t="s">
        <v>31</v>
      </c>
      <c r="E403" s="15">
        <v>15</v>
      </c>
      <c r="F403" s="15">
        <v>11</v>
      </c>
      <c r="G403" s="15" t="s">
        <v>25</v>
      </c>
      <c r="H403" s="15" t="s">
        <v>61</v>
      </c>
      <c r="I403" s="15" t="s">
        <v>628</v>
      </c>
      <c r="J403" s="15">
        <v>39</v>
      </c>
    </row>
    <row r="404" spans="1:10" x14ac:dyDescent="0.3">
      <c r="A404" s="15" t="s">
        <v>784</v>
      </c>
      <c r="B404" s="15" t="s">
        <v>84</v>
      </c>
      <c r="C404" s="15" t="s">
        <v>12</v>
      </c>
      <c r="D404" s="15" t="s">
        <v>13</v>
      </c>
      <c r="E404" s="15">
        <v>17</v>
      </c>
      <c r="F404" s="15">
        <v>9</v>
      </c>
      <c r="G404" s="15" t="s">
        <v>43</v>
      </c>
      <c r="H404" s="15" t="s">
        <v>76</v>
      </c>
      <c r="I404" s="15" t="s">
        <v>685</v>
      </c>
      <c r="J404" s="15">
        <v>89</v>
      </c>
    </row>
    <row r="405" spans="1:10" x14ac:dyDescent="0.3">
      <c r="A405" s="15" t="s">
        <v>785</v>
      </c>
      <c r="B405" s="15" t="s">
        <v>35</v>
      </c>
      <c r="C405" s="15" t="s">
        <v>58</v>
      </c>
      <c r="D405" s="15" t="s">
        <v>13</v>
      </c>
      <c r="E405" s="15">
        <v>18</v>
      </c>
      <c r="F405" s="15">
        <v>12</v>
      </c>
      <c r="G405" s="15" t="s">
        <v>43</v>
      </c>
      <c r="H405" s="15" t="s">
        <v>20</v>
      </c>
      <c r="I405" s="15" t="s">
        <v>786</v>
      </c>
      <c r="J405" s="15">
        <v>93</v>
      </c>
    </row>
    <row r="406" spans="1:10" x14ac:dyDescent="0.3">
      <c r="A406" s="15" t="s">
        <v>787</v>
      </c>
      <c r="B406" s="15" t="s">
        <v>18</v>
      </c>
      <c r="C406" s="15" t="s">
        <v>36</v>
      </c>
      <c r="D406" s="15" t="s">
        <v>31</v>
      </c>
      <c r="E406" s="15">
        <v>16</v>
      </c>
      <c r="F406" s="15">
        <v>9</v>
      </c>
      <c r="G406" s="15" t="s">
        <v>14</v>
      </c>
      <c r="H406" s="15" t="s">
        <v>76</v>
      </c>
      <c r="I406" s="15" t="s">
        <v>788</v>
      </c>
      <c r="J406" s="15">
        <v>88</v>
      </c>
    </row>
    <row r="407" spans="1:10" x14ac:dyDescent="0.3">
      <c r="A407" s="15" t="s">
        <v>789</v>
      </c>
      <c r="B407" s="15" t="s">
        <v>54</v>
      </c>
      <c r="C407" s="15" t="s">
        <v>12</v>
      </c>
      <c r="D407" s="15" t="s">
        <v>31</v>
      </c>
      <c r="E407" s="15">
        <v>18</v>
      </c>
      <c r="F407" s="15">
        <v>10</v>
      </c>
      <c r="G407" s="15" t="s">
        <v>25</v>
      </c>
      <c r="H407" s="15" t="s">
        <v>15</v>
      </c>
      <c r="I407" s="15" t="s">
        <v>790</v>
      </c>
      <c r="J407" s="15">
        <v>95</v>
      </c>
    </row>
    <row r="408" spans="1:10" x14ac:dyDescent="0.3">
      <c r="A408" s="15" t="s">
        <v>791</v>
      </c>
      <c r="B408" s="15" t="s">
        <v>51</v>
      </c>
      <c r="C408" s="15" t="s">
        <v>85</v>
      </c>
      <c r="D408" s="15" t="s">
        <v>13</v>
      </c>
      <c r="E408" s="15">
        <v>14</v>
      </c>
      <c r="F408" s="15">
        <v>9</v>
      </c>
      <c r="G408" s="15" t="s">
        <v>43</v>
      </c>
      <c r="H408" s="15" t="s">
        <v>61</v>
      </c>
      <c r="I408" s="15" t="s">
        <v>792</v>
      </c>
      <c r="J408" s="15">
        <v>96</v>
      </c>
    </row>
    <row r="409" spans="1:10" x14ac:dyDescent="0.3">
      <c r="A409" s="15" t="s">
        <v>793</v>
      </c>
      <c r="B409" s="15" t="s">
        <v>35</v>
      </c>
      <c r="C409" s="15" t="s">
        <v>19</v>
      </c>
      <c r="D409" s="15" t="s">
        <v>31</v>
      </c>
      <c r="E409" s="15">
        <v>20</v>
      </c>
      <c r="F409" s="15">
        <v>11</v>
      </c>
      <c r="G409" s="15" t="s">
        <v>32</v>
      </c>
      <c r="H409" s="15" t="s">
        <v>20</v>
      </c>
      <c r="I409" s="15" t="s">
        <v>794</v>
      </c>
      <c r="J409" s="15">
        <v>74</v>
      </c>
    </row>
    <row r="410" spans="1:10" x14ac:dyDescent="0.3">
      <c r="A410" s="15" t="s">
        <v>795</v>
      </c>
      <c r="B410" s="15" t="s">
        <v>54</v>
      </c>
      <c r="C410" s="15" t="s">
        <v>30</v>
      </c>
      <c r="D410" s="15" t="s">
        <v>13</v>
      </c>
      <c r="E410" s="15">
        <v>18</v>
      </c>
      <c r="F410" s="15">
        <v>12</v>
      </c>
      <c r="G410" s="15" t="s">
        <v>32</v>
      </c>
      <c r="H410" s="15" t="s">
        <v>20</v>
      </c>
      <c r="I410" s="15" t="s">
        <v>796</v>
      </c>
      <c r="J410" s="15">
        <v>55</v>
      </c>
    </row>
    <row r="411" spans="1:10" x14ac:dyDescent="0.3">
      <c r="A411" s="15" t="s">
        <v>797</v>
      </c>
      <c r="B411" s="15" t="s">
        <v>23</v>
      </c>
      <c r="C411" s="15" t="s">
        <v>85</v>
      </c>
      <c r="D411" s="15" t="s">
        <v>13</v>
      </c>
      <c r="E411" s="15">
        <v>17</v>
      </c>
      <c r="F411" s="15">
        <v>12</v>
      </c>
      <c r="G411" s="15" t="s">
        <v>14</v>
      </c>
      <c r="H411" s="15" t="s">
        <v>76</v>
      </c>
      <c r="I411" s="15" t="s">
        <v>71</v>
      </c>
      <c r="J411" s="15">
        <v>77</v>
      </c>
    </row>
    <row r="412" spans="1:10" x14ac:dyDescent="0.3">
      <c r="A412" s="15" t="s">
        <v>798</v>
      </c>
      <c r="B412" s="15" t="s">
        <v>23</v>
      </c>
      <c r="C412" s="15" t="s">
        <v>19</v>
      </c>
      <c r="D412" s="15" t="s">
        <v>13</v>
      </c>
      <c r="E412" s="15">
        <v>17</v>
      </c>
      <c r="F412" s="15">
        <v>12</v>
      </c>
      <c r="G412" s="15" t="s">
        <v>14</v>
      </c>
      <c r="H412" s="15" t="s">
        <v>40</v>
      </c>
      <c r="I412" s="15" t="s">
        <v>159</v>
      </c>
      <c r="J412" s="15">
        <v>95</v>
      </c>
    </row>
    <row r="413" spans="1:10" x14ac:dyDescent="0.3">
      <c r="A413" s="15" t="s">
        <v>799</v>
      </c>
      <c r="B413" s="15" t="s">
        <v>54</v>
      </c>
      <c r="C413" s="15" t="s">
        <v>36</v>
      </c>
      <c r="D413" s="15" t="s">
        <v>31</v>
      </c>
      <c r="E413" s="15">
        <v>17</v>
      </c>
      <c r="F413" s="15">
        <v>12</v>
      </c>
      <c r="G413" s="15" t="s">
        <v>14</v>
      </c>
      <c r="H413" s="15" t="s">
        <v>46</v>
      </c>
      <c r="I413" s="15" t="s">
        <v>533</v>
      </c>
      <c r="J413" s="15">
        <v>59</v>
      </c>
    </row>
    <row r="414" spans="1:10" x14ac:dyDescent="0.3">
      <c r="A414" s="15" t="s">
        <v>800</v>
      </c>
      <c r="B414" s="15" t="s">
        <v>23</v>
      </c>
      <c r="C414" s="15" t="s">
        <v>79</v>
      </c>
      <c r="D414" s="15" t="s">
        <v>31</v>
      </c>
      <c r="E414" s="15">
        <v>18</v>
      </c>
      <c r="F414" s="15">
        <v>11</v>
      </c>
      <c r="G414" s="15" t="s">
        <v>32</v>
      </c>
      <c r="H414" s="15" t="s">
        <v>76</v>
      </c>
      <c r="I414" s="15" t="s">
        <v>801</v>
      </c>
      <c r="J414" s="15">
        <v>97</v>
      </c>
    </row>
    <row r="415" spans="1:10" x14ac:dyDescent="0.3">
      <c r="A415" s="15" t="s">
        <v>802</v>
      </c>
      <c r="B415" s="15" t="s">
        <v>29</v>
      </c>
      <c r="C415" s="15" t="s">
        <v>96</v>
      </c>
      <c r="D415" s="15" t="s">
        <v>13</v>
      </c>
      <c r="E415" s="15">
        <v>14</v>
      </c>
      <c r="F415" s="15">
        <v>10</v>
      </c>
      <c r="G415" s="15" t="s">
        <v>25</v>
      </c>
      <c r="H415" s="15" t="s">
        <v>61</v>
      </c>
      <c r="I415" s="15" t="s">
        <v>803</v>
      </c>
      <c r="J415" s="15">
        <v>89</v>
      </c>
    </row>
    <row r="416" spans="1:10" x14ac:dyDescent="0.3">
      <c r="A416" s="15" t="s">
        <v>804</v>
      </c>
      <c r="B416" s="15" t="s">
        <v>54</v>
      </c>
      <c r="C416" s="15" t="s">
        <v>79</v>
      </c>
      <c r="D416" s="15" t="s">
        <v>13</v>
      </c>
      <c r="E416" s="15">
        <v>19</v>
      </c>
      <c r="F416" s="15">
        <v>9</v>
      </c>
      <c r="G416" s="15" t="s">
        <v>25</v>
      </c>
      <c r="H416" s="15" t="s">
        <v>61</v>
      </c>
      <c r="I416" s="15" t="s">
        <v>56</v>
      </c>
      <c r="J416" s="15">
        <v>43</v>
      </c>
    </row>
    <row r="417" spans="1:10" x14ac:dyDescent="0.3">
      <c r="A417" s="15" t="s">
        <v>805</v>
      </c>
      <c r="B417" s="15" t="s">
        <v>29</v>
      </c>
      <c r="C417" s="15" t="s">
        <v>36</v>
      </c>
      <c r="D417" s="15" t="s">
        <v>31</v>
      </c>
      <c r="E417" s="15">
        <v>17</v>
      </c>
      <c r="F417" s="15">
        <v>10</v>
      </c>
      <c r="G417" s="15" t="s">
        <v>25</v>
      </c>
      <c r="H417" s="15" t="s">
        <v>15</v>
      </c>
      <c r="I417" s="15" t="s">
        <v>806</v>
      </c>
      <c r="J417" s="15">
        <v>59</v>
      </c>
    </row>
    <row r="418" spans="1:10" x14ac:dyDescent="0.3">
      <c r="A418" s="15" t="s">
        <v>807</v>
      </c>
      <c r="B418" s="15" t="s">
        <v>68</v>
      </c>
      <c r="C418" s="15" t="s">
        <v>79</v>
      </c>
      <c r="D418" s="15" t="s">
        <v>31</v>
      </c>
      <c r="E418" s="15">
        <v>16</v>
      </c>
      <c r="F418" s="15">
        <v>10</v>
      </c>
      <c r="G418" s="15" t="s">
        <v>43</v>
      </c>
      <c r="H418" s="15" t="s">
        <v>76</v>
      </c>
      <c r="I418" s="15" t="s">
        <v>305</v>
      </c>
      <c r="J418" s="15">
        <v>40</v>
      </c>
    </row>
    <row r="419" spans="1:10" x14ac:dyDescent="0.3">
      <c r="A419" s="15" t="s">
        <v>808</v>
      </c>
      <c r="B419" s="15" t="s">
        <v>54</v>
      </c>
      <c r="C419" s="15" t="s">
        <v>24</v>
      </c>
      <c r="D419" s="15" t="s">
        <v>13</v>
      </c>
      <c r="E419" s="15">
        <v>14</v>
      </c>
      <c r="F419" s="15">
        <v>9</v>
      </c>
      <c r="G419" s="15" t="s">
        <v>25</v>
      </c>
      <c r="H419" s="15" t="s">
        <v>46</v>
      </c>
      <c r="I419" s="15" t="s">
        <v>809</v>
      </c>
      <c r="J419" s="15">
        <v>92</v>
      </c>
    </row>
    <row r="420" spans="1:10" x14ac:dyDescent="0.3">
      <c r="A420" s="15" t="s">
        <v>810</v>
      </c>
      <c r="B420" s="15" t="s">
        <v>73</v>
      </c>
      <c r="C420" s="15" t="s">
        <v>12</v>
      </c>
      <c r="D420" s="15" t="s">
        <v>13</v>
      </c>
      <c r="E420" s="15">
        <v>14</v>
      </c>
      <c r="F420" s="15">
        <v>10</v>
      </c>
      <c r="G420" s="15" t="s">
        <v>14</v>
      </c>
      <c r="H420" s="15" t="s">
        <v>46</v>
      </c>
      <c r="I420" s="15" t="s">
        <v>385</v>
      </c>
      <c r="J420" s="15">
        <v>49</v>
      </c>
    </row>
    <row r="421" spans="1:10" x14ac:dyDescent="0.3">
      <c r="A421" s="15" t="s">
        <v>811</v>
      </c>
      <c r="B421" s="15" t="s">
        <v>29</v>
      </c>
      <c r="C421" s="15" t="s">
        <v>58</v>
      </c>
      <c r="D421" s="15" t="s">
        <v>13</v>
      </c>
      <c r="E421" s="15">
        <v>20</v>
      </c>
      <c r="F421" s="15">
        <v>11</v>
      </c>
      <c r="G421" s="15" t="s">
        <v>14</v>
      </c>
      <c r="H421" s="15" t="s">
        <v>61</v>
      </c>
      <c r="I421" s="15" t="s">
        <v>358</v>
      </c>
      <c r="J421" s="15">
        <v>44</v>
      </c>
    </row>
    <row r="422" spans="1:10" x14ac:dyDescent="0.3">
      <c r="A422" s="15" t="s">
        <v>812</v>
      </c>
      <c r="B422" s="15" t="s">
        <v>51</v>
      </c>
      <c r="C422" s="15" t="s">
        <v>55</v>
      </c>
      <c r="D422" s="15" t="s">
        <v>13</v>
      </c>
      <c r="E422" s="15">
        <v>15</v>
      </c>
      <c r="F422" s="15">
        <v>10</v>
      </c>
      <c r="G422" s="15" t="s">
        <v>43</v>
      </c>
      <c r="H422" s="15" t="s">
        <v>46</v>
      </c>
      <c r="I422" s="15" t="s">
        <v>82</v>
      </c>
      <c r="J422" s="15">
        <v>62</v>
      </c>
    </row>
    <row r="423" spans="1:10" x14ac:dyDescent="0.3">
      <c r="A423" s="15" t="s">
        <v>813</v>
      </c>
      <c r="B423" s="15" t="s">
        <v>73</v>
      </c>
      <c r="C423" s="15" t="s">
        <v>58</v>
      </c>
      <c r="D423" s="15" t="s">
        <v>13</v>
      </c>
      <c r="E423" s="15">
        <v>17</v>
      </c>
      <c r="F423" s="15">
        <v>12</v>
      </c>
      <c r="G423" s="15" t="s">
        <v>32</v>
      </c>
      <c r="H423" s="15" t="s">
        <v>46</v>
      </c>
      <c r="I423" s="15" t="s">
        <v>346</v>
      </c>
      <c r="J423" s="15">
        <v>60</v>
      </c>
    </row>
    <row r="424" spans="1:10" x14ac:dyDescent="0.3">
      <c r="A424" s="15" t="s">
        <v>814</v>
      </c>
      <c r="B424" s="15" t="s">
        <v>18</v>
      </c>
      <c r="C424" s="15" t="s">
        <v>24</v>
      </c>
      <c r="D424" s="15" t="s">
        <v>31</v>
      </c>
      <c r="E424" s="15">
        <v>17</v>
      </c>
      <c r="F424" s="15">
        <v>10</v>
      </c>
      <c r="G424" s="15" t="s">
        <v>14</v>
      </c>
      <c r="H424" s="15" t="s">
        <v>76</v>
      </c>
      <c r="I424" s="15" t="s">
        <v>815</v>
      </c>
      <c r="J424" s="15">
        <v>47</v>
      </c>
    </row>
    <row r="425" spans="1:10" x14ac:dyDescent="0.3">
      <c r="A425" s="15" t="s">
        <v>816</v>
      </c>
      <c r="B425" s="15" t="s">
        <v>23</v>
      </c>
      <c r="C425" s="15" t="s">
        <v>79</v>
      </c>
      <c r="D425" s="15" t="s">
        <v>31</v>
      </c>
      <c r="E425" s="15">
        <v>15</v>
      </c>
      <c r="F425" s="15">
        <v>9</v>
      </c>
      <c r="G425" s="15" t="s">
        <v>25</v>
      </c>
      <c r="H425" s="15" t="s">
        <v>76</v>
      </c>
      <c r="I425" s="15" t="s">
        <v>149</v>
      </c>
      <c r="J425" s="15">
        <v>79</v>
      </c>
    </row>
    <row r="426" spans="1:10" x14ac:dyDescent="0.3">
      <c r="A426" s="15" t="s">
        <v>817</v>
      </c>
      <c r="B426" s="15" t="s">
        <v>51</v>
      </c>
      <c r="C426" s="15" t="s">
        <v>55</v>
      </c>
      <c r="D426" s="15" t="s">
        <v>31</v>
      </c>
      <c r="E426" s="15">
        <v>19</v>
      </c>
      <c r="F426" s="15">
        <v>11</v>
      </c>
      <c r="G426" s="15" t="s">
        <v>14</v>
      </c>
      <c r="H426" s="15" t="s">
        <v>26</v>
      </c>
      <c r="I426" s="15" t="s">
        <v>818</v>
      </c>
      <c r="J426" s="15">
        <v>56</v>
      </c>
    </row>
    <row r="427" spans="1:10" x14ac:dyDescent="0.3">
      <c r="A427" s="15" t="s">
        <v>819</v>
      </c>
      <c r="B427" s="15" t="s">
        <v>18</v>
      </c>
      <c r="C427" s="15" t="s">
        <v>36</v>
      </c>
      <c r="D427" s="15" t="s">
        <v>31</v>
      </c>
      <c r="E427" s="15">
        <v>14</v>
      </c>
      <c r="F427" s="15">
        <v>10</v>
      </c>
      <c r="G427" s="15" t="s">
        <v>43</v>
      </c>
      <c r="H427" s="15" t="s">
        <v>76</v>
      </c>
      <c r="I427" s="15" t="s">
        <v>820</v>
      </c>
      <c r="J427" s="15">
        <v>56</v>
      </c>
    </row>
    <row r="428" spans="1:10" x14ac:dyDescent="0.3">
      <c r="A428" s="15" t="s">
        <v>821</v>
      </c>
      <c r="B428" s="15" t="s">
        <v>18</v>
      </c>
      <c r="C428" s="15" t="s">
        <v>79</v>
      </c>
      <c r="D428" s="15" t="s">
        <v>13</v>
      </c>
      <c r="E428" s="15">
        <v>20</v>
      </c>
      <c r="F428" s="15">
        <v>12</v>
      </c>
      <c r="G428" s="15" t="s">
        <v>32</v>
      </c>
      <c r="H428" s="15" t="s">
        <v>26</v>
      </c>
      <c r="I428" s="15" t="s">
        <v>822</v>
      </c>
      <c r="J428" s="15">
        <v>52</v>
      </c>
    </row>
    <row r="429" spans="1:10" x14ac:dyDescent="0.3">
      <c r="A429" s="15" t="s">
        <v>823</v>
      </c>
      <c r="B429" s="15" t="s">
        <v>11</v>
      </c>
      <c r="C429" s="15" t="s">
        <v>79</v>
      </c>
      <c r="D429" s="15" t="s">
        <v>31</v>
      </c>
      <c r="E429" s="15">
        <v>18</v>
      </c>
      <c r="F429" s="15">
        <v>12</v>
      </c>
      <c r="G429" s="15" t="s">
        <v>43</v>
      </c>
      <c r="H429" s="15" t="s">
        <v>37</v>
      </c>
      <c r="I429" s="15" t="s">
        <v>292</v>
      </c>
      <c r="J429" s="15">
        <v>94</v>
      </c>
    </row>
    <row r="430" spans="1:10" x14ac:dyDescent="0.3">
      <c r="A430" s="15" t="s">
        <v>824</v>
      </c>
      <c r="B430" s="15" t="s">
        <v>54</v>
      </c>
      <c r="C430" s="15" t="s">
        <v>19</v>
      </c>
      <c r="D430" s="15" t="s">
        <v>31</v>
      </c>
      <c r="E430" s="15">
        <v>20</v>
      </c>
      <c r="F430" s="15">
        <v>9</v>
      </c>
      <c r="G430" s="15" t="s">
        <v>14</v>
      </c>
      <c r="H430" s="15" t="s">
        <v>37</v>
      </c>
      <c r="I430" s="15" t="s">
        <v>825</v>
      </c>
      <c r="J430" s="15">
        <v>43</v>
      </c>
    </row>
    <row r="431" spans="1:10" x14ac:dyDescent="0.3">
      <c r="A431" s="15" t="s">
        <v>826</v>
      </c>
      <c r="B431" s="15" t="s">
        <v>51</v>
      </c>
      <c r="C431" s="15" t="s">
        <v>55</v>
      </c>
      <c r="D431" s="15" t="s">
        <v>31</v>
      </c>
      <c r="E431" s="15">
        <v>15</v>
      </c>
      <c r="F431" s="15">
        <v>10</v>
      </c>
      <c r="G431" s="15" t="s">
        <v>43</v>
      </c>
      <c r="H431" s="15" t="s">
        <v>37</v>
      </c>
      <c r="I431" s="15" t="s">
        <v>174</v>
      </c>
      <c r="J431" s="15">
        <v>42</v>
      </c>
    </row>
    <row r="432" spans="1:10" x14ac:dyDescent="0.3">
      <c r="A432" s="15" t="s">
        <v>827</v>
      </c>
      <c r="B432" s="15" t="s">
        <v>35</v>
      </c>
      <c r="C432" s="15" t="s">
        <v>12</v>
      </c>
      <c r="D432" s="15" t="s">
        <v>13</v>
      </c>
      <c r="E432" s="15">
        <v>14</v>
      </c>
      <c r="F432" s="15">
        <v>12</v>
      </c>
      <c r="G432" s="15" t="s">
        <v>25</v>
      </c>
      <c r="H432" s="15" t="s">
        <v>61</v>
      </c>
      <c r="I432" s="15" t="s">
        <v>570</v>
      </c>
      <c r="J432" s="15">
        <v>65</v>
      </c>
    </row>
    <row r="433" spans="1:10" x14ac:dyDescent="0.3">
      <c r="A433" s="15" t="s">
        <v>828</v>
      </c>
      <c r="B433" s="15" t="s">
        <v>29</v>
      </c>
      <c r="C433" s="15" t="s">
        <v>55</v>
      </c>
      <c r="D433" s="15" t="s">
        <v>13</v>
      </c>
      <c r="E433" s="15">
        <v>15</v>
      </c>
      <c r="F433" s="15">
        <v>9</v>
      </c>
      <c r="G433" s="15" t="s">
        <v>32</v>
      </c>
      <c r="H433" s="15" t="s">
        <v>40</v>
      </c>
      <c r="I433" s="15" t="s">
        <v>829</v>
      </c>
      <c r="J433" s="15">
        <v>64</v>
      </c>
    </row>
    <row r="434" spans="1:10" x14ac:dyDescent="0.3">
      <c r="A434" s="15" t="s">
        <v>830</v>
      </c>
      <c r="B434" s="15" t="s">
        <v>23</v>
      </c>
      <c r="C434" s="15" t="s">
        <v>58</v>
      </c>
      <c r="D434" s="15" t="s">
        <v>31</v>
      </c>
      <c r="E434" s="15">
        <v>17</v>
      </c>
      <c r="F434" s="15">
        <v>9</v>
      </c>
      <c r="G434" s="15" t="s">
        <v>43</v>
      </c>
      <c r="H434" s="15" t="s">
        <v>61</v>
      </c>
      <c r="I434" s="15" t="s">
        <v>820</v>
      </c>
      <c r="J434" s="15">
        <v>59</v>
      </c>
    </row>
    <row r="435" spans="1:10" x14ac:dyDescent="0.3">
      <c r="A435" s="15" t="s">
        <v>831</v>
      </c>
      <c r="B435" s="15" t="s">
        <v>54</v>
      </c>
      <c r="C435" s="15" t="s">
        <v>36</v>
      </c>
      <c r="D435" s="15" t="s">
        <v>31</v>
      </c>
      <c r="E435" s="15">
        <v>19</v>
      </c>
      <c r="F435" s="15">
        <v>9</v>
      </c>
      <c r="G435" s="15" t="s">
        <v>32</v>
      </c>
      <c r="H435" s="15" t="s">
        <v>15</v>
      </c>
      <c r="I435" s="15" t="s">
        <v>832</v>
      </c>
      <c r="J435" s="15">
        <v>35</v>
      </c>
    </row>
    <row r="436" spans="1:10" x14ac:dyDescent="0.3">
      <c r="A436" s="15" t="s">
        <v>833</v>
      </c>
      <c r="B436" s="15" t="s">
        <v>73</v>
      </c>
      <c r="C436" s="15" t="s">
        <v>96</v>
      </c>
      <c r="D436" s="15" t="s">
        <v>31</v>
      </c>
      <c r="E436" s="15">
        <v>15</v>
      </c>
      <c r="F436" s="15">
        <v>10</v>
      </c>
      <c r="G436" s="15" t="s">
        <v>43</v>
      </c>
      <c r="H436" s="15" t="s">
        <v>76</v>
      </c>
      <c r="I436" s="15" t="s">
        <v>834</v>
      </c>
      <c r="J436" s="15">
        <v>37</v>
      </c>
    </row>
    <row r="437" spans="1:10" x14ac:dyDescent="0.3">
      <c r="A437" s="15" t="s">
        <v>835</v>
      </c>
      <c r="B437" s="15" t="s">
        <v>18</v>
      </c>
      <c r="C437" s="15" t="s">
        <v>55</v>
      </c>
      <c r="D437" s="15" t="s">
        <v>31</v>
      </c>
      <c r="E437" s="15">
        <v>16</v>
      </c>
      <c r="F437" s="15">
        <v>10</v>
      </c>
      <c r="G437" s="15" t="s">
        <v>14</v>
      </c>
      <c r="H437" s="15" t="s">
        <v>61</v>
      </c>
      <c r="I437" s="15" t="s">
        <v>411</v>
      </c>
      <c r="J437" s="15">
        <v>52</v>
      </c>
    </row>
    <row r="438" spans="1:10" x14ac:dyDescent="0.3">
      <c r="A438" s="15" t="s">
        <v>836</v>
      </c>
      <c r="B438" s="15" t="s">
        <v>18</v>
      </c>
      <c r="C438" s="15" t="s">
        <v>58</v>
      </c>
      <c r="D438" s="15" t="s">
        <v>13</v>
      </c>
      <c r="E438" s="15">
        <v>16</v>
      </c>
      <c r="F438" s="15">
        <v>9</v>
      </c>
      <c r="G438" s="15" t="s">
        <v>14</v>
      </c>
      <c r="H438" s="15" t="s">
        <v>37</v>
      </c>
      <c r="I438" s="15" t="s">
        <v>837</v>
      </c>
      <c r="J438" s="15">
        <v>64</v>
      </c>
    </row>
    <row r="439" spans="1:10" x14ac:dyDescent="0.3">
      <c r="A439" s="15" t="s">
        <v>838</v>
      </c>
      <c r="B439" s="15" t="s">
        <v>29</v>
      </c>
      <c r="C439" s="15" t="s">
        <v>36</v>
      </c>
      <c r="D439" s="15" t="s">
        <v>31</v>
      </c>
      <c r="E439" s="15">
        <v>17</v>
      </c>
      <c r="F439" s="15">
        <v>10</v>
      </c>
      <c r="G439" s="15" t="s">
        <v>25</v>
      </c>
      <c r="H439" s="15" t="s">
        <v>15</v>
      </c>
      <c r="I439" s="15" t="s">
        <v>839</v>
      </c>
      <c r="J439" s="15">
        <v>35</v>
      </c>
    </row>
    <row r="440" spans="1:10" x14ac:dyDescent="0.3">
      <c r="A440" s="15" t="s">
        <v>840</v>
      </c>
      <c r="B440" s="15" t="s">
        <v>29</v>
      </c>
      <c r="C440" s="15" t="s">
        <v>12</v>
      </c>
      <c r="D440" s="15" t="s">
        <v>31</v>
      </c>
      <c r="E440" s="15">
        <v>20</v>
      </c>
      <c r="F440" s="15">
        <v>10</v>
      </c>
      <c r="G440" s="15" t="s">
        <v>43</v>
      </c>
      <c r="H440" s="15" t="s">
        <v>15</v>
      </c>
      <c r="I440" s="15" t="s">
        <v>841</v>
      </c>
      <c r="J440" s="15">
        <v>37</v>
      </c>
    </row>
    <row r="441" spans="1:10" x14ac:dyDescent="0.3">
      <c r="A441" s="15" t="s">
        <v>842</v>
      </c>
      <c r="B441" s="15" t="s">
        <v>23</v>
      </c>
      <c r="C441" s="15" t="s">
        <v>30</v>
      </c>
      <c r="D441" s="15" t="s">
        <v>13</v>
      </c>
      <c r="E441" s="15">
        <v>15</v>
      </c>
      <c r="F441" s="15">
        <v>9</v>
      </c>
      <c r="G441" s="15" t="s">
        <v>32</v>
      </c>
      <c r="H441" s="15" t="s">
        <v>37</v>
      </c>
      <c r="I441" s="15" t="s">
        <v>477</v>
      </c>
      <c r="J441" s="15">
        <v>51</v>
      </c>
    </row>
    <row r="442" spans="1:10" x14ac:dyDescent="0.3">
      <c r="A442" s="15" t="s">
        <v>843</v>
      </c>
      <c r="B442" s="15" t="s">
        <v>54</v>
      </c>
      <c r="C442" s="15" t="s">
        <v>12</v>
      </c>
      <c r="D442" s="15" t="s">
        <v>31</v>
      </c>
      <c r="E442" s="15">
        <v>17</v>
      </c>
      <c r="F442" s="15">
        <v>10</v>
      </c>
      <c r="G442" s="15" t="s">
        <v>25</v>
      </c>
      <c r="H442" s="15" t="s">
        <v>40</v>
      </c>
      <c r="I442" s="15" t="s">
        <v>844</v>
      </c>
      <c r="J442" s="15">
        <v>43</v>
      </c>
    </row>
    <row r="443" spans="1:10" x14ac:dyDescent="0.3">
      <c r="A443" s="15" t="s">
        <v>845</v>
      </c>
      <c r="B443" s="15" t="s">
        <v>11</v>
      </c>
      <c r="C443" s="15" t="s">
        <v>19</v>
      </c>
      <c r="D443" s="15" t="s">
        <v>31</v>
      </c>
      <c r="E443" s="15">
        <v>19</v>
      </c>
      <c r="F443" s="15">
        <v>11</v>
      </c>
      <c r="G443" s="15" t="s">
        <v>43</v>
      </c>
      <c r="H443" s="15" t="s">
        <v>76</v>
      </c>
      <c r="I443" s="15" t="s">
        <v>282</v>
      </c>
      <c r="J443" s="15">
        <v>44</v>
      </c>
    </row>
    <row r="444" spans="1:10" x14ac:dyDescent="0.3">
      <c r="A444" s="15" t="s">
        <v>846</v>
      </c>
      <c r="B444" s="15" t="s">
        <v>35</v>
      </c>
      <c r="C444" s="15" t="s">
        <v>79</v>
      </c>
      <c r="D444" s="15" t="s">
        <v>13</v>
      </c>
      <c r="E444" s="15">
        <v>17</v>
      </c>
      <c r="F444" s="15">
        <v>12</v>
      </c>
      <c r="G444" s="15" t="s">
        <v>25</v>
      </c>
      <c r="H444" s="15" t="s">
        <v>46</v>
      </c>
      <c r="I444" s="15" t="s">
        <v>847</v>
      </c>
      <c r="J444" s="15">
        <v>41</v>
      </c>
    </row>
    <row r="445" spans="1:10" x14ac:dyDescent="0.3">
      <c r="A445" s="15" t="s">
        <v>848</v>
      </c>
      <c r="B445" s="15" t="s">
        <v>18</v>
      </c>
      <c r="C445" s="15" t="s">
        <v>24</v>
      </c>
      <c r="D445" s="15" t="s">
        <v>31</v>
      </c>
      <c r="E445" s="15">
        <v>16</v>
      </c>
      <c r="F445" s="15">
        <v>10</v>
      </c>
      <c r="G445" s="15" t="s">
        <v>25</v>
      </c>
      <c r="H445" s="15" t="s">
        <v>61</v>
      </c>
      <c r="I445" s="15" t="s">
        <v>849</v>
      </c>
      <c r="J445" s="15">
        <v>78</v>
      </c>
    </row>
    <row r="446" spans="1:10" x14ac:dyDescent="0.3">
      <c r="A446" s="15" t="s">
        <v>850</v>
      </c>
      <c r="B446" s="15" t="s">
        <v>51</v>
      </c>
      <c r="C446" s="15" t="s">
        <v>96</v>
      </c>
      <c r="D446" s="15" t="s">
        <v>13</v>
      </c>
      <c r="E446" s="15">
        <v>14</v>
      </c>
      <c r="F446" s="15">
        <v>9</v>
      </c>
      <c r="G446" s="15" t="s">
        <v>25</v>
      </c>
      <c r="H446" s="15" t="s">
        <v>26</v>
      </c>
      <c r="I446" s="15" t="s">
        <v>851</v>
      </c>
      <c r="J446" s="15">
        <v>90</v>
      </c>
    </row>
    <row r="447" spans="1:10" x14ac:dyDescent="0.3">
      <c r="A447" s="15" t="s">
        <v>852</v>
      </c>
      <c r="B447" s="15" t="s">
        <v>29</v>
      </c>
      <c r="C447" s="15" t="s">
        <v>55</v>
      </c>
      <c r="D447" s="15" t="s">
        <v>13</v>
      </c>
      <c r="E447" s="15">
        <v>15</v>
      </c>
      <c r="F447" s="15">
        <v>9</v>
      </c>
      <c r="G447" s="15" t="s">
        <v>14</v>
      </c>
      <c r="H447" s="15" t="s">
        <v>20</v>
      </c>
      <c r="I447" s="15" t="s">
        <v>853</v>
      </c>
      <c r="J447" s="15">
        <v>74</v>
      </c>
    </row>
    <row r="448" spans="1:10" x14ac:dyDescent="0.3">
      <c r="A448" s="15" t="s">
        <v>854</v>
      </c>
      <c r="B448" s="15" t="s">
        <v>51</v>
      </c>
      <c r="C448" s="15" t="s">
        <v>55</v>
      </c>
      <c r="D448" s="15" t="s">
        <v>13</v>
      </c>
      <c r="E448" s="15">
        <v>15</v>
      </c>
      <c r="F448" s="15">
        <v>11</v>
      </c>
      <c r="G448" s="15" t="s">
        <v>14</v>
      </c>
      <c r="H448" s="15" t="s">
        <v>61</v>
      </c>
      <c r="I448" s="15" t="s">
        <v>855</v>
      </c>
      <c r="J448" s="15">
        <v>84</v>
      </c>
    </row>
    <row r="449" spans="1:10" x14ac:dyDescent="0.3">
      <c r="A449" s="15" t="s">
        <v>856</v>
      </c>
      <c r="B449" s="15" t="s">
        <v>29</v>
      </c>
      <c r="C449" s="15" t="s">
        <v>85</v>
      </c>
      <c r="D449" s="15" t="s">
        <v>13</v>
      </c>
      <c r="E449" s="15">
        <v>16</v>
      </c>
      <c r="F449" s="15">
        <v>9</v>
      </c>
      <c r="G449" s="15" t="s">
        <v>14</v>
      </c>
      <c r="H449" s="15" t="s">
        <v>61</v>
      </c>
      <c r="I449" s="15" t="s">
        <v>262</v>
      </c>
      <c r="J449" s="15">
        <v>78</v>
      </c>
    </row>
    <row r="450" spans="1:10" x14ac:dyDescent="0.3">
      <c r="A450" s="15" t="s">
        <v>857</v>
      </c>
      <c r="B450" s="15" t="s">
        <v>18</v>
      </c>
      <c r="C450" s="15" t="s">
        <v>96</v>
      </c>
      <c r="D450" s="15" t="s">
        <v>13</v>
      </c>
      <c r="E450" s="15">
        <v>20</v>
      </c>
      <c r="F450" s="15">
        <v>11</v>
      </c>
      <c r="G450" s="15" t="s">
        <v>32</v>
      </c>
      <c r="H450" s="15" t="s">
        <v>61</v>
      </c>
      <c r="I450" s="15" t="s">
        <v>570</v>
      </c>
      <c r="J450" s="15">
        <v>94</v>
      </c>
    </row>
    <row r="451" spans="1:10" x14ac:dyDescent="0.3">
      <c r="A451" s="15" t="s">
        <v>858</v>
      </c>
      <c r="B451" s="15" t="s">
        <v>35</v>
      </c>
      <c r="C451" s="15" t="s">
        <v>12</v>
      </c>
      <c r="D451" s="15" t="s">
        <v>31</v>
      </c>
      <c r="E451" s="15">
        <v>19</v>
      </c>
      <c r="F451" s="15">
        <v>9</v>
      </c>
      <c r="G451" s="15" t="s">
        <v>43</v>
      </c>
      <c r="H451" s="15" t="s">
        <v>26</v>
      </c>
      <c r="I451" s="15" t="s">
        <v>859</v>
      </c>
      <c r="J451" s="15">
        <v>88</v>
      </c>
    </row>
    <row r="452" spans="1:10" x14ac:dyDescent="0.3">
      <c r="A452" s="15" t="s">
        <v>860</v>
      </c>
      <c r="B452" s="15" t="s">
        <v>68</v>
      </c>
      <c r="C452" s="15" t="s">
        <v>12</v>
      </c>
      <c r="D452" s="15" t="s">
        <v>13</v>
      </c>
      <c r="E452" s="15">
        <v>16</v>
      </c>
      <c r="F452" s="15">
        <v>12</v>
      </c>
      <c r="G452" s="15" t="s">
        <v>14</v>
      </c>
      <c r="H452" s="15" t="s">
        <v>37</v>
      </c>
      <c r="I452" s="15" t="s">
        <v>861</v>
      </c>
      <c r="J452" s="15">
        <v>84</v>
      </c>
    </row>
    <row r="453" spans="1:10" x14ac:dyDescent="0.3">
      <c r="A453" s="15" t="s">
        <v>862</v>
      </c>
      <c r="B453" s="15" t="s">
        <v>51</v>
      </c>
      <c r="C453" s="15" t="s">
        <v>24</v>
      </c>
      <c r="D453" s="15" t="s">
        <v>13</v>
      </c>
      <c r="E453" s="15">
        <v>17</v>
      </c>
      <c r="F453" s="15">
        <v>9</v>
      </c>
      <c r="G453" s="15" t="s">
        <v>43</v>
      </c>
      <c r="H453" s="15" t="s">
        <v>15</v>
      </c>
      <c r="I453" s="15" t="s">
        <v>863</v>
      </c>
      <c r="J453" s="15">
        <v>86</v>
      </c>
    </row>
    <row r="454" spans="1:10" x14ac:dyDescent="0.3">
      <c r="A454" s="15" t="s">
        <v>864</v>
      </c>
      <c r="B454" s="15" t="s">
        <v>35</v>
      </c>
      <c r="C454" s="15" t="s">
        <v>58</v>
      </c>
      <c r="D454" s="15" t="s">
        <v>13</v>
      </c>
      <c r="E454" s="15">
        <v>17</v>
      </c>
      <c r="F454" s="15">
        <v>10</v>
      </c>
      <c r="G454" s="15" t="s">
        <v>14</v>
      </c>
      <c r="H454" s="15" t="s">
        <v>20</v>
      </c>
      <c r="I454" s="15" t="s">
        <v>865</v>
      </c>
      <c r="J454" s="15">
        <v>92</v>
      </c>
    </row>
    <row r="455" spans="1:10" x14ac:dyDescent="0.3">
      <c r="A455" s="15" t="s">
        <v>866</v>
      </c>
      <c r="B455" s="15" t="s">
        <v>18</v>
      </c>
      <c r="C455" s="15" t="s">
        <v>24</v>
      </c>
      <c r="D455" s="15" t="s">
        <v>13</v>
      </c>
      <c r="E455" s="15">
        <v>15</v>
      </c>
      <c r="F455" s="15">
        <v>11</v>
      </c>
      <c r="G455" s="15" t="s">
        <v>14</v>
      </c>
      <c r="H455" s="15" t="s">
        <v>61</v>
      </c>
      <c r="I455" s="15" t="s">
        <v>867</v>
      </c>
      <c r="J455" s="15">
        <v>97</v>
      </c>
    </row>
    <row r="456" spans="1:10" x14ac:dyDescent="0.3">
      <c r="A456" s="15" t="s">
        <v>868</v>
      </c>
      <c r="B456" s="15" t="s">
        <v>84</v>
      </c>
      <c r="C456" s="15" t="s">
        <v>30</v>
      </c>
      <c r="D456" s="15" t="s">
        <v>31</v>
      </c>
      <c r="E456" s="15">
        <v>15</v>
      </c>
      <c r="F456" s="15">
        <v>9</v>
      </c>
      <c r="G456" s="15" t="s">
        <v>43</v>
      </c>
      <c r="H456" s="15" t="s">
        <v>61</v>
      </c>
      <c r="I456" s="15" t="s">
        <v>151</v>
      </c>
      <c r="J456" s="15">
        <v>45</v>
      </c>
    </row>
    <row r="457" spans="1:10" x14ac:dyDescent="0.3">
      <c r="A457" s="15" t="s">
        <v>869</v>
      </c>
      <c r="B457" s="15" t="s">
        <v>73</v>
      </c>
      <c r="C457" s="15" t="s">
        <v>96</v>
      </c>
      <c r="D457" s="15" t="s">
        <v>31</v>
      </c>
      <c r="E457" s="15">
        <v>17</v>
      </c>
      <c r="F457" s="15">
        <v>9</v>
      </c>
      <c r="G457" s="15" t="s">
        <v>43</v>
      </c>
      <c r="H457" s="15" t="s">
        <v>26</v>
      </c>
      <c r="I457" s="15" t="s">
        <v>870</v>
      </c>
      <c r="J457" s="15">
        <v>53</v>
      </c>
    </row>
    <row r="458" spans="1:10" x14ac:dyDescent="0.3">
      <c r="A458" s="15" t="s">
        <v>871</v>
      </c>
      <c r="B458" s="15" t="s">
        <v>11</v>
      </c>
      <c r="C458" s="15" t="s">
        <v>12</v>
      </c>
      <c r="D458" s="15" t="s">
        <v>13</v>
      </c>
      <c r="E458" s="15">
        <v>20</v>
      </c>
      <c r="F458" s="15">
        <v>10</v>
      </c>
      <c r="G458" s="15" t="s">
        <v>25</v>
      </c>
      <c r="H458" s="15" t="s">
        <v>76</v>
      </c>
      <c r="I458" s="15" t="s">
        <v>872</v>
      </c>
      <c r="J458" s="15">
        <v>66</v>
      </c>
    </row>
    <row r="459" spans="1:10" x14ac:dyDescent="0.3">
      <c r="A459" s="15" t="s">
        <v>873</v>
      </c>
      <c r="B459" s="15" t="s">
        <v>18</v>
      </c>
      <c r="C459" s="15" t="s">
        <v>79</v>
      </c>
      <c r="D459" s="15" t="s">
        <v>31</v>
      </c>
      <c r="E459" s="15">
        <v>19</v>
      </c>
      <c r="F459" s="15">
        <v>12</v>
      </c>
      <c r="G459" s="15" t="s">
        <v>32</v>
      </c>
      <c r="H459" s="15" t="s">
        <v>76</v>
      </c>
      <c r="I459" s="15" t="s">
        <v>742</v>
      </c>
      <c r="J459" s="15">
        <v>83</v>
      </c>
    </row>
    <row r="460" spans="1:10" x14ac:dyDescent="0.3">
      <c r="A460" s="15" t="s">
        <v>874</v>
      </c>
      <c r="B460" s="15" t="s">
        <v>35</v>
      </c>
      <c r="C460" s="15" t="s">
        <v>36</v>
      </c>
      <c r="D460" s="15" t="s">
        <v>13</v>
      </c>
      <c r="E460" s="15">
        <v>16</v>
      </c>
      <c r="F460" s="15">
        <v>10</v>
      </c>
      <c r="G460" s="15" t="s">
        <v>14</v>
      </c>
      <c r="H460" s="15" t="s">
        <v>61</v>
      </c>
      <c r="I460" s="15" t="s">
        <v>875</v>
      </c>
      <c r="J460" s="15">
        <v>35</v>
      </c>
    </row>
    <row r="461" spans="1:10" x14ac:dyDescent="0.3">
      <c r="A461" s="15" t="s">
        <v>876</v>
      </c>
      <c r="B461" s="15" t="s">
        <v>18</v>
      </c>
      <c r="C461" s="15" t="s">
        <v>24</v>
      </c>
      <c r="D461" s="15" t="s">
        <v>31</v>
      </c>
      <c r="E461" s="15">
        <v>16</v>
      </c>
      <c r="F461" s="15">
        <v>9</v>
      </c>
      <c r="G461" s="15" t="s">
        <v>43</v>
      </c>
      <c r="H461" s="15" t="s">
        <v>26</v>
      </c>
      <c r="I461" s="15" t="s">
        <v>515</v>
      </c>
      <c r="J461" s="15">
        <v>48</v>
      </c>
    </row>
    <row r="462" spans="1:10" x14ac:dyDescent="0.3">
      <c r="A462" s="15" t="s">
        <v>877</v>
      </c>
      <c r="B462" s="15" t="s">
        <v>73</v>
      </c>
      <c r="C462" s="15" t="s">
        <v>85</v>
      </c>
      <c r="D462" s="15" t="s">
        <v>13</v>
      </c>
      <c r="E462" s="15">
        <v>19</v>
      </c>
      <c r="F462" s="15">
        <v>10</v>
      </c>
      <c r="G462" s="15" t="s">
        <v>25</v>
      </c>
      <c r="H462" s="15" t="s">
        <v>26</v>
      </c>
      <c r="I462" s="15" t="s">
        <v>878</v>
      </c>
      <c r="J462" s="15">
        <v>81</v>
      </c>
    </row>
    <row r="463" spans="1:10" x14ac:dyDescent="0.3">
      <c r="A463" s="15" t="s">
        <v>879</v>
      </c>
      <c r="B463" s="15" t="s">
        <v>18</v>
      </c>
      <c r="C463" s="15" t="s">
        <v>85</v>
      </c>
      <c r="D463" s="15" t="s">
        <v>13</v>
      </c>
      <c r="E463" s="15">
        <v>15</v>
      </c>
      <c r="F463" s="15">
        <v>11</v>
      </c>
      <c r="G463" s="15" t="s">
        <v>32</v>
      </c>
      <c r="H463" s="15" t="s">
        <v>37</v>
      </c>
      <c r="I463" s="15" t="s">
        <v>880</v>
      </c>
      <c r="J463" s="15">
        <v>86</v>
      </c>
    </row>
    <row r="464" spans="1:10" x14ac:dyDescent="0.3">
      <c r="A464" s="15" t="s">
        <v>881</v>
      </c>
      <c r="B464" s="15" t="s">
        <v>73</v>
      </c>
      <c r="C464" s="15" t="s">
        <v>24</v>
      </c>
      <c r="D464" s="15" t="s">
        <v>31</v>
      </c>
      <c r="E464" s="15">
        <v>14</v>
      </c>
      <c r="F464" s="15">
        <v>12</v>
      </c>
      <c r="G464" s="15" t="s">
        <v>25</v>
      </c>
      <c r="H464" s="15" t="s">
        <v>46</v>
      </c>
      <c r="I464" s="15" t="s">
        <v>882</v>
      </c>
      <c r="J464" s="15">
        <v>58</v>
      </c>
    </row>
    <row r="465" spans="1:10" x14ac:dyDescent="0.3">
      <c r="A465" s="15" t="s">
        <v>883</v>
      </c>
      <c r="B465" s="15" t="s">
        <v>23</v>
      </c>
      <c r="C465" s="15" t="s">
        <v>85</v>
      </c>
      <c r="D465" s="15" t="s">
        <v>13</v>
      </c>
      <c r="E465" s="15">
        <v>19</v>
      </c>
      <c r="F465" s="15">
        <v>9</v>
      </c>
      <c r="G465" s="15" t="s">
        <v>43</v>
      </c>
      <c r="H465" s="15" t="s">
        <v>20</v>
      </c>
      <c r="I465" s="15" t="s">
        <v>884</v>
      </c>
      <c r="J465" s="15">
        <v>69</v>
      </c>
    </row>
    <row r="466" spans="1:10" x14ac:dyDescent="0.3">
      <c r="A466" s="15" t="s">
        <v>885</v>
      </c>
      <c r="B466" s="15" t="s">
        <v>51</v>
      </c>
      <c r="C466" s="15" t="s">
        <v>55</v>
      </c>
      <c r="D466" s="15" t="s">
        <v>13</v>
      </c>
      <c r="E466" s="15">
        <v>16</v>
      </c>
      <c r="F466" s="15">
        <v>11</v>
      </c>
      <c r="G466" s="15" t="s">
        <v>32</v>
      </c>
      <c r="H466" s="15" t="s">
        <v>76</v>
      </c>
      <c r="I466" s="15" t="s">
        <v>886</v>
      </c>
      <c r="J466" s="15">
        <v>65</v>
      </c>
    </row>
    <row r="467" spans="1:10" x14ac:dyDescent="0.3">
      <c r="A467" s="15" t="s">
        <v>887</v>
      </c>
      <c r="B467" s="15" t="s">
        <v>11</v>
      </c>
      <c r="C467" s="15" t="s">
        <v>30</v>
      </c>
      <c r="D467" s="15" t="s">
        <v>31</v>
      </c>
      <c r="E467" s="15">
        <v>17</v>
      </c>
      <c r="F467" s="15">
        <v>9</v>
      </c>
      <c r="G467" s="15" t="s">
        <v>14</v>
      </c>
      <c r="H467" s="15" t="s">
        <v>76</v>
      </c>
      <c r="I467" s="15" t="s">
        <v>653</v>
      </c>
      <c r="J467" s="15">
        <v>53</v>
      </c>
    </row>
    <row r="468" spans="1:10" x14ac:dyDescent="0.3">
      <c r="A468" s="15" t="s">
        <v>888</v>
      </c>
      <c r="B468" s="15" t="s">
        <v>23</v>
      </c>
      <c r="C468" s="15" t="s">
        <v>58</v>
      </c>
      <c r="D468" s="15" t="s">
        <v>31</v>
      </c>
      <c r="E468" s="15">
        <v>18</v>
      </c>
      <c r="F468" s="15">
        <v>10</v>
      </c>
      <c r="G468" s="15" t="s">
        <v>14</v>
      </c>
      <c r="H468" s="15" t="s">
        <v>20</v>
      </c>
      <c r="I468" s="15" t="s">
        <v>153</v>
      </c>
      <c r="J468" s="15">
        <v>92</v>
      </c>
    </row>
    <row r="469" spans="1:10" x14ac:dyDescent="0.3">
      <c r="A469" s="15" t="s">
        <v>889</v>
      </c>
      <c r="B469" s="15" t="s">
        <v>68</v>
      </c>
      <c r="C469" s="15" t="s">
        <v>19</v>
      </c>
      <c r="D469" s="15" t="s">
        <v>31</v>
      </c>
      <c r="E469" s="15">
        <v>18</v>
      </c>
      <c r="F469" s="15">
        <v>12</v>
      </c>
      <c r="G469" s="15" t="s">
        <v>32</v>
      </c>
      <c r="H469" s="15" t="s">
        <v>46</v>
      </c>
      <c r="I469" s="15" t="s">
        <v>890</v>
      </c>
      <c r="J469" s="15">
        <v>88</v>
      </c>
    </row>
    <row r="470" spans="1:10" x14ac:dyDescent="0.3">
      <c r="A470" s="15" t="s">
        <v>891</v>
      </c>
      <c r="B470" s="15" t="s">
        <v>68</v>
      </c>
      <c r="C470" s="15" t="s">
        <v>79</v>
      </c>
      <c r="D470" s="15" t="s">
        <v>31</v>
      </c>
      <c r="E470" s="15">
        <v>17</v>
      </c>
      <c r="F470" s="15">
        <v>10</v>
      </c>
      <c r="G470" s="15" t="s">
        <v>32</v>
      </c>
      <c r="H470" s="15" t="s">
        <v>61</v>
      </c>
      <c r="I470" s="15" t="s">
        <v>892</v>
      </c>
      <c r="J470" s="15">
        <v>56</v>
      </c>
    </row>
    <row r="471" spans="1:10" x14ac:dyDescent="0.3">
      <c r="A471" s="15" t="s">
        <v>893</v>
      </c>
      <c r="B471" s="15" t="s">
        <v>29</v>
      </c>
      <c r="C471" s="15" t="s">
        <v>30</v>
      </c>
      <c r="D471" s="15" t="s">
        <v>13</v>
      </c>
      <c r="E471" s="15">
        <v>17</v>
      </c>
      <c r="F471" s="15">
        <v>9</v>
      </c>
      <c r="G471" s="15" t="s">
        <v>14</v>
      </c>
      <c r="H471" s="15" t="s">
        <v>46</v>
      </c>
      <c r="I471" s="15" t="s">
        <v>423</v>
      </c>
      <c r="J471" s="15">
        <v>46</v>
      </c>
    </row>
    <row r="472" spans="1:10" x14ac:dyDescent="0.3">
      <c r="A472" s="15" t="s">
        <v>894</v>
      </c>
      <c r="B472" s="15" t="s">
        <v>23</v>
      </c>
      <c r="C472" s="15" t="s">
        <v>79</v>
      </c>
      <c r="D472" s="15" t="s">
        <v>31</v>
      </c>
      <c r="E472" s="15">
        <v>20</v>
      </c>
      <c r="F472" s="15">
        <v>9</v>
      </c>
      <c r="G472" s="15" t="s">
        <v>14</v>
      </c>
      <c r="H472" s="15" t="s">
        <v>26</v>
      </c>
      <c r="I472" s="15" t="s">
        <v>895</v>
      </c>
      <c r="J472" s="15">
        <v>36</v>
      </c>
    </row>
    <row r="473" spans="1:10" x14ac:dyDescent="0.3">
      <c r="A473" s="15" t="s">
        <v>896</v>
      </c>
      <c r="B473" s="15" t="s">
        <v>11</v>
      </c>
      <c r="C473" s="15" t="s">
        <v>36</v>
      </c>
      <c r="D473" s="15" t="s">
        <v>13</v>
      </c>
      <c r="E473" s="15">
        <v>15</v>
      </c>
      <c r="F473" s="15">
        <v>11</v>
      </c>
      <c r="G473" s="15" t="s">
        <v>14</v>
      </c>
      <c r="H473" s="15" t="s">
        <v>26</v>
      </c>
      <c r="I473" s="15" t="s">
        <v>897</v>
      </c>
      <c r="J473" s="15">
        <v>95</v>
      </c>
    </row>
    <row r="474" spans="1:10" x14ac:dyDescent="0.3">
      <c r="A474" s="15" t="s">
        <v>898</v>
      </c>
      <c r="B474" s="15" t="s">
        <v>18</v>
      </c>
      <c r="C474" s="15" t="s">
        <v>19</v>
      </c>
      <c r="D474" s="15" t="s">
        <v>13</v>
      </c>
      <c r="E474" s="15">
        <v>17</v>
      </c>
      <c r="F474" s="15">
        <v>10</v>
      </c>
      <c r="G474" s="15" t="s">
        <v>25</v>
      </c>
      <c r="H474" s="15" t="s">
        <v>61</v>
      </c>
      <c r="I474" s="15" t="s">
        <v>471</v>
      </c>
      <c r="J474" s="15">
        <v>58</v>
      </c>
    </row>
    <row r="475" spans="1:10" x14ac:dyDescent="0.3">
      <c r="A475" s="15" t="s">
        <v>899</v>
      </c>
      <c r="B475" s="15" t="s">
        <v>11</v>
      </c>
      <c r="C475" s="15" t="s">
        <v>79</v>
      </c>
      <c r="D475" s="15" t="s">
        <v>13</v>
      </c>
      <c r="E475" s="15">
        <v>15</v>
      </c>
      <c r="F475" s="15">
        <v>10</v>
      </c>
      <c r="G475" s="15" t="s">
        <v>14</v>
      </c>
      <c r="H475" s="15" t="s">
        <v>37</v>
      </c>
      <c r="I475" s="15" t="s">
        <v>900</v>
      </c>
      <c r="J475" s="15">
        <v>88</v>
      </c>
    </row>
    <row r="476" spans="1:10" x14ac:dyDescent="0.3">
      <c r="A476" s="15" t="s">
        <v>901</v>
      </c>
      <c r="B476" s="15" t="s">
        <v>68</v>
      </c>
      <c r="C476" s="15" t="s">
        <v>19</v>
      </c>
      <c r="D476" s="15" t="s">
        <v>31</v>
      </c>
      <c r="E476" s="15">
        <v>18</v>
      </c>
      <c r="F476" s="15">
        <v>11</v>
      </c>
      <c r="G476" s="15" t="s">
        <v>14</v>
      </c>
      <c r="H476" s="15" t="s">
        <v>40</v>
      </c>
      <c r="I476" s="15" t="s">
        <v>139</v>
      </c>
      <c r="J476" s="15">
        <v>75</v>
      </c>
    </row>
    <row r="477" spans="1:10" x14ac:dyDescent="0.3">
      <c r="A477" s="15" t="s">
        <v>902</v>
      </c>
      <c r="B477" s="15" t="s">
        <v>35</v>
      </c>
      <c r="C477" s="15" t="s">
        <v>12</v>
      </c>
      <c r="D477" s="15" t="s">
        <v>31</v>
      </c>
      <c r="E477" s="15">
        <v>14</v>
      </c>
      <c r="F477" s="15">
        <v>11</v>
      </c>
      <c r="G477" s="15" t="s">
        <v>14</v>
      </c>
      <c r="H477" s="15" t="s">
        <v>37</v>
      </c>
      <c r="I477" s="15" t="s">
        <v>271</v>
      </c>
      <c r="J477" s="15">
        <v>59</v>
      </c>
    </row>
    <row r="478" spans="1:10" x14ac:dyDescent="0.3">
      <c r="A478" s="15" t="s">
        <v>903</v>
      </c>
      <c r="B478" s="15" t="s">
        <v>54</v>
      </c>
      <c r="C478" s="15" t="s">
        <v>30</v>
      </c>
      <c r="D478" s="15" t="s">
        <v>31</v>
      </c>
      <c r="E478" s="15">
        <v>20</v>
      </c>
      <c r="F478" s="15">
        <v>12</v>
      </c>
      <c r="G478" s="15" t="s">
        <v>43</v>
      </c>
      <c r="H478" s="15" t="s">
        <v>40</v>
      </c>
      <c r="I478" s="15" t="s">
        <v>904</v>
      </c>
      <c r="J478" s="15">
        <v>55</v>
      </c>
    </row>
    <row r="479" spans="1:10" x14ac:dyDescent="0.3">
      <c r="A479" s="15" t="s">
        <v>905</v>
      </c>
      <c r="B479" s="15" t="s">
        <v>54</v>
      </c>
      <c r="C479" s="15" t="s">
        <v>30</v>
      </c>
      <c r="D479" s="15" t="s">
        <v>13</v>
      </c>
      <c r="E479" s="15">
        <v>16</v>
      </c>
      <c r="F479" s="15">
        <v>12</v>
      </c>
      <c r="G479" s="15" t="s">
        <v>43</v>
      </c>
      <c r="H479" s="15" t="s">
        <v>40</v>
      </c>
      <c r="I479" s="15" t="s">
        <v>556</v>
      </c>
      <c r="J479" s="15">
        <v>81</v>
      </c>
    </row>
    <row r="480" spans="1:10" x14ac:dyDescent="0.3">
      <c r="A480" s="15" t="s">
        <v>906</v>
      </c>
      <c r="B480" s="15" t="s">
        <v>73</v>
      </c>
      <c r="C480" s="15" t="s">
        <v>36</v>
      </c>
      <c r="D480" s="15" t="s">
        <v>13</v>
      </c>
      <c r="E480" s="15">
        <v>17</v>
      </c>
      <c r="F480" s="15">
        <v>12</v>
      </c>
      <c r="G480" s="15" t="s">
        <v>25</v>
      </c>
      <c r="H480" s="15" t="s">
        <v>76</v>
      </c>
      <c r="I480" s="15" t="s">
        <v>907</v>
      </c>
      <c r="J480" s="15">
        <v>75</v>
      </c>
    </row>
    <row r="481" spans="1:10" x14ac:dyDescent="0.3">
      <c r="A481" s="15" t="s">
        <v>908</v>
      </c>
      <c r="B481" s="15" t="s">
        <v>11</v>
      </c>
      <c r="C481" s="15" t="s">
        <v>79</v>
      </c>
      <c r="D481" s="15" t="s">
        <v>31</v>
      </c>
      <c r="E481" s="15">
        <v>14</v>
      </c>
      <c r="F481" s="15">
        <v>10</v>
      </c>
      <c r="G481" s="15" t="s">
        <v>14</v>
      </c>
      <c r="H481" s="15" t="s">
        <v>46</v>
      </c>
      <c r="I481" s="15" t="s">
        <v>909</v>
      </c>
      <c r="J481" s="15">
        <v>55</v>
      </c>
    </row>
    <row r="482" spans="1:10" x14ac:dyDescent="0.3">
      <c r="A482" s="15" t="s">
        <v>910</v>
      </c>
      <c r="B482" s="15" t="s">
        <v>84</v>
      </c>
      <c r="C482" s="15" t="s">
        <v>12</v>
      </c>
      <c r="D482" s="15" t="s">
        <v>31</v>
      </c>
      <c r="E482" s="15">
        <v>18</v>
      </c>
      <c r="F482" s="15">
        <v>11</v>
      </c>
      <c r="G482" s="15" t="s">
        <v>25</v>
      </c>
      <c r="H482" s="15" t="s">
        <v>15</v>
      </c>
      <c r="I482" s="15" t="s">
        <v>911</v>
      </c>
      <c r="J482" s="15">
        <v>87</v>
      </c>
    </row>
    <row r="483" spans="1:10" x14ac:dyDescent="0.3">
      <c r="A483" s="15" t="s">
        <v>912</v>
      </c>
      <c r="B483" s="15" t="s">
        <v>23</v>
      </c>
      <c r="C483" s="15" t="s">
        <v>79</v>
      </c>
      <c r="D483" s="15" t="s">
        <v>31</v>
      </c>
      <c r="E483" s="15">
        <v>17</v>
      </c>
      <c r="F483" s="15">
        <v>12</v>
      </c>
      <c r="G483" s="15" t="s">
        <v>32</v>
      </c>
      <c r="H483" s="15" t="s">
        <v>46</v>
      </c>
      <c r="I483" s="15" t="s">
        <v>400</v>
      </c>
      <c r="J483" s="15">
        <v>70</v>
      </c>
    </row>
    <row r="484" spans="1:10" x14ac:dyDescent="0.3">
      <c r="A484" s="15" t="s">
        <v>913</v>
      </c>
      <c r="B484" s="15" t="s">
        <v>68</v>
      </c>
      <c r="C484" s="15" t="s">
        <v>58</v>
      </c>
      <c r="D484" s="15" t="s">
        <v>13</v>
      </c>
      <c r="E484" s="15">
        <v>14</v>
      </c>
      <c r="F484" s="15">
        <v>10</v>
      </c>
      <c r="G484" s="15" t="s">
        <v>14</v>
      </c>
      <c r="H484" s="15" t="s">
        <v>15</v>
      </c>
      <c r="I484" s="15" t="s">
        <v>914</v>
      </c>
      <c r="J484" s="15">
        <v>69</v>
      </c>
    </row>
    <row r="485" spans="1:10" x14ac:dyDescent="0.3">
      <c r="A485" s="15" t="s">
        <v>915</v>
      </c>
      <c r="B485" s="15" t="s">
        <v>23</v>
      </c>
      <c r="C485" s="15" t="s">
        <v>58</v>
      </c>
      <c r="D485" s="15" t="s">
        <v>31</v>
      </c>
      <c r="E485" s="15">
        <v>17</v>
      </c>
      <c r="F485" s="15">
        <v>9</v>
      </c>
      <c r="G485" s="15" t="s">
        <v>25</v>
      </c>
      <c r="H485" s="15" t="s">
        <v>46</v>
      </c>
      <c r="I485" s="15" t="s">
        <v>916</v>
      </c>
      <c r="J485" s="15">
        <v>85</v>
      </c>
    </row>
    <row r="486" spans="1:10" x14ac:dyDescent="0.3">
      <c r="A486" s="15" t="s">
        <v>917</v>
      </c>
      <c r="B486" s="15" t="s">
        <v>11</v>
      </c>
      <c r="C486" s="15" t="s">
        <v>96</v>
      </c>
      <c r="D486" s="15" t="s">
        <v>31</v>
      </c>
      <c r="E486" s="15">
        <v>19</v>
      </c>
      <c r="F486" s="15">
        <v>11</v>
      </c>
      <c r="G486" s="15" t="s">
        <v>43</v>
      </c>
      <c r="H486" s="15" t="s">
        <v>26</v>
      </c>
      <c r="I486" s="15" t="s">
        <v>918</v>
      </c>
      <c r="J486" s="15">
        <v>87</v>
      </c>
    </row>
    <row r="487" spans="1:10" x14ac:dyDescent="0.3">
      <c r="A487" s="15" t="s">
        <v>919</v>
      </c>
      <c r="B487" s="15" t="s">
        <v>23</v>
      </c>
      <c r="C487" s="15" t="s">
        <v>19</v>
      </c>
      <c r="D487" s="15" t="s">
        <v>13</v>
      </c>
      <c r="E487" s="15">
        <v>14</v>
      </c>
      <c r="F487" s="15">
        <v>12</v>
      </c>
      <c r="G487" s="15" t="s">
        <v>14</v>
      </c>
      <c r="H487" s="15" t="s">
        <v>15</v>
      </c>
      <c r="I487" s="15" t="s">
        <v>920</v>
      </c>
      <c r="J487" s="15">
        <v>92</v>
      </c>
    </row>
    <row r="488" spans="1:10" x14ac:dyDescent="0.3">
      <c r="A488" s="15" t="s">
        <v>921</v>
      </c>
      <c r="B488" s="15" t="s">
        <v>18</v>
      </c>
      <c r="C488" s="15" t="s">
        <v>24</v>
      </c>
      <c r="D488" s="15" t="s">
        <v>13</v>
      </c>
      <c r="E488" s="15">
        <v>19</v>
      </c>
      <c r="F488" s="15">
        <v>10</v>
      </c>
      <c r="G488" s="15" t="s">
        <v>14</v>
      </c>
      <c r="H488" s="15" t="s">
        <v>20</v>
      </c>
      <c r="I488" s="15" t="s">
        <v>922</v>
      </c>
      <c r="J488" s="15">
        <v>58</v>
      </c>
    </row>
    <row r="489" spans="1:10" x14ac:dyDescent="0.3">
      <c r="A489" s="15" t="s">
        <v>923</v>
      </c>
      <c r="B489" s="15" t="s">
        <v>68</v>
      </c>
      <c r="C489" s="15" t="s">
        <v>55</v>
      </c>
      <c r="D489" s="15" t="s">
        <v>31</v>
      </c>
      <c r="E489" s="15">
        <v>16</v>
      </c>
      <c r="F489" s="15">
        <v>12</v>
      </c>
      <c r="G489" s="15" t="s">
        <v>43</v>
      </c>
      <c r="H489" s="15" t="s">
        <v>37</v>
      </c>
      <c r="I489" s="15" t="s">
        <v>924</v>
      </c>
      <c r="J489" s="15">
        <v>77</v>
      </c>
    </row>
    <row r="490" spans="1:10" x14ac:dyDescent="0.3">
      <c r="A490" s="15" t="s">
        <v>925</v>
      </c>
      <c r="B490" s="15" t="s">
        <v>68</v>
      </c>
      <c r="C490" s="15" t="s">
        <v>30</v>
      </c>
      <c r="D490" s="15" t="s">
        <v>31</v>
      </c>
      <c r="E490" s="15">
        <v>18</v>
      </c>
      <c r="F490" s="15">
        <v>9</v>
      </c>
      <c r="G490" s="15" t="s">
        <v>32</v>
      </c>
      <c r="H490" s="15" t="s">
        <v>20</v>
      </c>
      <c r="I490" s="15" t="s">
        <v>732</v>
      </c>
      <c r="J490" s="15">
        <v>86</v>
      </c>
    </row>
    <row r="491" spans="1:10" x14ac:dyDescent="0.3">
      <c r="A491" s="15" t="s">
        <v>926</v>
      </c>
      <c r="B491" s="15" t="s">
        <v>73</v>
      </c>
      <c r="C491" s="15" t="s">
        <v>85</v>
      </c>
      <c r="D491" s="15" t="s">
        <v>13</v>
      </c>
      <c r="E491" s="15">
        <v>14</v>
      </c>
      <c r="F491" s="15">
        <v>9</v>
      </c>
      <c r="G491" s="15" t="s">
        <v>32</v>
      </c>
      <c r="H491" s="15" t="s">
        <v>20</v>
      </c>
      <c r="I491" s="15" t="s">
        <v>927</v>
      </c>
      <c r="J491" s="15">
        <v>94</v>
      </c>
    </row>
    <row r="492" spans="1:10" x14ac:dyDescent="0.3">
      <c r="A492" s="15" t="s">
        <v>928</v>
      </c>
      <c r="B492" s="15" t="s">
        <v>23</v>
      </c>
      <c r="C492" s="15" t="s">
        <v>55</v>
      </c>
      <c r="D492" s="15" t="s">
        <v>13</v>
      </c>
      <c r="E492" s="15">
        <v>20</v>
      </c>
      <c r="F492" s="15">
        <v>11</v>
      </c>
      <c r="G492" s="15" t="s">
        <v>14</v>
      </c>
      <c r="H492" s="15" t="s">
        <v>15</v>
      </c>
      <c r="I492" s="15" t="s">
        <v>608</v>
      </c>
      <c r="J492" s="15">
        <v>49</v>
      </c>
    </row>
    <row r="493" spans="1:10" x14ac:dyDescent="0.3">
      <c r="A493" s="15" t="s">
        <v>929</v>
      </c>
      <c r="B493" s="15" t="s">
        <v>35</v>
      </c>
      <c r="C493" s="15" t="s">
        <v>30</v>
      </c>
      <c r="D493" s="15" t="s">
        <v>13</v>
      </c>
      <c r="E493" s="15">
        <v>15</v>
      </c>
      <c r="F493" s="15">
        <v>12</v>
      </c>
      <c r="G493" s="15" t="s">
        <v>32</v>
      </c>
      <c r="H493" s="15" t="s">
        <v>26</v>
      </c>
      <c r="I493" s="15" t="s">
        <v>262</v>
      </c>
      <c r="J493" s="15">
        <v>55</v>
      </c>
    </row>
    <row r="494" spans="1:10" x14ac:dyDescent="0.3">
      <c r="A494" s="15" t="s">
        <v>930</v>
      </c>
      <c r="B494" s="15" t="s">
        <v>35</v>
      </c>
      <c r="C494" s="15" t="s">
        <v>96</v>
      </c>
      <c r="D494" s="15" t="s">
        <v>31</v>
      </c>
      <c r="E494" s="15">
        <v>20</v>
      </c>
      <c r="F494" s="15">
        <v>9</v>
      </c>
      <c r="G494" s="15" t="s">
        <v>25</v>
      </c>
      <c r="H494" s="15" t="s">
        <v>61</v>
      </c>
      <c r="I494" s="15" t="s">
        <v>342</v>
      </c>
      <c r="J494" s="15">
        <v>62</v>
      </c>
    </row>
    <row r="495" spans="1:10" x14ac:dyDescent="0.3">
      <c r="A495" s="15" t="s">
        <v>931</v>
      </c>
      <c r="B495" s="15" t="s">
        <v>23</v>
      </c>
      <c r="C495" s="15" t="s">
        <v>36</v>
      </c>
      <c r="D495" s="15" t="s">
        <v>13</v>
      </c>
      <c r="E495" s="15">
        <v>20</v>
      </c>
      <c r="F495" s="15">
        <v>9</v>
      </c>
      <c r="G495" s="15" t="s">
        <v>43</v>
      </c>
      <c r="H495" s="15" t="s">
        <v>40</v>
      </c>
      <c r="I495" s="15" t="s">
        <v>932</v>
      </c>
      <c r="J495" s="15">
        <v>85</v>
      </c>
    </row>
    <row r="496" spans="1:10" x14ac:dyDescent="0.3">
      <c r="A496" s="15" t="s">
        <v>933</v>
      </c>
      <c r="B496" s="15" t="s">
        <v>51</v>
      </c>
      <c r="C496" s="15" t="s">
        <v>96</v>
      </c>
      <c r="D496" s="15" t="s">
        <v>13</v>
      </c>
      <c r="E496" s="15">
        <v>20</v>
      </c>
      <c r="F496" s="15">
        <v>11</v>
      </c>
      <c r="G496" s="15" t="s">
        <v>25</v>
      </c>
      <c r="H496" s="15" t="s">
        <v>15</v>
      </c>
      <c r="I496" s="15" t="s">
        <v>494</v>
      </c>
      <c r="J496" s="15">
        <v>42</v>
      </c>
    </row>
    <row r="497" spans="1:10" x14ac:dyDescent="0.3">
      <c r="A497" s="15" t="s">
        <v>934</v>
      </c>
      <c r="B497" s="15" t="s">
        <v>51</v>
      </c>
      <c r="C497" s="15" t="s">
        <v>58</v>
      </c>
      <c r="D497" s="15" t="s">
        <v>31</v>
      </c>
      <c r="E497" s="15">
        <v>18</v>
      </c>
      <c r="F497" s="15">
        <v>11</v>
      </c>
      <c r="G497" s="15" t="s">
        <v>14</v>
      </c>
      <c r="H497" s="15" t="s">
        <v>37</v>
      </c>
      <c r="I497" s="15" t="s">
        <v>806</v>
      </c>
      <c r="J497" s="15">
        <v>88</v>
      </c>
    </row>
    <row r="498" spans="1:10" x14ac:dyDescent="0.3">
      <c r="A498" s="15" t="s">
        <v>935</v>
      </c>
      <c r="B498" s="15" t="s">
        <v>18</v>
      </c>
      <c r="C498" s="15" t="s">
        <v>12</v>
      </c>
      <c r="D498" s="15" t="s">
        <v>13</v>
      </c>
      <c r="E498" s="15">
        <v>20</v>
      </c>
      <c r="F498" s="15">
        <v>11</v>
      </c>
      <c r="G498" s="15" t="s">
        <v>43</v>
      </c>
      <c r="H498" s="15" t="s">
        <v>46</v>
      </c>
      <c r="I498" s="15" t="s">
        <v>936</v>
      </c>
      <c r="J498" s="15">
        <v>94</v>
      </c>
    </row>
    <row r="499" spans="1:10" x14ac:dyDescent="0.3">
      <c r="A499" s="15" t="s">
        <v>937</v>
      </c>
      <c r="B499" s="15" t="s">
        <v>73</v>
      </c>
      <c r="C499" s="15" t="s">
        <v>85</v>
      </c>
      <c r="D499" s="15" t="s">
        <v>31</v>
      </c>
      <c r="E499" s="15">
        <v>16</v>
      </c>
      <c r="F499" s="15">
        <v>10</v>
      </c>
      <c r="G499" s="15" t="s">
        <v>25</v>
      </c>
      <c r="H499" s="15" t="s">
        <v>76</v>
      </c>
      <c r="I499" s="15" t="s">
        <v>305</v>
      </c>
      <c r="J499" s="15">
        <v>90</v>
      </c>
    </row>
    <row r="500" spans="1:10" x14ac:dyDescent="0.3">
      <c r="A500" s="15" t="s">
        <v>938</v>
      </c>
      <c r="B500" s="15" t="s">
        <v>18</v>
      </c>
      <c r="C500" s="15" t="s">
        <v>58</v>
      </c>
      <c r="D500" s="15" t="s">
        <v>13</v>
      </c>
      <c r="E500" s="15">
        <v>16</v>
      </c>
      <c r="F500" s="15">
        <v>12</v>
      </c>
      <c r="G500" s="15" t="s">
        <v>25</v>
      </c>
      <c r="H500" s="15" t="s">
        <v>26</v>
      </c>
      <c r="I500" s="15" t="s">
        <v>939</v>
      </c>
      <c r="J500" s="15">
        <v>41</v>
      </c>
    </row>
    <row r="501" spans="1:10" x14ac:dyDescent="0.3">
      <c r="A501" s="15" t="s">
        <v>940</v>
      </c>
      <c r="B501" s="15" t="s">
        <v>51</v>
      </c>
      <c r="C501" s="15" t="s">
        <v>96</v>
      </c>
      <c r="D501" s="15" t="s">
        <v>31</v>
      </c>
      <c r="E501" s="15">
        <v>18</v>
      </c>
      <c r="F501" s="15">
        <v>9</v>
      </c>
      <c r="G501" s="15" t="s">
        <v>43</v>
      </c>
      <c r="H501" s="15" t="s">
        <v>76</v>
      </c>
      <c r="I501" s="15" t="s">
        <v>506</v>
      </c>
      <c r="J501" s="15">
        <v>36</v>
      </c>
    </row>
  </sheetData>
  <dataValidations count="1">
    <dataValidation type="list" allowBlank="1" showInputMessage="1" showErrorMessage="1" sqref="M15" xr:uid="{386E5859-FEFF-4172-A782-AE0D28AF909B}">
      <formula1>$P$15:$P$16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2B59-C6F1-4FC7-A2C4-0100E3C5B6E2}">
  <sheetPr filterMode="1"/>
  <dimension ref="A1:K503"/>
  <sheetViews>
    <sheetView workbookViewId="0">
      <selection activeCell="N41" sqref="N41"/>
    </sheetView>
  </sheetViews>
  <sheetFormatPr defaultRowHeight="14.4" x14ac:dyDescent="0.3"/>
  <cols>
    <col min="1" max="2" width="12.6640625" bestFit="1" customWidth="1"/>
    <col min="3" max="3" width="12.5546875" bestFit="1" customWidth="1"/>
    <col min="4" max="4" width="9.33203125" bestFit="1" customWidth="1"/>
    <col min="5" max="5" width="6.44140625" bestFit="1" customWidth="1"/>
    <col min="6" max="6" width="7.33203125" bestFit="1" customWidth="1"/>
    <col min="7" max="7" width="9.44140625" bestFit="1" customWidth="1"/>
    <col min="8" max="8" width="9.77734375" bestFit="1" customWidth="1"/>
    <col min="9" max="9" width="16.88671875" bestFit="1" customWidth="1"/>
    <col min="10" max="10" width="8.44140625" bestFit="1" customWidth="1"/>
  </cols>
  <sheetData>
    <row r="1" spans="1:11" ht="18" x14ac:dyDescent="0.35">
      <c r="A1" s="16">
        <v>7</v>
      </c>
      <c r="B1" s="29" t="s">
        <v>980</v>
      </c>
      <c r="C1" s="29"/>
      <c r="D1" s="29"/>
      <c r="E1" s="29"/>
      <c r="F1" s="29"/>
      <c r="G1" s="29"/>
      <c r="H1" s="29"/>
      <c r="I1" s="29"/>
      <c r="J1" s="29"/>
    </row>
    <row r="3" spans="1:11" x14ac:dyDescent="0.3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1"/>
    </row>
    <row r="4" spans="1:11" hidden="1" x14ac:dyDescent="0.3">
      <c r="A4" s="19" t="s">
        <v>138</v>
      </c>
      <c r="B4" s="15" t="s">
        <v>51</v>
      </c>
      <c r="C4" s="15" t="s">
        <v>85</v>
      </c>
      <c r="D4" s="15" t="s">
        <v>13</v>
      </c>
      <c r="E4" s="15">
        <v>18</v>
      </c>
      <c r="F4" s="15">
        <v>11</v>
      </c>
      <c r="G4" s="15" t="s">
        <v>43</v>
      </c>
      <c r="H4" s="15" t="s">
        <v>61</v>
      </c>
      <c r="I4" s="15" t="s">
        <v>139</v>
      </c>
      <c r="J4" s="57">
        <v>100</v>
      </c>
    </row>
    <row r="5" spans="1:11" hidden="1" x14ac:dyDescent="0.3">
      <c r="A5" s="19" t="s">
        <v>241</v>
      </c>
      <c r="B5" s="15" t="s">
        <v>54</v>
      </c>
      <c r="C5" s="15" t="s">
        <v>85</v>
      </c>
      <c r="D5" s="15" t="s">
        <v>31</v>
      </c>
      <c r="E5" s="15">
        <v>15</v>
      </c>
      <c r="F5" s="15">
        <v>12</v>
      </c>
      <c r="G5" s="15" t="s">
        <v>14</v>
      </c>
      <c r="H5" s="15" t="s">
        <v>40</v>
      </c>
      <c r="I5" s="15" t="s">
        <v>242</v>
      </c>
      <c r="J5" s="57">
        <v>100</v>
      </c>
    </row>
    <row r="6" spans="1:11" x14ac:dyDescent="0.3">
      <c r="A6" s="19" t="s">
        <v>293</v>
      </c>
      <c r="B6" s="15" t="s">
        <v>73</v>
      </c>
      <c r="C6" s="15" t="s">
        <v>96</v>
      </c>
      <c r="D6" s="15" t="s">
        <v>31</v>
      </c>
      <c r="E6" s="15">
        <v>20</v>
      </c>
      <c r="F6" s="15">
        <v>9</v>
      </c>
      <c r="G6" s="15" t="s">
        <v>43</v>
      </c>
      <c r="H6" s="15" t="s">
        <v>26</v>
      </c>
      <c r="I6" s="15" t="s">
        <v>74</v>
      </c>
      <c r="J6" s="57">
        <v>100</v>
      </c>
    </row>
    <row r="7" spans="1:11" x14ac:dyDescent="0.3">
      <c r="A7" s="19" t="s">
        <v>296</v>
      </c>
      <c r="B7" s="15" t="s">
        <v>84</v>
      </c>
      <c r="C7" s="15" t="s">
        <v>19</v>
      </c>
      <c r="D7" s="15" t="s">
        <v>31</v>
      </c>
      <c r="E7" s="15">
        <v>20</v>
      </c>
      <c r="F7" s="15">
        <v>10</v>
      </c>
      <c r="G7" s="15" t="s">
        <v>43</v>
      </c>
      <c r="H7" s="15" t="s">
        <v>20</v>
      </c>
      <c r="I7" s="15" t="s">
        <v>297</v>
      </c>
      <c r="J7" s="57">
        <v>100</v>
      </c>
    </row>
    <row r="8" spans="1:11" hidden="1" x14ac:dyDescent="0.3">
      <c r="A8" s="19" t="s">
        <v>407</v>
      </c>
      <c r="B8" s="15" t="s">
        <v>29</v>
      </c>
      <c r="C8" s="15" t="s">
        <v>12</v>
      </c>
      <c r="D8" s="15" t="s">
        <v>31</v>
      </c>
      <c r="E8" s="15">
        <v>16</v>
      </c>
      <c r="F8" s="15">
        <v>10</v>
      </c>
      <c r="G8" s="15" t="s">
        <v>14</v>
      </c>
      <c r="H8" s="15" t="s">
        <v>40</v>
      </c>
      <c r="I8" s="15" t="s">
        <v>71</v>
      </c>
      <c r="J8" s="57">
        <v>100</v>
      </c>
    </row>
    <row r="9" spans="1:11" hidden="1" x14ac:dyDescent="0.3">
      <c r="A9" s="19" t="s">
        <v>569</v>
      </c>
      <c r="B9" s="15" t="s">
        <v>54</v>
      </c>
      <c r="C9" s="15" t="s">
        <v>12</v>
      </c>
      <c r="D9" s="15" t="s">
        <v>31</v>
      </c>
      <c r="E9" s="15">
        <v>17</v>
      </c>
      <c r="F9" s="15">
        <v>9</v>
      </c>
      <c r="G9" s="15" t="s">
        <v>25</v>
      </c>
      <c r="H9" s="15" t="s">
        <v>37</v>
      </c>
      <c r="I9" s="15" t="s">
        <v>570</v>
      </c>
      <c r="J9" s="57">
        <v>100</v>
      </c>
    </row>
    <row r="10" spans="1:11" hidden="1" x14ac:dyDescent="0.3">
      <c r="A10" s="19" t="s">
        <v>775</v>
      </c>
      <c r="B10" s="15" t="s">
        <v>29</v>
      </c>
      <c r="C10" s="15" t="s">
        <v>85</v>
      </c>
      <c r="D10" s="15" t="s">
        <v>31</v>
      </c>
      <c r="E10" s="15">
        <v>20</v>
      </c>
      <c r="F10" s="15">
        <v>10</v>
      </c>
      <c r="G10" s="15" t="s">
        <v>14</v>
      </c>
      <c r="H10" s="15" t="s">
        <v>46</v>
      </c>
      <c r="I10" s="15" t="s">
        <v>366</v>
      </c>
      <c r="J10" s="57">
        <v>100</v>
      </c>
    </row>
    <row r="11" spans="1:11" hidden="1" x14ac:dyDescent="0.3">
      <c r="A11" s="19" t="s">
        <v>160</v>
      </c>
      <c r="B11" s="15" t="s">
        <v>51</v>
      </c>
      <c r="C11" s="15" t="s">
        <v>85</v>
      </c>
      <c r="D11" s="15" t="s">
        <v>31</v>
      </c>
      <c r="E11" s="15">
        <v>17</v>
      </c>
      <c r="F11" s="15">
        <v>11</v>
      </c>
      <c r="G11" s="15" t="s">
        <v>43</v>
      </c>
      <c r="H11" s="15" t="s">
        <v>37</v>
      </c>
      <c r="I11" s="15" t="s">
        <v>161</v>
      </c>
      <c r="J11" s="57">
        <v>99</v>
      </c>
    </row>
    <row r="12" spans="1:11" hidden="1" x14ac:dyDescent="0.3">
      <c r="A12" s="19" t="s">
        <v>177</v>
      </c>
      <c r="B12" s="15" t="s">
        <v>29</v>
      </c>
      <c r="C12" s="15" t="s">
        <v>58</v>
      </c>
      <c r="D12" s="15" t="s">
        <v>31</v>
      </c>
      <c r="E12" s="15">
        <v>19</v>
      </c>
      <c r="F12" s="15">
        <v>12</v>
      </c>
      <c r="G12" s="15" t="s">
        <v>43</v>
      </c>
      <c r="H12" s="15" t="s">
        <v>61</v>
      </c>
      <c r="I12" s="15" t="s">
        <v>178</v>
      </c>
      <c r="J12" s="57">
        <v>99</v>
      </c>
    </row>
    <row r="13" spans="1:11" hidden="1" x14ac:dyDescent="0.3">
      <c r="A13" s="19" t="s">
        <v>294</v>
      </c>
      <c r="B13" s="15" t="s">
        <v>35</v>
      </c>
      <c r="C13" s="15" t="s">
        <v>55</v>
      </c>
      <c r="D13" s="15" t="s">
        <v>13</v>
      </c>
      <c r="E13" s="15">
        <v>20</v>
      </c>
      <c r="F13" s="15">
        <v>9</v>
      </c>
      <c r="G13" s="15" t="s">
        <v>25</v>
      </c>
      <c r="H13" s="15" t="s">
        <v>46</v>
      </c>
      <c r="I13" s="15" t="s">
        <v>295</v>
      </c>
      <c r="J13" s="57">
        <v>99</v>
      </c>
    </row>
    <row r="14" spans="1:11" hidden="1" x14ac:dyDescent="0.3">
      <c r="A14" s="19" t="s">
        <v>367</v>
      </c>
      <c r="B14" s="15" t="s">
        <v>35</v>
      </c>
      <c r="C14" s="15" t="s">
        <v>12</v>
      </c>
      <c r="D14" s="15" t="s">
        <v>31</v>
      </c>
      <c r="E14" s="15">
        <v>15</v>
      </c>
      <c r="F14" s="15">
        <v>10</v>
      </c>
      <c r="G14" s="15" t="s">
        <v>32</v>
      </c>
      <c r="H14" s="15" t="s">
        <v>20</v>
      </c>
      <c r="I14" s="15" t="s">
        <v>368</v>
      </c>
      <c r="J14" s="57">
        <v>99</v>
      </c>
    </row>
    <row r="15" spans="1:11" hidden="1" x14ac:dyDescent="0.3">
      <c r="A15" s="19" t="s">
        <v>422</v>
      </c>
      <c r="B15" s="15" t="s">
        <v>73</v>
      </c>
      <c r="C15" s="15" t="s">
        <v>96</v>
      </c>
      <c r="D15" s="15" t="s">
        <v>13</v>
      </c>
      <c r="E15" s="15">
        <v>14</v>
      </c>
      <c r="F15" s="15">
        <v>10</v>
      </c>
      <c r="G15" s="15" t="s">
        <v>25</v>
      </c>
      <c r="H15" s="15" t="s">
        <v>15</v>
      </c>
      <c r="I15" s="15" t="s">
        <v>423</v>
      </c>
      <c r="J15" s="57">
        <v>99</v>
      </c>
    </row>
    <row r="16" spans="1:11" hidden="1" x14ac:dyDescent="0.3">
      <c r="A16" s="19" t="s">
        <v>605</v>
      </c>
      <c r="B16" s="15" t="s">
        <v>54</v>
      </c>
      <c r="C16" s="15" t="s">
        <v>19</v>
      </c>
      <c r="D16" s="15" t="s">
        <v>31</v>
      </c>
      <c r="E16" s="15">
        <v>20</v>
      </c>
      <c r="F16" s="15">
        <v>10</v>
      </c>
      <c r="G16" s="15" t="s">
        <v>43</v>
      </c>
      <c r="H16" s="15" t="s">
        <v>37</v>
      </c>
      <c r="I16" s="15" t="s">
        <v>606</v>
      </c>
      <c r="J16" s="57">
        <v>99</v>
      </c>
    </row>
    <row r="17" spans="1:10" x14ac:dyDescent="0.3">
      <c r="A17" s="19" t="s">
        <v>615</v>
      </c>
      <c r="B17" s="15" t="s">
        <v>18</v>
      </c>
      <c r="C17" s="15" t="s">
        <v>12</v>
      </c>
      <c r="D17" s="15" t="s">
        <v>13</v>
      </c>
      <c r="E17" s="15">
        <v>17</v>
      </c>
      <c r="F17" s="15">
        <v>12</v>
      </c>
      <c r="G17" s="15" t="s">
        <v>14</v>
      </c>
      <c r="H17" s="15" t="s">
        <v>61</v>
      </c>
      <c r="I17" s="15" t="s">
        <v>616</v>
      </c>
      <c r="J17" s="57">
        <v>99</v>
      </c>
    </row>
    <row r="18" spans="1:10" hidden="1" x14ac:dyDescent="0.3">
      <c r="A18" s="19" t="s">
        <v>739</v>
      </c>
      <c r="B18" s="15" t="s">
        <v>18</v>
      </c>
      <c r="C18" s="15" t="s">
        <v>79</v>
      </c>
      <c r="D18" s="15" t="s">
        <v>31</v>
      </c>
      <c r="E18" s="15">
        <v>14</v>
      </c>
      <c r="F18" s="15">
        <v>10</v>
      </c>
      <c r="G18" s="15" t="s">
        <v>32</v>
      </c>
      <c r="H18" s="15" t="s">
        <v>20</v>
      </c>
      <c r="I18" s="15" t="s">
        <v>740</v>
      </c>
      <c r="J18" s="57">
        <v>99</v>
      </c>
    </row>
    <row r="19" spans="1:10" hidden="1" x14ac:dyDescent="0.3">
      <c r="A19" s="19" t="s">
        <v>17</v>
      </c>
      <c r="B19" s="15" t="s">
        <v>18</v>
      </c>
      <c r="C19" s="15" t="s">
        <v>19</v>
      </c>
      <c r="D19" s="15" t="s">
        <v>13</v>
      </c>
      <c r="E19" s="15">
        <v>15</v>
      </c>
      <c r="F19" s="15">
        <v>12</v>
      </c>
      <c r="G19" s="15" t="s">
        <v>14</v>
      </c>
      <c r="H19" s="15" t="s">
        <v>20</v>
      </c>
      <c r="I19" s="15" t="s">
        <v>21</v>
      </c>
      <c r="J19" s="57">
        <v>98</v>
      </c>
    </row>
    <row r="20" spans="1:10" hidden="1" x14ac:dyDescent="0.3">
      <c r="A20" s="19" t="s">
        <v>181</v>
      </c>
      <c r="B20" s="15" t="s">
        <v>11</v>
      </c>
      <c r="C20" s="15" t="s">
        <v>55</v>
      </c>
      <c r="D20" s="15" t="s">
        <v>31</v>
      </c>
      <c r="E20" s="15">
        <v>18</v>
      </c>
      <c r="F20" s="15">
        <v>10</v>
      </c>
      <c r="G20" s="15" t="s">
        <v>25</v>
      </c>
      <c r="H20" s="15" t="s">
        <v>46</v>
      </c>
      <c r="I20" s="15" t="s">
        <v>182</v>
      </c>
      <c r="J20" s="57">
        <v>98</v>
      </c>
    </row>
    <row r="21" spans="1:10" hidden="1" x14ac:dyDescent="0.3">
      <c r="A21" s="19" t="s">
        <v>280</v>
      </c>
      <c r="B21" s="15" t="s">
        <v>84</v>
      </c>
      <c r="C21" s="15" t="s">
        <v>58</v>
      </c>
      <c r="D21" s="15" t="s">
        <v>13</v>
      </c>
      <c r="E21" s="15">
        <v>18</v>
      </c>
      <c r="F21" s="15">
        <v>12</v>
      </c>
      <c r="G21" s="15" t="s">
        <v>32</v>
      </c>
      <c r="H21" s="15" t="s">
        <v>76</v>
      </c>
      <c r="I21" s="15" t="s">
        <v>159</v>
      </c>
      <c r="J21" s="57">
        <v>98</v>
      </c>
    </row>
    <row r="22" spans="1:10" hidden="1" x14ac:dyDescent="0.3">
      <c r="A22" s="19" t="s">
        <v>592</v>
      </c>
      <c r="B22" s="15" t="s">
        <v>51</v>
      </c>
      <c r="C22" s="15" t="s">
        <v>19</v>
      </c>
      <c r="D22" s="15" t="s">
        <v>31</v>
      </c>
      <c r="E22" s="15">
        <v>18</v>
      </c>
      <c r="F22" s="15">
        <v>10</v>
      </c>
      <c r="G22" s="15" t="s">
        <v>43</v>
      </c>
      <c r="H22" s="15" t="s">
        <v>76</v>
      </c>
      <c r="I22" s="15" t="s">
        <v>593</v>
      </c>
      <c r="J22" s="57">
        <v>98</v>
      </c>
    </row>
    <row r="23" spans="1:10" hidden="1" x14ac:dyDescent="0.3">
      <c r="A23" s="19" t="s">
        <v>754</v>
      </c>
      <c r="B23" s="15" t="s">
        <v>54</v>
      </c>
      <c r="C23" s="15" t="s">
        <v>12</v>
      </c>
      <c r="D23" s="15" t="s">
        <v>13</v>
      </c>
      <c r="E23" s="15">
        <v>14</v>
      </c>
      <c r="F23" s="15">
        <v>12</v>
      </c>
      <c r="G23" s="15" t="s">
        <v>32</v>
      </c>
      <c r="H23" s="15" t="s">
        <v>20</v>
      </c>
      <c r="I23" s="15" t="s">
        <v>755</v>
      </c>
      <c r="J23" s="57">
        <v>98</v>
      </c>
    </row>
    <row r="24" spans="1:10" hidden="1" x14ac:dyDescent="0.3">
      <c r="A24" s="19" t="s">
        <v>198</v>
      </c>
      <c r="B24" s="15" t="s">
        <v>11</v>
      </c>
      <c r="C24" s="15" t="s">
        <v>85</v>
      </c>
      <c r="D24" s="15" t="s">
        <v>31</v>
      </c>
      <c r="E24" s="15">
        <v>14</v>
      </c>
      <c r="F24" s="15">
        <v>10</v>
      </c>
      <c r="G24" s="15" t="s">
        <v>25</v>
      </c>
      <c r="H24" s="15" t="s">
        <v>61</v>
      </c>
      <c r="I24" s="15" t="s">
        <v>199</v>
      </c>
      <c r="J24" s="57">
        <v>97</v>
      </c>
    </row>
    <row r="25" spans="1:10" hidden="1" x14ac:dyDescent="0.3">
      <c r="A25" s="19" t="s">
        <v>291</v>
      </c>
      <c r="B25" s="15" t="s">
        <v>11</v>
      </c>
      <c r="C25" s="15" t="s">
        <v>30</v>
      </c>
      <c r="D25" s="15" t="s">
        <v>31</v>
      </c>
      <c r="E25" s="15">
        <v>16</v>
      </c>
      <c r="F25" s="15">
        <v>9</v>
      </c>
      <c r="G25" s="15" t="s">
        <v>25</v>
      </c>
      <c r="H25" s="15" t="s">
        <v>61</v>
      </c>
      <c r="I25" s="15" t="s">
        <v>292</v>
      </c>
      <c r="J25" s="57">
        <v>97</v>
      </c>
    </row>
    <row r="26" spans="1:10" x14ac:dyDescent="0.3">
      <c r="A26" s="19" t="s">
        <v>334</v>
      </c>
      <c r="B26" s="15" t="s">
        <v>73</v>
      </c>
      <c r="C26" s="15" t="s">
        <v>12</v>
      </c>
      <c r="D26" s="15" t="s">
        <v>31</v>
      </c>
      <c r="E26" s="15">
        <v>18</v>
      </c>
      <c r="F26" s="15">
        <v>11</v>
      </c>
      <c r="G26" s="15" t="s">
        <v>32</v>
      </c>
      <c r="H26" s="15" t="s">
        <v>76</v>
      </c>
      <c r="I26" s="15" t="s">
        <v>335</v>
      </c>
      <c r="J26" s="57">
        <v>97</v>
      </c>
    </row>
    <row r="27" spans="1:10" hidden="1" x14ac:dyDescent="0.3">
      <c r="A27" s="19" t="s">
        <v>456</v>
      </c>
      <c r="B27" s="15" t="s">
        <v>11</v>
      </c>
      <c r="C27" s="15" t="s">
        <v>55</v>
      </c>
      <c r="D27" s="15" t="s">
        <v>13</v>
      </c>
      <c r="E27" s="15">
        <v>15</v>
      </c>
      <c r="F27" s="15">
        <v>9</v>
      </c>
      <c r="G27" s="15" t="s">
        <v>32</v>
      </c>
      <c r="H27" s="15" t="s">
        <v>61</v>
      </c>
      <c r="I27" s="15" t="s">
        <v>457</v>
      </c>
      <c r="J27" s="57">
        <v>97</v>
      </c>
    </row>
    <row r="28" spans="1:10" hidden="1" x14ac:dyDescent="0.3">
      <c r="A28" s="19" t="s">
        <v>636</v>
      </c>
      <c r="B28" s="15" t="s">
        <v>11</v>
      </c>
      <c r="C28" s="15" t="s">
        <v>79</v>
      </c>
      <c r="D28" s="15" t="s">
        <v>13</v>
      </c>
      <c r="E28" s="15">
        <v>19</v>
      </c>
      <c r="F28" s="15">
        <v>9</v>
      </c>
      <c r="G28" s="15" t="s">
        <v>32</v>
      </c>
      <c r="H28" s="15" t="s">
        <v>76</v>
      </c>
      <c r="I28" s="15" t="s">
        <v>637</v>
      </c>
      <c r="J28" s="57">
        <v>97</v>
      </c>
    </row>
    <row r="29" spans="1:10" hidden="1" x14ac:dyDescent="0.3">
      <c r="A29" s="19" t="s">
        <v>731</v>
      </c>
      <c r="B29" s="15" t="s">
        <v>84</v>
      </c>
      <c r="C29" s="15" t="s">
        <v>85</v>
      </c>
      <c r="D29" s="15" t="s">
        <v>31</v>
      </c>
      <c r="E29" s="15">
        <v>17</v>
      </c>
      <c r="F29" s="15">
        <v>9</v>
      </c>
      <c r="G29" s="15" t="s">
        <v>43</v>
      </c>
      <c r="H29" s="15" t="s">
        <v>76</v>
      </c>
      <c r="I29" s="15" t="s">
        <v>732</v>
      </c>
      <c r="J29" s="57">
        <v>97</v>
      </c>
    </row>
    <row r="30" spans="1:10" hidden="1" x14ac:dyDescent="0.3">
      <c r="A30" s="19" t="s">
        <v>800</v>
      </c>
      <c r="B30" s="15" t="s">
        <v>23</v>
      </c>
      <c r="C30" s="15" t="s">
        <v>79</v>
      </c>
      <c r="D30" s="15" t="s">
        <v>31</v>
      </c>
      <c r="E30" s="15">
        <v>18</v>
      </c>
      <c r="F30" s="15">
        <v>11</v>
      </c>
      <c r="G30" s="15" t="s">
        <v>32</v>
      </c>
      <c r="H30" s="15" t="s">
        <v>76</v>
      </c>
      <c r="I30" s="15" t="s">
        <v>801</v>
      </c>
      <c r="J30" s="57">
        <v>97</v>
      </c>
    </row>
    <row r="31" spans="1:10" hidden="1" x14ac:dyDescent="0.3">
      <c r="A31" s="19" t="s">
        <v>866</v>
      </c>
      <c r="B31" s="15" t="s">
        <v>18</v>
      </c>
      <c r="C31" s="15" t="s">
        <v>24</v>
      </c>
      <c r="D31" s="15" t="s">
        <v>13</v>
      </c>
      <c r="E31" s="15">
        <v>15</v>
      </c>
      <c r="F31" s="15">
        <v>11</v>
      </c>
      <c r="G31" s="15" t="s">
        <v>14</v>
      </c>
      <c r="H31" s="15" t="s">
        <v>61</v>
      </c>
      <c r="I31" s="15" t="s">
        <v>867</v>
      </c>
      <c r="J31" s="57">
        <v>97</v>
      </c>
    </row>
    <row r="32" spans="1:10" hidden="1" x14ac:dyDescent="0.3">
      <c r="A32" s="19" t="s">
        <v>369</v>
      </c>
      <c r="B32" s="15" t="s">
        <v>23</v>
      </c>
      <c r="C32" s="15" t="s">
        <v>24</v>
      </c>
      <c r="D32" s="15" t="s">
        <v>31</v>
      </c>
      <c r="E32" s="15">
        <v>17</v>
      </c>
      <c r="F32" s="15">
        <v>12</v>
      </c>
      <c r="G32" s="15" t="s">
        <v>43</v>
      </c>
      <c r="H32" s="15" t="s">
        <v>61</v>
      </c>
      <c r="I32" s="15" t="s">
        <v>370</v>
      </c>
      <c r="J32" s="57">
        <v>96</v>
      </c>
    </row>
    <row r="33" spans="1:10" x14ac:dyDescent="0.3">
      <c r="A33" s="19" t="s">
        <v>567</v>
      </c>
      <c r="B33" s="15" t="s">
        <v>54</v>
      </c>
      <c r="C33" s="15" t="s">
        <v>12</v>
      </c>
      <c r="D33" s="15" t="s">
        <v>31</v>
      </c>
      <c r="E33" s="15">
        <v>18</v>
      </c>
      <c r="F33" s="15">
        <v>12</v>
      </c>
      <c r="G33" s="15" t="s">
        <v>25</v>
      </c>
      <c r="H33" s="15" t="s">
        <v>26</v>
      </c>
      <c r="I33" s="15" t="s">
        <v>568</v>
      </c>
      <c r="J33" s="57">
        <v>96</v>
      </c>
    </row>
    <row r="34" spans="1:10" hidden="1" x14ac:dyDescent="0.3">
      <c r="A34" s="19" t="s">
        <v>791</v>
      </c>
      <c r="B34" s="15" t="s">
        <v>51</v>
      </c>
      <c r="C34" s="15" t="s">
        <v>85</v>
      </c>
      <c r="D34" s="15" t="s">
        <v>13</v>
      </c>
      <c r="E34" s="15">
        <v>14</v>
      </c>
      <c r="F34" s="15">
        <v>9</v>
      </c>
      <c r="G34" s="15" t="s">
        <v>43</v>
      </c>
      <c r="H34" s="15" t="s">
        <v>61</v>
      </c>
      <c r="I34" s="15" t="s">
        <v>792</v>
      </c>
      <c r="J34" s="57">
        <v>96</v>
      </c>
    </row>
    <row r="35" spans="1:10" x14ac:dyDescent="0.3">
      <c r="A35" s="19" t="s">
        <v>283</v>
      </c>
      <c r="B35" s="15" t="s">
        <v>68</v>
      </c>
      <c r="C35" s="15" t="s">
        <v>79</v>
      </c>
      <c r="D35" s="15" t="s">
        <v>31</v>
      </c>
      <c r="E35" s="15">
        <v>16</v>
      </c>
      <c r="F35" s="15">
        <v>11</v>
      </c>
      <c r="G35" s="15" t="s">
        <v>32</v>
      </c>
      <c r="H35" s="15" t="s">
        <v>40</v>
      </c>
      <c r="I35" s="15" t="s">
        <v>284</v>
      </c>
      <c r="J35" s="57">
        <v>95</v>
      </c>
    </row>
    <row r="36" spans="1:10" x14ac:dyDescent="0.3">
      <c r="A36" s="19" t="s">
        <v>511</v>
      </c>
      <c r="B36" s="15" t="s">
        <v>35</v>
      </c>
      <c r="C36" s="15" t="s">
        <v>19</v>
      </c>
      <c r="D36" s="15" t="s">
        <v>31</v>
      </c>
      <c r="E36" s="15">
        <v>15</v>
      </c>
      <c r="F36" s="15">
        <v>9</v>
      </c>
      <c r="G36" s="15" t="s">
        <v>25</v>
      </c>
      <c r="H36" s="15" t="s">
        <v>15</v>
      </c>
      <c r="I36" s="15" t="s">
        <v>512</v>
      </c>
      <c r="J36" s="57">
        <v>95</v>
      </c>
    </row>
    <row r="37" spans="1:10" hidden="1" x14ac:dyDescent="0.3">
      <c r="A37" s="19" t="s">
        <v>749</v>
      </c>
      <c r="B37" s="15" t="s">
        <v>84</v>
      </c>
      <c r="C37" s="15" t="s">
        <v>30</v>
      </c>
      <c r="D37" s="15" t="s">
        <v>13</v>
      </c>
      <c r="E37" s="15">
        <v>15</v>
      </c>
      <c r="F37" s="15">
        <v>12</v>
      </c>
      <c r="G37" s="15" t="s">
        <v>25</v>
      </c>
      <c r="H37" s="15" t="s">
        <v>61</v>
      </c>
      <c r="I37" s="15" t="s">
        <v>750</v>
      </c>
      <c r="J37" s="57">
        <v>95</v>
      </c>
    </row>
    <row r="38" spans="1:10" x14ac:dyDescent="0.3">
      <c r="A38" s="19" t="s">
        <v>782</v>
      </c>
      <c r="B38" s="15" t="s">
        <v>84</v>
      </c>
      <c r="C38" s="15" t="s">
        <v>12</v>
      </c>
      <c r="D38" s="15" t="s">
        <v>31</v>
      </c>
      <c r="E38" s="15">
        <v>14</v>
      </c>
      <c r="F38" s="15">
        <v>11</v>
      </c>
      <c r="G38" s="15" t="s">
        <v>14</v>
      </c>
      <c r="H38" s="15" t="s">
        <v>37</v>
      </c>
      <c r="I38" s="15" t="s">
        <v>252</v>
      </c>
      <c r="J38" s="57">
        <v>95</v>
      </c>
    </row>
    <row r="39" spans="1:10" hidden="1" x14ac:dyDescent="0.3">
      <c r="A39" s="19" t="s">
        <v>789</v>
      </c>
      <c r="B39" s="15" t="s">
        <v>54</v>
      </c>
      <c r="C39" s="15" t="s">
        <v>12</v>
      </c>
      <c r="D39" s="15" t="s">
        <v>31</v>
      </c>
      <c r="E39" s="15">
        <v>18</v>
      </c>
      <c r="F39" s="15">
        <v>10</v>
      </c>
      <c r="G39" s="15" t="s">
        <v>25</v>
      </c>
      <c r="H39" s="15" t="s">
        <v>15</v>
      </c>
      <c r="I39" s="15" t="s">
        <v>790</v>
      </c>
      <c r="J39" s="57">
        <v>95</v>
      </c>
    </row>
    <row r="40" spans="1:10" hidden="1" x14ac:dyDescent="0.3">
      <c r="A40" s="19" t="s">
        <v>798</v>
      </c>
      <c r="B40" s="15" t="s">
        <v>23</v>
      </c>
      <c r="C40" s="15" t="s">
        <v>19</v>
      </c>
      <c r="D40" s="15" t="s">
        <v>13</v>
      </c>
      <c r="E40" s="15">
        <v>17</v>
      </c>
      <c r="F40" s="15">
        <v>12</v>
      </c>
      <c r="G40" s="15" t="s">
        <v>14</v>
      </c>
      <c r="H40" s="15" t="s">
        <v>40</v>
      </c>
      <c r="I40" s="15" t="s">
        <v>159</v>
      </c>
      <c r="J40" s="57">
        <v>95</v>
      </c>
    </row>
    <row r="41" spans="1:10" x14ac:dyDescent="0.3">
      <c r="A41" s="19" t="s">
        <v>896</v>
      </c>
      <c r="B41" s="15" t="s">
        <v>11</v>
      </c>
      <c r="C41" s="15" t="s">
        <v>36</v>
      </c>
      <c r="D41" s="15" t="s">
        <v>13</v>
      </c>
      <c r="E41" s="15">
        <v>15</v>
      </c>
      <c r="F41" s="15">
        <v>11</v>
      </c>
      <c r="G41" s="15" t="s">
        <v>14</v>
      </c>
      <c r="H41" s="15" t="s">
        <v>26</v>
      </c>
      <c r="I41" s="15" t="s">
        <v>897</v>
      </c>
      <c r="J41" s="57">
        <v>95</v>
      </c>
    </row>
    <row r="42" spans="1:10" hidden="1" x14ac:dyDescent="0.3">
      <c r="A42" s="19" t="s">
        <v>573</v>
      </c>
      <c r="B42" s="15" t="s">
        <v>54</v>
      </c>
      <c r="C42" s="15" t="s">
        <v>24</v>
      </c>
      <c r="D42" s="15" t="s">
        <v>13</v>
      </c>
      <c r="E42" s="15">
        <v>19</v>
      </c>
      <c r="F42" s="15">
        <v>9</v>
      </c>
      <c r="G42" s="15" t="s">
        <v>43</v>
      </c>
      <c r="H42" s="15" t="s">
        <v>46</v>
      </c>
      <c r="I42" s="15" t="s">
        <v>574</v>
      </c>
      <c r="J42" s="57">
        <v>94</v>
      </c>
    </row>
    <row r="43" spans="1:10" hidden="1" x14ac:dyDescent="0.3">
      <c r="A43" s="19" t="s">
        <v>823</v>
      </c>
      <c r="B43" s="15" t="s">
        <v>11</v>
      </c>
      <c r="C43" s="15" t="s">
        <v>79</v>
      </c>
      <c r="D43" s="15" t="s">
        <v>31</v>
      </c>
      <c r="E43" s="15">
        <v>18</v>
      </c>
      <c r="F43" s="15">
        <v>12</v>
      </c>
      <c r="G43" s="15" t="s">
        <v>43</v>
      </c>
      <c r="H43" s="15" t="s">
        <v>37</v>
      </c>
      <c r="I43" s="15" t="s">
        <v>292</v>
      </c>
      <c r="J43" s="57">
        <v>94</v>
      </c>
    </row>
    <row r="44" spans="1:10" hidden="1" x14ac:dyDescent="0.3">
      <c r="A44" s="19" t="s">
        <v>857</v>
      </c>
      <c r="B44" s="15" t="s">
        <v>18</v>
      </c>
      <c r="C44" s="15" t="s">
        <v>96</v>
      </c>
      <c r="D44" s="15" t="s">
        <v>13</v>
      </c>
      <c r="E44" s="15">
        <v>20</v>
      </c>
      <c r="F44" s="15">
        <v>11</v>
      </c>
      <c r="G44" s="15" t="s">
        <v>32</v>
      </c>
      <c r="H44" s="15" t="s">
        <v>61</v>
      </c>
      <c r="I44" s="15" t="s">
        <v>570</v>
      </c>
      <c r="J44" s="57">
        <v>94</v>
      </c>
    </row>
    <row r="45" spans="1:10" hidden="1" x14ac:dyDescent="0.3">
      <c r="A45" s="19" t="s">
        <v>926</v>
      </c>
      <c r="B45" s="15" t="s">
        <v>73</v>
      </c>
      <c r="C45" s="15" t="s">
        <v>85</v>
      </c>
      <c r="D45" s="15" t="s">
        <v>13</v>
      </c>
      <c r="E45" s="15">
        <v>14</v>
      </c>
      <c r="F45" s="15">
        <v>9</v>
      </c>
      <c r="G45" s="15" t="s">
        <v>32</v>
      </c>
      <c r="H45" s="15" t="s">
        <v>20</v>
      </c>
      <c r="I45" s="15" t="s">
        <v>927</v>
      </c>
      <c r="J45" s="57">
        <v>94</v>
      </c>
    </row>
    <row r="46" spans="1:10" hidden="1" x14ac:dyDescent="0.3">
      <c r="A46" s="19" t="s">
        <v>935</v>
      </c>
      <c r="B46" s="15" t="s">
        <v>18</v>
      </c>
      <c r="C46" s="15" t="s">
        <v>12</v>
      </c>
      <c r="D46" s="15" t="s">
        <v>13</v>
      </c>
      <c r="E46" s="15">
        <v>20</v>
      </c>
      <c r="F46" s="15">
        <v>11</v>
      </c>
      <c r="G46" s="15" t="s">
        <v>43</v>
      </c>
      <c r="H46" s="15" t="s">
        <v>46</v>
      </c>
      <c r="I46" s="15" t="s">
        <v>936</v>
      </c>
      <c r="J46" s="57">
        <v>94</v>
      </c>
    </row>
    <row r="47" spans="1:10" hidden="1" x14ac:dyDescent="0.3">
      <c r="A47" s="19" t="s">
        <v>140</v>
      </c>
      <c r="B47" s="15" t="s">
        <v>35</v>
      </c>
      <c r="C47" s="15" t="s">
        <v>30</v>
      </c>
      <c r="D47" s="15" t="s">
        <v>31</v>
      </c>
      <c r="E47" s="15">
        <v>19</v>
      </c>
      <c r="F47" s="15">
        <v>10</v>
      </c>
      <c r="G47" s="15" t="s">
        <v>32</v>
      </c>
      <c r="H47" s="15" t="s">
        <v>76</v>
      </c>
      <c r="I47" s="15" t="s">
        <v>141</v>
      </c>
      <c r="J47" s="57">
        <v>93</v>
      </c>
    </row>
    <row r="48" spans="1:10" hidden="1" x14ac:dyDescent="0.3">
      <c r="A48" s="19" t="s">
        <v>322</v>
      </c>
      <c r="B48" s="15" t="s">
        <v>35</v>
      </c>
      <c r="C48" s="15" t="s">
        <v>12</v>
      </c>
      <c r="D48" s="15" t="s">
        <v>13</v>
      </c>
      <c r="E48" s="15">
        <v>14</v>
      </c>
      <c r="F48" s="15">
        <v>11</v>
      </c>
      <c r="G48" s="15" t="s">
        <v>14</v>
      </c>
      <c r="H48" s="15" t="s">
        <v>26</v>
      </c>
      <c r="I48" s="15" t="s">
        <v>323</v>
      </c>
      <c r="J48" s="57">
        <v>93</v>
      </c>
    </row>
    <row r="49" spans="1:10" hidden="1" x14ac:dyDescent="0.3">
      <c r="A49" s="19" t="s">
        <v>331</v>
      </c>
      <c r="B49" s="15" t="s">
        <v>73</v>
      </c>
      <c r="C49" s="15" t="s">
        <v>30</v>
      </c>
      <c r="D49" s="15" t="s">
        <v>31</v>
      </c>
      <c r="E49" s="15">
        <v>19</v>
      </c>
      <c r="F49" s="15">
        <v>10</v>
      </c>
      <c r="G49" s="15" t="s">
        <v>43</v>
      </c>
      <c r="H49" s="15" t="s">
        <v>20</v>
      </c>
      <c r="I49" s="15" t="s">
        <v>191</v>
      </c>
      <c r="J49" s="57">
        <v>93</v>
      </c>
    </row>
    <row r="50" spans="1:10" hidden="1" x14ac:dyDescent="0.3">
      <c r="A50" s="19" t="s">
        <v>489</v>
      </c>
      <c r="B50" s="15" t="s">
        <v>68</v>
      </c>
      <c r="C50" s="15" t="s">
        <v>58</v>
      </c>
      <c r="D50" s="15" t="s">
        <v>31</v>
      </c>
      <c r="E50" s="15">
        <v>20</v>
      </c>
      <c r="F50" s="15">
        <v>10</v>
      </c>
      <c r="G50" s="15" t="s">
        <v>32</v>
      </c>
      <c r="H50" s="15" t="s">
        <v>20</v>
      </c>
      <c r="I50" s="15" t="s">
        <v>370</v>
      </c>
      <c r="J50" s="57">
        <v>93</v>
      </c>
    </row>
    <row r="51" spans="1:10" hidden="1" x14ac:dyDescent="0.3">
      <c r="A51" s="19" t="s">
        <v>532</v>
      </c>
      <c r="B51" s="15" t="s">
        <v>51</v>
      </c>
      <c r="C51" s="15" t="s">
        <v>19</v>
      </c>
      <c r="D51" s="15" t="s">
        <v>31</v>
      </c>
      <c r="E51" s="15">
        <v>14</v>
      </c>
      <c r="F51" s="15">
        <v>11</v>
      </c>
      <c r="G51" s="15" t="s">
        <v>43</v>
      </c>
      <c r="H51" s="15" t="s">
        <v>20</v>
      </c>
      <c r="I51" s="15" t="s">
        <v>533</v>
      </c>
      <c r="J51" s="57">
        <v>93</v>
      </c>
    </row>
    <row r="52" spans="1:10" hidden="1" x14ac:dyDescent="0.3">
      <c r="A52" s="19" t="s">
        <v>555</v>
      </c>
      <c r="B52" s="15" t="s">
        <v>73</v>
      </c>
      <c r="C52" s="15" t="s">
        <v>55</v>
      </c>
      <c r="D52" s="15" t="s">
        <v>31</v>
      </c>
      <c r="E52" s="15">
        <v>16</v>
      </c>
      <c r="F52" s="15">
        <v>9</v>
      </c>
      <c r="G52" s="15" t="s">
        <v>14</v>
      </c>
      <c r="H52" s="15" t="s">
        <v>76</v>
      </c>
      <c r="I52" s="15" t="s">
        <v>556</v>
      </c>
      <c r="J52" s="57">
        <v>93</v>
      </c>
    </row>
    <row r="53" spans="1:10" hidden="1" x14ac:dyDescent="0.3">
      <c r="A53" s="19" t="s">
        <v>703</v>
      </c>
      <c r="B53" s="15" t="s">
        <v>73</v>
      </c>
      <c r="C53" s="15" t="s">
        <v>30</v>
      </c>
      <c r="D53" s="15" t="s">
        <v>31</v>
      </c>
      <c r="E53" s="15">
        <v>17</v>
      </c>
      <c r="F53" s="15">
        <v>12</v>
      </c>
      <c r="G53" s="15" t="s">
        <v>32</v>
      </c>
      <c r="H53" s="15" t="s">
        <v>40</v>
      </c>
      <c r="I53" s="15" t="s">
        <v>704</v>
      </c>
      <c r="J53" s="57">
        <v>93</v>
      </c>
    </row>
    <row r="54" spans="1:10" x14ac:dyDescent="0.3">
      <c r="A54" s="19" t="s">
        <v>785</v>
      </c>
      <c r="B54" s="15" t="s">
        <v>35</v>
      </c>
      <c r="C54" s="15" t="s">
        <v>58</v>
      </c>
      <c r="D54" s="15" t="s">
        <v>13</v>
      </c>
      <c r="E54" s="15">
        <v>18</v>
      </c>
      <c r="F54" s="15">
        <v>12</v>
      </c>
      <c r="G54" s="15" t="s">
        <v>43</v>
      </c>
      <c r="H54" s="15" t="s">
        <v>20</v>
      </c>
      <c r="I54" s="15" t="s">
        <v>786</v>
      </c>
      <c r="J54" s="57">
        <v>93</v>
      </c>
    </row>
    <row r="55" spans="1:10" hidden="1" x14ac:dyDescent="0.3">
      <c r="A55" s="19" t="s">
        <v>48</v>
      </c>
      <c r="B55" s="15" t="s">
        <v>18</v>
      </c>
      <c r="C55" s="15" t="s">
        <v>30</v>
      </c>
      <c r="D55" s="15" t="s">
        <v>31</v>
      </c>
      <c r="E55" s="15">
        <v>19</v>
      </c>
      <c r="F55" s="15">
        <v>12</v>
      </c>
      <c r="G55" s="15" t="s">
        <v>14</v>
      </c>
      <c r="H55" s="15" t="s">
        <v>46</v>
      </c>
      <c r="I55" s="15" t="s">
        <v>49</v>
      </c>
      <c r="J55" s="57">
        <v>92</v>
      </c>
    </row>
    <row r="56" spans="1:10" hidden="1" x14ac:dyDescent="0.3">
      <c r="A56" s="19" t="s">
        <v>524</v>
      </c>
      <c r="B56" s="15" t="s">
        <v>35</v>
      </c>
      <c r="C56" s="15" t="s">
        <v>85</v>
      </c>
      <c r="D56" s="15" t="s">
        <v>13</v>
      </c>
      <c r="E56" s="15">
        <v>20</v>
      </c>
      <c r="F56" s="15">
        <v>10</v>
      </c>
      <c r="G56" s="15" t="s">
        <v>14</v>
      </c>
      <c r="H56" s="15" t="s">
        <v>40</v>
      </c>
      <c r="I56" s="15" t="s">
        <v>525</v>
      </c>
      <c r="J56" s="57">
        <v>92</v>
      </c>
    </row>
    <row r="57" spans="1:10" hidden="1" x14ac:dyDescent="0.3">
      <c r="A57" s="19" t="s">
        <v>808</v>
      </c>
      <c r="B57" s="15" t="s">
        <v>54</v>
      </c>
      <c r="C57" s="15" t="s">
        <v>24</v>
      </c>
      <c r="D57" s="15" t="s">
        <v>13</v>
      </c>
      <c r="E57" s="15">
        <v>14</v>
      </c>
      <c r="F57" s="15">
        <v>9</v>
      </c>
      <c r="G57" s="15" t="s">
        <v>25</v>
      </c>
      <c r="H57" s="15" t="s">
        <v>46</v>
      </c>
      <c r="I57" s="15" t="s">
        <v>809</v>
      </c>
      <c r="J57" s="57">
        <v>92</v>
      </c>
    </row>
    <row r="58" spans="1:10" hidden="1" x14ac:dyDescent="0.3">
      <c r="A58" s="19" t="s">
        <v>864</v>
      </c>
      <c r="B58" s="15" t="s">
        <v>35</v>
      </c>
      <c r="C58" s="15" t="s">
        <v>58</v>
      </c>
      <c r="D58" s="15" t="s">
        <v>13</v>
      </c>
      <c r="E58" s="15">
        <v>17</v>
      </c>
      <c r="F58" s="15">
        <v>10</v>
      </c>
      <c r="G58" s="15" t="s">
        <v>14</v>
      </c>
      <c r="H58" s="15" t="s">
        <v>20</v>
      </c>
      <c r="I58" s="15" t="s">
        <v>865</v>
      </c>
      <c r="J58" s="57">
        <v>92</v>
      </c>
    </row>
    <row r="59" spans="1:10" hidden="1" x14ac:dyDescent="0.3">
      <c r="A59" s="19" t="s">
        <v>888</v>
      </c>
      <c r="B59" s="15" t="s">
        <v>23</v>
      </c>
      <c r="C59" s="15" t="s">
        <v>58</v>
      </c>
      <c r="D59" s="15" t="s">
        <v>31</v>
      </c>
      <c r="E59" s="15">
        <v>18</v>
      </c>
      <c r="F59" s="15">
        <v>10</v>
      </c>
      <c r="G59" s="15" t="s">
        <v>14</v>
      </c>
      <c r="H59" s="15" t="s">
        <v>20</v>
      </c>
      <c r="I59" s="15" t="s">
        <v>153</v>
      </c>
      <c r="J59" s="57">
        <v>92</v>
      </c>
    </row>
    <row r="60" spans="1:10" hidden="1" x14ac:dyDescent="0.3">
      <c r="A60" s="19" t="s">
        <v>919</v>
      </c>
      <c r="B60" s="15" t="s">
        <v>23</v>
      </c>
      <c r="C60" s="15" t="s">
        <v>19</v>
      </c>
      <c r="D60" s="15" t="s">
        <v>13</v>
      </c>
      <c r="E60" s="15">
        <v>14</v>
      </c>
      <c r="F60" s="15">
        <v>12</v>
      </c>
      <c r="G60" s="15" t="s">
        <v>14</v>
      </c>
      <c r="H60" s="15" t="s">
        <v>15</v>
      </c>
      <c r="I60" s="15" t="s">
        <v>920</v>
      </c>
      <c r="J60" s="57">
        <v>92</v>
      </c>
    </row>
    <row r="61" spans="1:10" hidden="1" x14ac:dyDescent="0.3">
      <c r="A61" s="19" t="s">
        <v>106</v>
      </c>
      <c r="B61" s="15" t="s">
        <v>51</v>
      </c>
      <c r="C61" s="15" t="s">
        <v>55</v>
      </c>
      <c r="D61" s="15" t="s">
        <v>13</v>
      </c>
      <c r="E61" s="15">
        <v>20</v>
      </c>
      <c r="F61" s="15">
        <v>9</v>
      </c>
      <c r="G61" s="15" t="s">
        <v>32</v>
      </c>
      <c r="H61" s="15" t="s">
        <v>26</v>
      </c>
      <c r="I61" s="15" t="s">
        <v>107</v>
      </c>
      <c r="J61" s="57">
        <v>91</v>
      </c>
    </row>
    <row r="62" spans="1:10" hidden="1" x14ac:dyDescent="0.3">
      <c r="A62" s="19" t="s">
        <v>397</v>
      </c>
      <c r="B62" s="15" t="s">
        <v>23</v>
      </c>
      <c r="C62" s="15" t="s">
        <v>12</v>
      </c>
      <c r="D62" s="15" t="s">
        <v>13</v>
      </c>
      <c r="E62" s="15">
        <v>20</v>
      </c>
      <c r="F62" s="15">
        <v>9</v>
      </c>
      <c r="G62" s="15" t="s">
        <v>25</v>
      </c>
      <c r="H62" s="15" t="s">
        <v>46</v>
      </c>
      <c r="I62" s="15" t="s">
        <v>398</v>
      </c>
      <c r="J62" s="57">
        <v>91</v>
      </c>
    </row>
    <row r="63" spans="1:10" hidden="1" x14ac:dyDescent="0.3">
      <c r="A63" s="19" t="s">
        <v>430</v>
      </c>
      <c r="B63" s="15" t="s">
        <v>54</v>
      </c>
      <c r="C63" s="15" t="s">
        <v>30</v>
      </c>
      <c r="D63" s="15" t="s">
        <v>13</v>
      </c>
      <c r="E63" s="15">
        <v>18</v>
      </c>
      <c r="F63" s="15">
        <v>11</v>
      </c>
      <c r="G63" s="15" t="s">
        <v>25</v>
      </c>
      <c r="H63" s="15" t="s">
        <v>26</v>
      </c>
      <c r="I63" s="15" t="s">
        <v>431</v>
      </c>
      <c r="J63" s="57">
        <v>91</v>
      </c>
    </row>
    <row r="64" spans="1:10" hidden="1" x14ac:dyDescent="0.3">
      <c r="A64" s="19" t="s">
        <v>441</v>
      </c>
      <c r="B64" s="15" t="s">
        <v>35</v>
      </c>
      <c r="C64" s="15" t="s">
        <v>12</v>
      </c>
      <c r="D64" s="15" t="s">
        <v>13</v>
      </c>
      <c r="E64" s="15">
        <v>17</v>
      </c>
      <c r="F64" s="15">
        <v>10</v>
      </c>
      <c r="G64" s="15" t="s">
        <v>32</v>
      </c>
      <c r="H64" s="15" t="s">
        <v>15</v>
      </c>
      <c r="I64" s="15" t="s">
        <v>442</v>
      </c>
      <c r="J64" s="57">
        <v>91</v>
      </c>
    </row>
    <row r="65" spans="1:10" hidden="1" x14ac:dyDescent="0.3">
      <c r="A65" s="19" t="s">
        <v>690</v>
      </c>
      <c r="B65" s="15" t="s">
        <v>23</v>
      </c>
      <c r="C65" s="15" t="s">
        <v>85</v>
      </c>
      <c r="D65" s="15" t="s">
        <v>13</v>
      </c>
      <c r="E65" s="15">
        <v>19</v>
      </c>
      <c r="F65" s="15">
        <v>9</v>
      </c>
      <c r="G65" s="15" t="s">
        <v>14</v>
      </c>
      <c r="H65" s="15" t="s">
        <v>76</v>
      </c>
      <c r="I65" s="15" t="s">
        <v>635</v>
      </c>
      <c r="J65" s="57">
        <v>91</v>
      </c>
    </row>
    <row r="66" spans="1:10" x14ac:dyDescent="0.3">
      <c r="A66" s="19" t="s">
        <v>691</v>
      </c>
      <c r="B66" s="15" t="s">
        <v>84</v>
      </c>
      <c r="C66" s="15" t="s">
        <v>55</v>
      </c>
      <c r="D66" s="15" t="s">
        <v>13</v>
      </c>
      <c r="E66" s="15">
        <v>16</v>
      </c>
      <c r="F66" s="15">
        <v>10</v>
      </c>
      <c r="G66" s="15" t="s">
        <v>43</v>
      </c>
      <c r="H66" s="15" t="s">
        <v>46</v>
      </c>
      <c r="I66" s="15" t="s">
        <v>692</v>
      </c>
      <c r="J66" s="57">
        <v>91</v>
      </c>
    </row>
    <row r="67" spans="1:10" hidden="1" x14ac:dyDescent="0.3">
      <c r="A67" s="19" t="s">
        <v>751</v>
      </c>
      <c r="B67" s="15" t="s">
        <v>73</v>
      </c>
      <c r="C67" s="15" t="s">
        <v>79</v>
      </c>
      <c r="D67" s="15" t="s">
        <v>31</v>
      </c>
      <c r="E67" s="15">
        <v>20</v>
      </c>
      <c r="F67" s="15">
        <v>12</v>
      </c>
      <c r="G67" s="15" t="s">
        <v>25</v>
      </c>
      <c r="H67" s="15" t="s">
        <v>76</v>
      </c>
      <c r="I67" s="15" t="s">
        <v>752</v>
      </c>
      <c r="J67" s="57">
        <v>91</v>
      </c>
    </row>
    <row r="68" spans="1:10" hidden="1" x14ac:dyDescent="0.3">
      <c r="A68" s="19" t="s">
        <v>50</v>
      </c>
      <c r="B68" s="15" t="s">
        <v>51</v>
      </c>
      <c r="C68" s="15" t="s">
        <v>24</v>
      </c>
      <c r="D68" s="15" t="s">
        <v>31</v>
      </c>
      <c r="E68" s="15">
        <v>15</v>
      </c>
      <c r="F68" s="15">
        <v>9</v>
      </c>
      <c r="G68" s="15" t="s">
        <v>43</v>
      </c>
      <c r="H68" s="15" t="s">
        <v>15</v>
      </c>
      <c r="I68" s="15" t="s">
        <v>52</v>
      </c>
      <c r="J68" s="57">
        <v>90</v>
      </c>
    </row>
    <row r="69" spans="1:10" hidden="1" x14ac:dyDescent="0.3">
      <c r="A69" s="19" t="s">
        <v>203</v>
      </c>
      <c r="B69" s="15" t="s">
        <v>35</v>
      </c>
      <c r="C69" s="15" t="s">
        <v>96</v>
      </c>
      <c r="D69" s="15" t="s">
        <v>13</v>
      </c>
      <c r="E69" s="15">
        <v>17</v>
      </c>
      <c r="F69" s="15">
        <v>12</v>
      </c>
      <c r="G69" s="15" t="s">
        <v>25</v>
      </c>
      <c r="H69" s="15" t="s">
        <v>20</v>
      </c>
      <c r="I69" s="15" t="s">
        <v>204</v>
      </c>
      <c r="J69" s="57">
        <v>90</v>
      </c>
    </row>
    <row r="70" spans="1:10" hidden="1" x14ac:dyDescent="0.3">
      <c r="A70" s="19" t="s">
        <v>249</v>
      </c>
      <c r="B70" s="15" t="s">
        <v>68</v>
      </c>
      <c r="C70" s="15" t="s">
        <v>30</v>
      </c>
      <c r="D70" s="15" t="s">
        <v>31</v>
      </c>
      <c r="E70" s="15">
        <v>16</v>
      </c>
      <c r="F70" s="15">
        <v>11</v>
      </c>
      <c r="G70" s="15" t="s">
        <v>32</v>
      </c>
      <c r="H70" s="15" t="s">
        <v>20</v>
      </c>
      <c r="I70" s="15" t="s">
        <v>250</v>
      </c>
      <c r="J70" s="57">
        <v>90</v>
      </c>
    </row>
    <row r="71" spans="1:10" hidden="1" x14ac:dyDescent="0.3">
      <c r="A71" s="19" t="s">
        <v>439</v>
      </c>
      <c r="B71" s="15" t="s">
        <v>11</v>
      </c>
      <c r="C71" s="15" t="s">
        <v>12</v>
      </c>
      <c r="D71" s="15" t="s">
        <v>13</v>
      </c>
      <c r="E71" s="15">
        <v>15</v>
      </c>
      <c r="F71" s="15">
        <v>9</v>
      </c>
      <c r="G71" s="15" t="s">
        <v>25</v>
      </c>
      <c r="H71" s="15" t="s">
        <v>15</v>
      </c>
      <c r="I71" s="15" t="s">
        <v>440</v>
      </c>
      <c r="J71" s="57">
        <v>90</v>
      </c>
    </row>
    <row r="72" spans="1:10" x14ac:dyDescent="0.3">
      <c r="A72" s="19" t="s">
        <v>548</v>
      </c>
      <c r="B72" s="15" t="s">
        <v>51</v>
      </c>
      <c r="C72" s="15" t="s">
        <v>24</v>
      </c>
      <c r="D72" s="15" t="s">
        <v>31</v>
      </c>
      <c r="E72" s="15">
        <v>15</v>
      </c>
      <c r="F72" s="15">
        <v>11</v>
      </c>
      <c r="G72" s="15" t="s">
        <v>32</v>
      </c>
      <c r="H72" s="15" t="s">
        <v>40</v>
      </c>
      <c r="I72" s="15" t="s">
        <v>549</v>
      </c>
      <c r="J72" s="57">
        <v>90</v>
      </c>
    </row>
    <row r="73" spans="1:10" hidden="1" x14ac:dyDescent="0.3">
      <c r="A73" s="19" t="s">
        <v>550</v>
      </c>
      <c r="B73" s="15" t="s">
        <v>73</v>
      </c>
      <c r="C73" s="15" t="s">
        <v>19</v>
      </c>
      <c r="D73" s="15" t="s">
        <v>13</v>
      </c>
      <c r="E73" s="15">
        <v>14</v>
      </c>
      <c r="F73" s="15">
        <v>11</v>
      </c>
      <c r="G73" s="15" t="s">
        <v>32</v>
      </c>
      <c r="H73" s="15" t="s">
        <v>26</v>
      </c>
      <c r="I73" s="15" t="s">
        <v>551</v>
      </c>
      <c r="J73" s="57">
        <v>90</v>
      </c>
    </row>
    <row r="74" spans="1:10" hidden="1" x14ac:dyDescent="0.3">
      <c r="A74" s="19" t="s">
        <v>609</v>
      </c>
      <c r="B74" s="15" t="s">
        <v>68</v>
      </c>
      <c r="C74" s="15" t="s">
        <v>58</v>
      </c>
      <c r="D74" s="15" t="s">
        <v>13</v>
      </c>
      <c r="E74" s="15">
        <v>14</v>
      </c>
      <c r="F74" s="15">
        <v>10</v>
      </c>
      <c r="G74" s="15" t="s">
        <v>25</v>
      </c>
      <c r="H74" s="15" t="s">
        <v>37</v>
      </c>
      <c r="I74" s="15" t="s">
        <v>610</v>
      </c>
      <c r="J74" s="57">
        <v>90</v>
      </c>
    </row>
    <row r="75" spans="1:10" hidden="1" x14ac:dyDescent="0.3">
      <c r="A75" s="19" t="s">
        <v>850</v>
      </c>
      <c r="B75" s="15" t="s">
        <v>51</v>
      </c>
      <c r="C75" s="15" t="s">
        <v>96</v>
      </c>
      <c r="D75" s="15" t="s">
        <v>13</v>
      </c>
      <c r="E75" s="15">
        <v>14</v>
      </c>
      <c r="F75" s="15">
        <v>9</v>
      </c>
      <c r="G75" s="15" t="s">
        <v>25</v>
      </c>
      <c r="H75" s="15" t="s">
        <v>26</v>
      </c>
      <c r="I75" s="15" t="s">
        <v>851</v>
      </c>
      <c r="J75" s="57">
        <v>90</v>
      </c>
    </row>
    <row r="76" spans="1:10" hidden="1" x14ac:dyDescent="0.3">
      <c r="A76" s="19" t="s">
        <v>937</v>
      </c>
      <c r="B76" s="15" t="s">
        <v>73</v>
      </c>
      <c r="C76" s="15" t="s">
        <v>85</v>
      </c>
      <c r="D76" s="15" t="s">
        <v>31</v>
      </c>
      <c r="E76" s="15">
        <v>16</v>
      </c>
      <c r="F76" s="15">
        <v>10</v>
      </c>
      <c r="G76" s="15" t="s">
        <v>25</v>
      </c>
      <c r="H76" s="15" t="s">
        <v>76</v>
      </c>
      <c r="I76" s="15" t="s">
        <v>305</v>
      </c>
      <c r="J76" s="57">
        <v>90</v>
      </c>
    </row>
    <row r="77" spans="1:10" hidden="1" x14ac:dyDescent="0.3">
      <c r="A77" s="19" t="s">
        <v>200</v>
      </c>
      <c r="B77" s="15" t="s">
        <v>29</v>
      </c>
      <c r="C77" s="15" t="s">
        <v>12</v>
      </c>
      <c r="D77" s="15" t="s">
        <v>13</v>
      </c>
      <c r="E77" s="15">
        <v>18</v>
      </c>
      <c r="F77" s="15">
        <v>12</v>
      </c>
      <c r="G77" s="15" t="s">
        <v>25</v>
      </c>
      <c r="H77" s="15" t="s">
        <v>26</v>
      </c>
      <c r="I77" s="15" t="s">
        <v>201</v>
      </c>
      <c r="J77" s="57">
        <v>89</v>
      </c>
    </row>
    <row r="78" spans="1:10" hidden="1" x14ac:dyDescent="0.3">
      <c r="A78" s="19" t="s">
        <v>393</v>
      </c>
      <c r="B78" s="15" t="s">
        <v>68</v>
      </c>
      <c r="C78" s="15" t="s">
        <v>85</v>
      </c>
      <c r="D78" s="15" t="s">
        <v>13</v>
      </c>
      <c r="E78" s="15">
        <v>15</v>
      </c>
      <c r="F78" s="15">
        <v>10</v>
      </c>
      <c r="G78" s="15" t="s">
        <v>32</v>
      </c>
      <c r="H78" s="15" t="s">
        <v>37</v>
      </c>
      <c r="I78" s="15" t="s">
        <v>394</v>
      </c>
      <c r="J78" s="57">
        <v>89</v>
      </c>
    </row>
    <row r="79" spans="1:10" hidden="1" x14ac:dyDescent="0.3">
      <c r="A79" s="19" t="s">
        <v>424</v>
      </c>
      <c r="B79" s="15" t="s">
        <v>29</v>
      </c>
      <c r="C79" s="15" t="s">
        <v>36</v>
      </c>
      <c r="D79" s="15" t="s">
        <v>31</v>
      </c>
      <c r="E79" s="15">
        <v>16</v>
      </c>
      <c r="F79" s="15">
        <v>12</v>
      </c>
      <c r="G79" s="15" t="s">
        <v>32</v>
      </c>
      <c r="H79" s="15" t="s">
        <v>37</v>
      </c>
      <c r="I79" s="15" t="s">
        <v>180</v>
      </c>
      <c r="J79" s="57">
        <v>89</v>
      </c>
    </row>
    <row r="80" spans="1:10" hidden="1" x14ac:dyDescent="0.3">
      <c r="A80" s="19" t="s">
        <v>709</v>
      </c>
      <c r="B80" s="15" t="s">
        <v>54</v>
      </c>
      <c r="C80" s="15" t="s">
        <v>19</v>
      </c>
      <c r="D80" s="15" t="s">
        <v>31</v>
      </c>
      <c r="E80" s="15">
        <v>18</v>
      </c>
      <c r="F80" s="15">
        <v>10</v>
      </c>
      <c r="G80" s="15" t="s">
        <v>43</v>
      </c>
      <c r="H80" s="15" t="s">
        <v>37</v>
      </c>
      <c r="I80" s="15" t="s">
        <v>710</v>
      </c>
      <c r="J80" s="57">
        <v>89</v>
      </c>
    </row>
    <row r="81" spans="1:10" hidden="1" x14ac:dyDescent="0.3">
      <c r="A81" s="19" t="s">
        <v>771</v>
      </c>
      <c r="B81" s="15" t="s">
        <v>23</v>
      </c>
      <c r="C81" s="15" t="s">
        <v>24</v>
      </c>
      <c r="D81" s="15" t="s">
        <v>31</v>
      </c>
      <c r="E81" s="15">
        <v>18</v>
      </c>
      <c r="F81" s="15">
        <v>11</v>
      </c>
      <c r="G81" s="15" t="s">
        <v>25</v>
      </c>
      <c r="H81" s="15" t="s">
        <v>46</v>
      </c>
      <c r="I81" s="15" t="s">
        <v>772</v>
      </c>
      <c r="J81" s="57">
        <v>89</v>
      </c>
    </row>
    <row r="82" spans="1:10" hidden="1" x14ac:dyDescent="0.3">
      <c r="A82" s="19" t="s">
        <v>784</v>
      </c>
      <c r="B82" s="15" t="s">
        <v>84</v>
      </c>
      <c r="C82" s="15" t="s">
        <v>12</v>
      </c>
      <c r="D82" s="15" t="s">
        <v>13</v>
      </c>
      <c r="E82" s="15">
        <v>17</v>
      </c>
      <c r="F82" s="15">
        <v>9</v>
      </c>
      <c r="G82" s="15" t="s">
        <v>43</v>
      </c>
      <c r="H82" s="15" t="s">
        <v>76</v>
      </c>
      <c r="I82" s="15" t="s">
        <v>685</v>
      </c>
      <c r="J82" s="57">
        <v>89</v>
      </c>
    </row>
    <row r="83" spans="1:10" x14ac:dyDescent="0.3">
      <c r="A83" s="19" t="s">
        <v>802</v>
      </c>
      <c r="B83" s="15" t="s">
        <v>29</v>
      </c>
      <c r="C83" s="15" t="s">
        <v>96</v>
      </c>
      <c r="D83" s="15" t="s">
        <v>13</v>
      </c>
      <c r="E83" s="15">
        <v>14</v>
      </c>
      <c r="F83" s="15">
        <v>10</v>
      </c>
      <c r="G83" s="15" t="s">
        <v>25</v>
      </c>
      <c r="H83" s="15" t="s">
        <v>61</v>
      </c>
      <c r="I83" s="15" t="s">
        <v>803</v>
      </c>
      <c r="J83" s="57">
        <v>89</v>
      </c>
    </row>
    <row r="84" spans="1:10" hidden="1" x14ac:dyDescent="0.3">
      <c r="A84" s="19" t="s">
        <v>42</v>
      </c>
      <c r="B84" s="15" t="s">
        <v>29</v>
      </c>
      <c r="C84" s="15" t="s">
        <v>24</v>
      </c>
      <c r="D84" s="15" t="s">
        <v>31</v>
      </c>
      <c r="E84" s="15">
        <v>20</v>
      </c>
      <c r="F84" s="15">
        <v>9</v>
      </c>
      <c r="G84" s="15" t="s">
        <v>43</v>
      </c>
      <c r="H84" s="15" t="s">
        <v>40</v>
      </c>
      <c r="I84" s="15" t="s">
        <v>44</v>
      </c>
      <c r="J84" s="57">
        <v>88</v>
      </c>
    </row>
    <row r="85" spans="1:10" hidden="1" x14ac:dyDescent="0.3">
      <c r="A85" s="19" t="s">
        <v>132</v>
      </c>
      <c r="B85" s="15" t="s">
        <v>29</v>
      </c>
      <c r="C85" s="15" t="s">
        <v>12</v>
      </c>
      <c r="D85" s="15" t="s">
        <v>13</v>
      </c>
      <c r="E85" s="15">
        <v>17</v>
      </c>
      <c r="F85" s="15">
        <v>10</v>
      </c>
      <c r="G85" s="15" t="s">
        <v>25</v>
      </c>
      <c r="H85" s="15" t="s">
        <v>37</v>
      </c>
      <c r="I85" s="15" t="s">
        <v>133</v>
      </c>
      <c r="J85" s="57">
        <v>88</v>
      </c>
    </row>
    <row r="86" spans="1:10" hidden="1" x14ac:dyDescent="0.3">
      <c r="A86" s="19" t="s">
        <v>188</v>
      </c>
      <c r="B86" s="15" t="s">
        <v>23</v>
      </c>
      <c r="C86" s="15" t="s">
        <v>55</v>
      </c>
      <c r="D86" s="15" t="s">
        <v>31</v>
      </c>
      <c r="E86" s="15">
        <v>15</v>
      </c>
      <c r="F86" s="15">
        <v>9</v>
      </c>
      <c r="G86" s="15" t="s">
        <v>43</v>
      </c>
      <c r="H86" s="15" t="s">
        <v>20</v>
      </c>
      <c r="I86" s="15" t="s">
        <v>189</v>
      </c>
      <c r="J86" s="57">
        <v>88</v>
      </c>
    </row>
    <row r="87" spans="1:10" hidden="1" x14ac:dyDescent="0.3">
      <c r="A87" s="19" t="s">
        <v>231</v>
      </c>
      <c r="B87" s="15" t="s">
        <v>23</v>
      </c>
      <c r="C87" s="15" t="s">
        <v>24</v>
      </c>
      <c r="D87" s="15" t="s">
        <v>31</v>
      </c>
      <c r="E87" s="15">
        <v>18</v>
      </c>
      <c r="F87" s="15">
        <v>9</v>
      </c>
      <c r="G87" s="15" t="s">
        <v>25</v>
      </c>
      <c r="H87" s="15" t="s">
        <v>61</v>
      </c>
      <c r="I87" s="15" t="s">
        <v>232</v>
      </c>
      <c r="J87" s="57">
        <v>88</v>
      </c>
    </row>
    <row r="88" spans="1:10" hidden="1" x14ac:dyDescent="0.3">
      <c r="A88" s="19" t="s">
        <v>388</v>
      </c>
      <c r="B88" s="15" t="s">
        <v>73</v>
      </c>
      <c r="C88" s="15" t="s">
        <v>12</v>
      </c>
      <c r="D88" s="15" t="s">
        <v>31</v>
      </c>
      <c r="E88" s="15">
        <v>19</v>
      </c>
      <c r="F88" s="15">
        <v>11</v>
      </c>
      <c r="G88" s="15" t="s">
        <v>43</v>
      </c>
      <c r="H88" s="15" t="s">
        <v>61</v>
      </c>
      <c r="I88" s="15" t="s">
        <v>214</v>
      </c>
      <c r="J88" s="57">
        <v>88</v>
      </c>
    </row>
    <row r="89" spans="1:10" hidden="1" x14ac:dyDescent="0.3">
      <c r="A89" s="19" t="s">
        <v>476</v>
      </c>
      <c r="B89" s="15" t="s">
        <v>29</v>
      </c>
      <c r="C89" s="15" t="s">
        <v>55</v>
      </c>
      <c r="D89" s="15" t="s">
        <v>13</v>
      </c>
      <c r="E89" s="15">
        <v>19</v>
      </c>
      <c r="F89" s="15">
        <v>10</v>
      </c>
      <c r="G89" s="15" t="s">
        <v>43</v>
      </c>
      <c r="H89" s="15" t="s">
        <v>26</v>
      </c>
      <c r="I89" s="15" t="s">
        <v>477</v>
      </c>
      <c r="J89" s="57">
        <v>88</v>
      </c>
    </row>
    <row r="90" spans="1:10" hidden="1" x14ac:dyDescent="0.3">
      <c r="A90" s="19" t="s">
        <v>787</v>
      </c>
      <c r="B90" s="15" t="s">
        <v>18</v>
      </c>
      <c r="C90" s="15" t="s">
        <v>36</v>
      </c>
      <c r="D90" s="15" t="s">
        <v>31</v>
      </c>
      <c r="E90" s="15">
        <v>16</v>
      </c>
      <c r="F90" s="15">
        <v>9</v>
      </c>
      <c r="G90" s="15" t="s">
        <v>14</v>
      </c>
      <c r="H90" s="15" t="s">
        <v>76</v>
      </c>
      <c r="I90" s="15" t="s">
        <v>788</v>
      </c>
      <c r="J90" s="57">
        <v>88</v>
      </c>
    </row>
    <row r="91" spans="1:10" hidden="1" x14ac:dyDescent="0.3">
      <c r="A91" s="19" t="s">
        <v>858</v>
      </c>
      <c r="B91" s="15" t="s">
        <v>35</v>
      </c>
      <c r="C91" s="15" t="s">
        <v>12</v>
      </c>
      <c r="D91" s="15" t="s">
        <v>31</v>
      </c>
      <c r="E91" s="15">
        <v>19</v>
      </c>
      <c r="F91" s="15">
        <v>9</v>
      </c>
      <c r="G91" s="15" t="s">
        <v>43</v>
      </c>
      <c r="H91" s="15" t="s">
        <v>26</v>
      </c>
      <c r="I91" s="15" t="s">
        <v>859</v>
      </c>
      <c r="J91" s="57">
        <v>88</v>
      </c>
    </row>
    <row r="92" spans="1:10" hidden="1" x14ac:dyDescent="0.3">
      <c r="A92" s="19" t="s">
        <v>889</v>
      </c>
      <c r="B92" s="15" t="s">
        <v>68</v>
      </c>
      <c r="C92" s="15" t="s">
        <v>19</v>
      </c>
      <c r="D92" s="15" t="s">
        <v>31</v>
      </c>
      <c r="E92" s="15">
        <v>18</v>
      </c>
      <c r="F92" s="15">
        <v>12</v>
      </c>
      <c r="G92" s="15" t="s">
        <v>32</v>
      </c>
      <c r="H92" s="15" t="s">
        <v>46</v>
      </c>
      <c r="I92" s="15" t="s">
        <v>890</v>
      </c>
      <c r="J92" s="57">
        <v>88</v>
      </c>
    </row>
    <row r="93" spans="1:10" hidden="1" x14ac:dyDescent="0.3">
      <c r="A93" s="19" t="s">
        <v>899</v>
      </c>
      <c r="B93" s="15" t="s">
        <v>11</v>
      </c>
      <c r="C93" s="15" t="s">
        <v>79</v>
      </c>
      <c r="D93" s="15" t="s">
        <v>13</v>
      </c>
      <c r="E93" s="15">
        <v>15</v>
      </c>
      <c r="F93" s="15">
        <v>10</v>
      </c>
      <c r="G93" s="15" t="s">
        <v>14</v>
      </c>
      <c r="H93" s="15" t="s">
        <v>37</v>
      </c>
      <c r="I93" s="15" t="s">
        <v>900</v>
      </c>
      <c r="J93" s="57">
        <v>88</v>
      </c>
    </row>
    <row r="94" spans="1:10" hidden="1" x14ac:dyDescent="0.3">
      <c r="A94" s="19" t="s">
        <v>934</v>
      </c>
      <c r="B94" s="15" t="s">
        <v>51</v>
      </c>
      <c r="C94" s="15" t="s">
        <v>58</v>
      </c>
      <c r="D94" s="15" t="s">
        <v>31</v>
      </c>
      <c r="E94" s="15">
        <v>18</v>
      </c>
      <c r="F94" s="15">
        <v>11</v>
      </c>
      <c r="G94" s="15" t="s">
        <v>14</v>
      </c>
      <c r="H94" s="15" t="s">
        <v>37</v>
      </c>
      <c r="I94" s="15" t="s">
        <v>806</v>
      </c>
      <c r="J94" s="57">
        <v>88</v>
      </c>
    </row>
    <row r="95" spans="1:10" hidden="1" x14ac:dyDescent="0.3">
      <c r="A95" s="19" t="s">
        <v>223</v>
      </c>
      <c r="B95" s="15" t="s">
        <v>68</v>
      </c>
      <c r="C95" s="15" t="s">
        <v>24</v>
      </c>
      <c r="D95" s="15" t="s">
        <v>13</v>
      </c>
      <c r="E95" s="15">
        <v>18</v>
      </c>
      <c r="F95" s="15">
        <v>11</v>
      </c>
      <c r="G95" s="15" t="s">
        <v>32</v>
      </c>
      <c r="H95" s="15" t="s">
        <v>40</v>
      </c>
      <c r="I95" s="15" t="s">
        <v>224</v>
      </c>
      <c r="J95" s="57">
        <v>87</v>
      </c>
    </row>
    <row r="96" spans="1:10" hidden="1" x14ac:dyDescent="0.3">
      <c r="A96" s="19" t="s">
        <v>371</v>
      </c>
      <c r="B96" s="15" t="s">
        <v>35</v>
      </c>
      <c r="C96" s="15" t="s">
        <v>58</v>
      </c>
      <c r="D96" s="15" t="s">
        <v>31</v>
      </c>
      <c r="E96" s="15">
        <v>19</v>
      </c>
      <c r="F96" s="15">
        <v>9</v>
      </c>
      <c r="G96" s="15" t="s">
        <v>14</v>
      </c>
      <c r="H96" s="15" t="s">
        <v>20</v>
      </c>
      <c r="I96" s="15" t="s">
        <v>372</v>
      </c>
      <c r="J96" s="57">
        <v>87</v>
      </c>
    </row>
    <row r="97" spans="1:10" x14ac:dyDescent="0.3">
      <c r="A97" s="19" t="s">
        <v>910</v>
      </c>
      <c r="B97" s="15" t="s">
        <v>84</v>
      </c>
      <c r="C97" s="15" t="s">
        <v>12</v>
      </c>
      <c r="D97" s="15" t="s">
        <v>31</v>
      </c>
      <c r="E97" s="15">
        <v>18</v>
      </c>
      <c r="F97" s="15">
        <v>11</v>
      </c>
      <c r="G97" s="15" t="s">
        <v>25</v>
      </c>
      <c r="H97" s="15" t="s">
        <v>15</v>
      </c>
      <c r="I97" s="15" t="s">
        <v>911</v>
      </c>
      <c r="J97" s="57">
        <v>87</v>
      </c>
    </row>
    <row r="98" spans="1:10" x14ac:dyDescent="0.3">
      <c r="A98" s="19" t="s">
        <v>917</v>
      </c>
      <c r="B98" s="15" t="s">
        <v>11</v>
      </c>
      <c r="C98" s="15" t="s">
        <v>96</v>
      </c>
      <c r="D98" s="15" t="s">
        <v>31</v>
      </c>
      <c r="E98" s="15">
        <v>19</v>
      </c>
      <c r="F98" s="15">
        <v>11</v>
      </c>
      <c r="G98" s="15" t="s">
        <v>43</v>
      </c>
      <c r="H98" s="15" t="s">
        <v>26</v>
      </c>
      <c r="I98" s="15" t="s">
        <v>918</v>
      </c>
      <c r="J98" s="57">
        <v>87</v>
      </c>
    </row>
    <row r="99" spans="1:10" hidden="1" x14ac:dyDescent="0.3">
      <c r="A99" s="19" t="s">
        <v>87</v>
      </c>
      <c r="B99" s="15" t="s">
        <v>18</v>
      </c>
      <c r="C99" s="15" t="s">
        <v>12</v>
      </c>
      <c r="D99" s="15" t="s">
        <v>13</v>
      </c>
      <c r="E99" s="15">
        <v>20</v>
      </c>
      <c r="F99" s="15">
        <v>12</v>
      </c>
      <c r="G99" s="15" t="s">
        <v>32</v>
      </c>
      <c r="H99" s="15" t="s">
        <v>26</v>
      </c>
      <c r="I99" s="15" t="s">
        <v>88</v>
      </c>
      <c r="J99" s="57">
        <v>86</v>
      </c>
    </row>
    <row r="100" spans="1:10" hidden="1" x14ac:dyDescent="0.3">
      <c r="A100" s="19" t="s">
        <v>318</v>
      </c>
      <c r="B100" s="15" t="s">
        <v>54</v>
      </c>
      <c r="C100" s="15" t="s">
        <v>96</v>
      </c>
      <c r="D100" s="15" t="s">
        <v>13</v>
      </c>
      <c r="E100" s="15">
        <v>18</v>
      </c>
      <c r="F100" s="15">
        <v>9</v>
      </c>
      <c r="G100" s="15" t="s">
        <v>32</v>
      </c>
      <c r="H100" s="15" t="s">
        <v>76</v>
      </c>
      <c r="I100" s="15" t="s">
        <v>319</v>
      </c>
      <c r="J100" s="57">
        <v>86</v>
      </c>
    </row>
    <row r="101" spans="1:10" hidden="1" x14ac:dyDescent="0.3">
      <c r="A101" s="19" t="s">
        <v>428</v>
      </c>
      <c r="B101" s="15" t="s">
        <v>54</v>
      </c>
      <c r="C101" s="15" t="s">
        <v>55</v>
      </c>
      <c r="D101" s="15" t="s">
        <v>13</v>
      </c>
      <c r="E101" s="15">
        <v>16</v>
      </c>
      <c r="F101" s="15">
        <v>11</v>
      </c>
      <c r="G101" s="15" t="s">
        <v>25</v>
      </c>
      <c r="H101" s="15" t="s">
        <v>15</v>
      </c>
      <c r="I101" s="15" t="s">
        <v>429</v>
      </c>
      <c r="J101" s="57">
        <v>86</v>
      </c>
    </row>
    <row r="102" spans="1:10" hidden="1" x14ac:dyDescent="0.3">
      <c r="A102" s="19" t="s">
        <v>482</v>
      </c>
      <c r="B102" s="15" t="s">
        <v>35</v>
      </c>
      <c r="C102" s="15" t="s">
        <v>24</v>
      </c>
      <c r="D102" s="15" t="s">
        <v>13</v>
      </c>
      <c r="E102" s="15">
        <v>18</v>
      </c>
      <c r="F102" s="15">
        <v>11</v>
      </c>
      <c r="G102" s="15" t="s">
        <v>14</v>
      </c>
      <c r="H102" s="15" t="s">
        <v>61</v>
      </c>
      <c r="I102" s="15" t="s">
        <v>483</v>
      </c>
      <c r="J102" s="57">
        <v>86</v>
      </c>
    </row>
    <row r="103" spans="1:10" hidden="1" x14ac:dyDescent="0.3">
      <c r="A103" s="19" t="s">
        <v>487</v>
      </c>
      <c r="B103" s="15" t="s">
        <v>18</v>
      </c>
      <c r="C103" s="15" t="s">
        <v>79</v>
      </c>
      <c r="D103" s="15" t="s">
        <v>13</v>
      </c>
      <c r="E103" s="15">
        <v>16</v>
      </c>
      <c r="F103" s="15">
        <v>11</v>
      </c>
      <c r="G103" s="15" t="s">
        <v>43</v>
      </c>
      <c r="H103" s="15" t="s">
        <v>61</v>
      </c>
      <c r="I103" s="15" t="s">
        <v>488</v>
      </c>
      <c r="J103" s="57">
        <v>86</v>
      </c>
    </row>
    <row r="104" spans="1:10" hidden="1" x14ac:dyDescent="0.3">
      <c r="A104" s="19" t="s">
        <v>516</v>
      </c>
      <c r="B104" s="15" t="s">
        <v>18</v>
      </c>
      <c r="C104" s="15" t="s">
        <v>96</v>
      </c>
      <c r="D104" s="15" t="s">
        <v>31</v>
      </c>
      <c r="E104" s="15">
        <v>14</v>
      </c>
      <c r="F104" s="15">
        <v>11</v>
      </c>
      <c r="G104" s="15" t="s">
        <v>32</v>
      </c>
      <c r="H104" s="15" t="s">
        <v>46</v>
      </c>
      <c r="I104" s="15" t="s">
        <v>517</v>
      </c>
      <c r="J104" s="57">
        <v>86</v>
      </c>
    </row>
    <row r="105" spans="1:10" hidden="1" x14ac:dyDescent="0.3">
      <c r="A105" s="19" t="s">
        <v>527</v>
      </c>
      <c r="B105" s="15" t="s">
        <v>11</v>
      </c>
      <c r="C105" s="15" t="s">
        <v>85</v>
      </c>
      <c r="D105" s="15" t="s">
        <v>13</v>
      </c>
      <c r="E105" s="15">
        <v>20</v>
      </c>
      <c r="F105" s="15">
        <v>12</v>
      </c>
      <c r="G105" s="15" t="s">
        <v>25</v>
      </c>
      <c r="H105" s="15" t="s">
        <v>46</v>
      </c>
      <c r="I105" s="15" t="s">
        <v>451</v>
      </c>
      <c r="J105" s="57">
        <v>86</v>
      </c>
    </row>
    <row r="106" spans="1:10" x14ac:dyDescent="0.3">
      <c r="A106" s="19" t="s">
        <v>625</v>
      </c>
      <c r="B106" s="15" t="s">
        <v>68</v>
      </c>
      <c r="C106" s="15" t="s">
        <v>96</v>
      </c>
      <c r="D106" s="15" t="s">
        <v>31</v>
      </c>
      <c r="E106" s="15">
        <v>19</v>
      </c>
      <c r="F106" s="15">
        <v>12</v>
      </c>
      <c r="G106" s="15" t="s">
        <v>32</v>
      </c>
      <c r="H106" s="15" t="s">
        <v>15</v>
      </c>
      <c r="I106" s="15" t="s">
        <v>626</v>
      </c>
      <c r="J106" s="57">
        <v>86</v>
      </c>
    </row>
    <row r="107" spans="1:10" hidden="1" x14ac:dyDescent="0.3">
      <c r="A107" s="19" t="s">
        <v>660</v>
      </c>
      <c r="B107" s="15" t="s">
        <v>23</v>
      </c>
      <c r="C107" s="15" t="s">
        <v>12</v>
      </c>
      <c r="D107" s="15" t="s">
        <v>13</v>
      </c>
      <c r="E107" s="15">
        <v>16</v>
      </c>
      <c r="F107" s="15">
        <v>11</v>
      </c>
      <c r="G107" s="15" t="s">
        <v>25</v>
      </c>
      <c r="H107" s="15" t="s">
        <v>40</v>
      </c>
      <c r="I107" s="15" t="s">
        <v>41</v>
      </c>
      <c r="J107" s="57">
        <v>86</v>
      </c>
    </row>
    <row r="108" spans="1:10" hidden="1" x14ac:dyDescent="0.3">
      <c r="A108" s="19" t="s">
        <v>862</v>
      </c>
      <c r="B108" s="15" t="s">
        <v>51</v>
      </c>
      <c r="C108" s="15" t="s">
        <v>24</v>
      </c>
      <c r="D108" s="15" t="s">
        <v>13</v>
      </c>
      <c r="E108" s="15">
        <v>17</v>
      </c>
      <c r="F108" s="15">
        <v>9</v>
      </c>
      <c r="G108" s="15" t="s">
        <v>43</v>
      </c>
      <c r="H108" s="15" t="s">
        <v>15</v>
      </c>
      <c r="I108" s="15" t="s">
        <v>863</v>
      </c>
      <c r="J108" s="57">
        <v>86</v>
      </c>
    </row>
    <row r="109" spans="1:10" hidden="1" x14ac:dyDescent="0.3">
      <c r="A109" s="19" t="s">
        <v>879</v>
      </c>
      <c r="B109" s="15" t="s">
        <v>18</v>
      </c>
      <c r="C109" s="15" t="s">
        <v>85</v>
      </c>
      <c r="D109" s="15" t="s">
        <v>13</v>
      </c>
      <c r="E109" s="15">
        <v>15</v>
      </c>
      <c r="F109" s="15">
        <v>11</v>
      </c>
      <c r="G109" s="15" t="s">
        <v>32</v>
      </c>
      <c r="H109" s="15" t="s">
        <v>37</v>
      </c>
      <c r="I109" s="15" t="s">
        <v>880</v>
      </c>
      <c r="J109" s="57">
        <v>86</v>
      </c>
    </row>
    <row r="110" spans="1:10" hidden="1" x14ac:dyDescent="0.3">
      <c r="A110" s="19" t="s">
        <v>925</v>
      </c>
      <c r="B110" s="15" t="s">
        <v>68</v>
      </c>
      <c r="C110" s="15" t="s">
        <v>30</v>
      </c>
      <c r="D110" s="15" t="s">
        <v>31</v>
      </c>
      <c r="E110" s="15">
        <v>18</v>
      </c>
      <c r="F110" s="15">
        <v>9</v>
      </c>
      <c r="G110" s="15" t="s">
        <v>32</v>
      </c>
      <c r="H110" s="15" t="s">
        <v>20</v>
      </c>
      <c r="I110" s="15" t="s">
        <v>732</v>
      </c>
      <c r="J110" s="57">
        <v>86</v>
      </c>
    </row>
    <row r="111" spans="1:10" hidden="1" x14ac:dyDescent="0.3">
      <c r="A111" s="19" t="s">
        <v>142</v>
      </c>
      <c r="B111" s="15" t="s">
        <v>29</v>
      </c>
      <c r="C111" s="15" t="s">
        <v>96</v>
      </c>
      <c r="D111" s="15" t="s">
        <v>31</v>
      </c>
      <c r="E111" s="15">
        <v>16</v>
      </c>
      <c r="F111" s="15">
        <v>12</v>
      </c>
      <c r="G111" s="15" t="s">
        <v>14</v>
      </c>
      <c r="H111" s="15" t="s">
        <v>37</v>
      </c>
      <c r="I111" s="15" t="s">
        <v>143</v>
      </c>
      <c r="J111" s="57">
        <v>85</v>
      </c>
    </row>
    <row r="112" spans="1:10" hidden="1" x14ac:dyDescent="0.3">
      <c r="A112" s="19" t="s">
        <v>412</v>
      </c>
      <c r="B112" s="15" t="s">
        <v>73</v>
      </c>
      <c r="C112" s="15" t="s">
        <v>55</v>
      </c>
      <c r="D112" s="15" t="s">
        <v>13</v>
      </c>
      <c r="E112" s="15">
        <v>16</v>
      </c>
      <c r="F112" s="15">
        <v>12</v>
      </c>
      <c r="G112" s="15" t="s">
        <v>32</v>
      </c>
      <c r="H112" s="15" t="s">
        <v>46</v>
      </c>
      <c r="I112" s="15" t="s">
        <v>413</v>
      </c>
      <c r="J112" s="57">
        <v>85</v>
      </c>
    </row>
    <row r="113" spans="1:10" hidden="1" x14ac:dyDescent="0.3">
      <c r="A113" s="19" t="s">
        <v>445</v>
      </c>
      <c r="B113" s="15" t="s">
        <v>54</v>
      </c>
      <c r="C113" s="15" t="s">
        <v>96</v>
      </c>
      <c r="D113" s="15" t="s">
        <v>13</v>
      </c>
      <c r="E113" s="15">
        <v>20</v>
      </c>
      <c r="F113" s="15">
        <v>10</v>
      </c>
      <c r="G113" s="15" t="s">
        <v>32</v>
      </c>
      <c r="H113" s="15" t="s">
        <v>46</v>
      </c>
      <c r="I113" s="15" t="s">
        <v>182</v>
      </c>
      <c r="J113" s="57">
        <v>85</v>
      </c>
    </row>
    <row r="114" spans="1:10" x14ac:dyDescent="0.3">
      <c r="A114" s="19" t="s">
        <v>617</v>
      </c>
      <c r="B114" s="15" t="s">
        <v>35</v>
      </c>
      <c r="C114" s="15" t="s">
        <v>12</v>
      </c>
      <c r="D114" s="15" t="s">
        <v>13</v>
      </c>
      <c r="E114" s="15">
        <v>15</v>
      </c>
      <c r="F114" s="15">
        <v>9</v>
      </c>
      <c r="G114" s="15" t="s">
        <v>25</v>
      </c>
      <c r="H114" s="15" t="s">
        <v>46</v>
      </c>
      <c r="I114" s="15" t="s">
        <v>155</v>
      </c>
      <c r="J114" s="57">
        <v>85</v>
      </c>
    </row>
    <row r="115" spans="1:10" hidden="1" x14ac:dyDescent="0.3">
      <c r="A115" s="19" t="s">
        <v>656</v>
      </c>
      <c r="B115" s="15" t="s">
        <v>29</v>
      </c>
      <c r="C115" s="15" t="s">
        <v>30</v>
      </c>
      <c r="D115" s="15" t="s">
        <v>13</v>
      </c>
      <c r="E115" s="15">
        <v>19</v>
      </c>
      <c r="F115" s="15">
        <v>10</v>
      </c>
      <c r="G115" s="15" t="s">
        <v>43</v>
      </c>
      <c r="H115" s="15" t="s">
        <v>15</v>
      </c>
      <c r="I115" s="15" t="s">
        <v>657</v>
      </c>
      <c r="J115" s="57">
        <v>85</v>
      </c>
    </row>
    <row r="116" spans="1:10" hidden="1" x14ac:dyDescent="0.3">
      <c r="A116" s="19" t="s">
        <v>673</v>
      </c>
      <c r="B116" s="15" t="s">
        <v>11</v>
      </c>
      <c r="C116" s="15" t="s">
        <v>19</v>
      </c>
      <c r="D116" s="15" t="s">
        <v>31</v>
      </c>
      <c r="E116" s="15">
        <v>17</v>
      </c>
      <c r="F116" s="15">
        <v>10</v>
      </c>
      <c r="G116" s="15" t="s">
        <v>32</v>
      </c>
      <c r="H116" s="15" t="s">
        <v>46</v>
      </c>
      <c r="I116" s="15" t="s">
        <v>674</v>
      </c>
      <c r="J116" s="57">
        <v>85</v>
      </c>
    </row>
    <row r="117" spans="1:10" hidden="1" x14ac:dyDescent="0.3">
      <c r="A117" s="19" t="s">
        <v>735</v>
      </c>
      <c r="B117" s="15" t="s">
        <v>68</v>
      </c>
      <c r="C117" s="15" t="s">
        <v>24</v>
      </c>
      <c r="D117" s="15" t="s">
        <v>31</v>
      </c>
      <c r="E117" s="15">
        <v>16</v>
      </c>
      <c r="F117" s="15">
        <v>12</v>
      </c>
      <c r="G117" s="15" t="s">
        <v>43</v>
      </c>
      <c r="H117" s="15" t="s">
        <v>26</v>
      </c>
      <c r="I117" s="15" t="s">
        <v>736</v>
      </c>
      <c r="J117" s="57">
        <v>85</v>
      </c>
    </row>
    <row r="118" spans="1:10" x14ac:dyDescent="0.3">
      <c r="A118" s="19" t="s">
        <v>737</v>
      </c>
      <c r="B118" s="15" t="s">
        <v>54</v>
      </c>
      <c r="C118" s="15" t="s">
        <v>96</v>
      </c>
      <c r="D118" s="15" t="s">
        <v>13</v>
      </c>
      <c r="E118" s="15">
        <v>19</v>
      </c>
      <c r="F118" s="15">
        <v>12</v>
      </c>
      <c r="G118" s="15" t="s">
        <v>25</v>
      </c>
      <c r="H118" s="15" t="s">
        <v>20</v>
      </c>
      <c r="I118" s="15" t="s">
        <v>738</v>
      </c>
      <c r="J118" s="57">
        <v>85</v>
      </c>
    </row>
    <row r="119" spans="1:10" x14ac:dyDescent="0.3">
      <c r="A119" s="19" t="s">
        <v>769</v>
      </c>
      <c r="B119" s="15" t="s">
        <v>35</v>
      </c>
      <c r="C119" s="15" t="s">
        <v>30</v>
      </c>
      <c r="D119" s="15" t="s">
        <v>13</v>
      </c>
      <c r="E119" s="15">
        <v>16</v>
      </c>
      <c r="F119" s="15">
        <v>11</v>
      </c>
      <c r="G119" s="15" t="s">
        <v>32</v>
      </c>
      <c r="H119" s="15" t="s">
        <v>46</v>
      </c>
      <c r="I119" s="15" t="s">
        <v>770</v>
      </c>
      <c r="J119" s="57">
        <v>85</v>
      </c>
    </row>
    <row r="120" spans="1:10" hidden="1" x14ac:dyDescent="0.3">
      <c r="A120" s="19" t="s">
        <v>915</v>
      </c>
      <c r="B120" s="15" t="s">
        <v>23</v>
      </c>
      <c r="C120" s="15" t="s">
        <v>58</v>
      </c>
      <c r="D120" s="15" t="s">
        <v>31</v>
      </c>
      <c r="E120" s="15">
        <v>17</v>
      </c>
      <c r="F120" s="15">
        <v>9</v>
      </c>
      <c r="G120" s="15" t="s">
        <v>25</v>
      </c>
      <c r="H120" s="15" t="s">
        <v>46</v>
      </c>
      <c r="I120" s="15" t="s">
        <v>916</v>
      </c>
      <c r="J120" s="57">
        <v>85</v>
      </c>
    </row>
    <row r="121" spans="1:10" hidden="1" x14ac:dyDescent="0.3">
      <c r="A121" s="19" t="s">
        <v>931</v>
      </c>
      <c r="B121" s="15" t="s">
        <v>23</v>
      </c>
      <c r="C121" s="15" t="s">
        <v>36</v>
      </c>
      <c r="D121" s="15" t="s">
        <v>13</v>
      </c>
      <c r="E121" s="15">
        <v>20</v>
      </c>
      <c r="F121" s="15">
        <v>9</v>
      </c>
      <c r="G121" s="15" t="s">
        <v>43</v>
      </c>
      <c r="H121" s="15" t="s">
        <v>40</v>
      </c>
      <c r="I121" s="15" t="s">
        <v>932</v>
      </c>
      <c r="J121" s="57">
        <v>85</v>
      </c>
    </row>
    <row r="122" spans="1:10" x14ac:dyDescent="0.3">
      <c r="A122" s="19" t="s">
        <v>28</v>
      </c>
      <c r="B122" s="15" t="s">
        <v>29</v>
      </c>
      <c r="C122" s="15" t="s">
        <v>30</v>
      </c>
      <c r="D122" s="15" t="s">
        <v>31</v>
      </c>
      <c r="E122" s="15">
        <v>20</v>
      </c>
      <c r="F122" s="15">
        <v>9</v>
      </c>
      <c r="G122" s="15" t="s">
        <v>32</v>
      </c>
      <c r="H122" s="15" t="s">
        <v>26</v>
      </c>
      <c r="I122" s="15" t="s">
        <v>33</v>
      </c>
      <c r="J122" s="57">
        <v>84</v>
      </c>
    </row>
    <row r="123" spans="1:10" hidden="1" x14ac:dyDescent="0.3">
      <c r="A123" s="19" t="s">
        <v>215</v>
      </c>
      <c r="B123" s="15" t="s">
        <v>84</v>
      </c>
      <c r="C123" s="15" t="s">
        <v>36</v>
      </c>
      <c r="D123" s="15" t="s">
        <v>31</v>
      </c>
      <c r="E123" s="15">
        <v>19</v>
      </c>
      <c r="F123" s="15">
        <v>12</v>
      </c>
      <c r="G123" s="15" t="s">
        <v>14</v>
      </c>
      <c r="H123" s="15" t="s">
        <v>37</v>
      </c>
      <c r="I123" s="15" t="s">
        <v>216</v>
      </c>
      <c r="J123" s="57">
        <v>84</v>
      </c>
    </row>
    <row r="124" spans="1:10" hidden="1" x14ac:dyDescent="0.3">
      <c r="A124" s="19" t="s">
        <v>401</v>
      </c>
      <c r="B124" s="15" t="s">
        <v>11</v>
      </c>
      <c r="C124" s="15" t="s">
        <v>79</v>
      </c>
      <c r="D124" s="15" t="s">
        <v>31</v>
      </c>
      <c r="E124" s="15">
        <v>15</v>
      </c>
      <c r="F124" s="15">
        <v>11</v>
      </c>
      <c r="G124" s="15" t="s">
        <v>43</v>
      </c>
      <c r="H124" s="15" t="s">
        <v>40</v>
      </c>
      <c r="I124" s="15" t="s">
        <v>402</v>
      </c>
      <c r="J124" s="57">
        <v>84</v>
      </c>
    </row>
    <row r="125" spans="1:10" hidden="1" x14ac:dyDescent="0.3">
      <c r="A125" s="19" t="s">
        <v>594</v>
      </c>
      <c r="B125" s="15" t="s">
        <v>54</v>
      </c>
      <c r="C125" s="15" t="s">
        <v>55</v>
      </c>
      <c r="D125" s="15" t="s">
        <v>13</v>
      </c>
      <c r="E125" s="15">
        <v>20</v>
      </c>
      <c r="F125" s="15">
        <v>11</v>
      </c>
      <c r="G125" s="15" t="s">
        <v>43</v>
      </c>
      <c r="H125" s="15" t="s">
        <v>40</v>
      </c>
      <c r="I125" s="15" t="s">
        <v>595</v>
      </c>
      <c r="J125" s="57">
        <v>84</v>
      </c>
    </row>
    <row r="126" spans="1:10" hidden="1" x14ac:dyDescent="0.3">
      <c r="A126" s="19" t="s">
        <v>627</v>
      </c>
      <c r="B126" s="15" t="s">
        <v>35</v>
      </c>
      <c r="C126" s="15" t="s">
        <v>85</v>
      </c>
      <c r="D126" s="15" t="s">
        <v>31</v>
      </c>
      <c r="E126" s="15">
        <v>16</v>
      </c>
      <c r="F126" s="15">
        <v>9</v>
      </c>
      <c r="G126" s="15" t="s">
        <v>43</v>
      </c>
      <c r="H126" s="15" t="s">
        <v>20</v>
      </c>
      <c r="I126" s="15" t="s">
        <v>628</v>
      </c>
      <c r="J126" s="57">
        <v>84</v>
      </c>
    </row>
    <row r="127" spans="1:10" hidden="1" x14ac:dyDescent="0.3">
      <c r="A127" s="19" t="s">
        <v>715</v>
      </c>
      <c r="B127" s="15" t="s">
        <v>51</v>
      </c>
      <c r="C127" s="15" t="s">
        <v>79</v>
      </c>
      <c r="D127" s="15" t="s">
        <v>13</v>
      </c>
      <c r="E127" s="15">
        <v>19</v>
      </c>
      <c r="F127" s="15">
        <v>10</v>
      </c>
      <c r="G127" s="15" t="s">
        <v>32</v>
      </c>
      <c r="H127" s="15" t="s">
        <v>40</v>
      </c>
      <c r="I127" s="15" t="s">
        <v>702</v>
      </c>
      <c r="J127" s="57">
        <v>84</v>
      </c>
    </row>
    <row r="128" spans="1:10" hidden="1" x14ac:dyDescent="0.3">
      <c r="A128" s="19" t="s">
        <v>776</v>
      </c>
      <c r="B128" s="15" t="s">
        <v>11</v>
      </c>
      <c r="C128" s="15" t="s">
        <v>12</v>
      </c>
      <c r="D128" s="15" t="s">
        <v>31</v>
      </c>
      <c r="E128" s="15">
        <v>20</v>
      </c>
      <c r="F128" s="15">
        <v>9</v>
      </c>
      <c r="G128" s="15" t="s">
        <v>14</v>
      </c>
      <c r="H128" s="15" t="s">
        <v>76</v>
      </c>
      <c r="I128" s="15" t="s">
        <v>777</v>
      </c>
      <c r="J128" s="57">
        <v>84</v>
      </c>
    </row>
    <row r="129" spans="1:10" hidden="1" x14ac:dyDescent="0.3">
      <c r="A129" s="19" t="s">
        <v>854</v>
      </c>
      <c r="B129" s="15" t="s">
        <v>51</v>
      </c>
      <c r="C129" s="15" t="s">
        <v>55</v>
      </c>
      <c r="D129" s="15" t="s">
        <v>13</v>
      </c>
      <c r="E129" s="15">
        <v>15</v>
      </c>
      <c r="F129" s="15">
        <v>11</v>
      </c>
      <c r="G129" s="15" t="s">
        <v>14</v>
      </c>
      <c r="H129" s="15" t="s">
        <v>61</v>
      </c>
      <c r="I129" s="15" t="s">
        <v>855</v>
      </c>
      <c r="J129" s="57">
        <v>84</v>
      </c>
    </row>
    <row r="130" spans="1:10" hidden="1" x14ac:dyDescent="0.3">
      <c r="A130" s="19" t="s">
        <v>860</v>
      </c>
      <c r="B130" s="15" t="s">
        <v>68</v>
      </c>
      <c r="C130" s="15" t="s">
        <v>12</v>
      </c>
      <c r="D130" s="15" t="s">
        <v>13</v>
      </c>
      <c r="E130" s="15">
        <v>16</v>
      </c>
      <c r="F130" s="15">
        <v>12</v>
      </c>
      <c r="G130" s="15" t="s">
        <v>14</v>
      </c>
      <c r="H130" s="15" t="s">
        <v>37</v>
      </c>
      <c r="I130" s="15" t="s">
        <v>861</v>
      </c>
      <c r="J130" s="57">
        <v>84</v>
      </c>
    </row>
    <row r="131" spans="1:10" x14ac:dyDescent="0.3">
      <c r="A131" s="19" t="s">
        <v>148</v>
      </c>
      <c r="B131" s="15" t="s">
        <v>51</v>
      </c>
      <c r="C131" s="15" t="s">
        <v>96</v>
      </c>
      <c r="D131" s="15" t="s">
        <v>13</v>
      </c>
      <c r="E131" s="15">
        <v>19</v>
      </c>
      <c r="F131" s="15">
        <v>11</v>
      </c>
      <c r="G131" s="15" t="s">
        <v>14</v>
      </c>
      <c r="H131" s="15" t="s">
        <v>76</v>
      </c>
      <c r="I131" s="15" t="s">
        <v>149</v>
      </c>
      <c r="J131" s="57">
        <v>83</v>
      </c>
    </row>
    <row r="132" spans="1:10" hidden="1" x14ac:dyDescent="0.3">
      <c r="A132" s="19" t="s">
        <v>329</v>
      </c>
      <c r="B132" s="15" t="s">
        <v>11</v>
      </c>
      <c r="C132" s="15" t="s">
        <v>24</v>
      </c>
      <c r="D132" s="15" t="s">
        <v>31</v>
      </c>
      <c r="E132" s="15">
        <v>15</v>
      </c>
      <c r="F132" s="15">
        <v>9</v>
      </c>
      <c r="G132" s="15" t="s">
        <v>43</v>
      </c>
      <c r="H132" s="15" t="s">
        <v>61</v>
      </c>
      <c r="I132" s="15" t="s">
        <v>330</v>
      </c>
      <c r="J132" s="57">
        <v>83</v>
      </c>
    </row>
    <row r="133" spans="1:10" hidden="1" x14ac:dyDescent="0.3">
      <c r="A133" s="19" t="s">
        <v>646</v>
      </c>
      <c r="B133" s="15" t="s">
        <v>84</v>
      </c>
      <c r="C133" s="15" t="s">
        <v>12</v>
      </c>
      <c r="D133" s="15" t="s">
        <v>31</v>
      </c>
      <c r="E133" s="15">
        <v>17</v>
      </c>
      <c r="F133" s="15">
        <v>12</v>
      </c>
      <c r="G133" s="15" t="s">
        <v>25</v>
      </c>
      <c r="H133" s="15" t="s">
        <v>76</v>
      </c>
      <c r="I133" s="15" t="s">
        <v>647</v>
      </c>
      <c r="J133" s="57">
        <v>83</v>
      </c>
    </row>
    <row r="134" spans="1:10" x14ac:dyDescent="0.3">
      <c r="A134" s="19" t="s">
        <v>719</v>
      </c>
      <c r="B134" s="15" t="s">
        <v>18</v>
      </c>
      <c r="C134" s="15" t="s">
        <v>24</v>
      </c>
      <c r="D134" s="15" t="s">
        <v>31</v>
      </c>
      <c r="E134" s="15">
        <v>18</v>
      </c>
      <c r="F134" s="15">
        <v>11</v>
      </c>
      <c r="G134" s="15" t="s">
        <v>43</v>
      </c>
      <c r="H134" s="15" t="s">
        <v>40</v>
      </c>
      <c r="I134" s="15" t="s">
        <v>720</v>
      </c>
      <c r="J134" s="57">
        <v>83</v>
      </c>
    </row>
    <row r="135" spans="1:10" hidden="1" x14ac:dyDescent="0.3">
      <c r="A135" s="19" t="s">
        <v>760</v>
      </c>
      <c r="B135" s="15" t="s">
        <v>84</v>
      </c>
      <c r="C135" s="15" t="s">
        <v>96</v>
      </c>
      <c r="D135" s="15" t="s">
        <v>31</v>
      </c>
      <c r="E135" s="15">
        <v>16</v>
      </c>
      <c r="F135" s="15">
        <v>11</v>
      </c>
      <c r="G135" s="15" t="s">
        <v>32</v>
      </c>
      <c r="H135" s="15" t="s">
        <v>76</v>
      </c>
      <c r="I135" s="15" t="s">
        <v>761</v>
      </c>
      <c r="J135" s="57">
        <v>83</v>
      </c>
    </row>
    <row r="136" spans="1:10" hidden="1" x14ac:dyDescent="0.3">
      <c r="A136" s="19" t="s">
        <v>873</v>
      </c>
      <c r="B136" s="15" t="s">
        <v>18</v>
      </c>
      <c r="C136" s="15" t="s">
        <v>79</v>
      </c>
      <c r="D136" s="15" t="s">
        <v>31</v>
      </c>
      <c r="E136" s="15">
        <v>19</v>
      </c>
      <c r="F136" s="15">
        <v>12</v>
      </c>
      <c r="G136" s="15" t="s">
        <v>32</v>
      </c>
      <c r="H136" s="15" t="s">
        <v>76</v>
      </c>
      <c r="I136" s="15" t="s">
        <v>742</v>
      </c>
      <c r="J136" s="57">
        <v>83</v>
      </c>
    </row>
    <row r="137" spans="1:10" hidden="1" x14ac:dyDescent="0.3">
      <c r="A137" s="19" t="s">
        <v>91</v>
      </c>
      <c r="B137" s="15" t="s">
        <v>73</v>
      </c>
      <c r="C137" s="15" t="s">
        <v>12</v>
      </c>
      <c r="D137" s="15" t="s">
        <v>13</v>
      </c>
      <c r="E137" s="15">
        <v>20</v>
      </c>
      <c r="F137" s="15">
        <v>10</v>
      </c>
      <c r="G137" s="15" t="s">
        <v>43</v>
      </c>
      <c r="H137" s="15" t="s">
        <v>46</v>
      </c>
      <c r="I137" s="15" t="s">
        <v>92</v>
      </c>
      <c r="J137" s="57">
        <v>82</v>
      </c>
    </row>
    <row r="138" spans="1:10" hidden="1" x14ac:dyDescent="0.3">
      <c r="A138" s="19" t="s">
        <v>130</v>
      </c>
      <c r="B138" s="15" t="s">
        <v>73</v>
      </c>
      <c r="C138" s="15" t="s">
        <v>30</v>
      </c>
      <c r="D138" s="15" t="s">
        <v>13</v>
      </c>
      <c r="E138" s="15">
        <v>17</v>
      </c>
      <c r="F138" s="15">
        <v>12</v>
      </c>
      <c r="G138" s="15" t="s">
        <v>25</v>
      </c>
      <c r="H138" s="15" t="s">
        <v>40</v>
      </c>
      <c r="I138" s="15" t="s">
        <v>131</v>
      </c>
      <c r="J138" s="57">
        <v>82</v>
      </c>
    </row>
    <row r="139" spans="1:10" hidden="1" x14ac:dyDescent="0.3">
      <c r="A139" s="19" t="s">
        <v>168</v>
      </c>
      <c r="B139" s="15" t="s">
        <v>18</v>
      </c>
      <c r="C139" s="15" t="s">
        <v>79</v>
      </c>
      <c r="D139" s="15" t="s">
        <v>13</v>
      </c>
      <c r="E139" s="15">
        <v>17</v>
      </c>
      <c r="F139" s="15">
        <v>12</v>
      </c>
      <c r="G139" s="15" t="s">
        <v>25</v>
      </c>
      <c r="H139" s="15" t="s">
        <v>26</v>
      </c>
      <c r="I139" s="15" t="s">
        <v>137</v>
      </c>
      <c r="J139" s="57">
        <v>82</v>
      </c>
    </row>
    <row r="140" spans="1:10" hidden="1" x14ac:dyDescent="0.3">
      <c r="A140" s="19" t="s">
        <v>341</v>
      </c>
      <c r="B140" s="15" t="s">
        <v>54</v>
      </c>
      <c r="C140" s="15" t="s">
        <v>55</v>
      </c>
      <c r="D140" s="15" t="s">
        <v>13</v>
      </c>
      <c r="E140" s="15">
        <v>14</v>
      </c>
      <c r="F140" s="15">
        <v>9</v>
      </c>
      <c r="G140" s="15" t="s">
        <v>25</v>
      </c>
      <c r="H140" s="15" t="s">
        <v>37</v>
      </c>
      <c r="I140" s="15" t="s">
        <v>342</v>
      </c>
      <c r="J140" s="57">
        <v>82</v>
      </c>
    </row>
    <row r="141" spans="1:10" hidden="1" x14ac:dyDescent="0.3">
      <c r="A141" s="19" t="s">
        <v>426</v>
      </c>
      <c r="B141" s="15" t="s">
        <v>54</v>
      </c>
      <c r="C141" s="15" t="s">
        <v>96</v>
      </c>
      <c r="D141" s="15" t="s">
        <v>31</v>
      </c>
      <c r="E141" s="15">
        <v>16</v>
      </c>
      <c r="F141" s="15">
        <v>12</v>
      </c>
      <c r="G141" s="15" t="s">
        <v>25</v>
      </c>
      <c r="H141" s="15" t="s">
        <v>20</v>
      </c>
      <c r="I141" s="15" t="s">
        <v>427</v>
      </c>
      <c r="J141" s="57">
        <v>82</v>
      </c>
    </row>
    <row r="142" spans="1:10" hidden="1" x14ac:dyDescent="0.3">
      <c r="A142" s="19" t="s">
        <v>522</v>
      </c>
      <c r="B142" s="15" t="s">
        <v>54</v>
      </c>
      <c r="C142" s="15" t="s">
        <v>79</v>
      </c>
      <c r="D142" s="15" t="s">
        <v>31</v>
      </c>
      <c r="E142" s="15">
        <v>18</v>
      </c>
      <c r="F142" s="15">
        <v>10</v>
      </c>
      <c r="G142" s="15" t="s">
        <v>14</v>
      </c>
      <c r="H142" s="15" t="s">
        <v>61</v>
      </c>
      <c r="I142" s="15" t="s">
        <v>523</v>
      </c>
      <c r="J142" s="57">
        <v>82</v>
      </c>
    </row>
    <row r="143" spans="1:10" hidden="1" x14ac:dyDescent="0.3">
      <c r="A143" s="19" t="s">
        <v>611</v>
      </c>
      <c r="B143" s="15" t="s">
        <v>18</v>
      </c>
      <c r="C143" s="15" t="s">
        <v>24</v>
      </c>
      <c r="D143" s="15" t="s">
        <v>31</v>
      </c>
      <c r="E143" s="15">
        <v>19</v>
      </c>
      <c r="F143" s="15">
        <v>12</v>
      </c>
      <c r="G143" s="15" t="s">
        <v>43</v>
      </c>
      <c r="H143" s="15" t="s">
        <v>26</v>
      </c>
      <c r="I143" s="15" t="s">
        <v>612</v>
      </c>
      <c r="J143" s="57">
        <v>82</v>
      </c>
    </row>
    <row r="144" spans="1:10" hidden="1" x14ac:dyDescent="0.3">
      <c r="A144" s="19" t="s">
        <v>629</v>
      </c>
      <c r="B144" s="15" t="s">
        <v>35</v>
      </c>
      <c r="C144" s="15" t="s">
        <v>58</v>
      </c>
      <c r="D144" s="15" t="s">
        <v>13</v>
      </c>
      <c r="E144" s="15">
        <v>18</v>
      </c>
      <c r="F144" s="15">
        <v>9</v>
      </c>
      <c r="G144" s="15" t="s">
        <v>25</v>
      </c>
      <c r="H144" s="15" t="s">
        <v>76</v>
      </c>
      <c r="I144" s="15" t="s">
        <v>105</v>
      </c>
      <c r="J144" s="57">
        <v>82</v>
      </c>
    </row>
    <row r="145" spans="1:10" hidden="1" x14ac:dyDescent="0.3">
      <c r="A145" s="19" t="s">
        <v>632</v>
      </c>
      <c r="B145" s="15" t="s">
        <v>54</v>
      </c>
      <c r="C145" s="15" t="s">
        <v>55</v>
      </c>
      <c r="D145" s="15" t="s">
        <v>31</v>
      </c>
      <c r="E145" s="15">
        <v>19</v>
      </c>
      <c r="F145" s="15">
        <v>11</v>
      </c>
      <c r="G145" s="15" t="s">
        <v>25</v>
      </c>
      <c r="H145" s="15" t="s">
        <v>61</v>
      </c>
      <c r="I145" s="15" t="s">
        <v>633</v>
      </c>
      <c r="J145" s="57">
        <v>82</v>
      </c>
    </row>
    <row r="146" spans="1:10" x14ac:dyDescent="0.3">
      <c r="A146" s="19" t="s">
        <v>667</v>
      </c>
      <c r="B146" s="15" t="s">
        <v>35</v>
      </c>
      <c r="C146" s="15" t="s">
        <v>12</v>
      </c>
      <c r="D146" s="15" t="s">
        <v>31</v>
      </c>
      <c r="E146" s="15">
        <v>15</v>
      </c>
      <c r="F146" s="15">
        <v>12</v>
      </c>
      <c r="G146" s="15" t="s">
        <v>14</v>
      </c>
      <c r="H146" s="15" t="s">
        <v>46</v>
      </c>
      <c r="I146" s="15" t="s">
        <v>668</v>
      </c>
      <c r="J146" s="57">
        <v>82</v>
      </c>
    </row>
    <row r="147" spans="1:10" hidden="1" x14ac:dyDescent="0.3">
      <c r="A147" s="19" t="s">
        <v>762</v>
      </c>
      <c r="B147" s="15" t="s">
        <v>68</v>
      </c>
      <c r="C147" s="15" t="s">
        <v>85</v>
      </c>
      <c r="D147" s="15" t="s">
        <v>31</v>
      </c>
      <c r="E147" s="15">
        <v>20</v>
      </c>
      <c r="F147" s="15">
        <v>12</v>
      </c>
      <c r="G147" s="15" t="s">
        <v>43</v>
      </c>
      <c r="H147" s="15" t="s">
        <v>20</v>
      </c>
      <c r="I147" s="15" t="s">
        <v>763</v>
      </c>
      <c r="J147" s="57">
        <v>82</v>
      </c>
    </row>
    <row r="148" spans="1:10" hidden="1" x14ac:dyDescent="0.3">
      <c r="A148" s="19" t="s">
        <v>458</v>
      </c>
      <c r="B148" s="15" t="s">
        <v>11</v>
      </c>
      <c r="C148" s="15" t="s">
        <v>55</v>
      </c>
      <c r="D148" s="15" t="s">
        <v>13</v>
      </c>
      <c r="E148" s="15">
        <v>19</v>
      </c>
      <c r="F148" s="15">
        <v>11</v>
      </c>
      <c r="G148" s="15" t="s">
        <v>14</v>
      </c>
      <c r="H148" s="15" t="s">
        <v>46</v>
      </c>
      <c r="I148" s="15" t="s">
        <v>459</v>
      </c>
      <c r="J148" s="57">
        <v>81</v>
      </c>
    </row>
    <row r="149" spans="1:10" hidden="1" x14ac:dyDescent="0.3">
      <c r="A149" s="19" t="s">
        <v>546</v>
      </c>
      <c r="B149" s="15" t="s">
        <v>51</v>
      </c>
      <c r="C149" s="15" t="s">
        <v>36</v>
      </c>
      <c r="D149" s="15" t="s">
        <v>31</v>
      </c>
      <c r="E149" s="15">
        <v>14</v>
      </c>
      <c r="F149" s="15">
        <v>9</v>
      </c>
      <c r="G149" s="15" t="s">
        <v>14</v>
      </c>
      <c r="H149" s="15" t="s">
        <v>46</v>
      </c>
      <c r="I149" s="15" t="s">
        <v>547</v>
      </c>
      <c r="J149" s="57">
        <v>81</v>
      </c>
    </row>
    <row r="150" spans="1:10" hidden="1" x14ac:dyDescent="0.3">
      <c r="A150" s="19" t="s">
        <v>552</v>
      </c>
      <c r="B150" s="15" t="s">
        <v>35</v>
      </c>
      <c r="C150" s="15" t="s">
        <v>30</v>
      </c>
      <c r="D150" s="15" t="s">
        <v>13</v>
      </c>
      <c r="E150" s="15">
        <v>19</v>
      </c>
      <c r="F150" s="15">
        <v>11</v>
      </c>
      <c r="G150" s="15" t="s">
        <v>14</v>
      </c>
      <c r="H150" s="15" t="s">
        <v>76</v>
      </c>
      <c r="I150" s="15" t="s">
        <v>553</v>
      </c>
      <c r="J150" s="57">
        <v>81</v>
      </c>
    </row>
    <row r="151" spans="1:10" hidden="1" x14ac:dyDescent="0.3">
      <c r="A151" s="19" t="s">
        <v>644</v>
      </c>
      <c r="B151" s="15" t="s">
        <v>51</v>
      </c>
      <c r="C151" s="15" t="s">
        <v>36</v>
      </c>
      <c r="D151" s="15" t="s">
        <v>31</v>
      </c>
      <c r="E151" s="15">
        <v>16</v>
      </c>
      <c r="F151" s="15">
        <v>11</v>
      </c>
      <c r="G151" s="15" t="s">
        <v>43</v>
      </c>
      <c r="H151" s="15" t="s">
        <v>20</v>
      </c>
      <c r="I151" s="15" t="s">
        <v>645</v>
      </c>
      <c r="J151" s="57">
        <v>81</v>
      </c>
    </row>
    <row r="152" spans="1:10" hidden="1" x14ac:dyDescent="0.3">
      <c r="A152" s="19" t="s">
        <v>877</v>
      </c>
      <c r="B152" s="15" t="s">
        <v>73</v>
      </c>
      <c r="C152" s="15" t="s">
        <v>85</v>
      </c>
      <c r="D152" s="15" t="s">
        <v>13</v>
      </c>
      <c r="E152" s="15">
        <v>19</v>
      </c>
      <c r="F152" s="15">
        <v>10</v>
      </c>
      <c r="G152" s="15" t="s">
        <v>25</v>
      </c>
      <c r="H152" s="15" t="s">
        <v>26</v>
      </c>
      <c r="I152" s="15" t="s">
        <v>878</v>
      </c>
      <c r="J152" s="57">
        <v>81</v>
      </c>
    </row>
    <row r="153" spans="1:10" hidden="1" x14ac:dyDescent="0.3">
      <c r="A153" s="19" t="s">
        <v>905</v>
      </c>
      <c r="B153" s="15" t="s">
        <v>54</v>
      </c>
      <c r="C153" s="15" t="s">
        <v>30</v>
      </c>
      <c r="D153" s="15" t="s">
        <v>13</v>
      </c>
      <c r="E153" s="15">
        <v>16</v>
      </c>
      <c r="F153" s="15">
        <v>12</v>
      </c>
      <c r="G153" s="15" t="s">
        <v>43</v>
      </c>
      <c r="H153" s="15" t="s">
        <v>40</v>
      </c>
      <c r="I153" s="15" t="s">
        <v>556</v>
      </c>
      <c r="J153" s="57">
        <v>81</v>
      </c>
    </row>
    <row r="154" spans="1:10" hidden="1" x14ac:dyDescent="0.3">
      <c r="A154" s="19" t="s">
        <v>377</v>
      </c>
      <c r="B154" s="15" t="s">
        <v>35</v>
      </c>
      <c r="C154" s="15" t="s">
        <v>30</v>
      </c>
      <c r="D154" s="15" t="s">
        <v>13</v>
      </c>
      <c r="E154" s="15">
        <v>20</v>
      </c>
      <c r="F154" s="15">
        <v>11</v>
      </c>
      <c r="G154" s="15" t="s">
        <v>32</v>
      </c>
      <c r="H154" s="15" t="s">
        <v>37</v>
      </c>
      <c r="I154" s="15" t="s">
        <v>189</v>
      </c>
      <c r="J154" s="57">
        <v>79</v>
      </c>
    </row>
    <row r="155" spans="1:10" hidden="1" x14ac:dyDescent="0.3">
      <c r="A155" s="19" t="s">
        <v>464</v>
      </c>
      <c r="B155" s="15" t="s">
        <v>11</v>
      </c>
      <c r="C155" s="15" t="s">
        <v>36</v>
      </c>
      <c r="D155" s="15" t="s">
        <v>13</v>
      </c>
      <c r="E155" s="15">
        <v>16</v>
      </c>
      <c r="F155" s="15">
        <v>11</v>
      </c>
      <c r="G155" s="15" t="s">
        <v>25</v>
      </c>
      <c r="H155" s="15" t="s">
        <v>40</v>
      </c>
      <c r="I155" s="15" t="s">
        <v>465</v>
      </c>
      <c r="J155" s="57">
        <v>79</v>
      </c>
    </row>
    <row r="156" spans="1:10" hidden="1" x14ac:dyDescent="0.3">
      <c r="A156" s="19" t="s">
        <v>816</v>
      </c>
      <c r="B156" s="15" t="s">
        <v>23</v>
      </c>
      <c r="C156" s="15" t="s">
        <v>79</v>
      </c>
      <c r="D156" s="15" t="s">
        <v>31</v>
      </c>
      <c r="E156" s="15">
        <v>15</v>
      </c>
      <c r="F156" s="15">
        <v>9</v>
      </c>
      <c r="G156" s="15" t="s">
        <v>25</v>
      </c>
      <c r="H156" s="15" t="s">
        <v>76</v>
      </c>
      <c r="I156" s="15" t="s">
        <v>149</v>
      </c>
      <c r="J156" s="57">
        <v>79</v>
      </c>
    </row>
    <row r="157" spans="1:10" hidden="1" x14ac:dyDescent="0.3">
      <c r="A157" s="19" t="s">
        <v>192</v>
      </c>
      <c r="B157" s="15" t="s">
        <v>68</v>
      </c>
      <c r="C157" s="15" t="s">
        <v>85</v>
      </c>
      <c r="D157" s="15" t="s">
        <v>13</v>
      </c>
      <c r="E157" s="15">
        <v>19</v>
      </c>
      <c r="F157" s="15">
        <v>11</v>
      </c>
      <c r="G157" s="15" t="s">
        <v>43</v>
      </c>
      <c r="H157" s="15" t="s">
        <v>61</v>
      </c>
      <c r="I157" s="15" t="s">
        <v>193</v>
      </c>
      <c r="J157" s="57">
        <v>78</v>
      </c>
    </row>
    <row r="158" spans="1:10" hidden="1" x14ac:dyDescent="0.3">
      <c r="A158" s="19" t="s">
        <v>209</v>
      </c>
      <c r="B158" s="15" t="s">
        <v>29</v>
      </c>
      <c r="C158" s="15" t="s">
        <v>30</v>
      </c>
      <c r="D158" s="15" t="s">
        <v>31</v>
      </c>
      <c r="E158" s="15">
        <v>18</v>
      </c>
      <c r="F158" s="15">
        <v>11</v>
      </c>
      <c r="G158" s="15" t="s">
        <v>43</v>
      </c>
      <c r="H158" s="15" t="s">
        <v>20</v>
      </c>
      <c r="I158" s="15" t="s">
        <v>210</v>
      </c>
      <c r="J158" s="57">
        <v>78</v>
      </c>
    </row>
    <row r="159" spans="1:10" x14ac:dyDescent="0.3">
      <c r="A159" s="19" t="s">
        <v>373</v>
      </c>
      <c r="B159" s="15" t="s">
        <v>51</v>
      </c>
      <c r="C159" s="15" t="s">
        <v>19</v>
      </c>
      <c r="D159" s="15" t="s">
        <v>13</v>
      </c>
      <c r="E159" s="15">
        <v>15</v>
      </c>
      <c r="F159" s="15">
        <v>11</v>
      </c>
      <c r="G159" s="15" t="s">
        <v>14</v>
      </c>
      <c r="H159" s="15" t="s">
        <v>61</v>
      </c>
      <c r="I159" s="15" t="s">
        <v>374</v>
      </c>
      <c r="J159" s="57">
        <v>78</v>
      </c>
    </row>
    <row r="160" spans="1:10" x14ac:dyDescent="0.3">
      <c r="A160" s="19" t="s">
        <v>399</v>
      </c>
      <c r="B160" s="15" t="s">
        <v>35</v>
      </c>
      <c r="C160" s="15" t="s">
        <v>79</v>
      </c>
      <c r="D160" s="15" t="s">
        <v>13</v>
      </c>
      <c r="E160" s="15">
        <v>17</v>
      </c>
      <c r="F160" s="15">
        <v>10</v>
      </c>
      <c r="G160" s="15" t="s">
        <v>43</v>
      </c>
      <c r="H160" s="15" t="s">
        <v>37</v>
      </c>
      <c r="I160" s="15" t="s">
        <v>400</v>
      </c>
      <c r="J160" s="57">
        <v>78</v>
      </c>
    </row>
    <row r="161" spans="1:10" hidden="1" x14ac:dyDescent="0.3">
      <c r="A161" s="19" t="s">
        <v>848</v>
      </c>
      <c r="B161" s="15" t="s">
        <v>18</v>
      </c>
      <c r="C161" s="15" t="s">
        <v>24</v>
      </c>
      <c r="D161" s="15" t="s">
        <v>31</v>
      </c>
      <c r="E161" s="15">
        <v>16</v>
      </c>
      <c r="F161" s="15">
        <v>10</v>
      </c>
      <c r="G161" s="15" t="s">
        <v>25</v>
      </c>
      <c r="H161" s="15" t="s">
        <v>61</v>
      </c>
      <c r="I161" s="15" t="s">
        <v>849</v>
      </c>
      <c r="J161" s="57">
        <v>78</v>
      </c>
    </row>
    <row r="162" spans="1:10" hidden="1" x14ac:dyDescent="0.3">
      <c r="A162" s="19" t="s">
        <v>856</v>
      </c>
      <c r="B162" s="15" t="s">
        <v>29</v>
      </c>
      <c r="C162" s="15" t="s">
        <v>85</v>
      </c>
      <c r="D162" s="15" t="s">
        <v>13</v>
      </c>
      <c r="E162" s="15">
        <v>16</v>
      </c>
      <c r="F162" s="15">
        <v>9</v>
      </c>
      <c r="G162" s="15" t="s">
        <v>14</v>
      </c>
      <c r="H162" s="15" t="s">
        <v>61</v>
      </c>
      <c r="I162" s="15" t="s">
        <v>262</v>
      </c>
      <c r="J162" s="57">
        <v>78</v>
      </c>
    </row>
    <row r="163" spans="1:10" hidden="1" x14ac:dyDescent="0.3">
      <c r="A163" s="19" t="s">
        <v>108</v>
      </c>
      <c r="B163" s="15" t="s">
        <v>29</v>
      </c>
      <c r="C163" s="15" t="s">
        <v>96</v>
      </c>
      <c r="D163" s="15" t="s">
        <v>31</v>
      </c>
      <c r="E163" s="15">
        <v>15</v>
      </c>
      <c r="F163" s="15">
        <v>11</v>
      </c>
      <c r="G163" s="15" t="s">
        <v>43</v>
      </c>
      <c r="H163" s="15" t="s">
        <v>26</v>
      </c>
      <c r="I163" s="15" t="s">
        <v>109</v>
      </c>
      <c r="J163" s="57">
        <v>77</v>
      </c>
    </row>
    <row r="164" spans="1:10" hidden="1" x14ac:dyDescent="0.3">
      <c r="A164" s="19" t="s">
        <v>154</v>
      </c>
      <c r="B164" s="15" t="s">
        <v>51</v>
      </c>
      <c r="C164" s="15" t="s">
        <v>36</v>
      </c>
      <c r="D164" s="15" t="s">
        <v>31</v>
      </c>
      <c r="E164" s="15">
        <v>18</v>
      </c>
      <c r="F164" s="15">
        <v>12</v>
      </c>
      <c r="G164" s="15" t="s">
        <v>43</v>
      </c>
      <c r="H164" s="15" t="s">
        <v>76</v>
      </c>
      <c r="I164" s="15" t="s">
        <v>155</v>
      </c>
      <c r="J164" s="57">
        <v>77</v>
      </c>
    </row>
    <row r="165" spans="1:10" hidden="1" x14ac:dyDescent="0.3">
      <c r="A165" s="19" t="s">
        <v>304</v>
      </c>
      <c r="B165" s="15" t="s">
        <v>51</v>
      </c>
      <c r="C165" s="15" t="s">
        <v>36</v>
      </c>
      <c r="D165" s="15" t="s">
        <v>31</v>
      </c>
      <c r="E165" s="15">
        <v>15</v>
      </c>
      <c r="F165" s="15">
        <v>12</v>
      </c>
      <c r="G165" s="15" t="s">
        <v>32</v>
      </c>
      <c r="H165" s="15" t="s">
        <v>46</v>
      </c>
      <c r="I165" s="15" t="s">
        <v>305</v>
      </c>
      <c r="J165" s="57">
        <v>77</v>
      </c>
    </row>
    <row r="166" spans="1:10" hidden="1" x14ac:dyDescent="0.3">
      <c r="A166" s="19" t="s">
        <v>505</v>
      </c>
      <c r="B166" s="15" t="s">
        <v>11</v>
      </c>
      <c r="C166" s="15" t="s">
        <v>12</v>
      </c>
      <c r="D166" s="15" t="s">
        <v>31</v>
      </c>
      <c r="E166" s="15">
        <v>19</v>
      </c>
      <c r="F166" s="15">
        <v>10</v>
      </c>
      <c r="G166" s="15" t="s">
        <v>14</v>
      </c>
      <c r="H166" s="15" t="s">
        <v>40</v>
      </c>
      <c r="I166" s="15" t="s">
        <v>506</v>
      </c>
      <c r="J166" s="57">
        <v>77</v>
      </c>
    </row>
    <row r="167" spans="1:10" hidden="1" x14ac:dyDescent="0.3">
      <c r="A167" s="19" t="s">
        <v>557</v>
      </c>
      <c r="B167" s="15" t="s">
        <v>23</v>
      </c>
      <c r="C167" s="15" t="s">
        <v>96</v>
      </c>
      <c r="D167" s="15" t="s">
        <v>13</v>
      </c>
      <c r="E167" s="15">
        <v>18</v>
      </c>
      <c r="F167" s="15">
        <v>11</v>
      </c>
      <c r="G167" s="15" t="s">
        <v>25</v>
      </c>
      <c r="H167" s="15" t="s">
        <v>76</v>
      </c>
      <c r="I167" s="15" t="s">
        <v>182</v>
      </c>
      <c r="J167" s="57">
        <v>77</v>
      </c>
    </row>
    <row r="168" spans="1:10" hidden="1" x14ac:dyDescent="0.3">
      <c r="A168" s="19" t="s">
        <v>620</v>
      </c>
      <c r="B168" s="15" t="s">
        <v>84</v>
      </c>
      <c r="C168" s="15" t="s">
        <v>24</v>
      </c>
      <c r="D168" s="15" t="s">
        <v>31</v>
      </c>
      <c r="E168" s="15">
        <v>19</v>
      </c>
      <c r="F168" s="15">
        <v>12</v>
      </c>
      <c r="G168" s="15" t="s">
        <v>14</v>
      </c>
      <c r="H168" s="15" t="s">
        <v>61</v>
      </c>
      <c r="I168" s="15" t="s">
        <v>621</v>
      </c>
      <c r="J168" s="57">
        <v>77</v>
      </c>
    </row>
    <row r="169" spans="1:10" hidden="1" x14ac:dyDescent="0.3">
      <c r="A169" s="19" t="s">
        <v>648</v>
      </c>
      <c r="B169" s="15" t="s">
        <v>51</v>
      </c>
      <c r="C169" s="15" t="s">
        <v>79</v>
      </c>
      <c r="D169" s="15" t="s">
        <v>13</v>
      </c>
      <c r="E169" s="15">
        <v>14</v>
      </c>
      <c r="F169" s="15">
        <v>9</v>
      </c>
      <c r="G169" s="15" t="s">
        <v>25</v>
      </c>
      <c r="H169" s="15" t="s">
        <v>15</v>
      </c>
      <c r="I169" s="15" t="s">
        <v>649</v>
      </c>
      <c r="J169" s="57">
        <v>77</v>
      </c>
    </row>
    <row r="170" spans="1:10" hidden="1" x14ac:dyDescent="0.3">
      <c r="A170" s="19" t="s">
        <v>733</v>
      </c>
      <c r="B170" s="15" t="s">
        <v>84</v>
      </c>
      <c r="C170" s="15" t="s">
        <v>85</v>
      </c>
      <c r="D170" s="15" t="s">
        <v>31</v>
      </c>
      <c r="E170" s="15">
        <v>17</v>
      </c>
      <c r="F170" s="15">
        <v>12</v>
      </c>
      <c r="G170" s="15" t="s">
        <v>43</v>
      </c>
      <c r="H170" s="15" t="s">
        <v>15</v>
      </c>
      <c r="I170" s="15" t="s">
        <v>734</v>
      </c>
      <c r="J170" s="57">
        <v>77</v>
      </c>
    </row>
    <row r="171" spans="1:10" hidden="1" x14ac:dyDescent="0.3">
      <c r="A171" s="19" t="s">
        <v>797</v>
      </c>
      <c r="B171" s="15" t="s">
        <v>23</v>
      </c>
      <c r="C171" s="15" t="s">
        <v>85</v>
      </c>
      <c r="D171" s="15" t="s">
        <v>13</v>
      </c>
      <c r="E171" s="15">
        <v>17</v>
      </c>
      <c r="F171" s="15">
        <v>12</v>
      </c>
      <c r="G171" s="15" t="s">
        <v>14</v>
      </c>
      <c r="H171" s="15" t="s">
        <v>76</v>
      </c>
      <c r="I171" s="15" t="s">
        <v>71</v>
      </c>
      <c r="J171" s="57">
        <v>77</v>
      </c>
    </row>
    <row r="172" spans="1:10" hidden="1" x14ac:dyDescent="0.3">
      <c r="A172" s="19" t="s">
        <v>923</v>
      </c>
      <c r="B172" s="15" t="s">
        <v>68</v>
      </c>
      <c r="C172" s="15" t="s">
        <v>55</v>
      </c>
      <c r="D172" s="15" t="s">
        <v>31</v>
      </c>
      <c r="E172" s="15">
        <v>16</v>
      </c>
      <c r="F172" s="15">
        <v>12</v>
      </c>
      <c r="G172" s="15" t="s">
        <v>43</v>
      </c>
      <c r="H172" s="15" t="s">
        <v>37</v>
      </c>
      <c r="I172" s="15" t="s">
        <v>924</v>
      </c>
      <c r="J172" s="57">
        <v>77</v>
      </c>
    </row>
    <row r="173" spans="1:10" hidden="1" x14ac:dyDescent="0.3">
      <c r="A173" s="19" t="s">
        <v>72</v>
      </c>
      <c r="B173" s="15" t="s">
        <v>73</v>
      </c>
      <c r="C173" s="15" t="s">
        <v>58</v>
      </c>
      <c r="D173" s="15" t="s">
        <v>31</v>
      </c>
      <c r="E173" s="15">
        <v>19</v>
      </c>
      <c r="F173" s="15">
        <v>9</v>
      </c>
      <c r="G173" s="15" t="s">
        <v>32</v>
      </c>
      <c r="H173" s="15" t="s">
        <v>46</v>
      </c>
      <c r="I173" s="15" t="s">
        <v>74</v>
      </c>
      <c r="J173" s="57">
        <v>76</v>
      </c>
    </row>
    <row r="174" spans="1:10" hidden="1" x14ac:dyDescent="0.3">
      <c r="A174" s="19" t="s">
        <v>175</v>
      </c>
      <c r="B174" s="15" t="s">
        <v>35</v>
      </c>
      <c r="C174" s="15" t="s">
        <v>30</v>
      </c>
      <c r="D174" s="15" t="s">
        <v>31</v>
      </c>
      <c r="E174" s="15">
        <v>20</v>
      </c>
      <c r="F174" s="15">
        <v>9</v>
      </c>
      <c r="G174" s="15" t="s">
        <v>14</v>
      </c>
      <c r="H174" s="15" t="s">
        <v>61</v>
      </c>
      <c r="I174" s="15" t="s">
        <v>176</v>
      </c>
      <c r="J174" s="57">
        <v>76</v>
      </c>
    </row>
    <row r="175" spans="1:10" hidden="1" x14ac:dyDescent="0.3">
      <c r="A175" s="19" t="s">
        <v>194</v>
      </c>
      <c r="B175" s="15" t="s">
        <v>23</v>
      </c>
      <c r="C175" s="15" t="s">
        <v>19</v>
      </c>
      <c r="D175" s="15" t="s">
        <v>31</v>
      </c>
      <c r="E175" s="15">
        <v>20</v>
      </c>
      <c r="F175" s="15">
        <v>9</v>
      </c>
      <c r="G175" s="15" t="s">
        <v>25</v>
      </c>
      <c r="H175" s="15" t="s">
        <v>76</v>
      </c>
      <c r="I175" s="15" t="s">
        <v>195</v>
      </c>
      <c r="J175" s="57">
        <v>76</v>
      </c>
    </row>
    <row r="176" spans="1:10" x14ac:dyDescent="0.3">
      <c r="A176" s="19" t="s">
        <v>207</v>
      </c>
      <c r="B176" s="15" t="s">
        <v>54</v>
      </c>
      <c r="C176" s="15" t="s">
        <v>19</v>
      </c>
      <c r="D176" s="15" t="s">
        <v>31</v>
      </c>
      <c r="E176" s="15">
        <v>19</v>
      </c>
      <c r="F176" s="15">
        <v>9</v>
      </c>
      <c r="G176" s="15" t="s">
        <v>14</v>
      </c>
      <c r="H176" s="15" t="s">
        <v>61</v>
      </c>
      <c r="I176" s="15" t="s">
        <v>208</v>
      </c>
      <c r="J176" s="57">
        <v>76</v>
      </c>
    </row>
    <row r="177" spans="1:10" hidden="1" x14ac:dyDescent="0.3">
      <c r="A177" s="19" t="s">
        <v>270</v>
      </c>
      <c r="B177" s="15" t="s">
        <v>73</v>
      </c>
      <c r="C177" s="15" t="s">
        <v>30</v>
      </c>
      <c r="D177" s="15" t="s">
        <v>31</v>
      </c>
      <c r="E177" s="15">
        <v>15</v>
      </c>
      <c r="F177" s="15">
        <v>9</v>
      </c>
      <c r="G177" s="15" t="s">
        <v>43</v>
      </c>
      <c r="H177" s="15" t="s">
        <v>26</v>
      </c>
      <c r="I177" s="15" t="s">
        <v>271</v>
      </c>
      <c r="J177" s="57">
        <v>76</v>
      </c>
    </row>
    <row r="178" spans="1:10" hidden="1" x14ac:dyDescent="0.3">
      <c r="A178" s="19" t="s">
        <v>501</v>
      </c>
      <c r="B178" s="15" t="s">
        <v>84</v>
      </c>
      <c r="C178" s="15" t="s">
        <v>19</v>
      </c>
      <c r="D178" s="15" t="s">
        <v>13</v>
      </c>
      <c r="E178" s="15">
        <v>18</v>
      </c>
      <c r="F178" s="15">
        <v>10</v>
      </c>
      <c r="G178" s="15" t="s">
        <v>14</v>
      </c>
      <c r="H178" s="15" t="s">
        <v>61</v>
      </c>
      <c r="I178" s="15" t="s">
        <v>502</v>
      </c>
      <c r="J178" s="57">
        <v>76</v>
      </c>
    </row>
    <row r="179" spans="1:10" hidden="1" x14ac:dyDescent="0.3">
      <c r="A179" s="19" t="s">
        <v>601</v>
      </c>
      <c r="B179" s="15" t="s">
        <v>73</v>
      </c>
      <c r="C179" s="15" t="s">
        <v>55</v>
      </c>
      <c r="D179" s="15" t="s">
        <v>31</v>
      </c>
      <c r="E179" s="15">
        <v>17</v>
      </c>
      <c r="F179" s="15">
        <v>11</v>
      </c>
      <c r="G179" s="15" t="s">
        <v>43</v>
      </c>
      <c r="H179" s="15" t="s">
        <v>61</v>
      </c>
      <c r="I179" s="15" t="s">
        <v>502</v>
      </c>
      <c r="J179" s="57">
        <v>76</v>
      </c>
    </row>
    <row r="180" spans="1:10" hidden="1" x14ac:dyDescent="0.3">
      <c r="A180" s="19" t="s">
        <v>778</v>
      </c>
      <c r="B180" s="15" t="s">
        <v>73</v>
      </c>
      <c r="C180" s="15" t="s">
        <v>19</v>
      </c>
      <c r="D180" s="15" t="s">
        <v>13</v>
      </c>
      <c r="E180" s="15">
        <v>17</v>
      </c>
      <c r="F180" s="15">
        <v>12</v>
      </c>
      <c r="G180" s="15" t="s">
        <v>14</v>
      </c>
      <c r="H180" s="15" t="s">
        <v>37</v>
      </c>
      <c r="I180" s="15" t="s">
        <v>779</v>
      </c>
      <c r="J180" s="57">
        <v>76</v>
      </c>
    </row>
    <row r="181" spans="1:10" hidden="1" x14ac:dyDescent="0.3">
      <c r="A181" s="19" t="s">
        <v>179</v>
      </c>
      <c r="B181" s="15" t="s">
        <v>29</v>
      </c>
      <c r="C181" s="15" t="s">
        <v>58</v>
      </c>
      <c r="D181" s="15" t="s">
        <v>31</v>
      </c>
      <c r="E181" s="15">
        <v>16</v>
      </c>
      <c r="F181" s="15">
        <v>11</v>
      </c>
      <c r="G181" s="15" t="s">
        <v>25</v>
      </c>
      <c r="H181" s="15" t="s">
        <v>26</v>
      </c>
      <c r="I181" s="15" t="s">
        <v>180</v>
      </c>
      <c r="J181" s="57">
        <v>75</v>
      </c>
    </row>
    <row r="182" spans="1:10" hidden="1" x14ac:dyDescent="0.3">
      <c r="A182" s="19" t="s">
        <v>326</v>
      </c>
      <c r="B182" s="15" t="s">
        <v>54</v>
      </c>
      <c r="C182" s="15" t="s">
        <v>55</v>
      </c>
      <c r="D182" s="15" t="s">
        <v>13</v>
      </c>
      <c r="E182" s="15">
        <v>20</v>
      </c>
      <c r="F182" s="15">
        <v>9</v>
      </c>
      <c r="G182" s="15" t="s">
        <v>32</v>
      </c>
      <c r="H182" s="15" t="s">
        <v>15</v>
      </c>
      <c r="I182" s="15" t="s">
        <v>77</v>
      </c>
      <c r="J182" s="57">
        <v>75</v>
      </c>
    </row>
    <row r="183" spans="1:10" hidden="1" x14ac:dyDescent="0.3">
      <c r="A183" s="19" t="s">
        <v>468</v>
      </c>
      <c r="B183" s="15" t="s">
        <v>73</v>
      </c>
      <c r="C183" s="15" t="s">
        <v>12</v>
      </c>
      <c r="D183" s="15" t="s">
        <v>13</v>
      </c>
      <c r="E183" s="15">
        <v>17</v>
      </c>
      <c r="F183" s="15">
        <v>10</v>
      </c>
      <c r="G183" s="15" t="s">
        <v>43</v>
      </c>
      <c r="H183" s="15" t="s">
        <v>15</v>
      </c>
      <c r="I183" s="15" t="s">
        <v>469</v>
      </c>
      <c r="J183" s="57">
        <v>75</v>
      </c>
    </row>
    <row r="184" spans="1:10" hidden="1" x14ac:dyDescent="0.3">
      <c r="A184" s="19" t="s">
        <v>473</v>
      </c>
      <c r="B184" s="15" t="s">
        <v>18</v>
      </c>
      <c r="C184" s="15" t="s">
        <v>19</v>
      </c>
      <c r="D184" s="15" t="s">
        <v>31</v>
      </c>
      <c r="E184" s="15">
        <v>16</v>
      </c>
      <c r="F184" s="15">
        <v>11</v>
      </c>
      <c r="G184" s="15" t="s">
        <v>14</v>
      </c>
      <c r="H184" s="15" t="s">
        <v>61</v>
      </c>
      <c r="I184" s="15" t="s">
        <v>474</v>
      </c>
      <c r="J184" s="57">
        <v>75</v>
      </c>
    </row>
    <row r="185" spans="1:10" hidden="1" x14ac:dyDescent="0.3">
      <c r="A185" s="19" t="s">
        <v>697</v>
      </c>
      <c r="B185" s="15" t="s">
        <v>29</v>
      </c>
      <c r="C185" s="15" t="s">
        <v>30</v>
      </c>
      <c r="D185" s="15" t="s">
        <v>31</v>
      </c>
      <c r="E185" s="15">
        <v>19</v>
      </c>
      <c r="F185" s="15">
        <v>10</v>
      </c>
      <c r="G185" s="15" t="s">
        <v>25</v>
      </c>
      <c r="H185" s="15" t="s">
        <v>61</v>
      </c>
      <c r="I185" s="15" t="s">
        <v>698</v>
      </c>
      <c r="J185" s="57">
        <v>75</v>
      </c>
    </row>
    <row r="186" spans="1:10" hidden="1" x14ac:dyDescent="0.3">
      <c r="A186" s="19" t="s">
        <v>901</v>
      </c>
      <c r="B186" s="15" t="s">
        <v>68</v>
      </c>
      <c r="C186" s="15" t="s">
        <v>19</v>
      </c>
      <c r="D186" s="15" t="s">
        <v>31</v>
      </c>
      <c r="E186" s="15">
        <v>18</v>
      </c>
      <c r="F186" s="15">
        <v>11</v>
      </c>
      <c r="G186" s="15" t="s">
        <v>14</v>
      </c>
      <c r="H186" s="15" t="s">
        <v>40</v>
      </c>
      <c r="I186" s="15" t="s">
        <v>139</v>
      </c>
      <c r="J186" s="57">
        <v>75</v>
      </c>
    </row>
    <row r="187" spans="1:10" hidden="1" x14ac:dyDescent="0.3">
      <c r="A187" s="19" t="s">
        <v>906</v>
      </c>
      <c r="B187" s="15" t="s">
        <v>73</v>
      </c>
      <c r="C187" s="15" t="s">
        <v>36</v>
      </c>
      <c r="D187" s="15" t="s">
        <v>13</v>
      </c>
      <c r="E187" s="15">
        <v>17</v>
      </c>
      <c r="F187" s="15">
        <v>12</v>
      </c>
      <c r="G187" s="15" t="s">
        <v>25</v>
      </c>
      <c r="H187" s="15" t="s">
        <v>76</v>
      </c>
      <c r="I187" s="15" t="s">
        <v>907</v>
      </c>
      <c r="J187" s="57">
        <v>75</v>
      </c>
    </row>
    <row r="188" spans="1:10" hidden="1" x14ac:dyDescent="0.3">
      <c r="A188" s="19" t="s">
        <v>213</v>
      </c>
      <c r="B188" s="15" t="s">
        <v>29</v>
      </c>
      <c r="C188" s="15" t="s">
        <v>24</v>
      </c>
      <c r="D188" s="15" t="s">
        <v>31</v>
      </c>
      <c r="E188" s="15">
        <v>17</v>
      </c>
      <c r="F188" s="15">
        <v>11</v>
      </c>
      <c r="G188" s="15" t="s">
        <v>14</v>
      </c>
      <c r="H188" s="15" t="s">
        <v>76</v>
      </c>
      <c r="I188" s="15" t="s">
        <v>214</v>
      </c>
      <c r="J188" s="57">
        <v>74</v>
      </c>
    </row>
    <row r="189" spans="1:10" hidden="1" x14ac:dyDescent="0.3">
      <c r="A189" s="19" t="s">
        <v>245</v>
      </c>
      <c r="B189" s="15" t="s">
        <v>54</v>
      </c>
      <c r="C189" s="15" t="s">
        <v>19</v>
      </c>
      <c r="D189" s="15" t="s">
        <v>31</v>
      </c>
      <c r="E189" s="15">
        <v>18</v>
      </c>
      <c r="F189" s="15">
        <v>12</v>
      </c>
      <c r="G189" s="15" t="s">
        <v>32</v>
      </c>
      <c r="H189" s="15" t="s">
        <v>26</v>
      </c>
      <c r="I189" s="15" t="s">
        <v>246</v>
      </c>
      <c r="J189" s="57">
        <v>74</v>
      </c>
    </row>
    <row r="190" spans="1:10" hidden="1" x14ac:dyDescent="0.3">
      <c r="A190" s="19" t="s">
        <v>386</v>
      </c>
      <c r="B190" s="15" t="s">
        <v>68</v>
      </c>
      <c r="C190" s="15" t="s">
        <v>96</v>
      </c>
      <c r="D190" s="15" t="s">
        <v>13</v>
      </c>
      <c r="E190" s="15">
        <v>18</v>
      </c>
      <c r="F190" s="15">
        <v>9</v>
      </c>
      <c r="G190" s="15" t="s">
        <v>25</v>
      </c>
      <c r="H190" s="15" t="s">
        <v>46</v>
      </c>
      <c r="I190" s="15" t="s">
        <v>387</v>
      </c>
      <c r="J190" s="57">
        <v>74</v>
      </c>
    </row>
    <row r="191" spans="1:10" hidden="1" x14ac:dyDescent="0.3">
      <c r="A191" s="19" t="s">
        <v>684</v>
      </c>
      <c r="B191" s="15" t="s">
        <v>54</v>
      </c>
      <c r="C191" s="15" t="s">
        <v>24</v>
      </c>
      <c r="D191" s="15" t="s">
        <v>31</v>
      </c>
      <c r="E191" s="15">
        <v>17</v>
      </c>
      <c r="F191" s="15">
        <v>10</v>
      </c>
      <c r="G191" s="15" t="s">
        <v>43</v>
      </c>
      <c r="H191" s="15" t="s">
        <v>46</v>
      </c>
      <c r="I191" s="15" t="s">
        <v>685</v>
      </c>
      <c r="J191" s="57">
        <v>74</v>
      </c>
    </row>
    <row r="192" spans="1:10" hidden="1" x14ac:dyDescent="0.3">
      <c r="A192" s="19" t="s">
        <v>793</v>
      </c>
      <c r="B192" s="15" t="s">
        <v>35</v>
      </c>
      <c r="C192" s="15" t="s">
        <v>19</v>
      </c>
      <c r="D192" s="15" t="s">
        <v>31</v>
      </c>
      <c r="E192" s="15">
        <v>20</v>
      </c>
      <c r="F192" s="15">
        <v>11</v>
      </c>
      <c r="G192" s="15" t="s">
        <v>32</v>
      </c>
      <c r="H192" s="15" t="s">
        <v>20</v>
      </c>
      <c r="I192" s="15" t="s">
        <v>794</v>
      </c>
      <c r="J192" s="57">
        <v>74</v>
      </c>
    </row>
    <row r="193" spans="1:10" hidden="1" x14ac:dyDescent="0.3">
      <c r="A193" s="19" t="s">
        <v>852</v>
      </c>
      <c r="B193" s="15" t="s">
        <v>29</v>
      </c>
      <c r="C193" s="15" t="s">
        <v>55</v>
      </c>
      <c r="D193" s="15" t="s">
        <v>13</v>
      </c>
      <c r="E193" s="15">
        <v>15</v>
      </c>
      <c r="F193" s="15">
        <v>9</v>
      </c>
      <c r="G193" s="15" t="s">
        <v>14</v>
      </c>
      <c r="H193" s="15" t="s">
        <v>20</v>
      </c>
      <c r="I193" s="15" t="s">
        <v>853</v>
      </c>
      <c r="J193" s="57">
        <v>74</v>
      </c>
    </row>
    <row r="194" spans="1:10" hidden="1" x14ac:dyDescent="0.3">
      <c r="A194" s="19" t="s">
        <v>586</v>
      </c>
      <c r="B194" s="15" t="s">
        <v>11</v>
      </c>
      <c r="C194" s="15" t="s">
        <v>24</v>
      </c>
      <c r="D194" s="15" t="s">
        <v>31</v>
      </c>
      <c r="E194" s="15">
        <v>17</v>
      </c>
      <c r="F194" s="15">
        <v>11</v>
      </c>
      <c r="G194" s="15" t="s">
        <v>43</v>
      </c>
      <c r="H194" s="15" t="s">
        <v>61</v>
      </c>
      <c r="I194" s="15" t="s">
        <v>587</v>
      </c>
      <c r="J194" s="57">
        <v>73</v>
      </c>
    </row>
    <row r="195" spans="1:10" hidden="1" x14ac:dyDescent="0.3">
      <c r="A195" s="19" t="s">
        <v>599</v>
      </c>
      <c r="B195" s="15" t="s">
        <v>84</v>
      </c>
      <c r="C195" s="15" t="s">
        <v>30</v>
      </c>
      <c r="D195" s="15" t="s">
        <v>13</v>
      </c>
      <c r="E195" s="15">
        <v>17</v>
      </c>
      <c r="F195" s="15">
        <v>11</v>
      </c>
      <c r="G195" s="15" t="s">
        <v>43</v>
      </c>
      <c r="H195" s="15" t="s">
        <v>15</v>
      </c>
      <c r="I195" s="15" t="s">
        <v>600</v>
      </c>
      <c r="J195" s="57">
        <v>73</v>
      </c>
    </row>
    <row r="196" spans="1:10" hidden="1" x14ac:dyDescent="0.3">
      <c r="A196" s="19" t="s">
        <v>93</v>
      </c>
      <c r="B196" s="15" t="s">
        <v>29</v>
      </c>
      <c r="C196" s="15" t="s">
        <v>24</v>
      </c>
      <c r="D196" s="15" t="s">
        <v>31</v>
      </c>
      <c r="E196" s="15">
        <v>14</v>
      </c>
      <c r="F196" s="15">
        <v>12</v>
      </c>
      <c r="G196" s="15" t="s">
        <v>32</v>
      </c>
      <c r="H196" s="15" t="s">
        <v>61</v>
      </c>
      <c r="I196" s="15" t="s">
        <v>94</v>
      </c>
      <c r="J196" s="57">
        <v>72</v>
      </c>
    </row>
    <row r="197" spans="1:10" hidden="1" x14ac:dyDescent="0.3">
      <c r="A197" s="19" t="s">
        <v>221</v>
      </c>
      <c r="B197" s="15" t="s">
        <v>51</v>
      </c>
      <c r="C197" s="15" t="s">
        <v>55</v>
      </c>
      <c r="D197" s="15" t="s">
        <v>13</v>
      </c>
      <c r="E197" s="15">
        <v>14</v>
      </c>
      <c r="F197" s="15">
        <v>10</v>
      </c>
      <c r="G197" s="15" t="s">
        <v>43</v>
      </c>
      <c r="H197" s="15" t="s">
        <v>61</v>
      </c>
      <c r="I197" s="15" t="s">
        <v>222</v>
      </c>
      <c r="J197" s="57">
        <v>72</v>
      </c>
    </row>
    <row r="198" spans="1:10" hidden="1" x14ac:dyDescent="0.3">
      <c r="A198" s="19" t="s">
        <v>243</v>
      </c>
      <c r="B198" s="15" t="s">
        <v>23</v>
      </c>
      <c r="C198" s="15" t="s">
        <v>96</v>
      </c>
      <c r="D198" s="15" t="s">
        <v>31</v>
      </c>
      <c r="E198" s="15">
        <v>15</v>
      </c>
      <c r="F198" s="15">
        <v>11</v>
      </c>
      <c r="G198" s="15" t="s">
        <v>25</v>
      </c>
      <c r="H198" s="15" t="s">
        <v>61</v>
      </c>
      <c r="I198" s="15" t="s">
        <v>244</v>
      </c>
      <c r="J198" s="57">
        <v>72</v>
      </c>
    </row>
    <row r="199" spans="1:10" hidden="1" x14ac:dyDescent="0.3">
      <c r="A199" s="19" t="s">
        <v>365</v>
      </c>
      <c r="B199" s="15" t="s">
        <v>11</v>
      </c>
      <c r="C199" s="15" t="s">
        <v>55</v>
      </c>
      <c r="D199" s="15" t="s">
        <v>13</v>
      </c>
      <c r="E199" s="15">
        <v>16</v>
      </c>
      <c r="F199" s="15">
        <v>10</v>
      </c>
      <c r="G199" s="15" t="s">
        <v>32</v>
      </c>
      <c r="H199" s="15" t="s">
        <v>15</v>
      </c>
      <c r="I199" s="15" t="s">
        <v>366</v>
      </c>
      <c r="J199" s="57">
        <v>72</v>
      </c>
    </row>
    <row r="200" spans="1:10" hidden="1" x14ac:dyDescent="0.3">
      <c r="A200" s="19" t="s">
        <v>382</v>
      </c>
      <c r="B200" s="15" t="s">
        <v>51</v>
      </c>
      <c r="C200" s="15" t="s">
        <v>85</v>
      </c>
      <c r="D200" s="15" t="s">
        <v>13</v>
      </c>
      <c r="E200" s="15">
        <v>16</v>
      </c>
      <c r="F200" s="15">
        <v>10</v>
      </c>
      <c r="G200" s="15" t="s">
        <v>43</v>
      </c>
      <c r="H200" s="15" t="s">
        <v>61</v>
      </c>
      <c r="I200" s="15" t="s">
        <v>383</v>
      </c>
      <c r="J200" s="57">
        <v>72</v>
      </c>
    </row>
    <row r="201" spans="1:10" hidden="1" x14ac:dyDescent="0.3">
      <c r="A201" s="19" t="s">
        <v>472</v>
      </c>
      <c r="B201" s="15" t="s">
        <v>84</v>
      </c>
      <c r="C201" s="15" t="s">
        <v>79</v>
      </c>
      <c r="D201" s="15" t="s">
        <v>31</v>
      </c>
      <c r="E201" s="15">
        <v>15</v>
      </c>
      <c r="F201" s="15">
        <v>11</v>
      </c>
      <c r="G201" s="15" t="s">
        <v>14</v>
      </c>
      <c r="H201" s="15" t="s">
        <v>40</v>
      </c>
      <c r="I201" s="15" t="s">
        <v>317</v>
      </c>
      <c r="J201" s="57">
        <v>72</v>
      </c>
    </row>
    <row r="202" spans="1:10" hidden="1" x14ac:dyDescent="0.3">
      <c r="A202" s="19" t="s">
        <v>563</v>
      </c>
      <c r="B202" s="15" t="s">
        <v>35</v>
      </c>
      <c r="C202" s="15" t="s">
        <v>55</v>
      </c>
      <c r="D202" s="15" t="s">
        <v>31</v>
      </c>
      <c r="E202" s="15">
        <v>19</v>
      </c>
      <c r="F202" s="15">
        <v>10</v>
      </c>
      <c r="G202" s="15" t="s">
        <v>43</v>
      </c>
      <c r="H202" s="15" t="s">
        <v>46</v>
      </c>
      <c r="I202" s="15" t="s">
        <v>564</v>
      </c>
      <c r="J202" s="57">
        <v>72</v>
      </c>
    </row>
    <row r="203" spans="1:10" hidden="1" x14ac:dyDescent="0.3">
      <c r="A203" s="19" t="s">
        <v>577</v>
      </c>
      <c r="B203" s="15" t="s">
        <v>84</v>
      </c>
      <c r="C203" s="15" t="s">
        <v>79</v>
      </c>
      <c r="D203" s="15" t="s">
        <v>31</v>
      </c>
      <c r="E203" s="15">
        <v>15</v>
      </c>
      <c r="F203" s="15">
        <v>11</v>
      </c>
      <c r="G203" s="15" t="s">
        <v>25</v>
      </c>
      <c r="H203" s="15" t="s">
        <v>40</v>
      </c>
      <c r="I203" s="15" t="s">
        <v>578</v>
      </c>
      <c r="J203" s="57">
        <v>72</v>
      </c>
    </row>
    <row r="204" spans="1:10" hidden="1" x14ac:dyDescent="0.3">
      <c r="A204" s="19" t="s">
        <v>699</v>
      </c>
      <c r="B204" s="15" t="s">
        <v>11</v>
      </c>
      <c r="C204" s="15" t="s">
        <v>30</v>
      </c>
      <c r="D204" s="15" t="s">
        <v>31</v>
      </c>
      <c r="E204" s="15">
        <v>16</v>
      </c>
      <c r="F204" s="15">
        <v>11</v>
      </c>
      <c r="G204" s="15" t="s">
        <v>43</v>
      </c>
      <c r="H204" s="15" t="s">
        <v>40</v>
      </c>
      <c r="I204" s="15" t="s">
        <v>97</v>
      </c>
      <c r="J204" s="57">
        <v>72</v>
      </c>
    </row>
    <row r="205" spans="1:10" x14ac:dyDescent="0.3">
      <c r="A205" s="19" t="s">
        <v>711</v>
      </c>
      <c r="B205" s="15" t="s">
        <v>29</v>
      </c>
      <c r="C205" s="15" t="s">
        <v>79</v>
      </c>
      <c r="D205" s="15" t="s">
        <v>13</v>
      </c>
      <c r="E205" s="15">
        <v>14</v>
      </c>
      <c r="F205" s="15">
        <v>9</v>
      </c>
      <c r="G205" s="15" t="s">
        <v>32</v>
      </c>
      <c r="H205" s="15" t="s">
        <v>15</v>
      </c>
      <c r="I205" s="15" t="s">
        <v>712</v>
      </c>
      <c r="J205" s="57">
        <v>72</v>
      </c>
    </row>
    <row r="206" spans="1:10" hidden="1" x14ac:dyDescent="0.3">
      <c r="A206" s="19" t="s">
        <v>725</v>
      </c>
      <c r="B206" s="15" t="s">
        <v>11</v>
      </c>
      <c r="C206" s="15" t="s">
        <v>55</v>
      </c>
      <c r="D206" s="15" t="s">
        <v>31</v>
      </c>
      <c r="E206" s="15">
        <v>15</v>
      </c>
      <c r="F206" s="15">
        <v>9</v>
      </c>
      <c r="G206" s="15" t="s">
        <v>25</v>
      </c>
      <c r="H206" s="15" t="s">
        <v>37</v>
      </c>
      <c r="I206" s="15" t="s">
        <v>726</v>
      </c>
      <c r="J206" s="57">
        <v>72</v>
      </c>
    </row>
    <row r="207" spans="1:10" hidden="1" x14ac:dyDescent="0.3">
      <c r="A207" s="19" t="s">
        <v>773</v>
      </c>
      <c r="B207" s="15" t="s">
        <v>68</v>
      </c>
      <c r="C207" s="15" t="s">
        <v>19</v>
      </c>
      <c r="D207" s="15" t="s">
        <v>13</v>
      </c>
      <c r="E207" s="15">
        <v>14</v>
      </c>
      <c r="F207" s="15">
        <v>11</v>
      </c>
      <c r="G207" s="15" t="s">
        <v>14</v>
      </c>
      <c r="H207" s="15" t="s">
        <v>20</v>
      </c>
      <c r="I207" s="15" t="s">
        <v>774</v>
      </c>
      <c r="J207" s="57">
        <v>72</v>
      </c>
    </row>
    <row r="208" spans="1:10" x14ac:dyDescent="0.3">
      <c r="A208" s="19" t="s">
        <v>144</v>
      </c>
      <c r="B208" s="15" t="s">
        <v>73</v>
      </c>
      <c r="C208" s="15" t="s">
        <v>12</v>
      </c>
      <c r="D208" s="15" t="s">
        <v>31</v>
      </c>
      <c r="E208" s="15">
        <v>20</v>
      </c>
      <c r="F208" s="15">
        <v>10</v>
      </c>
      <c r="G208" s="15" t="s">
        <v>14</v>
      </c>
      <c r="H208" s="15" t="s">
        <v>26</v>
      </c>
      <c r="I208" s="15" t="s">
        <v>145</v>
      </c>
      <c r="J208" s="57">
        <v>71</v>
      </c>
    </row>
    <row r="209" spans="1:10" hidden="1" x14ac:dyDescent="0.3">
      <c r="A209" s="19" t="s">
        <v>237</v>
      </c>
      <c r="B209" s="15" t="s">
        <v>23</v>
      </c>
      <c r="C209" s="15" t="s">
        <v>24</v>
      </c>
      <c r="D209" s="15" t="s">
        <v>31</v>
      </c>
      <c r="E209" s="15">
        <v>16</v>
      </c>
      <c r="F209" s="15">
        <v>10</v>
      </c>
      <c r="G209" s="15" t="s">
        <v>43</v>
      </c>
      <c r="H209" s="15" t="s">
        <v>20</v>
      </c>
      <c r="I209" s="15" t="s">
        <v>238</v>
      </c>
      <c r="J209" s="57">
        <v>71</v>
      </c>
    </row>
    <row r="210" spans="1:10" hidden="1" x14ac:dyDescent="0.3">
      <c r="A210" s="19" t="s">
        <v>363</v>
      </c>
      <c r="B210" s="15" t="s">
        <v>11</v>
      </c>
      <c r="C210" s="15" t="s">
        <v>85</v>
      </c>
      <c r="D210" s="15" t="s">
        <v>31</v>
      </c>
      <c r="E210" s="15">
        <v>15</v>
      </c>
      <c r="F210" s="15">
        <v>10</v>
      </c>
      <c r="G210" s="15" t="s">
        <v>14</v>
      </c>
      <c r="H210" s="15" t="s">
        <v>37</v>
      </c>
      <c r="I210" s="15" t="s">
        <v>364</v>
      </c>
      <c r="J210" s="57">
        <v>71</v>
      </c>
    </row>
    <row r="211" spans="1:10" hidden="1" x14ac:dyDescent="0.3">
      <c r="A211" s="19" t="s">
        <v>686</v>
      </c>
      <c r="B211" s="15" t="s">
        <v>23</v>
      </c>
      <c r="C211" s="15" t="s">
        <v>96</v>
      </c>
      <c r="D211" s="15" t="s">
        <v>31</v>
      </c>
      <c r="E211" s="15">
        <v>16</v>
      </c>
      <c r="F211" s="15">
        <v>9</v>
      </c>
      <c r="G211" s="15" t="s">
        <v>25</v>
      </c>
      <c r="H211" s="15" t="s">
        <v>20</v>
      </c>
      <c r="I211" s="15" t="s">
        <v>277</v>
      </c>
      <c r="J211" s="57">
        <v>71</v>
      </c>
    </row>
    <row r="212" spans="1:10" hidden="1" x14ac:dyDescent="0.3">
      <c r="A212" s="19" t="s">
        <v>102</v>
      </c>
      <c r="B212" s="15" t="s">
        <v>35</v>
      </c>
      <c r="C212" s="15" t="s">
        <v>12</v>
      </c>
      <c r="D212" s="15" t="s">
        <v>13</v>
      </c>
      <c r="E212" s="15">
        <v>20</v>
      </c>
      <c r="F212" s="15">
        <v>11</v>
      </c>
      <c r="G212" s="15" t="s">
        <v>14</v>
      </c>
      <c r="H212" s="15" t="s">
        <v>26</v>
      </c>
      <c r="I212" s="15" t="s">
        <v>103</v>
      </c>
      <c r="J212" s="57">
        <v>70</v>
      </c>
    </row>
    <row r="213" spans="1:10" hidden="1" x14ac:dyDescent="0.3">
      <c r="A213" s="19" t="s">
        <v>202</v>
      </c>
      <c r="B213" s="15" t="s">
        <v>51</v>
      </c>
      <c r="C213" s="15" t="s">
        <v>55</v>
      </c>
      <c r="D213" s="15" t="s">
        <v>31</v>
      </c>
      <c r="E213" s="15">
        <v>15</v>
      </c>
      <c r="F213" s="15">
        <v>9</v>
      </c>
      <c r="G213" s="15" t="s">
        <v>14</v>
      </c>
      <c r="H213" s="15" t="s">
        <v>40</v>
      </c>
      <c r="I213" s="15" t="s">
        <v>111</v>
      </c>
      <c r="J213" s="57">
        <v>70</v>
      </c>
    </row>
    <row r="214" spans="1:10" hidden="1" x14ac:dyDescent="0.3">
      <c r="A214" s="19" t="s">
        <v>405</v>
      </c>
      <c r="B214" s="15" t="s">
        <v>18</v>
      </c>
      <c r="C214" s="15" t="s">
        <v>19</v>
      </c>
      <c r="D214" s="15" t="s">
        <v>31</v>
      </c>
      <c r="E214" s="15">
        <v>18</v>
      </c>
      <c r="F214" s="15">
        <v>12</v>
      </c>
      <c r="G214" s="15" t="s">
        <v>25</v>
      </c>
      <c r="H214" s="15" t="s">
        <v>37</v>
      </c>
      <c r="I214" s="15" t="s">
        <v>406</v>
      </c>
      <c r="J214" s="57">
        <v>70</v>
      </c>
    </row>
    <row r="215" spans="1:10" hidden="1" x14ac:dyDescent="0.3">
      <c r="A215" s="19" t="s">
        <v>485</v>
      </c>
      <c r="B215" s="15" t="s">
        <v>18</v>
      </c>
      <c r="C215" s="15" t="s">
        <v>12</v>
      </c>
      <c r="D215" s="15" t="s">
        <v>31</v>
      </c>
      <c r="E215" s="15">
        <v>16</v>
      </c>
      <c r="F215" s="15">
        <v>12</v>
      </c>
      <c r="G215" s="15" t="s">
        <v>14</v>
      </c>
      <c r="H215" s="15" t="s">
        <v>76</v>
      </c>
      <c r="I215" s="15" t="s">
        <v>486</v>
      </c>
      <c r="J215" s="57">
        <v>70</v>
      </c>
    </row>
    <row r="216" spans="1:10" hidden="1" x14ac:dyDescent="0.3">
      <c r="A216" s="19" t="s">
        <v>758</v>
      </c>
      <c r="B216" s="15" t="s">
        <v>73</v>
      </c>
      <c r="C216" s="15" t="s">
        <v>12</v>
      </c>
      <c r="D216" s="15" t="s">
        <v>31</v>
      </c>
      <c r="E216" s="15">
        <v>16</v>
      </c>
      <c r="F216" s="15">
        <v>11</v>
      </c>
      <c r="G216" s="15" t="s">
        <v>43</v>
      </c>
      <c r="H216" s="15" t="s">
        <v>40</v>
      </c>
      <c r="I216" s="15" t="s">
        <v>759</v>
      </c>
      <c r="J216" s="57">
        <v>70</v>
      </c>
    </row>
    <row r="217" spans="1:10" hidden="1" x14ac:dyDescent="0.3">
      <c r="A217" s="19" t="s">
        <v>912</v>
      </c>
      <c r="B217" s="15" t="s">
        <v>23</v>
      </c>
      <c r="C217" s="15" t="s">
        <v>79</v>
      </c>
      <c r="D217" s="15" t="s">
        <v>31</v>
      </c>
      <c r="E217" s="15">
        <v>17</v>
      </c>
      <c r="F217" s="15">
        <v>12</v>
      </c>
      <c r="G217" s="15" t="s">
        <v>32</v>
      </c>
      <c r="H217" s="15" t="s">
        <v>46</v>
      </c>
      <c r="I217" s="15" t="s">
        <v>400</v>
      </c>
      <c r="J217" s="57">
        <v>70</v>
      </c>
    </row>
    <row r="218" spans="1:10" hidden="1" x14ac:dyDescent="0.3">
      <c r="A218" s="19" t="s">
        <v>604</v>
      </c>
      <c r="B218" s="15" t="s">
        <v>51</v>
      </c>
      <c r="C218" s="15" t="s">
        <v>85</v>
      </c>
      <c r="D218" s="15" t="s">
        <v>31</v>
      </c>
      <c r="E218" s="15">
        <v>20</v>
      </c>
      <c r="F218" s="15">
        <v>12</v>
      </c>
      <c r="G218" s="15" t="s">
        <v>25</v>
      </c>
      <c r="H218" s="15" t="s">
        <v>26</v>
      </c>
      <c r="I218" s="15" t="s">
        <v>299</v>
      </c>
      <c r="J218" s="57">
        <v>69</v>
      </c>
    </row>
    <row r="219" spans="1:10" hidden="1" x14ac:dyDescent="0.3">
      <c r="A219" s="19" t="s">
        <v>695</v>
      </c>
      <c r="B219" s="15" t="s">
        <v>51</v>
      </c>
      <c r="C219" s="15" t="s">
        <v>24</v>
      </c>
      <c r="D219" s="15" t="s">
        <v>13</v>
      </c>
      <c r="E219" s="15">
        <v>17</v>
      </c>
      <c r="F219" s="15">
        <v>9</v>
      </c>
      <c r="G219" s="15" t="s">
        <v>32</v>
      </c>
      <c r="H219" s="15" t="s">
        <v>15</v>
      </c>
      <c r="I219" s="15" t="s">
        <v>696</v>
      </c>
      <c r="J219" s="57">
        <v>69</v>
      </c>
    </row>
    <row r="220" spans="1:10" hidden="1" x14ac:dyDescent="0.3">
      <c r="A220" s="19" t="s">
        <v>883</v>
      </c>
      <c r="B220" s="15" t="s">
        <v>23</v>
      </c>
      <c r="C220" s="15" t="s">
        <v>85</v>
      </c>
      <c r="D220" s="15" t="s">
        <v>13</v>
      </c>
      <c r="E220" s="15">
        <v>19</v>
      </c>
      <c r="F220" s="15">
        <v>9</v>
      </c>
      <c r="G220" s="15" t="s">
        <v>43</v>
      </c>
      <c r="H220" s="15" t="s">
        <v>20</v>
      </c>
      <c r="I220" s="15" t="s">
        <v>884</v>
      </c>
      <c r="J220" s="57">
        <v>69</v>
      </c>
    </row>
    <row r="221" spans="1:10" hidden="1" x14ac:dyDescent="0.3">
      <c r="A221" s="19" t="s">
        <v>913</v>
      </c>
      <c r="B221" s="15" t="s">
        <v>68</v>
      </c>
      <c r="C221" s="15" t="s">
        <v>58</v>
      </c>
      <c r="D221" s="15" t="s">
        <v>13</v>
      </c>
      <c r="E221" s="15">
        <v>14</v>
      </c>
      <c r="F221" s="15">
        <v>10</v>
      </c>
      <c r="G221" s="15" t="s">
        <v>14</v>
      </c>
      <c r="H221" s="15" t="s">
        <v>15</v>
      </c>
      <c r="I221" s="15" t="s">
        <v>914</v>
      </c>
      <c r="J221" s="57">
        <v>69</v>
      </c>
    </row>
    <row r="222" spans="1:10" hidden="1" x14ac:dyDescent="0.3">
      <c r="A222" s="19" t="s">
        <v>128</v>
      </c>
      <c r="B222" s="15" t="s">
        <v>11</v>
      </c>
      <c r="C222" s="15" t="s">
        <v>24</v>
      </c>
      <c r="D222" s="15" t="s">
        <v>31</v>
      </c>
      <c r="E222" s="15">
        <v>17</v>
      </c>
      <c r="F222" s="15">
        <v>12</v>
      </c>
      <c r="G222" s="15" t="s">
        <v>32</v>
      </c>
      <c r="H222" s="15" t="s">
        <v>15</v>
      </c>
      <c r="I222" s="15" t="s">
        <v>129</v>
      </c>
      <c r="J222" s="57">
        <v>68</v>
      </c>
    </row>
    <row r="223" spans="1:10" hidden="1" x14ac:dyDescent="0.3">
      <c r="A223" s="19" t="s">
        <v>336</v>
      </c>
      <c r="B223" s="15" t="s">
        <v>11</v>
      </c>
      <c r="C223" s="15" t="s">
        <v>58</v>
      </c>
      <c r="D223" s="15" t="s">
        <v>31</v>
      </c>
      <c r="E223" s="15">
        <v>19</v>
      </c>
      <c r="F223" s="15">
        <v>12</v>
      </c>
      <c r="G223" s="15" t="s">
        <v>25</v>
      </c>
      <c r="H223" s="15" t="s">
        <v>61</v>
      </c>
      <c r="I223" s="15" t="s">
        <v>218</v>
      </c>
      <c r="J223" s="57">
        <v>68</v>
      </c>
    </row>
    <row r="224" spans="1:10" hidden="1" x14ac:dyDescent="0.3">
      <c r="A224" s="19" t="s">
        <v>409</v>
      </c>
      <c r="B224" s="15" t="s">
        <v>84</v>
      </c>
      <c r="C224" s="15" t="s">
        <v>24</v>
      </c>
      <c r="D224" s="15" t="s">
        <v>13</v>
      </c>
      <c r="E224" s="15">
        <v>20</v>
      </c>
      <c r="F224" s="15">
        <v>9</v>
      </c>
      <c r="G224" s="15" t="s">
        <v>25</v>
      </c>
      <c r="H224" s="15" t="s">
        <v>46</v>
      </c>
      <c r="I224" s="15" t="s">
        <v>290</v>
      </c>
      <c r="J224" s="57">
        <v>68</v>
      </c>
    </row>
    <row r="225" spans="1:10" hidden="1" x14ac:dyDescent="0.3">
      <c r="A225" s="19" t="s">
        <v>665</v>
      </c>
      <c r="B225" s="15" t="s">
        <v>51</v>
      </c>
      <c r="C225" s="15" t="s">
        <v>96</v>
      </c>
      <c r="D225" s="15" t="s">
        <v>13</v>
      </c>
      <c r="E225" s="15">
        <v>14</v>
      </c>
      <c r="F225" s="15">
        <v>10</v>
      </c>
      <c r="G225" s="15" t="s">
        <v>14</v>
      </c>
      <c r="H225" s="15" t="s">
        <v>37</v>
      </c>
      <c r="I225" s="15" t="s">
        <v>666</v>
      </c>
      <c r="J225" s="57">
        <v>68</v>
      </c>
    </row>
    <row r="226" spans="1:10" hidden="1" x14ac:dyDescent="0.3">
      <c r="A226" s="19" t="s">
        <v>727</v>
      </c>
      <c r="B226" s="15" t="s">
        <v>68</v>
      </c>
      <c r="C226" s="15" t="s">
        <v>12</v>
      </c>
      <c r="D226" s="15" t="s">
        <v>13</v>
      </c>
      <c r="E226" s="15">
        <v>14</v>
      </c>
      <c r="F226" s="15">
        <v>9</v>
      </c>
      <c r="G226" s="15" t="s">
        <v>14</v>
      </c>
      <c r="H226" s="15" t="s">
        <v>20</v>
      </c>
      <c r="I226" s="15" t="s">
        <v>728</v>
      </c>
      <c r="J226" s="57">
        <v>68</v>
      </c>
    </row>
    <row r="227" spans="1:10" hidden="1" x14ac:dyDescent="0.3">
      <c r="A227" s="19" t="s">
        <v>196</v>
      </c>
      <c r="B227" s="15" t="s">
        <v>23</v>
      </c>
      <c r="C227" s="15" t="s">
        <v>79</v>
      </c>
      <c r="D227" s="15" t="s">
        <v>13</v>
      </c>
      <c r="E227" s="15">
        <v>18</v>
      </c>
      <c r="F227" s="15">
        <v>12</v>
      </c>
      <c r="G227" s="15" t="s">
        <v>43</v>
      </c>
      <c r="H227" s="15" t="s">
        <v>76</v>
      </c>
      <c r="I227" s="15" t="s">
        <v>197</v>
      </c>
      <c r="J227" s="57">
        <v>67</v>
      </c>
    </row>
    <row r="228" spans="1:10" hidden="1" x14ac:dyDescent="0.3">
      <c r="A228" s="19" t="s">
        <v>310</v>
      </c>
      <c r="B228" s="15" t="s">
        <v>29</v>
      </c>
      <c r="C228" s="15" t="s">
        <v>96</v>
      </c>
      <c r="D228" s="15" t="s">
        <v>31</v>
      </c>
      <c r="E228" s="15">
        <v>16</v>
      </c>
      <c r="F228" s="15">
        <v>9</v>
      </c>
      <c r="G228" s="15" t="s">
        <v>32</v>
      </c>
      <c r="H228" s="15" t="s">
        <v>46</v>
      </c>
      <c r="I228" s="15" t="s">
        <v>311</v>
      </c>
      <c r="J228" s="57">
        <v>67</v>
      </c>
    </row>
    <row r="229" spans="1:10" hidden="1" x14ac:dyDescent="0.3">
      <c r="A229" s="19" t="s">
        <v>380</v>
      </c>
      <c r="B229" s="15" t="s">
        <v>11</v>
      </c>
      <c r="C229" s="15" t="s">
        <v>24</v>
      </c>
      <c r="D229" s="15" t="s">
        <v>31</v>
      </c>
      <c r="E229" s="15">
        <v>18</v>
      </c>
      <c r="F229" s="15">
        <v>11</v>
      </c>
      <c r="G229" s="15" t="s">
        <v>32</v>
      </c>
      <c r="H229" s="15" t="s">
        <v>61</v>
      </c>
      <c r="I229" s="15" t="s">
        <v>381</v>
      </c>
      <c r="J229" s="57">
        <v>67</v>
      </c>
    </row>
    <row r="230" spans="1:10" hidden="1" x14ac:dyDescent="0.3">
      <c r="A230" s="19" t="s">
        <v>565</v>
      </c>
      <c r="B230" s="15" t="s">
        <v>54</v>
      </c>
      <c r="C230" s="15" t="s">
        <v>79</v>
      </c>
      <c r="D230" s="15" t="s">
        <v>31</v>
      </c>
      <c r="E230" s="15">
        <v>20</v>
      </c>
      <c r="F230" s="15">
        <v>9</v>
      </c>
      <c r="G230" s="15" t="s">
        <v>43</v>
      </c>
      <c r="H230" s="15" t="s">
        <v>20</v>
      </c>
      <c r="I230" s="15" t="s">
        <v>566</v>
      </c>
      <c r="J230" s="57">
        <v>67</v>
      </c>
    </row>
    <row r="231" spans="1:10" x14ac:dyDescent="0.3">
      <c r="A231" s="19" t="s">
        <v>618</v>
      </c>
      <c r="B231" s="15" t="s">
        <v>73</v>
      </c>
      <c r="C231" s="15" t="s">
        <v>85</v>
      </c>
      <c r="D231" s="15" t="s">
        <v>31</v>
      </c>
      <c r="E231" s="15">
        <v>14</v>
      </c>
      <c r="F231" s="15">
        <v>11</v>
      </c>
      <c r="G231" s="15" t="s">
        <v>25</v>
      </c>
      <c r="H231" s="15" t="s">
        <v>20</v>
      </c>
      <c r="I231" s="15" t="s">
        <v>619</v>
      </c>
      <c r="J231" s="57">
        <v>67</v>
      </c>
    </row>
    <row r="232" spans="1:10" hidden="1" x14ac:dyDescent="0.3">
      <c r="A232" s="19" t="s">
        <v>681</v>
      </c>
      <c r="B232" s="15" t="s">
        <v>35</v>
      </c>
      <c r="C232" s="15" t="s">
        <v>36</v>
      </c>
      <c r="D232" s="15" t="s">
        <v>13</v>
      </c>
      <c r="E232" s="15">
        <v>14</v>
      </c>
      <c r="F232" s="15">
        <v>9</v>
      </c>
      <c r="G232" s="15" t="s">
        <v>43</v>
      </c>
      <c r="H232" s="15" t="s">
        <v>46</v>
      </c>
      <c r="I232" s="15" t="s">
        <v>682</v>
      </c>
      <c r="J232" s="57">
        <v>67</v>
      </c>
    </row>
    <row r="233" spans="1:10" hidden="1" x14ac:dyDescent="0.3">
      <c r="A233" s="19" t="s">
        <v>747</v>
      </c>
      <c r="B233" s="15" t="s">
        <v>51</v>
      </c>
      <c r="C233" s="15" t="s">
        <v>96</v>
      </c>
      <c r="D233" s="15" t="s">
        <v>13</v>
      </c>
      <c r="E233" s="15">
        <v>17</v>
      </c>
      <c r="F233" s="15">
        <v>12</v>
      </c>
      <c r="G233" s="15" t="s">
        <v>14</v>
      </c>
      <c r="H233" s="15" t="s">
        <v>26</v>
      </c>
      <c r="I233" s="15" t="s">
        <v>748</v>
      </c>
      <c r="J233" s="57">
        <v>67</v>
      </c>
    </row>
    <row r="234" spans="1:10" hidden="1" x14ac:dyDescent="0.3">
      <c r="A234" s="19" t="s">
        <v>75</v>
      </c>
      <c r="B234" s="15" t="s">
        <v>29</v>
      </c>
      <c r="C234" s="15" t="s">
        <v>58</v>
      </c>
      <c r="D234" s="15" t="s">
        <v>31</v>
      </c>
      <c r="E234" s="15">
        <v>17</v>
      </c>
      <c r="F234" s="15">
        <v>12</v>
      </c>
      <c r="G234" s="15" t="s">
        <v>32</v>
      </c>
      <c r="H234" s="15" t="s">
        <v>76</v>
      </c>
      <c r="I234" s="15" t="s">
        <v>77</v>
      </c>
      <c r="J234" s="57">
        <v>66</v>
      </c>
    </row>
    <row r="235" spans="1:10" hidden="1" x14ac:dyDescent="0.3">
      <c r="A235" s="19" t="s">
        <v>124</v>
      </c>
      <c r="B235" s="15" t="s">
        <v>68</v>
      </c>
      <c r="C235" s="15" t="s">
        <v>36</v>
      </c>
      <c r="D235" s="15" t="s">
        <v>13</v>
      </c>
      <c r="E235" s="15">
        <v>18</v>
      </c>
      <c r="F235" s="15">
        <v>10</v>
      </c>
      <c r="G235" s="15" t="s">
        <v>43</v>
      </c>
      <c r="H235" s="15" t="s">
        <v>20</v>
      </c>
      <c r="I235" s="15" t="s">
        <v>125</v>
      </c>
      <c r="J235" s="57">
        <v>66</v>
      </c>
    </row>
    <row r="236" spans="1:10" hidden="1" x14ac:dyDescent="0.3">
      <c r="A236" s="19" t="s">
        <v>187</v>
      </c>
      <c r="B236" s="15" t="s">
        <v>51</v>
      </c>
      <c r="C236" s="15" t="s">
        <v>12</v>
      </c>
      <c r="D236" s="15" t="s">
        <v>31</v>
      </c>
      <c r="E236" s="15">
        <v>17</v>
      </c>
      <c r="F236" s="15">
        <v>10</v>
      </c>
      <c r="G236" s="15" t="s">
        <v>43</v>
      </c>
      <c r="H236" s="15" t="s">
        <v>46</v>
      </c>
      <c r="I236" s="15" t="s">
        <v>101</v>
      </c>
      <c r="J236" s="57">
        <v>66</v>
      </c>
    </row>
    <row r="237" spans="1:10" hidden="1" x14ac:dyDescent="0.3">
      <c r="A237" s="19" t="s">
        <v>233</v>
      </c>
      <c r="B237" s="15" t="s">
        <v>11</v>
      </c>
      <c r="C237" s="15" t="s">
        <v>55</v>
      </c>
      <c r="D237" s="15" t="s">
        <v>13</v>
      </c>
      <c r="E237" s="15">
        <v>14</v>
      </c>
      <c r="F237" s="15">
        <v>9</v>
      </c>
      <c r="G237" s="15" t="s">
        <v>25</v>
      </c>
      <c r="H237" s="15" t="s">
        <v>37</v>
      </c>
      <c r="I237" s="15" t="s">
        <v>234</v>
      </c>
      <c r="J237" s="57">
        <v>66</v>
      </c>
    </row>
    <row r="238" spans="1:10" hidden="1" x14ac:dyDescent="0.3">
      <c r="A238" s="19" t="s">
        <v>247</v>
      </c>
      <c r="B238" s="15" t="s">
        <v>29</v>
      </c>
      <c r="C238" s="15" t="s">
        <v>58</v>
      </c>
      <c r="D238" s="15" t="s">
        <v>31</v>
      </c>
      <c r="E238" s="15">
        <v>14</v>
      </c>
      <c r="F238" s="15">
        <v>12</v>
      </c>
      <c r="G238" s="15" t="s">
        <v>14</v>
      </c>
      <c r="H238" s="15" t="s">
        <v>40</v>
      </c>
      <c r="I238" s="15" t="s">
        <v>248</v>
      </c>
      <c r="J238" s="57">
        <v>66</v>
      </c>
    </row>
    <row r="239" spans="1:10" hidden="1" x14ac:dyDescent="0.3">
      <c r="A239" s="19" t="s">
        <v>281</v>
      </c>
      <c r="B239" s="15" t="s">
        <v>51</v>
      </c>
      <c r="C239" s="15" t="s">
        <v>36</v>
      </c>
      <c r="D239" s="15" t="s">
        <v>31</v>
      </c>
      <c r="E239" s="15">
        <v>15</v>
      </c>
      <c r="F239" s="15">
        <v>11</v>
      </c>
      <c r="G239" s="15" t="s">
        <v>43</v>
      </c>
      <c r="H239" s="15" t="s">
        <v>37</v>
      </c>
      <c r="I239" s="15" t="s">
        <v>282</v>
      </c>
      <c r="J239" s="57">
        <v>66</v>
      </c>
    </row>
    <row r="240" spans="1:10" hidden="1" x14ac:dyDescent="0.3">
      <c r="A240" s="19" t="s">
        <v>300</v>
      </c>
      <c r="B240" s="15" t="s">
        <v>11</v>
      </c>
      <c r="C240" s="15" t="s">
        <v>79</v>
      </c>
      <c r="D240" s="15" t="s">
        <v>31</v>
      </c>
      <c r="E240" s="15">
        <v>18</v>
      </c>
      <c r="F240" s="15">
        <v>9</v>
      </c>
      <c r="G240" s="15" t="s">
        <v>14</v>
      </c>
      <c r="H240" s="15" t="s">
        <v>20</v>
      </c>
      <c r="I240" s="15" t="s">
        <v>301</v>
      </c>
      <c r="J240" s="57">
        <v>66</v>
      </c>
    </row>
    <row r="241" spans="1:10" x14ac:dyDescent="0.3">
      <c r="A241" s="19" t="s">
        <v>302</v>
      </c>
      <c r="B241" s="15" t="s">
        <v>29</v>
      </c>
      <c r="C241" s="15" t="s">
        <v>79</v>
      </c>
      <c r="D241" s="15" t="s">
        <v>13</v>
      </c>
      <c r="E241" s="15">
        <v>14</v>
      </c>
      <c r="F241" s="15">
        <v>12</v>
      </c>
      <c r="G241" s="15" t="s">
        <v>14</v>
      </c>
      <c r="H241" s="15" t="s">
        <v>20</v>
      </c>
      <c r="I241" s="15" t="s">
        <v>303</v>
      </c>
      <c r="J241" s="57">
        <v>66</v>
      </c>
    </row>
    <row r="242" spans="1:10" hidden="1" x14ac:dyDescent="0.3">
      <c r="A242" s="19" t="s">
        <v>320</v>
      </c>
      <c r="B242" s="15" t="s">
        <v>84</v>
      </c>
      <c r="C242" s="15" t="s">
        <v>55</v>
      </c>
      <c r="D242" s="15" t="s">
        <v>31</v>
      </c>
      <c r="E242" s="15">
        <v>16</v>
      </c>
      <c r="F242" s="15">
        <v>12</v>
      </c>
      <c r="G242" s="15" t="s">
        <v>32</v>
      </c>
      <c r="H242" s="15" t="s">
        <v>76</v>
      </c>
      <c r="I242" s="15" t="s">
        <v>321</v>
      </c>
      <c r="J242" s="57">
        <v>66</v>
      </c>
    </row>
    <row r="243" spans="1:10" x14ac:dyDescent="0.3">
      <c r="A243" s="19" t="s">
        <v>357</v>
      </c>
      <c r="B243" s="15" t="s">
        <v>23</v>
      </c>
      <c r="C243" s="15" t="s">
        <v>24</v>
      </c>
      <c r="D243" s="15" t="s">
        <v>13</v>
      </c>
      <c r="E243" s="15">
        <v>16</v>
      </c>
      <c r="F243" s="15">
        <v>9</v>
      </c>
      <c r="G243" s="15" t="s">
        <v>25</v>
      </c>
      <c r="H243" s="15" t="s">
        <v>20</v>
      </c>
      <c r="I243" s="15" t="s">
        <v>358</v>
      </c>
      <c r="J243" s="57">
        <v>66</v>
      </c>
    </row>
    <row r="244" spans="1:10" hidden="1" x14ac:dyDescent="0.3">
      <c r="A244" s="19" t="s">
        <v>378</v>
      </c>
      <c r="B244" s="15" t="s">
        <v>18</v>
      </c>
      <c r="C244" s="15" t="s">
        <v>55</v>
      </c>
      <c r="D244" s="15" t="s">
        <v>31</v>
      </c>
      <c r="E244" s="15">
        <v>17</v>
      </c>
      <c r="F244" s="15">
        <v>9</v>
      </c>
      <c r="G244" s="15" t="s">
        <v>32</v>
      </c>
      <c r="H244" s="15" t="s">
        <v>26</v>
      </c>
      <c r="I244" s="15" t="s">
        <v>379</v>
      </c>
      <c r="J244" s="57">
        <v>66</v>
      </c>
    </row>
    <row r="245" spans="1:10" hidden="1" x14ac:dyDescent="0.3">
      <c r="A245" s="19" t="s">
        <v>510</v>
      </c>
      <c r="B245" s="15" t="s">
        <v>54</v>
      </c>
      <c r="C245" s="15" t="s">
        <v>79</v>
      </c>
      <c r="D245" s="15" t="s">
        <v>31</v>
      </c>
      <c r="E245" s="15">
        <v>15</v>
      </c>
      <c r="F245" s="15">
        <v>9</v>
      </c>
      <c r="G245" s="15" t="s">
        <v>14</v>
      </c>
      <c r="H245" s="15" t="s">
        <v>40</v>
      </c>
      <c r="I245" s="15" t="s">
        <v>479</v>
      </c>
      <c r="J245" s="57">
        <v>66</v>
      </c>
    </row>
    <row r="246" spans="1:10" hidden="1" x14ac:dyDescent="0.3">
      <c r="A246" s="19" t="s">
        <v>871</v>
      </c>
      <c r="B246" s="15" t="s">
        <v>11</v>
      </c>
      <c r="C246" s="15" t="s">
        <v>12</v>
      </c>
      <c r="D246" s="15" t="s">
        <v>13</v>
      </c>
      <c r="E246" s="15">
        <v>20</v>
      </c>
      <c r="F246" s="15">
        <v>10</v>
      </c>
      <c r="G246" s="15" t="s">
        <v>25</v>
      </c>
      <c r="H246" s="15" t="s">
        <v>76</v>
      </c>
      <c r="I246" s="15" t="s">
        <v>872</v>
      </c>
      <c r="J246" s="57">
        <v>66</v>
      </c>
    </row>
    <row r="247" spans="1:10" hidden="1" x14ac:dyDescent="0.3">
      <c r="A247" s="19" t="s">
        <v>136</v>
      </c>
      <c r="B247" s="15" t="s">
        <v>11</v>
      </c>
      <c r="C247" s="15" t="s">
        <v>79</v>
      </c>
      <c r="D247" s="15" t="s">
        <v>13</v>
      </c>
      <c r="E247" s="15">
        <v>14</v>
      </c>
      <c r="F247" s="15">
        <v>10</v>
      </c>
      <c r="G247" s="15" t="s">
        <v>43</v>
      </c>
      <c r="H247" s="15" t="s">
        <v>61</v>
      </c>
      <c r="I247" s="15" t="s">
        <v>137</v>
      </c>
      <c r="J247" s="57">
        <v>65</v>
      </c>
    </row>
    <row r="248" spans="1:10" hidden="1" x14ac:dyDescent="0.3">
      <c r="A248" s="19" t="s">
        <v>235</v>
      </c>
      <c r="B248" s="15" t="s">
        <v>11</v>
      </c>
      <c r="C248" s="15" t="s">
        <v>36</v>
      </c>
      <c r="D248" s="15" t="s">
        <v>31</v>
      </c>
      <c r="E248" s="15">
        <v>14</v>
      </c>
      <c r="F248" s="15">
        <v>12</v>
      </c>
      <c r="G248" s="15" t="s">
        <v>43</v>
      </c>
      <c r="H248" s="15" t="s">
        <v>40</v>
      </c>
      <c r="I248" s="15" t="s">
        <v>236</v>
      </c>
      <c r="J248" s="57">
        <v>65</v>
      </c>
    </row>
    <row r="249" spans="1:10" hidden="1" x14ac:dyDescent="0.3">
      <c r="A249" s="19" t="s">
        <v>395</v>
      </c>
      <c r="B249" s="15" t="s">
        <v>11</v>
      </c>
      <c r="C249" s="15" t="s">
        <v>96</v>
      </c>
      <c r="D249" s="15" t="s">
        <v>13</v>
      </c>
      <c r="E249" s="15">
        <v>18</v>
      </c>
      <c r="F249" s="15">
        <v>11</v>
      </c>
      <c r="G249" s="15" t="s">
        <v>25</v>
      </c>
      <c r="H249" s="15" t="s">
        <v>37</v>
      </c>
      <c r="I249" s="15" t="s">
        <v>396</v>
      </c>
      <c r="J249" s="57">
        <v>65</v>
      </c>
    </row>
    <row r="250" spans="1:10" hidden="1" x14ac:dyDescent="0.3">
      <c r="A250" s="19" t="s">
        <v>448</v>
      </c>
      <c r="B250" s="15" t="s">
        <v>73</v>
      </c>
      <c r="C250" s="15" t="s">
        <v>36</v>
      </c>
      <c r="D250" s="15" t="s">
        <v>31</v>
      </c>
      <c r="E250" s="15">
        <v>19</v>
      </c>
      <c r="F250" s="15">
        <v>12</v>
      </c>
      <c r="G250" s="15" t="s">
        <v>14</v>
      </c>
      <c r="H250" s="15" t="s">
        <v>37</v>
      </c>
      <c r="I250" s="15" t="s">
        <v>449</v>
      </c>
      <c r="J250" s="57">
        <v>65</v>
      </c>
    </row>
    <row r="251" spans="1:10" hidden="1" x14ac:dyDescent="0.3">
      <c r="A251" s="19" t="s">
        <v>460</v>
      </c>
      <c r="B251" s="15" t="s">
        <v>51</v>
      </c>
      <c r="C251" s="15" t="s">
        <v>96</v>
      </c>
      <c r="D251" s="15" t="s">
        <v>31</v>
      </c>
      <c r="E251" s="15">
        <v>16</v>
      </c>
      <c r="F251" s="15">
        <v>12</v>
      </c>
      <c r="G251" s="15" t="s">
        <v>43</v>
      </c>
      <c r="H251" s="15" t="s">
        <v>15</v>
      </c>
      <c r="I251" s="15" t="s">
        <v>461</v>
      </c>
      <c r="J251" s="57">
        <v>65</v>
      </c>
    </row>
    <row r="252" spans="1:10" hidden="1" x14ac:dyDescent="0.3">
      <c r="A252" s="19" t="s">
        <v>470</v>
      </c>
      <c r="B252" s="15" t="s">
        <v>35</v>
      </c>
      <c r="C252" s="15" t="s">
        <v>96</v>
      </c>
      <c r="D252" s="15" t="s">
        <v>31</v>
      </c>
      <c r="E252" s="15">
        <v>16</v>
      </c>
      <c r="F252" s="15">
        <v>11</v>
      </c>
      <c r="G252" s="15" t="s">
        <v>32</v>
      </c>
      <c r="H252" s="15" t="s">
        <v>61</v>
      </c>
      <c r="I252" s="15" t="s">
        <v>471</v>
      </c>
      <c r="J252" s="57">
        <v>65</v>
      </c>
    </row>
    <row r="253" spans="1:10" hidden="1" x14ac:dyDescent="0.3">
      <c r="A253" s="19" t="s">
        <v>513</v>
      </c>
      <c r="B253" s="15" t="s">
        <v>11</v>
      </c>
      <c r="C253" s="15" t="s">
        <v>19</v>
      </c>
      <c r="D253" s="15" t="s">
        <v>31</v>
      </c>
      <c r="E253" s="15">
        <v>14</v>
      </c>
      <c r="F253" s="15">
        <v>12</v>
      </c>
      <c r="G253" s="15" t="s">
        <v>32</v>
      </c>
      <c r="H253" s="15" t="s">
        <v>15</v>
      </c>
      <c r="I253" s="15" t="s">
        <v>381</v>
      </c>
      <c r="J253" s="57">
        <v>65</v>
      </c>
    </row>
    <row r="254" spans="1:10" hidden="1" x14ac:dyDescent="0.3">
      <c r="A254" s="19" t="s">
        <v>693</v>
      </c>
      <c r="B254" s="15" t="s">
        <v>73</v>
      </c>
      <c r="C254" s="15" t="s">
        <v>58</v>
      </c>
      <c r="D254" s="15" t="s">
        <v>31</v>
      </c>
      <c r="E254" s="15">
        <v>16</v>
      </c>
      <c r="F254" s="15">
        <v>11</v>
      </c>
      <c r="G254" s="15" t="s">
        <v>25</v>
      </c>
      <c r="H254" s="15" t="s">
        <v>37</v>
      </c>
      <c r="I254" s="15" t="s">
        <v>694</v>
      </c>
      <c r="J254" s="57">
        <v>65</v>
      </c>
    </row>
    <row r="255" spans="1:10" hidden="1" x14ac:dyDescent="0.3">
      <c r="A255" s="19" t="s">
        <v>723</v>
      </c>
      <c r="B255" s="15" t="s">
        <v>68</v>
      </c>
      <c r="C255" s="15" t="s">
        <v>79</v>
      </c>
      <c r="D255" s="15" t="s">
        <v>31</v>
      </c>
      <c r="E255" s="15">
        <v>19</v>
      </c>
      <c r="F255" s="15">
        <v>12</v>
      </c>
      <c r="G255" s="15" t="s">
        <v>25</v>
      </c>
      <c r="H255" s="15" t="s">
        <v>40</v>
      </c>
      <c r="I255" s="15" t="s">
        <v>724</v>
      </c>
      <c r="J255" s="57">
        <v>65</v>
      </c>
    </row>
    <row r="256" spans="1:10" x14ac:dyDescent="0.3">
      <c r="A256" s="19" t="s">
        <v>827</v>
      </c>
      <c r="B256" s="15" t="s">
        <v>35</v>
      </c>
      <c r="C256" s="15" t="s">
        <v>12</v>
      </c>
      <c r="D256" s="15" t="s">
        <v>13</v>
      </c>
      <c r="E256" s="15">
        <v>14</v>
      </c>
      <c r="F256" s="15">
        <v>12</v>
      </c>
      <c r="G256" s="15" t="s">
        <v>25</v>
      </c>
      <c r="H256" s="15" t="s">
        <v>61</v>
      </c>
      <c r="I256" s="15" t="s">
        <v>570</v>
      </c>
      <c r="J256" s="57">
        <v>65</v>
      </c>
    </row>
    <row r="257" spans="1:10" hidden="1" x14ac:dyDescent="0.3">
      <c r="A257" s="19" t="s">
        <v>885</v>
      </c>
      <c r="B257" s="15" t="s">
        <v>51</v>
      </c>
      <c r="C257" s="15" t="s">
        <v>55</v>
      </c>
      <c r="D257" s="15" t="s">
        <v>13</v>
      </c>
      <c r="E257" s="15">
        <v>16</v>
      </c>
      <c r="F257" s="15">
        <v>11</v>
      </c>
      <c r="G257" s="15" t="s">
        <v>32</v>
      </c>
      <c r="H257" s="15" t="s">
        <v>76</v>
      </c>
      <c r="I257" s="15" t="s">
        <v>886</v>
      </c>
      <c r="J257" s="57">
        <v>65</v>
      </c>
    </row>
    <row r="258" spans="1:10" hidden="1" x14ac:dyDescent="0.3">
      <c r="A258" s="19" t="s">
        <v>164</v>
      </c>
      <c r="B258" s="15" t="s">
        <v>23</v>
      </c>
      <c r="C258" s="15" t="s">
        <v>19</v>
      </c>
      <c r="D258" s="15" t="s">
        <v>31</v>
      </c>
      <c r="E258" s="15">
        <v>17</v>
      </c>
      <c r="F258" s="15">
        <v>9</v>
      </c>
      <c r="G258" s="15" t="s">
        <v>25</v>
      </c>
      <c r="H258" s="15" t="s">
        <v>15</v>
      </c>
      <c r="I258" s="15" t="s">
        <v>165</v>
      </c>
      <c r="J258" s="57">
        <v>64</v>
      </c>
    </row>
    <row r="259" spans="1:10" hidden="1" x14ac:dyDescent="0.3">
      <c r="A259" s="19" t="s">
        <v>285</v>
      </c>
      <c r="B259" s="15" t="s">
        <v>18</v>
      </c>
      <c r="C259" s="15" t="s">
        <v>36</v>
      </c>
      <c r="D259" s="15" t="s">
        <v>31</v>
      </c>
      <c r="E259" s="15">
        <v>14</v>
      </c>
      <c r="F259" s="15">
        <v>11</v>
      </c>
      <c r="G259" s="15" t="s">
        <v>25</v>
      </c>
      <c r="H259" s="15" t="s">
        <v>46</v>
      </c>
      <c r="I259" s="15" t="s">
        <v>286</v>
      </c>
      <c r="J259" s="57">
        <v>64</v>
      </c>
    </row>
    <row r="260" spans="1:10" hidden="1" x14ac:dyDescent="0.3">
      <c r="A260" s="19" t="s">
        <v>339</v>
      </c>
      <c r="B260" s="15" t="s">
        <v>23</v>
      </c>
      <c r="C260" s="15" t="s">
        <v>36</v>
      </c>
      <c r="D260" s="15" t="s">
        <v>13</v>
      </c>
      <c r="E260" s="15">
        <v>18</v>
      </c>
      <c r="F260" s="15">
        <v>9</v>
      </c>
      <c r="G260" s="15" t="s">
        <v>32</v>
      </c>
      <c r="H260" s="15" t="s">
        <v>37</v>
      </c>
      <c r="I260" s="15" t="s">
        <v>340</v>
      </c>
      <c r="J260" s="57">
        <v>64</v>
      </c>
    </row>
    <row r="261" spans="1:10" hidden="1" x14ac:dyDescent="0.3">
      <c r="A261" s="19" t="s">
        <v>359</v>
      </c>
      <c r="B261" s="15" t="s">
        <v>68</v>
      </c>
      <c r="C261" s="15" t="s">
        <v>85</v>
      </c>
      <c r="D261" s="15" t="s">
        <v>13</v>
      </c>
      <c r="E261" s="15">
        <v>19</v>
      </c>
      <c r="F261" s="15">
        <v>11</v>
      </c>
      <c r="G261" s="15" t="s">
        <v>43</v>
      </c>
      <c r="H261" s="15" t="s">
        <v>76</v>
      </c>
      <c r="I261" s="15" t="s">
        <v>360</v>
      </c>
      <c r="J261" s="57">
        <v>64</v>
      </c>
    </row>
    <row r="262" spans="1:10" hidden="1" x14ac:dyDescent="0.3">
      <c r="A262" s="19" t="s">
        <v>590</v>
      </c>
      <c r="B262" s="15" t="s">
        <v>35</v>
      </c>
      <c r="C262" s="15" t="s">
        <v>12</v>
      </c>
      <c r="D262" s="15" t="s">
        <v>13</v>
      </c>
      <c r="E262" s="15">
        <v>14</v>
      </c>
      <c r="F262" s="15">
        <v>11</v>
      </c>
      <c r="G262" s="15" t="s">
        <v>25</v>
      </c>
      <c r="H262" s="15" t="s">
        <v>20</v>
      </c>
      <c r="I262" s="15" t="s">
        <v>591</v>
      </c>
      <c r="J262" s="57">
        <v>64</v>
      </c>
    </row>
    <row r="263" spans="1:10" hidden="1" x14ac:dyDescent="0.3">
      <c r="A263" s="19" t="s">
        <v>671</v>
      </c>
      <c r="B263" s="15" t="s">
        <v>11</v>
      </c>
      <c r="C263" s="15" t="s">
        <v>36</v>
      </c>
      <c r="D263" s="15" t="s">
        <v>13</v>
      </c>
      <c r="E263" s="15">
        <v>14</v>
      </c>
      <c r="F263" s="15">
        <v>10</v>
      </c>
      <c r="G263" s="15" t="s">
        <v>32</v>
      </c>
      <c r="H263" s="15" t="s">
        <v>40</v>
      </c>
      <c r="I263" s="15" t="s">
        <v>672</v>
      </c>
      <c r="J263" s="57">
        <v>64</v>
      </c>
    </row>
    <row r="264" spans="1:10" hidden="1" x14ac:dyDescent="0.3">
      <c r="A264" s="19" t="s">
        <v>828</v>
      </c>
      <c r="B264" s="15" t="s">
        <v>29</v>
      </c>
      <c r="C264" s="15" t="s">
        <v>55</v>
      </c>
      <c r="D264" s="15" t="s">
        <v>13</v>
      </c>
      <c r="E264" s="15">
        <v>15</v>
      </c>
      <c r="F264" s="15">
        <v>9</v>
      </c>
      <c r="G264" s="15" t="s">
        <v>32</v>
      </c>
      <c r="H264" s="15" t="s">
        <v>40</v>
      </c>
      <c r="I264" s="15" t="s">
        <v>829</v>
      </c>
      <c r="J264" s="57">
        <v>64</v>
      </c>
    </row>
    <row r="265" spans="1:10" hidden="1" x14ac:dyDescent="0.3">
      <c r="A265" s="19" t="s">
        <v>836</v>
      </c>
      <c r="B265" s="15" t="s">
        <v>18</v>
      </c>
      <c r="C265" s="15" t="s">
        <v>58</v>
      </c>
      <c r="D265" s="15" t="s">
        <v>13</v>
      </c>
      <c r="E265" s="15">
        <v>16</v>
      </c>
      <c r="F265" s="15">
        <v>9</v>
      </c>
      <c r="G265" s="15" t="s">
        <v>14</v>
      </c>
      <c r="H265" s="15" t="s">
        <v>37</v>
      </c>
      <c r="I265" s="15" t="s">
        <v>837</v>
      </c>
      <c r="J265" s="57">
        <v>64</v>
      </c>
    </row>
    <row r="266" spans="1:10" hidden="1" x14ac:dyDescent="0.3">
      <c r="A266" s="19" t="s">
        <v>156</v>
      </c>
      <c r="B266" s="15" t="s">
        <v>35</v>
      </c>
      <c r="C266" s="15" t="s">
        <v>55</v>
      </c>
      <c r="D266" s="15" t="s">
        <v>13</v>
      </c>
      <c r="E266" s="15">
        <v>19</v>
      </c>
      <c r="F266" s="15">
        <v>11</v>
      </c>
      <c r="G266" s="15" t="s">
        <v>14</v>
      </c>
      <c r="H266" s="15" t="s">
        <v>40</v>
      </c>
      <c r="I266" s="15" t="s">
        <v>157</v>
      </c>
      <c r="J266" s="57">
        <v>63</v>
      </c>
    </row>
    <row r="267" spans="1:10" hidden="1" x14ac:dyDescent="0.3">
      <c r="A267" s="19" t="s">
        <v>190</v>
      </c>
      <c r="B267" s="15" t="s">
        <v>18</v>
      </c>
      <c r="C267" s="15" t="s">
        <v>19</v>
      </c>
      <c r="D267" s="15" t="s">
        <v>31</v>
      </c>
      <c r="E267" s="15">
        <v>14</v>
      </c>
      <c r="F267" s="15">
        <v>12</v>
      </c>
      <c r="G267" s="15" t="s">
        <v>32</v>
      </c>
      <c r="H267" s="15" t="s">
        <v>37</v>
      </c>
      <c r="I267" s="15" t="s">
        <v>191</v>
      </c>
      <c r="J267" s="57">
        <v>63</v>
      </c>
    </row>
    <row r="268" spans="1:10" x14ac:dyDescent="0.3">
      <c r="A268" s="19" t="s">
        <v>219</v>
      </c>
      <c r="B268" s="15" t="s">
        <v>68</v>
      </c>
      <c r="C268" s="15" t="s">
        <v>19</v>
      </c>
      <c r="D268" s="15" t="s">
        <v>13</v>
      </c>
      <c r="E268" s="15">
        <v>19</v>
      </c>
      <c r="F268" s="15">
        <v>9</v>
      </c>
      <c r="G268" s="15" t="s">
        <v>14</v>
      </c>
      <c r="H268" s="15" t="s">
        <v>40</v>
      </c>
      <c r="I268" s="15" t="s">
        <v>220</v>
      </c>
      <c r="J268" s="57">
        <v>63</v>
      </c>
    </row>
    <row r="269" spans="1:10" hidden="1" x14ac:dyDescent="0.3">
      <c r="A269" s="19" t="s">
        <v>261</v>
      </c>
      <c r="B269" s="15" t="s">
        <v>23</v>
      </c>
      <c r="C269" s="15" t="s">
        <v>36</v>
      </c>
      <c r="D269" s="15" t="s">
        <v>13</v>
      </c>
      <c r="E269" s="15">
        <v>15</v>
      </c>
      <c r="F269" s="15">
        <v>11</v>
      </c>
      <c r="G269" s="15" t="s">
        <v>25</v>
      </c>
      <c r="H269" s="15" t="s">
        <v>26</v>
      </c>
      <c r="I269" s="15" t="s">
        <v>262</v>
      </c>
      <c r="J269" s="57">
        <v>63</v>
      </c>
    </row>
    <row r="270" spans="1:10" hidden="1" x14ac:dyDescent="0.3">
      <c r="A270" s="19" t="s">
        <v>274</v>
      </c>
      <c r="B270" s="15" t="s">
        <v>35</v>
      </c>
      <c r="C270" s="15" t="s">
        <v>36</v>
      </c>
      <c r="D270" s="15" t="s">
        <v>13</v>
      </c>
      <c r="E270" s="15">
        <v>19</v>
      </c>
      <c r="F270" s="15">
        <v>9</v>
      </c>
      <c r="G270" s="15" t="s">
        <v>32</v>
      </c>
      <c r="H270" s="15" t="s">
        <v>61</v>
      </c>
      <c r="I270" s="15" t="s">
        <v>275</v>
      </c>
      <c r="J270" s="57">
        <v>63</v>
      </c>
    </row>
    <row r="271" spans="1:10" hidden="1" x14ac:dyDescent="0.3">
      <c r="A271" s="19" t="s">
        <v>418</v>
      </c>
      <c r="B271" s="15" t="s">
        <v>84</v>
      </c>
      <c r="C271" s="15" t="s">
        <v>24</v>
      </c>
      <c r="D271" s="15" t="s">
        <v>13</v>
      </c>
      <c r="E271" s="15">
        <v>15</v>
      </c>
      <c r="F271" s="15">
        <v>9</v>
      </c>
      <c r="G271" s="15" t="s">
        <v>25</v>
      </c>
      <c r="H271" s="15" t="s">
        <v>20</v>
      </c>
      <c r="I271" s="15" t="s">
        <v>419</v>
      </c>
      <c r="J271" s="57">
        <v>63</v>
      </c>
    </row>
    <row r="272" spans="1:10" hidden="1" x14ac:dyDescent="0.3">
      <c r="A272" s="19" t="s">
        <v>478</v>
      </c>
      <c r="B272" s="15" t="s">
        <v>11</v>
      </c>
      <c r="C272" s="15" t="s">
        <v>36</v>
      </c>
      <c r="D272" s="15" t="s">
        <v>13</v>
      </c>
      <c r="E272" s="15">
        <v>17</v>
      </c>
      <c r="F272" s="15">
        <v>12</v>
      </c>
      <c r="G272" s="15" t="s">
        <v>14</v>
      </c>
      <c r="H272" s="15" t="s">
        <v>37</v>
      </c>
      <c r="I272" s="15" t="s">
        <v>479</v>
      </c>
      <c r="J272" s="57">
        <v>63</v>
      </c>
    </row>
    <row r="273" spans="1:10" hidden="1" x14ac:dyDescent="0.3">
      <c r="A273" s="19" t="s">
        <v>540</v>
      </c>
      <c r="B273" s="15" t="s">
        <v>51</v>
      </c>
      <c r="C273" s="15" t="s">
        <v>85</v>
      </c>
      <c r="D273" s="15" t="s">
        <v>13</v>
      </c>
      <c r="E273" s="15">
        <v>18</v>
      </c>
      <c r="F273" s="15">
        <v>10</v>
      </c>
      <c r="G273" s="15" t="s">
        <v>14</v>
      </c>
      <c r="H273" s="15" t="s">
        <v>46</v>
      </c>
      <c r="I273" s="15" t="s">
        <v>541</v>
      </c>
      <c r="J273" s="57">
        <v>63</v>
      </c>
    </row>
    <row r="274" spans="1:10" hidden="1" x14ac:dyDescent="0.3">
      <c r="A274" s="19" t="s">
        <v>560</v>
      </c>
      <c r="B274" s="15" t="s">
        <v>68</v>
      </c>
      <c r="C274" s="15" t="s">
        <v>85</v>
      </c>
      <c r="D274" s="15" t="s">
        <v>31</v>
      </c>
      <c r="E274" s="15">
        <v>15</v>
      </c>
      <c r="F274" s="15">
        <v>10</v>
      </c>
      <c r="G274" s="15" t="s">
        <v>43</v>
      </c>
      <c r="H274" s="15" t="s">
        <v>26</v>
      </c>
      <c r="I274" s="15" t="s">
        <v>561</v>
      </c>
      <c r="J274" s="57">
        <v>63</v>
      </c>
    </row>
    <row r="275" spans="1:10" x14ac:dyDescent="0.3">
      <c r="A275" s="19" t="s">
        <v>571</v>
      </c>
      <c r="B275" s="15" t="s">
        <v>68</v>
      </c>
      <c r="C275" s="15" t="s">
        <v>12</v>
      </c>
      <c r="D275" s="15" t="s">
        <v>13</v>
      </c>
      <c r="E275" s="15">
        <v>16</v>
      </c>
      <c r="F275" s="15">
        <v>10</v>
      </c>
      <c r="G275" s="15" t="s">
        <v>25</v>
      </c>
      <c r="H275" s="15" t="s">
        <v>26</v>
      </c>
      <c r="I275" s="15" t="s">
        <v>434</v>
      </c>
      <c r="J275" s="57">
        <v>63</v>
      </c>
    </row>
    <row r="276" spans="1:10" hidden="1" x14ac:dyDescent="0.3">
      <c r="A276" s="19" t="s">
        <v>630</v>
      </c>
      <c r="B276" s="15" t="s">
        <v>84</v>
      </c>
      <c r="C276" s="15" t="s">
        <v>96</v>
      </c>
      <c r="D276" s="15" t="s">
        <v>31</v>
      </c>
      <c r="E276" s="15">
        <v>19</v>
      </c>
      <c r="F276" s="15">
        <v>10</v>
      </c>
      <c r="G276" s="15" t="s">
        <v>43</v>
      </c>
      <c r="H276" s="15" t="s">
        <v>20</v>
      </c>
      <c r="I276" s="15" t="s">
        <v>631</v>
      </c>
      <c r="J276" s="57">
        <v>63</v>
      </c>
    </row>
    <row r="277" spans="1:10" hidden="1" x14ac:dyDescent="0.3">
      <c r="A277" s="19" t="s">
        <v>705</v>
      </c>
      <c r="B277" s="15" t="s">
        <v>84</v>
      </c>
      <c r="C277" s="15" t="s">
        <v>55</v>
      </c>
      <c r="D277" s="15" t="s">
        <v>31</v>
      </c>
      <c r="E277" s="15">
        <v>14</v>
      </c>
      <c r="F277" s="15">
        <v>12</v>
      </c>
      <c r="G277" s="15" t="s">
        <v>43</v>
      </c>
      <c r="H277" s="15" t="s">
        <v>76</v>
      </c>
      <c r="I277" s="15" t="s">
        <v>706</v>
      </c>
      <c r="J277" s="57">
        <v>63</v>
      </c>
    </row>
    <row r="278" spans="1:10" hidden="1" x14ac:dyDescent="0.3">
      <c r="A278" s="19" t="s">
        <v>65</v>
      </c>
      <c r="B278" s="15" t="s">
        <v>23</v>
      </c>
      <c r="C278" s="15" t="s">
        <v>30</v>
      </c>
      <c r="D278" s="15" t="s">
        <v>13</v>
      </c>
      <c r="E278" s="15">
        <v>20</v>
      </c>
      <c r="F278" s="15">
        <v>12</v>
      </c>
      <c r="G278" s="15" t="s">
        <v>14</v>
      </c>
      <c r="H278" s="15" t="s">
        <v>40</v>
      </c>
      <c r="I278" s="15" t="s">
        <v>66</v>
      </c>
      <c r="J278" s="57">
        <v>62</v>
      </c>
    </row>
    <row r="279" spans="1:10" hidden="1" x14ac:dyDescent="0.3">
      <c r="A279" s="19" t="s">
        <v>259</v>
      </c>
      <c r="B279" s="15" t="s">
        <v>54</v>
      </c>
      <c r="C279" s="15" t="s">
        <v>85</v>
      </c>
      <c r="D279" s="15" t="s">
        <v>13</v>
      </c>
      <c r="E279" s="15">
        <v>14</v>
      </c>
      <c r="F279" s="15">
        <v>11</v>
      </c>
      <c r="G279" s="15" t="s">
        <v>43</v>
      </c>
      <c r="H279" s="15" t="s">
        <v>46</v>
      </c>
      <c r="I279" s="15" t="s">
        <v>260</v>
      </c>
      <c r="J279" s="57">
        <v>62</v>
      </c>
    </row>
    <row r="280" spans="1:10" hidden="1" x14ac:dyDescent="0.3">
      <c r="A280" s="19" t="s">
        <v>276</v>
      </c>
      <c r="B280" s="15" t="s">
        <v>84</v>
      </c>
      <c r="C280" s="15" t="s">
        <v>30</v>
      </c>
      <c r="D280" s="15" t="s">
        <v>31</v>
      </c>
      <c r="E280" s="15">
        <v>14</v>
      </c>
      <c r="F280" s="15">
        <v>12</v>
      </c>
      <c r="G280" s="15" t="s">
        <v>14</v>
      </c>
      <c r="H280" s="15" t="s">
        <v>26</v>
      </c>
      <c r="I280" s="15" t="s">
        <v>277</v>
      </c>
      <c r="J280" s="57">
        <v>62</v>
      </c>
    </row>
    <row r="281" spans="1:10" x14ac:dyDescent="0.3">
      <c r="A281" s="19" t="s">
        <v>289</v>
      </c>
      <c r="B281" s="15" t="s">
        <v>23</v>
      </c>
      <c r="C281" s="15" t="s">
        <v>79</v>
      </c>
      <c r="D281" s="15" t="s">
        <v>31</v>
      </c>
      <c r="E281" s="15">
        <v>17</v>
      </c>
      <c r="F281" s="15">
        <v>9</v>
      </c>
      <c r="G281" s="15" t="s">
        <v>25</v>
      </c>
      <c r="H281" s="15" t="s">
        <v>37</v>
      </c>
      <c r="I281" s="15" t="s">
        <v>290</v>
      </c>
      <c r="J281" s="57">
        <v>62</v>
      </c>
    </row>
    <row r="282" spans="1:10" hidden="1" x14ac:dyDescent="0.3">
      <c r="A282" s="19" t="s">
        <v>375</v>
      </c>
      <c r="B282" s="15" t="s">
        <v>35</v>
      </c>
      <c r="C282" s="15" t="s">
        <v>36</v>
      </c>
      <c r="D282" s="15" t="s">
        <v>13</v>
      </c>
      <c r="E282" s="15">
        <v>18</v>
      </c>
      <c r="F282" s="15">
        <v>11</v>
      </c>
      <c r="G282" s="15" t="s">
        <v>25</v>
      </c>
      <c r="H282" s="15" t="s">
        <v>40</v>
      </c>
      <c r="I282" s="15" t="s">
        <v>376</v>
      </c>
      <c r="J282" s="57">
        <v>62</v>
      </c>
    </row>
    <row r="283" spans="1:10" hidden="1" x14ac:dyDescent="0.3">
      <c r="A283" s="19" t="s">
        <v>437</v>
      </c>
      <c r="B283" s="15" t="s">
        <v>73</v>
      </c>
      <c r="C283" s="15" t="s">
        <v>30</v>
      </c>
      <c r="D283" s="15" t="s">
        <v>13</v>
      </c>
      <c r="E283" s="15">
        <v>14</v>
      </c>
      <c r="F283" s="15">
        <v>11</v>
      </c>
      <c r="G283" s="15" t="s">
        <v>32</v>
      </c>
      <c r="H283" s="15" t="s">
        <v>76</v>
      </c>
      <c r="I283" s="15" t="s">
        <v>438</v>
      </c>
      <c r="J283" s="57">
        <v>62</v>
      </c>
    </row>
    <row r="284" spans="1:10" hidden="1" x14ac:dyDescent="0.3">
      <c r="A284" s="19" t="s">
        <v>596</v>
      </c>
      <c r="B284" s="15" t="s">
        <v>11</v>
      </c>
      <c r="C284" s="15" t="s">
        <v>30</v>
      </c>
      <c r="D284" s="15" t="s">
        <v>13</v>
      </c>
      <c r="E284" s="15">
        <v>14</v>
      </c>
      <c r="F284" s="15">
        <v>9</v>
      </c>
      <c r="G284" s="15" t="s">
        <v>25</v>
      </c>
      <c r="H284" s="15" t="s">
        <v>76</v>
      </c>
      <c r="I284" s="15" t="s">
        <v>447</v>
      </c>
      <c r="J284" s="57">
        <v>62</v>
      </c>
    </row>
    <row r="285" spans="1:10" x14ac:dyDescent="0.3">
      <c r="A285" s="19" t="s">
        <v>622</v>
      </c>
      <c r="B285" s="15" t="s">
        <v>23</v>
      </c>
      <c r="C285" s="15" t="s">
        <v>96</v>
      </c>
      <c r="D285" s="15" t="s">
        <v>31</v>
      </c>
      <c r="E285" s="15">
        <v>17</v>
      </c>
      <c r="F285" s="15">
        <v>12</v>
      </c>
      <c r="G285" s="15" t="s">
        <v>43</v>
      </c>
      <c r="H285" s="15" t="s">
        <v>46</v>
      </c>
      <c r="I285" s="15" t="s">
        <v>170</v>
      </c>
      <c r="J285" s="57">
        <v>62</v>
      </c>
    </row>
    <row r="286" spans="1:10" hidden="1" x14ac:dyDescent="0.3">
      <c r="A286" s="19" t="s">
        <v>658</v>
      </c>
      <c r="B286" s="15" t="s">
        <v>11</v>
      </c>
      <c r="C286" s="15" t="s">
        <v>96</v>
      </c>
      <c r="D286" s="15" t="s">
        <v>31</v>
      </c>
      <c r="E286" s="15">
        <v>20</v>
      </c>
      <c r="F286" s="15">
        <v>10</v>
      </c>
      <c r="G286" s="15" t="s">
        <v>43</v>
      </c>
      <c r="H286" s="15" t="s">
        <v>37</v>
      </c>
      <c r="I286" s="15" t="s">
        <v>659</v>
      </c>
      <c r="J286" s="57">
        <v>62</v>
      </c>
    </row>
    <row r="287" spans="1:10" x14ac:dyDescent="0.3">
      <c r="A287" s="19" t="s">
        <v>812</v>
      </c>
      <c r="B287" s="15" t="s">
        <v>51</v>
      </c>
      <c r="C287" s="15" t="s">
        <v>55</v>
      </c>
      <c r="D287" s="15" t="s">
        <v>13</v>
      </c>
      <c r="E287" s="15">
        <v>15</v>
      </c>
      <c r="F287" s="15">
        <v>10</v>
      </c>
      <c r="G287" s="15" t="s">
        <v>43</v>
      </c>
      <c r="H287" s="15" t="s">
        <v>46</v>
      </c>
      <c r="I287" s="15" t="s">
        <v>82</v>
      </c>
      <c r="J287" s="57">
        <v>62</v>
      </c>
    </row>
    <row r="288" spans="1:10" hidden="1" x14ac:dyDescent="0.3">
      <c r="A288" s="19" t="s">
        <v>930</v>
      </c>
      <c r="B288" s="15" t="s">
        <v>35</v>
      </c>
      <c r="C288" s="15" t="s">
        <v>96</v>
      </c>
      <c r="D288" s="15" t="s">
        <v>31</v>
      </c>
      <c r="E288" s="15">
        <v>20</v>
      </c>
      <c r="F288" s="15">
        <v>9</v>
      </c>
      <c r="G288" s="15" t="s">
        <v>25</v>
      </c>
      <c r="H288" s="15" t="s">
        <v>61</v>
      </c>
      <c r="I288" s="15" t="s">
        <v>342</v>
      </c>
      <c r="J288" s="57">
        <v>62</v>
      </c>
    </row>
    <row r="289" spans="1:10" hidden="1" x14ac:dyDescent="0.3">
      <c r="A289" s="19" t="s">
        <v>514</v>
      </c>
      <c r="B289" s="15" t="s">
        <v>11</v>
      </c>
      <c r="C289" s="15" t="s">
        <v>12</v>
      </c>
      <c r="D289" s="15" t="s">
        <v>31</v>
      </c>
      <c r="E289" s="15">
        <v>15</v>
      </c>
      <c r="F289" s="15">
        <v>11</v>
      </c>
      <c r="G289" s="15" t="s">
        <v>25</v>
      </c>
      <c r="H289" s="15" t="s">
        <v>20</v>
      </c>
      <c r="I289" s="15" t="s">
        <v>515</v>
      </c>
      <c r="J289" s="57">
        <v>61</v>
      </c>
    </row>
    <row r="290" spans="1:10" hidden="1" x14ac:dyDescent="0.3">
      <c r="A290" s="19" t="s">
        <v>764</v>
      </c>
      <c r="B290" s="15" t="s">
        <v>18</v>
      </c>
      <c r="C290" s="15" t="s">
        <v>55</v>
      </c>
      <c r="D290" s="15" t="s">
        <v>13</v>
      </c>
      <c r="E290" s="15">
        <v>16</v>
      </c>
      <c r="F290" s="15">
        <v>12</v>
      </c>
      <c r="G290" s="15" t="s">
        <v>14</v>
      </c>
      <c r="H290" s="15" t="s">
        <v>40</v>
      </c>
      <c r="I290" s="15" t="s">
        <v>765</v>
      </c>
      <c r="J290" s="57">
        <v>61</v>
      </c>
    </row>
    <row r="291" spans="1:10" hidden="1" x14ac:dyDescent="0.3">
      <c r="A291" s="19" t="s">
        <v>768</v>
      </c>
      <c r="B291" s="15" t="s">
        <v>23</v>
      </c>
      <c r="C291" s="15" t="s">
        <v>24</v>
      </c>
      <c r="D291" s="15" t="s">
        <v>13</v>
      </c>
      <c r="E291" s="15">
        <v>17</v>
      </c>
      <c r="F291" s="15">
        <v>11</v>
      </c>
      <c r="G291" s="15" t="s">
        <v>25</v>
      </c>
      <c r="H291" s="15" t="s">
        <v>40</v>
      </c>
      <c r="I291" s="15" t="s">
        <v>258</v>
      </c>
      <c r="J291" s="57">
        <v>61</v>
      </c>
    </row>
    <row r="292" spans="1:10" x14ac:dyDescent="0.3">
      <c r="A292" s="19" t="s">
        <v>45</v>
      </c>
      <c r="B292" s="15" t="s">
        <v>35</v>
      </c>
      <c r="C292" s="15" t="s">
        <v>12</v>
      </c>
      <c r="D292" s="15" t="s">
        <v>13</v>
      </c>
      <c r="E292" s="15">
        <v>19</v>
      </c>
      <c r="F292" s="15">
        <v>12</v>
      </c>
      <c r="G292" s="15" t="s">
        <v>32</v>
      </c>
      <c r="H292" s="15" t="s">
        <v>46</v>
      </c>
      <c r="I292" s="15" t="s">
        <v>47</v>
      </c>
      <c r="J292" s="57">
        <v>60</v>
      </c>
    </row>
    <row r="293" spans="1:10" hidden="1" x14ac:dyDescent="0.3">
      <c r="A293" s="19" t="s">
        <v>110</v>
      </c>
      <c r="B293" s="15" t="s">
        <v>51</v>
      </c>
      <c r="C293" s="15" t="s">
        <v>58</v>
      </c>
      <c r="D293" s="15" t="s">
        <v>31</v>
      </c>
      <c r="E293" s="15">
        <v>14</v>
      </c>
      <c r="F293" s="15">
        <v>10</v>
      </c>
      <c r="G293" s="15" t="s">
        <v>32</v>
      </c>
      <c r="H293" s="15" t="s">
        <v>76</v>
      </c>
      <c r="I293" s="15" t="s">
        <v>111</v>
      </c>
      <c r="J293" s="57">
        <v>60</v>
      </c>
    </row>
    <row r="294" spans="1:10" hidden="1" x14ac:dyDescent="0.3">
      <c r="A294" s="19" t="s">
        <v>169</v>
      </c>
      <c r="B294" s="15" t="s">
        <v>11</v>
      </c>
      <c r="C294" s="15" t="s">
        <v>30</v>
      </c>
      <c r="D294" s="15" t="s">
        <v>31</v>
      </c>
      <c r="E294" s="15">
        <v>18</v>
      </c>
      <c r="F294" s="15">
        <v>9</v>
      </c>
      <c r="G294" s="15" t="s">
        <v>25</v>
      </c>
      <c r="H294" s="15" t="s">
        <v>46</v>
      </c>
      <c r="I294" s="15" t="s">
        <v>170</v>
      </c>
      <c r="J294" s="57">
        <v>60</v>
      </c>
    </row>
    <row r="295" spans="1:10" hidden="1" x14ac:dyDescent="0.3">
      <c r="A295" s="19" t="s">
        <v>443</v>
      </c>
      <c r="B295" s="15" t="s">
        <v>18</v>
      </c>
      <c r="C295" s="15" t="s">
        <v>96</v>
      </c>
      <c r="D295" s="15" t="s">
        <v>13</v>
      </c>
      <c r="E295" s="15">
        <v>17</v>
      </c>
      <c r="F295" s="15">
        <v>9</v>
      </c>
      <c r="G295" s="15" t="s">
        <v>43</v>
      </c>
      <c r="H295" s="15" t="s">
        <v>37</v>
      </c>
      <c r="I295" s="15" t="s">
        <v>444</v>
      </c>
      <c r="J295" s="57">
        <v>60</v>
      </c>
    </row>
    <row r="296" spans="1:10" hidden="1" x14ac:dyDescent="0.3">
      <c r="A296" s="19" t="s">
        <v>455</v>
      </c>
      <c r="B296" s="15" t="s">
        <v>29</v>
      </c>
      <c r="C296" s="15" t="s">
        <v>30</v>
      </c>
      <c r="D296" s="15" t="s">
        <v>13</v>
      </c>
      <c r="E296" s="15">
        <v>16</v>
      </c>
      <c r="F296" s="15">
        <v>9</v>
      </c>
      <c r="G296" s="15" t="s">
        <v>14</v>
      </c>
      <c r="H296" s="15" t="s">
        <v>61</v>
      </c>
      <c r="I296" s="15" t="s">
        <v>447</v>
      </c>
      <c r="J296" s="57">
        <v>60</v>
      </c>
    </row>
    <row r="297" spans="1:10" hidden="1" x14ac:dyDescent="0.3">
      <c r="A297" s="19" t="s">
        <v>490</v>
      </c>
      <c r="B297" s="15" t="s">
        <v>73</v>
      </c>
      <c r="C297" s="15" t="s">
        <v>96</v>
      </c>
      <c r="D297" s="15" t="s">
        <v>13</v>
      </c>
      <c r="E297" s="15">
        <v>17</v>
      </c>
      <c r="F297" s="15">
        <v>10</v>
      </c>
      <c r="G297" s="15" t="s">
        <v>32</v>
      </c>
      <c r="H297" s="15" t="s">
        <v>61</v>
      </c>
      <c r="I297" s="15" t="s">
        <v>491</v>
      </c>
      <c r="J297" s="57">
        <v>60</v>
      </c>
    </row>
    <row r="298" spans="1:10" hidden="1" x14ac:dyDescent="0.3">
      <c r="A298" s="19" t="s">
        <v>683</v>
      </c>
      <c r="B298" s="15" t="s">
        <v>84</v>
      </c>
      <c r="C298" s="15" t="s">
        <v>55</v>
      </c>
      <c r="D298" s="15" t="s">
        <v>31</v>
      </c>
      <c r="E298" s="15">
        <v>16</v>
      </c>
      <c r="F298" s="15">
        <v>12</v>
      </c>
      <c r="G298" s="15" t="s">
        <v>14</v>
      </c>
      <c r="H298" s="15" t="s">
        <v>76</v>
      </c>
      <c r="I298" s="15" t="s">
        <v>125</v>
      </c>
      <c r="J298" s="57">
        <v>60</v>
      </c>
    </row>
    <row r="299" spans="1:10" hidden="1" x14ac:dyDescent="0.3">
      <c r="A299" s="19" t="s">
        <v>743</v>
      </c>
      <c r="B299" s="15" t="s">
        <v>84</v>
      </c>
      <c r="C299" s="15" t="s">
        <v>19</v>
      </c>
      <c r="D299" s="15" t="s">
        <v>13</v>
      </c>
      <c r="E299" s="15">
        <v>15</v>
      </c>
      <c r="F299" s="15">
        <v>10</v>
      </c>
      <c r="G299" s="15" t="s">
        <v>43</v>
      </c>
      <c r="H299" s="15" t="s">
        <v>26</v>
      </c>
      <c r="I299" s="15" t="s">
        <v>744</v>
      </c>
      <c r="J299" s="57">
        <v>60</v>
      </c>
    </row>
    <row r="300" spans="1:10" hidden="1" x14ac:dyDescent="0.3">
      <c r="A300" s="19" t="s">
        <v>813</v>
      </c>
      <c r="B300" s="15" t="s">
        <v>73</v>
      </c>
      <c r="C300" s="15" t="s">
        <v>58</v>
      </c>
      <c r="D300" s="15" t="s">
        <v>13</v>
      </c>
      <c r="E300" s="15">
        <v>17</v>
      </c>
      <c r="F300" s="15">
        <v>12</v>
      </c>
      <c r="G300" s="15" t="s">
        <v>32</v>
      </c>
      <c r="H300" s="15" t="s">
        <v>46</v>
      </c>
      <c r="I300" s="15" t="s">
        <v>346</v>
      </c>
      <c r="J300" s="57">
        <v>60</v>
      </c>
    </row>
    <row r="301" spans="1:10" hidden="1" x14ac:dyDescent="0.3">
      <c r="A301" s="19" t="s">
        <v>53</v>
      </c>
      <c r="B301" s="15" t="s">
        <v>54</v>
      </c>
      <c r="C301" s="15" t="s">
        <v>55</v>
      </c>
      <c r="D301" s="15" t="s">
        <v>31</v>
      </c>
      <c r="E301" s="15">
        <v>20</v>
      </c>
      <c r="F301" s="15">
        <v>10</v>
      </c>
      <c r="G301" s="15" t="s">
        <v>25</v>
      </c>
      <c r="H301" s="15" t="s">
        <v>40</v>
      </c>
      <c r="I301" s="15" t="s">
        <v>56</v>
      </c>
      <c r="J301" s="57">
        <v>59</v>
      </c>
    </row>
    <row r="302" spans="1:10" hidden="1" x14ac:dyDescent="0.3">
      <c r="A302" s="19" t="s">
        <v>78</v>
      </c>
      <c r="B302" s="15" t="s">
        <v>68</v>
      </c>
      <c r="C302" s="15" t="s">
        <v>79</v>
      </c>
      <c r="D302" s="15" t="s">
        <v>31</v>
      </c>
      <c r="E302" s="15">
        <v>15</v>
      </c>
      <c r="F302" s="15">
        <v>10</v>
      </c>
      <c r="G302" s="15" t="s">
        <v>14</v>
      </c>
      <c r="H302" s="15" t="s">
        <v>20</v>
      </c>
      <c r="I302" s="15" t="s">
        <v>80</v>
      </c>
      <c r="J302" s="57">
        <v>59</v>
      </c>
    </row>
    <row r="303" spans="1:10" hidden="1" x14ac:dyDescent="0.3">
      <c r="A303" s="19" t="s">
        <v>126</v>
      </c>
      <c r="B303" s="15" t="s">
        <v>18</v>
      </c>
      <c r="C303" s="15" t="s">
        <v>24</v>
      </c>
      <c r="D303" s="15" t="s">
        <v>13</v>
      </c>
      <c r="E303" s="15">
        <v>15</v>
      </c>
      <c r="F303" s="15">
        <v>9</v>
      </c>
      <c r="G303" s="15" t="s">
        <v>25</v>
      </c>
      <c r="H303" s="15" t="s">
        <v>76</v>
      </c>
      <c r="I303" s="15" t="s">
        <v>127</v>
      </c>
      <c r="J303" s="57">
        <v>59</v>
      </c>
    </row>
    <row r="304" spans="1:10" hidden="1" x14ac:dyDescent="0.3">
      <c r="A304" s="19" t="s">
        <v>205</v>
      </c>
      <c r="B304" s="15" t="s">
        <v>73</v>
      </c>
      <c r="C304" s="15" t="s">
        <v>24</v>
      </c>
      <c r="D304" s="15" t="s">
        <v>13</v>
      </c>
      <c r="E304" s="15">
        <v>17</v>
      </c>
      <c r="F304" s="15">
        <v>9</v>
      </c>
      <c r="G304" s="15" t="s">
        <v>14</v>
      </c>
      <c r="H304" s="15" t="s">
        <v>46</v>
      </c>
      <c r="I304" s="15" t="s">
        <v>206</v>
      </c>
      <c r="J304" s="57">
        <v>59</v>
      </c>
    </row>
    <row r="305" spans="1:10" hidden="1" x14ac:dyDescent="0.3">
      <c r="A305" s="19" t="s">
        <v>410</v>
      </c>
      <c r="B305" s="15" t="s">
        <v>18</v>
      </c>
      <c r="C305" s="15" t="s">
        <v>55</v>
      </c>
      <c r="D305" s="15" t="s">
        <v>31</v>
      </c>
      <c r="E305" s="15">
        <v>20</v>
      </c>
      <c r="F305" s="15">
        <v>10</v>
      </c>
      <c r="G305" s="15" t="s">
        <v>43</v>
      </c>
      <c r="H305" s="15" t="s">
        <v>40</v>
      </c>
      <c r="I305" s="15" t="s">
        <v>411</v>
      </c>
      <c r="J305" s="57">
        <v>59</v>
      </c>
    </row>
    <row r="306" spans="1:10" x14ac:dyDescent="0.3">
      <c r="A306" s="19" t="s">
        <v>526</v>
      </c>
      <c r="B306" s="15" t="s">
        <v>18</v>
      </c>
      <c r="C306" s="15" t="s">
        <v>12</v>
      </c>
      <c r="D306" s="15" t="s">
        <v>31</v>
      </c>
      <c r="E306" s="15">
        <v>18</v>
      </c>
      <c r="F306" s="15">
        <v>9</v>
      </c>
      <c r="G306" s="15" t="s">
        <v>14</v>
      </c>
      <c r="H306" s="15" t="s">
        <v>15</v>
      </c>
      <c r="I306" s="15" t="s">
        <v>346</v>
      </c>
      <c r="J306" s="57">
        <v>59</v>
      </c>
    </row>
    <row r="307" spans="1:10" hidden="1" x14ac:dyDescent="0.3">
      <c r="A307" s="19" t="s">
        <v>584</v>
      </c>
      <c r="B307" s="15" t="s">
        <v>68</v>
      </c>
      <c r="C307" s="15" t="s">
        <v>55</v>
      </c>
      <c r="D307" s="15" t="s">
        <v>31</v>
      </c>
      <c r="E307" s="15">
        <v>16</v>
      </c>
      <c r="F307" s="15">
        <v>9</v>
      </c>
      <c r="G307" s="15" t="s">
        <v>14</v>
      </c>
      <c r="H307" s="15" t="s">
        <v>61</v>
      </c>
      <c r="I307" s="15" t="s">
        <v>585</v>
      </c>
      <c r="J307" s="57">
        <v>59</v>
      </c>
    </row>
    <row r="308" spans="1:10" hidden="1" x14ac:dyDescent="0.3">
      <c r="A308" s="19" t="s">
        <v>700</v>
      </c>
      <c r="B308" s="15" t="s">
        <v>23</v>
      </c>
      <c r="C308" s="15" t="s">
        <v>55</v>
      </c>
      <c r="D308" s="15" t="s">
        <v>31</v>
      </c>
      <c r="E308" s="15">
        <v>20</v>
      </c>
      <c r="F308" s="15">
        <v>10</v>
      </c>
      <c r="G308" s="15" t="s">
        <v>14</v>
      </c>
      <c r="H308" s="15" t="s">
        <v>15</v>
      </c>
      <c r="I308" s="15" t="s">
        <v>678</v>
      </c>
      <c r="J308" s="57">
        <v>59</v>
      </c>
    </row>
    <row r="309" spans="1:10" hidden="1" x14ac:dyDescent="0.3">
      <c r="A309" s="19" t="s">
        <v>799</v>
      </c>
      <c r="B309" s="15" t="s">
        <v>54</v>
      </c>
      <c r="C309" s="15" t="s">
        <v>36</v>
      </c>
      <c r="D309" s="15" t="s">
        <v>31</v>
      </c>
      <c r="E309" s="15">
        <v>17</v>
      </c>
      <c r="F309" s="15">
        <v>12</v>
      </c>
      <c r="G309" s="15" t="s">
        <v>14</v>
      </c>
      <c r="H309" s="15" t="s">
        <v>46</v>
      </c>
      <c r="I309" s="15" t="s">
        <v>533</v>
      </c>
      <c r="J309" s="57">
        <v>59</v>
      </c>
    </row>
    <row r="310" spans="1:10" x14ac:dyDescent="0.3">
      <c r="A310" s="19" t="s">
        <v>805</v>
      </c>
      <c r="B310" s="15" t="s">
        <v>29</v>
      </c>
      <c r="C310" s="15" t="s">
        <v>36</v>
      </c>
      <c r="D310" s="15" t="s">
        <v>31</v>
      </c>
      <c r="E310" s="15">
        <v>17</v>
      </c>
      <c r="F310" s="15">
        <v>10</v>
      </c>
      <c r="G310" s="15" t="s">
        <v>25</v>
      </c>
      <c r="H310" s="15" t="s">
        <v>15</v>
      </c>
      <c r="I310" s="15" t="s">
        <v>806</v>
      </c>
      <c r="J310" s="57">
        <v>59</v>
      </c>
    </row>
    <row r="311" spans="1:10" hidden="1" x14ac:dyDescent="0.3">
      <c r="A311" s="19" t="s">
        <v>830</v>
      </c>
      <c r="B311" s="15" t="s">
        <v>23</v>
      </c>
      <c r="C311" s="15" t="s">
        <v>58</v>
      </c>
      <c r="D311" s="15" t="s">
        <v>31</v>
      </c>
      <c r="E311" s="15">
        <v>17</v>
      </c>
      <c r="F311" s="15">
        <v>9</v>
      </c>
      <c r="G311" s="15" t="s">
        <v>43</v>
      </c>
      <c r="H311" s="15" t="s">
        <v>61</v>
      </c>
      <c r="I311" s="15" t="s">
        <v>820</v>
      </c>
      <c r="J311" s="57">
        <v>59</v>
      </c>
    </row>
    <row r="312" spans="1:10" hidden="1" x14ac:dyDescent="0.3">
      <c r="A312" s="19" t="s">
        <v>902</v>
      </c>
      <c r="B312" s="15" t="s">
        <v>35</v>
      </c>
      <c r="C312" s="15" t="s">
        <v>12</v>
      </c>
      <c r="D312" s="15" t="s">
        <v>31</v>
      </c>
      <c r="E312" s="15">
        <v>14</v>
      </c>
      <c r="F312" s="15">
        <v>11</v>
      </c>
      <c r="G312" s="15" t="s">
        <v>14</v>
      </c>
      <c r="H312" s="15" t="s">
        <v>37</v>
      </c>
      <c r="I312" s="15" t="s">
        <v>271</v>
      </c>
      <c r="J312" s="57">
        <v>59</v>
      </c>
    </row>
    <row r="313" spans="1:10" hidden="1" x14ac:dyDescent="0.3">
      <c r="A313" s="19" t="s">
        <v>112</v>
      </c>
      <c r="B313" s="15" t="s">
        <v>73</v>
      </c>
      <c r="C313" s="15" t="s">
        <v>30</v>
      </c>
      <c r="D313" s="15" t="s">
        <v>13</v>
      </c>
      <c r="E313" s="15">
        <v>15</v>
      </c>
      <c r="F313" s="15">
        <v>9</v>
      </c>
      <c r="G313" s="15" t="s">
        <v>14</v>
      </c>
      <c r="H313" s="15" t="s">
        <v>26</v>
      </c>
      <c r="I313" s="15" t="s">
        <v>113</v>
      </c>
      <c r="J313" s="57">
        <v>58</v>
      </c>
    </row>
    <row r="314" spans="1:10" hidden="1" x14ac:dyDescent="0.3">
      <c r="A314" s="19" t="s">
        <v>263</v>
      </c>
      <c r="B314" s="15" t="s">
        <v>29</v>
      </c>
      <c r="C314" s="15" t="s">
        <v>19</v>
      </c>
      <c r="D314" s="15" t="s">
        <v>13</v>
      </c>
      <c r="E314" s="15">
        <v>15</v>
      </c>
      <c r="F314" s="15">
        <v>11</v>
      </c>
      <c r="G314" s="15" t="s">
        <v>25</v>
      </c>
      <c r="H314" s="15" t="s">
        <v>46</v>
      </c>
      <c r="I314" s="15" t="s">
        <v>264</v>
      </c>
      <c r="J314" s="57">
        <v>58</v>
      </c>
    </row>
    <row r="315" spans="1:10" hidden="1" x14ac:dyDescent="0.3">
      <c r="A315" s="19" t="s">
        <v>446</v>
      </c>
      <c r="B315" s="15" t="s">
        <v>73</v>
      </c>
      <c r="C315" s="15" t="s">
        <v>24</v>
      </c>
      <c r="D315" s="15" t="s">
        <v>13</v>
      </c>
      <c r="E315" s="15">
        <v>17</v>
      </c>
      <c r="F315" s="15">
        <v>10</v>
      </c>
      <c r="G315" s="15" t="s">
        <v>14</v>
      </c>
      <c r="H315" s="15" t="s">
        <v>20</v>
      </c>
      <c r="I315" s="15" t="s">
        <v>447</v>
      </c>
      <c r="J315" s="57">
        <v>58</v>
      </c>
    </row>
    <row r="316" spans="1:10" hidden="1" x14ac:dyDescent="0.3">
      <c r="A316" s="19" t="s">
        <v>450</v>
      </c>
      <c r="B316" s="15" t="s">
        <v>54</v>
      </c>
      <c r="C316" s="15" t="s">
        <v>55</v>
      </c>
      <c r="D316" s="15" t="s">
        <v>31</v>
      </c>
      <c r="E316" s="15">
        <v>19</v>
      </c>
      <c r="F316" s="15">
        <v>12</v>
      </c>
      <c r="G316" s="15" t="s">
        <v>43</v>
      </c>
      <c r="H316" s="15" t="s">
        <v>20</v>
      </c>
      <c r="I316" s="15" t="s">
        <v>451</v>
      </c>
      <c r="J316" s="57">
        <v>58</v>
      </c>
    </row>
    <row r="317" spans="1:10" hidden="1" x14ac:dyDescent="0.3">
      <c r="A317" s="19" t="s">
        <v>535</v>
      </c>
      <c r="B317" s="15" t="s">
        <v>84</v>
      </c>
      <c r="C317" s="15" t="s">
        <v>58</v>
      </c>
      <c r="D317" s="15" t="s">
        <v>13</v>
      </c>
      <c r="E317" s="15">
        <v>20</v>
      </c>
      <c r="F317" s="15">
        <v>9</v>
      </c>
      <c r="G317" s="15" t="s">
        <v>25</v>
      </c>
      <c r="H317" s="15" t="s">
        <v>46</v>
      </c>
      <c r="I317" s="15" t="s">
        <v>536</v>
      </c>
      <c r="J317" s="57">
        <v>58</v>
      </c>
    </row>
    <row r="318" spans="1:10" hidden="1" x14ac:dyDescent="0.3">
      <c r="A318" s="19" t="s">
        <v>753</v>
      </c>
      <c r="B318" s="15" t="s">
        <v>73</v>
      </c>
      <c r="C318" s="15" t="s">
        <v>24</v>
      </c>
      <c r="D318" s="15" t="s">
        <v>13</v>
      </c>
      <c r="E318" s="15">
        <v>18</v>
      </c>
      <c r="F318" s="15">
        <v>11</v>
      </c>
      <c r="G318" s="15" t="s">
        <v>32</v>
      </c>
      <c r="H318" s="15" t="s">
        <v>40</v>
      </c>
      <c r="I318" s="15" t="s">
        <v>313</v>
      </c>
      <c r="J318" s="57">
        <v>58</v>
      </c>
    </row>
    <row r="319" spans="1:10" hidden="1" x14ac:dyDescent="0.3">
      <c r="A319" s="19" t="s">
        <v>881</v>
      </c>
      <c r="B319" s="15" t="s">
        <v>73</v>
      </c>
      <c r="C319" s="15" t="s">
        <v>24</v>
      </c>
      <c r="D319" s="15" t="s">
        <v>31</v>
      </c>
      <c r="E319" s="15">
        <v>14</v>
      </c>
      <c r="F319" s="15">
        <v>12</v>
      </c>
      <c r="G319" s="15" t="s">
        <v>25</v>
      </c>
      <c r="H319" s="15" t="s">
        <v>46</v>
      </c>
      <c r="I319" s="15" t="s">
        <v>882</v>
      </c>
      <c r="J319" s="57">
        <v>58</v>
      </c>
    </row>
    <row r="320" spans="1:10" hidden="1" x14ac:dyDescent="0.3">
      <c r="A320" s="19" t="s">
        <v>898</v>
      </c>
      <c r="B320" s="15" t="s">
        <v>18</v>
      </c>
      <c r="C320" s="15" t="s">
        <v>19</v>
      </c>
      <c r="D320" s="15" t="s">
        <v>13</v>
      </c>
      <c r="E320" s="15">
        <v>17</v>
      </c>
      <c r="F320" s="15">
        <v>10</v>
      </c>
      <c r="G320" s="15" t="s">
        <v>25</v>
      </c>
      <c r="H320" s="15" t="s">
        <v>61</v>
      </c>
      <c r="I320" s="15" t="s">
        <v>471</v>
      </c>
      <c r="J320" s="57">
        <v>58</v>
      </c>
    </row>
    <row r="321" spans="1:10" hidden="1" x14ac:dyDescent="0.3">
      <c r="A321" s="19" t="s">
        <v>921</v>
      </c>
      <c r="B321" s="15" t="s">
        <v>18</v>
      </c>
      <c r="C321" s="15" t="s">
        <v>24</v>
      </c>
      <c r="D321" s="15" t="s">
        <v>13</v>
      </c>
      <c r="E321" s="15">
        <v>19</v>
      </c>
      <c r="F321" s="15">
        <v>10</v>
      </c>
      <c r="G321" s="15" t="s">
        <v>14</v>
      </c>
      <c r="H321" s="15" t="s">
        <v>20</v>
      </c>
      <c r="I321" s="15" t="s">
        <v>922</v>
      </c>
      <c r="J321" s="57">
        <v>58</v>
      </c>
    </row>
    <row r="322" spans="1:10" hidden="1" x14ac:dyDescent="0.3">
      <c r="A322" s="19" t="s">
        <v>104</v>
      </c>
      <c r="B322" s="15" t="s">
        <v>29</v>
      </c>
      <c r="C322" s="15" t="s">
        <v>79</v>
      </c>
      <c r="D322" s="15" t="s">
        <v>31</v>
      </c>
      <c r="E322" s="15">
        <v>18</v>
      </c>
      <c r="F322" s="15">
        <v>10</v>
      </c>
      <c r="G322" s="15" t="s">
        <v>25</v>
      </c>
      <c r="H322" s="15" t="s">
        <v>61</v>
      </c>
      <c r="I322" s="15" t="s">
        <v>105</v>
      </c>
      <c r="J322" s="57">
        <v>57</v>
      </c>
    </row>
    <row r="323" spans="1:10" hidden="1" x14ac:dyDescent="0.3">
      <c r="A323" s="19" t="s">
        <v>211</v>
      </c>
      <c r="B323" s="15" t="s">
        <v>35</v>
      </c>
      <c r="C323" s="15" t="s">
        <v>19</v>
      </c>
      <c r="D323" s="15" t="s">
        <v>31</v>
      </c>
      <c r="E323" s="15">
        <v>16</v>
      </c>
      <c r="F323" s="15">
        <v>9</v>
      </c>
      <c r="G323" s="15" t="s">
        <v>14</v>
      </c>
      <c r="H323" s="15" t="s">
        <v>37</v>
      </c>
      <c r="I323" s="15" t="s">
        <v>212</v>
      </c>
      <c r="J323" s="57">
        <v>57</v>
      </c>
    </row>
    <row r="324" spans="1:10" hidden="1" x14ac:dyDescent="0.3">
      <c r="A324" s="19" t="s">
        <v>308</v>
      </c>
      <c r="B324" s="15" t="s">
        <v>23</v>
      </c>
      <c r="C324" s="15" t="s">
        <v>36</v>
      </c>
      <c r="D324" s="15" t="s">
        <v>13</v>
      </c>
      <c r="E324" s="15">
        <v>18</v>
      </c>
      <c r="F324" s="15">
        <v>10</v>
      </c>
      <c r="G324" s="15" t="s">
        <v>43</v>
      </c>
      <c r="H324" s="15" t="s">
        <v>40</v>
      </c>
      <c r="I324" s="15" t="s">
        <v>309</v>
      </c>
      <c r="J324" s="57">
        <v>57</v>
      </c>
    </row>
    <row r="325" spans="1:10" hidden="1" x14ac:dyDescent="0.3">
      <c r="A325" s="19" t="s">
        <v>642</v>
      </c>
      <c r="B325" s="15" t="s">
        <v>18</v>
      </c>
      <c r="C325" s="15" t="s">
        <v>19</v>
      </c>
      <c r="D325" s="15" t="s">
        <v>13</v>
      </c>
      <c r="E325" s="15">
        <v>14</v>
      </c>
      <c r="F325" s="15">
        <v>9</v>
      </c>
      <c r="G325" s="15" t="s">
        <v>43</v>
      </c>
      <c r="H325" s="15" t="s">
        <v>20</v>
      </c>
      <c r="I325" s="15" t="s">
        <v>643</v>
      </c>
      <c r="J325" s="57">
        <v>57</v>
      </c>
    </row>
    <row r="326" spans="1:10" hidden="1" x14ac:dyDescent="0.3">
      <c r="A326" s="19" t="s">
        <v>713</v>
      </c>
      <c r="B326" s="15" t="s">
        <v>29</v>
      </c>
      <c r="C326" s="15" t="s">
        <v>24</v>
      </c>
      <c r="D326" s="15" t="s">
        <v>31</v>
      </c>
      <c r="E326" s="15">
        <v>16</v>
      </c>
      <c r="F326" s="15">
        <v>12</v>
      </c>
      <c r="G326" s="15" t="s">
        <v>32</v>
      </c>
      <c r="H326" s="15" t="s">
        <v>26</v>
      </c>
      <c r="I326" s="15" t="s">
        <v>714</v>
      </c>
      <c r="J326" s="57">
        <v>57</v>
      </c>
    </row>
    <row r="327" spans="1:10" hidden="1" x14ac:dyDescent="0.3">
      <c r="A327" s="19" t="s">
        <v>95</v>
      </c>
      <c r="B327" s="15" t="s">
        <v>18</v>
      </c>
      <c r="C327" s="15" t="s">
        <v>96</v>
      </c>
      <c r="D327" s="15" t="s">
        <v>13</v>
      </c>
      <c r="E327" s="15">
        <v>19</v>
      </c>
      <c r="F327" s="15">
        <v>12</v>
      </c>
      <c r="G327" s="15" t="s">
        <v>14</v>
      </c>
      <c r="H327" s="15" t="s">
        <v>15</v>
      </c>
      <c r="I327" s="15" t="s">
        <v>97</v>
      </c>
      <c r="J327" s="57">
        <v>56</v>
      </c>
    </row>
    <row r="328" spans="1:10" hidden="1" x14ac:dyDescent="0.3">
      <c r="A328" s="19" t="s">
        <v>98</v>
      </c>
      <c r="B328" s="15" t="s">
        <v>68</v>
      </c>
      <c r="C328" s="15" t="s">
        <v>55</v>
      </c>
      <c r="D328" s="15" t="s">
        <v>13</v>
      </c>
      <c r="E328" s="15">
        <v>19</v>
      </c>
      <c r="F328" s="15">
        <v>11</v>
      </c>
      <c r="G328" s="15" t="s">
        <v>43</v>
      </c>
      <c r="H328" s="15" t="s">
        <v>15</v>
      </c>
      <c r="I328" s="15" t="s">
        <v>99</v>
      </c>
      <c r="J328" s="57">
        <v>56</v>
      </c>
    </row>
    <row r="329" spans="1:10" hidden="1" x14ac:dyDescent="0.3">
      <c r="A329" s="19" t="s">
        <v>116</v>
      </c>
      <c r="B329" s="15" t="s">
        <v>84</v>
      </c>
      <c r="C329" s="15" t="s">
        <v>19</v>
      </c>
      <c r="D329" s="15" t="s">
        <v>13</v>
      </c>
      <c r="E329" s="15">
        <v>19</v>
      </c>
      <c r="F329" s="15">
        <v>12</v>
      </c>
      <c r="G329" s="15" t="s">
        <v>14</v>
      </c>
      <c r="H329" s="15" t="s">
        <v>20</v>
      </c>
      <c r="I329" s="15" t="s">
        <v>117</v>
      </c>
      <c r="J329" s="57">
        <v>56</v>
      </c>
    </row>
    <row r="330" spans="1:10" hidden="1" x14ac:dyDescent="0.3">
      <c r="A330" s="19" t="s">
        <v>298</v>
      </c>
      <c r="B330" s="15" t="s">
        <v>29</v>
      </c>
      <c r="C330" s="15" t="s">
        <v>96</v>
      </c>
      <c r="D330" s="15" t="s">
        <v>31</v>
      </c>
      <c r="E330" s="15">
        <v>20</v>
      </c>
      <c r="F330" s="15">
        <v>10</v>
      </c>
      <c r="G330" s="15" t="s">
        <v>32</v>
      </c>
      <c r="H330" s="15" t="s">
        <v>26</v>
      </c>
      <c r="I330" s="15" t="s">
        <v>299</v>
      </c>
      <c r="J330" s="57">
        <v>56</v>
      </c>
    </row>
    <row r="331" spans="1:10" hidden="1" x14ac:dyDescent="0.3">
      <c r="A331" s="19" t="s">
        <v>677</v>
      </c>
      <c r="B331" s="15" t="s">
        <v>23</v>
      </c>
      <c r="C331" s="15" t="s">
        <v>85</v>
      </c>
      <c r="D331" s="15" t="s">
        <v>13</v>
      </c>
      <c r="E331" s="15">
        <v>20</v>
      </c>
      <c r="F331" s="15">
        <v>10</v>
      </c>
      <c r="G331" s="15" t="s">
        <v>32</v>
      </c>
      <c r="H331" s="15" t="s">
        <v>40</v>
      </c>
      <c r="I331" s="15" t="s">
        <v>678</v>
      </c>
      <c r="J331" s="57">
        <v>56</v>
      </c>
    </row>
    <row r="332" spans="1:10" hidden="1" x14ac:dyDescent="0.3">
      <c r="A332" s="19" t="s">
        <v>817</v>
      </c>
      <c r="B332" s="15" t="s">
        <v>51</v>
      </c>
      <c r="C332" s="15" t="s">
        <v>55</v>
      </c>
      <c r="D332" s="15" t="s">
        <v>31</v>
      </c>
      <c r="E332" s="15">
        <v>19</v>
      </c>
      <c r="F332" s="15">
        <v>11</v>
      </c>
      <c r="G332" s="15" t="s">
        <v>14</v>
      </c>
      <c r="H332" s="15" t="s">
        <v>26</v>
      </c>
      <c r="I332" s="15" t="s">
        <v>818</v>
      </c>
      <c r="J332" s="57">
        <v>56</v>
      </c>
    </row>
    <row r="333" spans="1:10" hidden="1" x14ac:dyDescent="0.3">
      <c r="A333" s="19" t="s">
        <v>819</v>
      </c>
      <c r="B333" s="15" t="s">
        <v>18</v>
      </c>
      <c r="C333" s="15" t="s">
        <v>36</v>
      </c>
      <c r="D333" s="15" t="s">
        <v>31</v>
      </c>
      <c r="E333" s="15">
        <v>14</v>
      </c>
      <c r="F333" s="15">
        <v>10</v>
      </c>
      <c r="G333" s="15" t="s">
        <v>43</v>
      </c>
      <c r="H333" s="15" t="s">
        <v>76</v>
      </c>
      <c r="I333" s="15" t="s">
        <v>820</v>
      </c>
      <c r="J333" s="57">
        <v>56</v>
      </c>
    </row>
    <row r="334" spans="1:10" hidden="1" x14ac:dyDescent="0.3">
      <c r="A334" s="19" t="s">
        <v>891</v>
      </c>
      <c r="B334" s="15" t="s">
        <v>68</v>
      </c>
      <c r="C334" s="15" t="s">
        <v>79</v>
      </c>
      <c r="D334" s="15" t="s">
        <v>31</v>
      </c>
      <c r="E334" s="15">
        <v>17</v>
      </c>
      <c r="F334" s="15">
        <v>10</v>
      </c>
      <c r="G334" s="15" t="s">
        <v>32</v>
      </c>
      <c r="H334" s="15" t="s">
        <v>61</v>
      </c>
      <c r="I334" s="15" t="s">
        <v>892</v>
      </c>
      <c r="J334" s="57">
        <v>56</v>
      </c>
    </row>
    <row r="335" spans="1:10" hidden="1" x14ac:dyDescent="0.3">
      <c r="A335" s="19" t="s">
        <v>67</v>
      </c>
      <c r="B335" s="15" t="s">
        <v>68</v>
      </c>
      <c r="C335" s="15" t="s">
        <v>19</v>
      </c>
      <c r="D335" s="15" t="s">
        <v>13</v>
      </c>
      <c r="E335" s="15">
        <v>20</v>
      </c>
      <c r="F335" s="15">
        <v>9</v>
      </c>
      <c r="G335" s="15" t="s">
        <v>14</v>
      </c>
      <c r="H335" s="15" t="s">
        <v>20</v>
      </c>
      <c r="I335" s="15" t="s">
        <v>69</v>
      </c>
      <c r="J335" s="57">
        <v>55</v>
      </c>
    </row>
    <row r="336" spans="1:10" hidden="1" x14ac:dyDescent="0.3">
      <c r="A336" s="19" t="s">
        <v>150</v>
      </c>
      <c r="B336" s="15" t="s">
        <v>23</v>
      </c>
      <c r="C336" s="15" t="s">
        <v>55</v>
      </c>
      <c r="D336" s="15" t="s">
        <v>31</v>
      </c>
      <c r="E336" s="15">
        <v>17</v>
      </c>
      <c r="F336" s="15">
        <v>9</v>
      </c>
      <c r="G336" s="15" t="s">
        <v>25</v>
      </c>
      <c r="H336" s="15" t="s">
        <v>20</v>
      </c>
      <c r="I336" s="15" t="s">
        <v>151</v>
      </c>
      <c r="J336" s="57">
        <v>55</v>
      </c>
    </row>
    <row r="337" spans="1:10" hidden="1" x14ac:dyDescent="0.3">
      <c r="A337" s="19" t="s">
        <v>225</v>
      </c>
      <c r="B337" s="15" t="s">
        <v>35</v>
      </c>
      <c r="C337" s="15" t="s">
        <v>85</v>
      </c>
      <c r="D337" s="15" t="s">
        <v>13</v>
      </c>
      <c r="E337" s="15">
        <v>20</v>
      </c>
      <c r="F337" s="15">
        <v>9</v>
      </c>
      <c r="G337" s="15" t="s">
        <v>14</v>
      </c>
      <c r="H337" s="15" t="s">
        <v>40</v>
      </c>
      <c r="I337" s="15" t="s">
        <v>226</v>
      </c>
      <c r="J337" s="57">
        <v>55</v>
      </c>
    </row>
    <row r="338" spans="1:10" hidden="1" x14ac:dyDescent="0.3">
      <c r="A338" s="19" t="s">
        <v>420</v>
      </c>
      <c r="B338" s="15" t="s">
        <v>73</v>
      </c>
      <c r="C338" s="15" t="s">
        <v>85</v>
      </c>
      <c r="D338" s="15" t="s">
        <v>13</v>
      </c>
      <c r="E338" s="15">
        <v>16</v>
      </c>
      <c r="F338" s="15">
        <v>11</v>
      </c>
      <c r="G338" s="15" t="s">
        <v>43</v>
      </c>
      <c r="H338" s="15" t="s">
        <v>46</v>
      </c>
      <c r="I338" s="15" t="s">
        <v>421</v>
      </c>
      <c r="J338" s="57">
        <v>55</v>
      </c>
    </row>
    <row r="339" spans="1:10" hidden="1" x14ac:dyDescent="0.3">
      <c r="A339" s="19" t="s">
        <v>597</v>
      </c>
      <c r="B339" s="15" t="s">
        <v>18</v>
      </c>
      <c r="C339" s="15" t="s">
        <v>85</v>
      </c>
      <c r="D339" s="15" t="s">
        <v>31</v>
      </c>
      <c r="E339" s="15">
        <v>18</v>
      </c>
      <c r="F339" s="15">
        <v>11</v>
      </c>
      <c r="G339" s="15" t="s">
        <v>43</v>
      </c>
      <c r="H339" s="15" t="s">
        <v>40</v>
      </c>
      <c r="I339" s="15" t="s">
        <v>598</v>
      </c>
      <c r="J339" s="57">
        <v>55</v>
      </c>
    </row>
    <row r="340" spans="1:10" hidden="1" x14ac:dyDescent="0.3">
      <c r="A340" s="19" t="s">
        <v>688</v>
      </c>
      <c r="B340" s="15" t="s">
        <v>23</v>
      </c>
      <c r="C340" s="15" t="s">
        <v>96</v>
      </c>
      <c r="D340" s="15" t="s">
        <v>31</v>
      </c>
      <c r="E340" s="15">
        <v>19</v>
      </c>
      <c r="F340" s="15">
        <v>10</v>
      </c>
      <c r="G340" s="15" t="s">
        <v>25</v>
      </c>
      <c r="H340" s="15" t="s">
        <v>40</v>
      </c>
      <c r="I340" s="15" t="s">
        <v>195</v>
      </c>
      <c r="J340" s="57">
        <v>55</v>
      </c>
    </row>
    <row r="341" spans="1:10" hidden="1" x14ac:dyDescent="0.3">
      <c r="A341" s="19" t="s">
        <v>741</v>
      </c>
      <c r="B341" s="15" t="s">
        <v>54</v>
      </c>
      <c r="C341" s="15" t="s">
        <v>24</v>
      </c>
      <c r="D341" s="15" t="s">
        <v>13</v>
      </c>
      <c r="E341" s="15">
        <v>14</v>
      </c>
      <c r="F341" s="15">
        <v>9</v>
      </c>
      <c r="G341" s="15" t="s">
        <v>14</v>
      </c>
      <c r="H341" s="15" t="s">
        <v>76</v>
      </c>
      <c r="I341" s="15" t="s">
        <v>742</v>
      </c>
      <c r="J341" s="57">
        <v>55</v>
      </c>
    </row>
    <row r="342" spans="1:10" hidden="1" x14ac:dyDescent="0.3">
      <c r="A342" s="19" t="s">
        <v>795</v>
      </c>
      <c r="B342" s="15" t="s">
        <v>54</v>
      </c>
      <c r="C342" s="15" t="s">
        <v>30</v>
      </c>
      <c r="D342" s="15" t="s">
        <v>13</v>
      </c>
      <c r="E342" s="15">
        <v>18</v>
      </c>
      <c r="F342" s="15">
        <v>12</v>
      </c>
      <c r="G342" s="15" t="s">
        <v>32</v>
      </c>
      <c r="H342" s="15" t="s">
        <v>20</v>
      </c>
      <c r="I342" s="15" t="s">
        <v>796</v>
      </c>
      <c r="J342" s="57">
        <v>55</v>
      </c>
    </row>
    <row r="343" spans="1:10" hidden="1" x14ac:dyDescent="0.3">
      <c r="A343" s="19" t="s">
        <v>903</v>
      </c>
      <c r="B343" s="15" t="s">
        <v>54</v>
      </c>
      <c r="C343" s="15" t="s">
        <v>30</v>
      </c>
      <c r="D343" s="15" t="s">
        <v>31</v>
      </c>
      <c r="E343" s="15">
        <v>20</v>
      </c>
      <c r="F343" s="15">
        <v>12</v>
      </c>
      <c r="G343" s="15" t="s">
        <v>43</v>
      </c>
      <c r="H343" s="15" t="s">
        <v>40</v>
      </c>
      <c r="I343" s="15" t="s">
        <v>904</v>
      </c>
      <c r="J343" s="57">
        <v>55</v>
      </c>
    </row>
    <row r="344" spans="1:10" hidden="1" x14ac:dyDescent="0.3">
      <c r="A344" s="19" t="s">
        <v>908</v>
      </c>
      <c r="B344" s="15" t="s">
        <v>11</v>
      </c>
      <c r="C344" s="15" t="s">
        <v>79</v>
      </c>
      <c r="D344" s="15" t="s">
        <v>31</v>
      </c>
      <c r="E344" s="15">
        <v>14</v>
      </c>
      <c r="F344" s="15">
        <v>10</v>
      </c>
      <c r="G344" s="15" t="s">
        <v>14</v>
      </c>
      <c r="H344" s="15" t="s">
        <v>46</v>
      </c>
      <c r="I344" s="15" t="s">
        <v>909</v>
      </c>
      <c r="J344" s="57">
        <v>55</v>
      </c>
    </row>
    <row r="345" spans="1:10" hidden="1" x14ac:dyDescent="0.3">
      <c r="A345" s="19" t="s">
        <v>929</v>
      </c>
      <c r="B345" s="15" t="s">
        <v>35</v>
      </c>
      <c r="C345" s="15" t="s">
        <v>30</v>
      </c>
      <c r="D345" s="15" t="s">
        <v>13</v>
      </c>
      <c r="E345" s="15">
        <v>15</v>
      </c>
      <c r="F345" s="15">
        <v>12</v>
      </c>
      <c r="G345" s="15" t="s">
        <v>32</v>
      </c>
      <c r="H345" s="15" t="s">
        <v>26</v>
      </c>
      <c r="I345" s="15" t="s">
        <v>262</v>
      </c>
      <c r="J345" s="57">
        <v>55</v>
      </c>
    </row>
    <row r="346" spans="1:10" hidden="1" x14ac:dyDescent="0.3">
      <c r="A346" s="19" t="s">
        <v>100</v>
      </c>
      <c r="B346" s="15" t="s">
        <v>35</v>
      </c>
      <c r="C346" s="15" t="s">
        <v>12</v>
      </c>
      <c r="D346" s="15" t="s">
        <v>31</v>
      </c>
      <c r="E346" s="15">
        <v>19</v>
      </c>
      <c r="F346" s="15">
        <v>12</v>
      </c>
      <c r="G346" s="15" t="s">
        <v>25</v>
      </c>
      <c r="H346" s="15" t="s">
        <v>76</v>
      </c>
      <c r="I346" s="15" t="s">
        <v>101</v>
      </c>
      <c r="J346" s="57">
        <v>54</v>
      </c>
    </row>
    <row r="347" spans="1:10" hidden="1" x14ac:dyDescent="0.3">
      <c r="A347" s="19" t="s">
        <v>173</v>
      </c>
      <c r="B347" s="15" t="s">
        <v>54</v>
      </c>
      <c r="C347" s="15" t="s">
        <v>30</v>
      </c>
      <c r="D347" s="15" t="s">
        <v>31</v>
      </c>
      <c r="E347" s="15">
        <v>18</v>
      </c>
      <c r="F347" s="15">
        <v>9</v>
      </c>
      <c r="G347" s="15" t="s">
        <v>32</v>
      </c>
      <c r="H347" s="15" t="s">
        <v>40</v>
      </c>
      <c r="I347" s="15" t="s">
        <v>174</v>
      </c>
      <c r="J347" s="57">
        <v>54</v>
      </c>
    </row>
    <row r="348" spans="1:10" hidden="1" x14ac:dyDescent="0.3">
      <c r="A348" s="19" t="s">
        <v>324</v>
      </c>
      <c r="B348" s="15" t="s">
        <v>23</v>
      </c>
      <c r="C348" s="15" t="s">
        <v>85</v>
      </c>
      <c r="D348" s="15" t="s">
        <v>31</v>
      </c>
      <c r="E348" s="15">
        <v>16</v>
      </c>
      <c r="F348" s="15">
        <v>9</v>
      </c>
      <c r="G348" s="15" t="s">
        <v>32</v>
      </c>
      <c r="H348" s="15" t="s">
        <v>61</v>
      </c>
      <c r="I348" s="15" t="s">
        <v>325</v>
      </c>
      <c r="J348" s="57">
        <v>54</v>
      </c>
    </row>
    <row r="349" spans="1:10" hidden="1" x14ac:dyDescent="0.3">
      <c r="A349" s="19" t="s">
        <v>389</v>
      </c>
      <c r="B349" s="15" t="s">
        <v>54</v>
      </c>
      <c r="C349" s="15" t="s">
        <v>58</v>
      </c>
      <c r="D349" s="15" t="s">
        <v>31</v>
      </c>
      <c r="E349" s="15">
        <v>14</v>
      </c>
      <c r="F349" s="15">
        <v>11</v>
      </c>
      <c r="G349" s="15" t="s">
        <v>32</v>
      </c>
      <c r="H349" s="15" t="s">
        <v>76</v>
      </c>
      <c r="I349" s="15" t="s">
        <v>390</v>
      </c>
      <c r="J349" s="57">
        <v>54</v>
      </c>
    </row>
    <row r="350" spans="1:10" hidden="1" x14ac:dyDescent="0.3">
      <c r="A350" s="19" t="s">
        <v>425</v>
      </c>
      <c r="B350" s="15" t="s">
        <v>73</v>
      </c>
      <c r="C350" s="15" t="s">
        <v>30</v>
      </c>
      <c r="D350" s="15" t="s">
        <v>31</v>
      </c>
      <c r="E350" s="15">
        <v>15</v>
      </c>
      <c r="F350" s="15">
        <v>9</v>
      </c>
      <c r="G350" s="15" t="s">
        <v>14</v>
      </c>
      <c r="H350" s="15" t="s">
        <v>76</v>
      </c>
      <c r="I350" s="15" t="s">
        <v>149</v>
      </c>
      <c r="J350" s="57">
        <v>54</v>
      </c>
    </row>
    <row r="351" spans="1:10" hidden="1" x14ac:dyDescent="0.3">
      <c r="A351" s="19" t="s">
        <v>508</v>
      </c>
      <c r="B351" s="15" t="s">
        <v>73</v>
      </c>
      <c r="C351" s="15" t="s">
        <v>55</v>
      </c>
      <c r="D351" s="15" t="s">
        <v>13</v>
      </c>
      <c r="E351" s="15">
        <v>15</v>
      </c>
      <c r="F351" s="15">
        <v>11</v>
      </c>
      <c r="G351" s="15" t="s">
        <v>43</v>
      </c>
      <c r="H351" s="15" t="s">
        <v>46</v>
      </c>
      <c r="I351" s="15" t="s">
        <v>509</v>
      </c>
      <c r="J351" s="57">
        <v>54</v>
      </c>
    </row>
    <row r="352" spans="1:10" hidden="1" x14ac:dyDescent="0.3">
      <c r="A352" s="19" t="s">
        <v>602</v>
      </c>
      <c r="B352" s="15" t="s">
        <v>23</v>
      </c>
      <c r="C352" s="15" t="s">
        <v>19</v>
      </c>
      <c r="D352" s="15" t="s">
        <v>13</v>
      </c>
      <c r="E352" s="15">
        <v>15</v>
      </c>
      <c r="F352" s="15">
        <v>12</v>
      </c>
      <c r="G352" s="15" t="s">
        <v>14</v>
      </c>
      <c r="H352" s="15" t="s">
        <v>61</v>
      </c>
      <c r="I352" s="15" t="s">
        <v>603</v>
      </c>
      <c r="J352" s="57">
        <v>54</v>
      </c>
    </row>
    <row r="353" spans="1:10" hidden="1" x14ac:dyDescent="0.3">
      <c r="A353" s="19" t="s">
        <v>661</v>
      </c>
      <c r="B353" s="15" t="s">
        <v>54</v>
      </c>
      <c r="C353" s="15" t="s">
        <v>12</v>
      </c>
      <c r="D353" s="15" t="s">
        <v>31</v>
      </c>
      <c r="E353" s="15">
        <v>19</v>
      </c>
      <c r="F353" s="15">
        <v>10</v>
      </c>
      <c r="G353" s="15" t="s">
        <v>14</v>
      </c>
      <c r="H353" s="15" t="s">
        <v>76</v>
      </c>
      <c r="I353" s="15" t="s">
        <v>662</v>
      </c>
      <c r="J353" s="57">
        <v>54</v>
      </c>
    </row>
    <row r="354" spans="1:10" hidden="1" x14ac:dyDescent="0.3">
      <c r="A354" s="19" t="s">
        <v>766</v>
      </c>
      <c r="B354" s="15" t="s">
        <v>35</v>
      </c>
      <c r="C354" s="15" t="s">
        <v>58</v>
      </c>
      <c r="D354" s="15" t="s">
        <v>13</v>
      </c>
      <c r="E354" s="15">
        <v>20</v>
      </c>
      <c r="F354" s="15">
        <v>11</v>
      </c>
      <c r="G354" s="15" t="s">
        <v>32</v>
      </c>
      <c r="H354" s="15" t="s">
        <v>46</v>
      </c>
      <c r="I354" s="15" t="s">
        <v>767</v>
      </c>
      <c r="J354" s="57">
        <v>54</v>
      </c>
    </row>
    <row r="355" spans="1:10" hidden="1" x14ac:dyDescent="0.3">
      <c r="A355" s="19" t="s">
        <v>229</v>
      </c>
      <c r="B355" s="15" t="s">
        <v>68</v>
      </c>
      <c r="C355" s="15" t="s">
        <v>24</v>
      </c>
      <c r="D355" s="15" t="s">
        <v>13</v>
      </c>
      <c r="E355" s="15">
        <v>17</v>
      </c>
      <c r="F355" s="15">
        <v>11</v>
      </c>
      <c r="G355" s="15" t="s">
        <v>43</v>
      </c>
      <c r="H355" s="15" t="s">
        <v>26</v>
      </c>
      <c r="I355" s="15" t="s">
        <v>230</v>
      </c>
      <c r="J355" s="57">
        <v>53</v>
      </c>
    </row>
    <row r="356" spans="1:10" hidden="1" x14ac:dyDescent="0.3">
      <c r="A356" s="19" t="s">
        <v>349</v>
      </c>
      <c r="B356" s="15" t="s">
        <v>35</v>
      </c>
      <c r="C356" s="15" t="s">
        <v>30</v>
      </c>
      <c r="D356" s="15" t="s">
        <v>31</v>
      </c>
      <c r="E356" s="15">
        <v>18</v>
      </c>
      <c r="F356" s="15">
        <v>12</v>
      </c>
      <c r="G356" s="15" t="s">
        <v>43</v>
      </c>
      <c r="H356" s="15" t="s">
        <v>37</v>
      </c>
      <c r="I356" s="15" t="s">
        <v>350</v>
      </c>
      <c r="J356" s="57">
        <v>53</v>
      </c>
    </row>
    <row r="357" spans="1:10" hidden="1" x14ac:dyDescent="0.3">
      <c r="A357" s="19" t="s">
        <v>353</v>
      </c>
      <c r="B357" s="15" t="s">
        <v>51</v>
      </c>
      <c r="C357" s="15" t="s">
        <v>55</v>
      </c>
      <c r="D357" s="15" t="s">
        <v>31</v>
      </c>
      <c r="E357" s="15">
        <v>20</v>
      </c>
      <c r="F357" s="15">
        <v>9</v>
      </c>
      <c r="G357" s="15" t="s">
        <v>25</v>
      </c>
      <c r="H357" s="15" t="s">
        <v>46</v>
      </c>
      <c r="I357" s="15" t="s">
        <v>354</v>
      </c>
      <c r="J357" s="57">
        <v>53</v>
      </c>
    </row>
    <row r="358" spans="1:10" hidden="1" x14ac:dyDescent="0.3">
      <c r="A358" s="19" t="s">
        <v>416</v>
      </c>
      <c r="B358" s="15" t="s">
        <v>18</v>
      </c>
      <c r="C358" s="15" t="s">
        <v>79</v>
      </c>
      <c r="D358" s="15" t="s">
        <v>31</v>
      </c>
      <c r="E358" s="15">
        <v>20</v>
      </c>
      <c r="F358" s="15">
        <v>9</v>
      </c>
      <c r="G358" s="15" t="s">
        <v>25</v>
      </c>
      <c r="H358" s="15" t="s">
        <v>37</v>
      </c>
      <c r="I358" s="15" t="s">
        <v>417</v>
      </c>
      <c r="J358" s="57">
        <v>53</v>
      </c>
    </row>
    <row r="359" spans="1:10" hidden="1" x14ac:dyDescent="0.3">
      <c r="A359" s="19" t="s">
        <v>432</v>
      </c>
      <c r="B359" s="15" t="s">
        <v>51</v>
      </c>
      <c r="C359" s="15" t="s">
        <v>24</v>
      </c>
      <c r="D359" s="15" t="s">
        <v>31</v>
      </c>
      <c r="E359" s="15">
        <v>17</v>
      </c>
      <c r="F359" s="15">
        <v>11</v>
      </c>
      <c r="G359" s="15" t="s">
        <v>43</v>
      </c>
      <c r="H359" s="15" t="s">
        <v>15</v>
      </c>
      <c r="I359" s="15" t="s">
        <v>400</v>
      </c>
      <c r="J359" s="57">
        <v>53</v>
      </c>
    </row>
    <row r="360" spans="1:10" hidden="1" x14ac:dyDescent="0.3">
      <c r="A360" s="19" t="s">
        <v>554</v>
      </c>
      <c r="B360" s="15" t="s">
        <v>29</v>
      </c>
      <c r="C360" s="15" t="s">
        <v>79</v>
      </c>
      <c r="D360" s="15" t="s">
        <v>13</v>
      </c>
      <c r="E360" s="15">
        <v>15</v>
      </c>
      <c r="F360" s="15">
        <v>9</v>
      </c>
      <c r="G360" s="15" t="s">
        <v>32</v>
      </c>
      <c r="H360" s="15" t="s">
        <v>76</v>
      </c>
      <c r="I360" s="15" t="s">
        <v>184</v>
      </c>
      <c r="J360" s="57">
        <v>53</v>
      </c>
    </row>
    <row r="361" spans="1:10" hidden="1" x14ac:dyDescent="0.3">
      <c r="A361" s="19" t="s">
        <v>562</v>
      </c>
      <c r="B361" s="15" t="s">
        <v>29</v>
      </c>
      <c r="C361" s="15" t="s">
        <v>79</v>
      </c>
      <c r="D361" s="15" t="s">
        <v>31</v>
      </c>
      <c r="E361" s="15">
        <v>15</v>
      </c>
      <c r="F361" s="15">
        <v>12</v>
      </c>
      <c r="G361" s="15" t="s">
        <v>32</v>
      </c>
      <c r="H361" s="15" t="s">
        <v>46</v>
      </c>
      <c r="I361" s="15" t="s">
        <v>121</v>
      </c>
      <c r="J361" s="57">
        <v>53</v>
      </c>
    </row>
    <row r="362" spans="1:10" hidden="1" x14ac:dyDescent="0.3">
      <c r="A362" s="19" t="s">
        <v>572</v>
      </c>
      <c r="B362" s="15" t="s">
        <v>23</v>
      </c>
      <c r="C362" s="15" t="s">
        <v>19</v>
      </c>
      <c r="D362" s="15" t="s">
        <v>31</v>
      </c>
      <c r="E362" s="15">
        <v>19</v>
      </c>
      <c r="F362" s="15">
        <v>10</v>
      </c>
      <c r="G362" s="15" t="s">
        <v>32</v>
      </c>
      <c r="H362" s="15" t="s">
        <v>20</v>
      </c>
      <c r="I362" s="15" t="s">
        <v>400</v>
      </c>
      <c r="J362" s="57">
        <v>53</v>
      </c>
    </row>
    <row r="363" spans="1:10" hidden="1" x14ac:dyDescent="0.3">
      <c r="A363" s="19" t="s">
        <v>634</v>
      </c>
      <c r="B363" s="15" t="s">
        <v>54</v>
      </c>
      <c r="C363" s="15" t="s">
        <v>30</v>
      </c>
      <c r="D363" s="15" t="s">
        <v>31</v>
      </c>
      <c r="E363" s="15">
        <v>15</v>
      </c>
      <c r="F363" s="15">
        <v>9</v>
      </c>
      <c r="G363" s="15" t="s">
        <v>25</v>
      </c>
      <c r="H363" s="15" t="s">
        <v>40</v>
      </c>
      <c r="I363" s="15" t="s">
        <v>635</v>
      </c>
      <c r="J363" s="57">
        <v>53</v>
      </c>
    </row>
    <row r="364" spans="1:10" hidden="1" x14ac:dyDescent="0.3">
      <c r="A364" s="19" t="s">
        <v>869</v>
      </c>
      <c r="B364" s="15" t="s">
        <v>73</v>
      </c>
      <c r="C364" s="15" t="s">
        <v>96</v>
      </c>
      <c r="D364" s="15" t="s">
        <v>31</v>
      </c>
      <c r="E364" s="15">
        <v>17</v>
      </c>
      <c r="F364" s="15">
        <v>9</v>
      </c>
      <c r="G364" s="15" t="s">
        <v>43</v>
      </c>
      <c r="H364" s="15" t="s">
        <v>26</v>
      </c>
      <c r="I364" s="15" t="s">
        <v>870</v>
      </c>
      <c r="J364" s="57">
        <v>53</v>
      </c>
    </row>
    <row r="365" spans="1:10" hidden="1" x14ac:dyDescent="0.3">
      <c r="A365" s="19" t="s">
        <v>887</v>
      </c>
      <c r="B365" s="15" t="s">
        <v>11</v>
      </c>
      <c r="C365" s="15" t="s">
        <v>30</v>
      </c>
      <c r="D365" s="15" t="s">
        <v>31</v>
      </c>
      <c r="E365" s="15">
        <v>17</v>
      </c>
      <c r="F365" s="15">
        <v>9</v>
      </c>
      <c r="G365" s="15" t="s">
        <v>14</v>
      </c>
      <c r="H365" s="15" t="s">
        <v>76</v>
      </c>
      <c r="I365" s="15" t="s">
        <v>653</v>
      </c>
      <c r="J365" s="57">
        <v>53</v>
      </c>
    </row>
    <row r="366" spans="1:10" hidden="1" x14ac:dyDescent="0.3">
      <c r="A366" s="19" t="s">
        <v>83</v>
      </c>
      <c r="B366" s="15" t="s">
        <v>84</v>
      </c>
      <c r="C366" s="15" t="s">
        <v>85</v>
      </c>
      <c r="D366" s="15" t="s">
        <v>31</v>
      </c>
      <c r="E366" s="15">
        <v>16</v>
      </c>
      <c r="F366" s="15">
        <v>9</v>
      </c>
      <c r="G366" s="15" t="s">
        <v>43</v>
      </c>
      <c r="H366" s="15" t="s">
        <v>37</v>
      </c>
      <c r="I366" s="15" t="s">
        <v>86</v>
      </c>
      <c r="J366" s="57">
        <v>52</v>
      </c>
    </row>
    <row r="367" spans="1:10" x14ac:dyDescent="0.3">
      <c r="A367" s="19" t="s">
        <v>89</v>
      </c>
      <c r="B367" s="15" t="s">
        <v>68</v>
      </c>
      <c r="C367" s="15" t="s">
        <v>85</v>
      </c>
      <c r="D367" s="15" t="s">
        <v>31</v>
      </c>
      <c r="E367" s="15">
        <v>16</v>
      </c>
      <c r="F367" s="15">
        <v>9</v>
      </c>
      <c r="G367" s="15" t="s">
        <v>43</v>
      </c>
      <c r="H367" s="15" t="s">
        <v>20</v>
      </c>
      <c r="I367" s="15" t="s">
        <v>90</v>
      </c>
      <c r="J367" s="57">
        <v>52</v>
      </c>
    </row>
    <row r="368" spans="1:10" hidden="1" x14ac:dyDescent="0.3">
      <c r="A368" s="19" t="s">
        <v>118</v>
      </c>
      <c r="B368" s="15" t="s">
        <v>84</v>
      </c>
      <c r="C368" s="15" t="s">
        <v>58</v>
      </c>
      <c r="D368" s="15" t="s">
        <v>31</v>
      </c>
      <c r="E368" s="15">
        <v>20</v>
      </c>
      <c r="F368" s="15">
        <v>10</v>
      </c>
      <c r="G368" s="15" t="s">
        <v>32</v>
      </c>
      <c r="H368" s="15" t="s">
        <v>26</v>
      </c>
      <c r="I368" s="15" t="s">
        <v>119</v>
      </c>
      <c r="J368" s="57">
        <v>52</v>
      </c>
    </row>
    <row r="369" spans="1:10" hidden="1" x14ac:dyDescent="0.3">
      <c r="A369" s="19" t="s">
        <v>257</v>
      </c>
      <c r="B369" s="15" t="s">
        <v>68</v>
      </c>
      <c r="C369" s="15" t="s">
        <v>79</v>
      </c>
      <c r="D369" s="15" t="s">
        <v>31</v>
      </c>
      <c r="E369" s="15">
        <v>20</v>
      </c>
      <c r="F369" s="15">
        <v>11</v>
      </c>
      <c r="G369" s="15" t="s">
        <v>43</v>
      </c>
      <c r="H369" s="15" t="s">
        <v>46</v>
      </c>
      <c r="I369" s="15" t="s">
        <v>258</v>
      </c>
      <c r="J369" s="57">
        <v>52</v>
      </c>
    </row>
    <row r="370" spans="1:10" hidden="1" x14ac:dyDescent="0.3">
      <c r="A370" s="19" t="s">
        <v>316</v>
      </c>
      <c r="B370" s="15" t="s">
        <v>23</v>
      </c>
      <c r="C370" s="15" t="s">
        <v>36</v>
      </c>
      <c r="D370" s="15" t="s">
        <v>31</v>
      </c>
      <c r="E370" s="15">
        <v>20</v>
      </c>
      <c r="F370" s="15">
        <v>11</v>
      </c>
      <c r="G370" s="15" t="s">
        <v>14</v>
      </c>
      <c r="H370" s="15" t="s">
        <v>37</v>
      </c>
      <c r="I370" s="15" t="s">
        <v>317</v>
      </c>
      <c r="J370" s="57">
        <v>52</v>
      </c>
    </row>
    <row r="371" spans="1:10" hidden="1" x14ac:dyDescent="0.3">
      <c r="A371" s="19" t="s">
        <v>518</v>
      </c>
      <c r="B371" s="15" t="s">
        <v>51</v>
      </c>
      <c r="C371" s="15" t="s">
        <v>96</v>
      </c>
      <c r="D371" s="15" t="s">
        <v>31</v>
      </c>
      <c r="E371" s="15">
        <v>17</v>
      </c>
      <c r="F371" s="15">
        <v>11</v>
      </c>
      <c r="G371" s="15" t="s">
        <v>25</v>
      </c>
      <c r="H371" s="15" t="s">
        <v>61</v>
      </c>
      <c r="I371" s="15" t="s">
        <v>519</v>
      </c>
      <c r="J371" s="57">
        <v>52</v>
      </c>
    </row>
    <row r="372" spans="1:10" x14ac:dyDescent="0.3">
      <c r="A372" s="19" t="s">
        <v>687</v>
      </c>
      <c r="B372" s="15" t="s">
        <v>84</v>
      </c>
      <c r="C372" s="15" t="s">
        <v>19</v>
      </c>
      <c r="D372" s="15" t="s">
        <v>13</v>
      </c>
      <c r="E372" s="15">
        <v>16</v>
      </c>
      <c r="F372" s="15">
        <v>10</v>
      </c>
      <c r="G372" s="15" t="s">
        <v>25</v>
      </c>
      <c r="H372" s="15" t="s">
        <v>46</v>
      </c>
      <c r="I372" s="15" t="s">
        <v>564</v>
      </c>
      <c r="J372" s="57">
        <v>52</v>
      </c>
    </row>
    <row r="373" spans="1:10" hidden="1" x14ac:dyDescent="0.3">
      <c r="A373" s="19" t="s">
        <v>821</v>
      </c>
      <c r="B373" s="15" t="s">
        <v>18</v>
      </c>
      <c r="C373" s="15" t="s">
        <v>79</v>
      </c>
      <c r="D373" s="15" t="s">
        <v>13</v>
      </c>
      <c r="E373" s="15">
        <v>20</v>
      </c>
      <c r="F373" s="15">
        <v>12</v>
      </c>
      <c r="G373" s="15" t="s">
        <v>32</v>
      </c>
      <c r="H373" s="15" t="s">
        <v>26</v>
      </c>
      <c r="I373" s="15" t="s">
        <v>822</v>
      </c>
      <c r="J373" s="57">
        <v>52</v>
      </c>
    </row>
    <row r="374" spans="1:10" hidden="1" x14ac:dyDescent="0.3">
      <c r="A374" s="19" t="s">
        <v>835</v>
      </c>
      <c r="B374" s="15" t="s">
        <v>18</v>
      </c>
      <c r="C374" s="15" t="s">
        <v>55</v>
      </c>
      <c r="D374" s="15" t="s">
        <v>31</v>
      </c>
      <c r="E374" s="15">
        <v>16</v>
      </c>
      <c r="F374" s="15">
        <v>10</v>
      </c>
      <c r="G374" s="15" t="s">
        <v>14</v>
      </c>
      <c r="H374" s="15" t="s">
        <v>61</v>
      </c>
      <c r="I374" s="15" t="s">
        <v>411</v>
      </c>
      <c r="J374" s="57">
        <v>52</v>
      </c>
    </row>
    <row r="375" spans="1:10" hidden="1" x14ac:dyDescent="0.3">
      <c r="A375" s="19" t="s">
        <v>60</v>
      </c>
      <c r="B375" s="15" t="s">
        <v>35</v>
      </c>
      <c r="C375" s="15" t="s">
        <v>55</v>
      </c>
      <c r="D375" s="15" t="s">
        <v>13</v>
      </c>
      <c r="E375" s="15">
        <v>15</v>
      </c>
      <c r="F375" s="15">
        <v>12</v>
      </c>
      <c r="G375" s="15" t="s">
        <v>14</v>
      </c>
      <c r="H375" s="15" t="s">
        <v>61</v>
      </c>
      <c r="I375" s="15" t="s">
        <v>62</v>
      </c>
      <c r="J375" s="57">
        <v>51</v>
      </c>
    </row>
    <row r="376" spans="1:10" hidden="1" x14ac:dyDescent="0.3">
      <c r="A376" s="19" t="s">
        <v>122</v>
      </c>
      <c r="B376" s="15" t="s">
        <v>18</v>
      </c>
      <c r="C376" s="15" t="s">
        <v>19</v>
      </c>
      <c r="D376" s="15" t="s">
        <v>13</v>
      </c>
      <c r="E376" s="15">
        <v>15</v>
      </c>
      <c r="F376" s="15">
        <v>10</v>
      </c>
      <c r="G376" s="15" t="s">
        <v>32</v>
      </c>
      <c r="H376" s="15" t="s">
        <v>20</v>
      </c>
      <c r="I376" s="15" t="s">
        <v>123</v>
      </c>
      <c r="J376" s="57">
        <v>51</v>
      </c>
    </row>
    <row r="377" spans="1:10" hidden="1" x14ac:dyDescent="0.3">
      <c r="A377" s="19" t="s">
        <v>171</v>
      </c>
      <c r="B377" s="15" t="s">
        <v>29</v>
      </c>
      <c r="C377" s="15" t="s">
        <v>85</v>
      </c>
      <c r="D377" s="15" t="s">
        <v>13</v>
      </c>
      <c r="E377" s="15">
        <v>14</v>
      </c>
      <c r="F377" s="15">
        <v>10</v>
      </c>
      <c r="G377" s="15" t="s">
        <v>32</v>
      </c>
      <c r="H377" s="15" t="s">
        <v>61</v>
      </c>
      <c r="I377" s="15" t="s">
        <v>172</v>
      </c>
      <c r="J377" s="57">
        <v>51</v>
      </c>
    </row>
    <row r="378" spans="1:10" hidden="1" x14ac:dyDescent="0.3">
      <c r="A378" s="19" t="s">
        <v>278</v>
      </c>
      <c r="B378" s="15" t="s">
        <v>73</v>
      </c>
      <c r="C378" s="15" t="s">
        <v>36</v>
      </c>
      <c r="D378" s="15" t="s">
        <v>13</v>
      </c>
      <c r="E378" s="15">
        <v>14</v>
      </c>
      <c r="F378" s="15">
        <v>11</v>
      </c>
      <c r="G378" s="15" t="s">
        <v>32</v>
      </c>
      <c r="H378" s="15" t="s">
        <v>37</v>
      </c>
      <c r="I378" s="15" t="s">
        <v>279</v>
      </c>
      <c r="J378" s="57">
        <v>51</v>
      </c>
    </row>
    <row r="379" spans="1:10" x14ac:dyDescent="0.3">
      <c r="A379" s="19" t="s">
        <v>337</v>
      </c>
      <c r="B379" s="15" t="s">
        <v>23</v>
      </c>
      <c r="C379" s="15" t="s">
        <v>30</v>
      </c>
      <c r="D379" s="15" t="s">
        <v>31</v>
      </c>
      <c r="E379" s="15">
        <v>19</v>
      </c>
      <c r="F379" s="15">
        <v>9</v>
      </c>
      <c r="G379" s="15" t="s">
        <v>32</v>
      </c>
      <c r="H379" s="15" t="s">
        <v>61</v>
      </c>
      <c r="I379" s="15" t="s">
        <v>338</v>
      </c>
      <c r="J379" s="57">
        <v>51</v>
      </c>
    </row>
    <row r="380" spans="1:10" hidden="1" x14ac:dyDescent="0.3">
      <c r="A380" s="19" t="s">
        <v>529</v>
      </c>
      <c r="B380" s="15" t="s">
        <v>84</v>
      </c>
      <c r="C380" s="15" t="s">
        <v>24</v>
      </c>
      <c r="D380" s="15" t="s">
        <v>31</v>
      </c>
      <c r="E380" s="15">
        <v>20</v>
      </c>
      <c r="F380" s="15">
        <v>12</v>
      </c>
      <c r="G380" s="15" t="s">
        <v>25</v>
      </c>
      <c r="H380" s="15" t="s">
        <v>76</v>
      </c>
      <c r="I380" s="15" t="s">
        <v>186</v>
      </c>
      <c r="J380" s="57">
        <v>51</v>
      </c>
    </row>
    <row r="381" spans="1:10" hidden="1" x14ac:dyDescent="0.3">
      <c r="A381" s="19" t="s">
        <v>542</v>
      </c>
      <c r="B381" s="15" t="s">
        <v>84</v>
      </c>
      <c r="C381" s="15" t="s">
        <v>55</v>
      </c>
      <c r="D381" s="15" t="s">
        <v>31</v>
      </c>
      <c r="E381" s="15">
        <v>18</v>
      </c>
      <c r="F381" s="15">
        <v>12</v>
      </c>
      <c r="G381" s="15" t="s">
        <v>32</v>
      </c>
      <c r="H381" s="15" t="s">
        <v>40</v>
      </c>
      <c r="I381" s="15" t="s">
        <v>543</v>
      </c>
      <c r="J381" s="57">
        <v>51</v>
      </c>
    </row>
    <row r="382" spans="1:10" hidden="1" x14ac:dyDescent="0.3">
      <c r="A382" s="19" t="s">
        <v>638</v>
      </c>
      <c r="B382" s="15" t="s">
        <v>54</v>
      </c>
      <c r="C382" s="15" t="s">
        <v>12</v>
      </c>
      <c r="D382" s="15" t="s">
        <v>31</v>
      </c>
      <c r="E382" s="15">
        <v>15</v>
      </c>
      <c r="F382" s="15">
        <v>12</v>
      </c>
      <c r="G382" s="15" t="s">
        <v>43</v>
      </c>
      <c r="H382" s="15" t="s">
        <v>76</v>
      </c>
      <c r="I382" s="15" t="s">
        <v>639</v>
      </c>
      <c r="J382" s="57">
        <v>51</v>
      </c>
    </row>
    <row r="383" spans="1:10" x14ac:dyDescent="0.3">
      <c r="A383" s="19" t="s">
        <v>669</v>
      </c>
      <c r="B383" s="15" t="s">
        <v>11</v>
      </c>
      <c r="C383" s="15" t="s">
        <v>24</v>
      </c>
      <c r="D383" s="15" t="s">
        <v>13</v>
      </c>
      <c r="E383" s="15">
        <v>19</v>
      </c>
      <c r="F383" s="15">
        <v>9</v>
      </c>
      <c r="G383" s="15" t="s">
        <v>32</v>
      </c>
      <c r="H383" s="15" t="s">
        <v>40</v>
      </c>
      <c r="I383" s="15" t="s">
        <v>670</v>
      </c>
      <c r="J383" s="57">
        <v>51</v>
      </c>
    </row>
    <row r="384" spans="1:10" hidden="1" x14ac:dyDescent="0.3">
      <c r="A384" s="19" t="s">
        <v>675</v>
      </c>
      <c r="B384" s="15" t="s">
        <v>73</v>
      </c>
      <c r="C384" s="15" t="s">
        <v>24</v>
      </c>
      <c r="D384" s="15" t="s">
        <v>13</v>
      </c>
      <c r="E384" s="15">
        <v>19</v>
      </c>
      <c r="F384" s="15">
        <v>11</v>
      </c>
      <c r="G384" s="15" t="s">
        <v>14</v>
      </c>
      <c r="H384" s="15" t="s">
        <v>37</v>
      </c>
      <c r="I384" s="15" t="s">
        <v>676</v>
      </c>
      <c r="J384" s="57">
        <v>51</v>
      </c>
    </row>
    <row r="385" spans="1:10" x14ac:dyDescent="0.3">
      <c r="A385" s="19" t="s">
        <v>716</v>
      </c>
      <c r="B385" s="15" t="s">
        <v>23</v>
      </c>
      <c r="C385" s="15" t="s">
        <v>58</v>
      </c>
      <c r="D385" s="15" t="s">
        <v>31</v>
      </c>
      <c r="E385" s="15">
        <v>17</v>
      </c>
      <c r="F385" s="15">
        <v>9</v>
      </c>
      <c r="G385" s="15" t="s">
        <v>25</v>
      </c>
      <c r="H385" s="15" t="s">
        <v>15</v>
      </c>
      <c r="I385" s="15" t="s">
        <v>717</v>
      </c>
      <c r="J385" s="57">
        <v>51</v>
      </c>
    </row>
    <row r="386" spans="1:10" hidden="1" x14ac:dyDescent="0.3">
      <c r="A386" s="19" t="s">
        <v>842</v>
      </c>
      <c r="B386" s="15" t="s">
        <v>23</v>
      </c>
      <c r="C386" s="15" t="s">
        <v>30</v>
      </c>
      <c r="D386" s="15" t="s">
        <v>13</v>
      </c>
      <c r="E386" s="15">
        <v>15</v>
      </c>
      <c r="F386" s="15">
        <v>9</v>
      </c>
      <c r="G386" s="15" t="s">
        <v>32</v>
      </c>
      <c r="H386" s="15" t="s">
        <v>37</v>
      </c>
      <c r="I386" s="15" t="s">
        <v>477</v>
      </c>
      <c r="J386" s="57">
        <v>51</v>
      </c>
    </row>
    <row r="387" spans="1:10" hidden="1" x14ac:dyDescent="0.3">
      <c r="A387" s="19" t="s">
        <v>81</v>
      </c>
      <c r="B387" s="15" t="s">
        <v>29</v>
      </c>
      <c r="C387" s="15" t="s">
        <v>58</v>
      </c>
      <c r="D387" s="15" t="s">
        <v>31</v>
      </c>
      <c r="E387" s="15">
        <v>19</v>
      </c>
      <c r="F387" s="15">
        <v>9</v>
      </c>
      <c r="G387" s="15" t="s">
        <v>14</v>
      </c>
      <c r="H387" s="15" t="s">
        <v>61</v>
      </c>
      <c r="I387" s="15" t="s">
        <v>82</v>
      </c>
      <c r="J387" s="57">
        <v>50</v>
      </c>
    </row>
    <row r="388" spans="1:10" hidden="1" x14ac:dyDescent="0.3">
      <c r="A388" s="19" t="s">
        <v>134</v>
      </c>
      <c r="B388" s="15" t="s">
        <v>23</v>
      </c>
      <c r="C388" s="15" t="s">
        <v>30</v>
      </c>
      <c r="D388" s="15" t="s">
        <v>31</v>
      </c>
      <c r="E388" s="15">
        <v>20</v>
      </c>
      <c r="F388" s="15">
        <v>9</v>
      </c>
      <c r="G388" s="15" t="s">
        <v>14</v>
      </c>
      <c r="H388" s="15" t="s">
        <v>15</v>
      </c>
      <c r="I388" s="15" t="s">
        <v>135</v>
      </c>
      <c r="J388" s="57">
        <v>50</v>
      </c>
    </row>
    <row r="389" spans="1:10" hidden="1" x14ac:dyDescent="0.3">
      <c r="A389" s="19" t="s">
        <v>251</v>
      </c>
      <c r="B389" s="15" t="s">
        <v>23</v>
      </c>
      <c r="C389" s="15" t="s">
        <v>24</v>
      </c>
      <c r="D389" s="15" t="s">
        <v>13</v>
      </c>
      <c r="E389" s="15">
        <v>16</v>
      </c>
      <c r="F389" s="15">
        <v>12</v>
      </c>
      <c r="G389" s="15" t="s">
        <v>43</v>
      </c>
      <c r="H389" s="15" t="s">
        <v>40</v>
      </c>
      <c r="I389" s="15" t="s">
        <v>252</v>
      </c>
      <c r="J389" s="57">
        <v>50</v>
      </c>
    </row>
    <row r="390" spans="1:10" hidden="1" x14ac:dyDescent="0.3">
      <c r="A390" s="19" t="s">
        <v>272</v>
      </c>
      <c r="B390" s="15" t="s">
        <v>54</v>
      </c>
      <c r="C390" s="15" t="s">
        <v>24</v>
      </c>
      <c r="D390" s="15" t="s">
        <v>13</v>
      </c>
      <c r="E390" s="15">
        <v>15</v>
      </c>
      <c r="F390" s="15">
        <v>9</v>
      </c>
      <c r="G390" s="15" t="s">
        <v>43</v>
      </c>
      <c r="H390" s="15" t="s">
        <v>20</v>
      </c>
      <c r="I390" s="15" t="s">
        <v>273</v>
      </c>
      <c r="J390" s="57">
        <v>50</v>
      </c>
    </row>
    <row r="391" spans="1:10" hidden="1" x14ac:dyDescent="0.3">
      <c r="A391" s="19" t="s">
        <v>351</v>
      </c>
      <c r="B391" s="15" t="s">
        <v>68</v>
      </c>
      <c r="C391" s="15" t="s">
        <v>96</v>
      </c>
      <c r="D391" s="15" t="s">
        <v>13</v>
      </c>
      <c r="E391" s="15">
        <v>15</v>
      </c>
      <c r="F391" s="15">
        <v>10</v>
      </c>
      <c r="G391" s="15" t="s">
        <v>25</v>
      </c>
      <c r="H391" s="15" t="s">
        <v>20</v>
      </c>
      <c r="I391" s="15" t="s">
        <v>352</v>
      </c>
      <c r="J391" s="57">
        <v>50</v>
      </c>
    </row>
    <row r="392" spans="1:10" hidden="1" x14ac:dyDescent="0.3">
      <c r="A392" s="19" t="s">
        <v>475</v>
      </c>
      <c r="B392" s="15" t="s">
        <v>35</v>
      </c>
      <c r="C392" s="15" t="s">
        <v>79</v>
      </c>
      <c r="D392" s="15" t="s">
        <v>13</v>
      </c>
      <c r="E392" s="15">
        <v>17</v>
      </c>
      <c r="F392" s="15">
        <v>9</v>
      </c>
      <c r="G392" s="15" t="s">
        <v>32</v>
      </c>
      <c r="H392" s="15" t="s">
        <v>15</v>
      </c>
      <c r="I392" s="15" t="s">
        <v>248</v>
      </c>
      <c r="J392" s="57">
        <v>50</v>
      </c>
    </row>
    <row r="393" spans="1:10" hidden="1" x14ac:dyDescent="0.3">
      <c r="A393" s="19" t="s">
        <v>492</v>
      </c>
      <c r="B393" s="15" t="s">
        <v>18</v>
      </c>
      <c r="C393" s="15" t="s">
        <v>85</v>
      </c>
      <c r="D393" s="15" t="s">
        <v>31</v>
      </c>
      <c r="E393" s="15">
        <v>19</v>
      </c>
      <c r="F393" s="15">
        <v>11</v>
      </c>
      <c r="G393" s="15" t="s">
        <v>43</v>
      </c>
      <c r="H393" s="15" t="s">
        <v>15</v>
      </c>
      <c r="I393" s="15" t="s">
        <v>394</v>
      </c>
      <c r="J393" s="57">
        <v>50</v>
      </c>
    </row>
    <row r="394" spans="1:10" hidden="1" x14ac:dyDescent="0.3">
      <c r="A394" s="19" t="s">
        <v>575</v>
      </c>
      <c r="B394" s="15" t="s">
        <v>35</v>
      </c>
      <c r="C394" s="15" t="s">
        <v>30</v>
      </c>
      <c r="D394" s="15" t="s">
        <v>31</v>
      </c>
      <c r="E394" s="15">
        <v>14</v>
      </c>
      <c r="F394" s="15">
        <v>10</v>
      </c>
      <c r="G394" s="15" t="s">
        <v>32</v>
      </c>
      <c r="H394" s="15" t="s">
        <v>40</v>
      </c>
      <c r="I394" s="15" t="s">
        <v>576</v>
      </c>
      <c r="J394" s="57">
        <v>50</v>
      </c>
    </row>
    <row r="395" spans="1:10" hidden="1" x14ac:dyDescent="0.3">
      <c r="A395" s="19" t="s">
        <v>663</v>
      </c>
      <c r="B395" s="15" t="s">
        <v>73</v>
      </c>
      <c r="C395" s="15" t="s">
        <v>36</v>
      </c>
      <c r="D395" s="15" t="s">
        <v>13</v>
      </c>
      <c r="E395" s="15">
        <v>20</v>
      </c>
      <c r="F395" s="15">
        <v>12</v>
      </c>
      <c r="G395" s="15" t="s">
        <v>25</v>
      </c>
      <c r="H395" s="15" t="s">
        <v>40</v>
      </c>
      <c r="I395" s="15" t="s">
        <v>664</v>
      </c>
      <c r="J395" s="57">
        <v>50</v>
      </c>
    </row>
    <row r="396" spans="1:10" hidden="1" x14ac:dyDescent="0.3">
      <c r="A396" s="19" t="s">
        <v>162</v>
      </c>
      <c r="B396" s="15" t="s">
        <v>73</v>
      </c>
      <c r="C396" s="15" t="s">
        <v>36</v>
      </c>
      <c r="D396" s="15" t="s">
        <v>31</v>
      </c>
      <c r="E396" s="15">
        <v>20</v>
      </c>
      <c r="F396" s="15">
        <v>9</v>
      </c>
      <c r="G396" s="15" t="s">
        <v>32</v>
      </c>
      <c r="H396" s="15" t="s">
        <v>20</v>
      </c>
      <c r="I396" s="15" t="s">
        <v>163</v>
      </c>
      <c r="J396" s="57">
        <v>49</v>
      </c>
    </row>
    <row r="397" spans="1:10" hidden="1" x14ac:dyDescent="0.3">
      <c r="A397" s="19" t="s">
        <v>183</v>
      </c>
      <c r="B397" s="15" t="s">
        <v>11</v>
      </c>
      <c r="C397" s="15" t="s">
        <v>30</v>
      </c>
      <c r="D397" s="15" t="s">
        <v>31</v>
      </c>
      <c r="E397" s="15">
        <v>17</v>
      </c>
      <c r="F397" s="15">
        <v>12</v>
      </c>
      <c r="G397" s="15" t="s">
        <v>14</v>
      </c>
      <c r="H397" s="15" t="s">
        <v>37</v>
      </c>
      <c r="I397" s="15" t="s">
        <v>184</v>
      </c>
      <c r="J397" s="57">
        <v>49</v>
      </c>
    </row>
    <row r="398" spans="1:10" hidden="1" x14ac:dyDescent="0.3">
      <c r="A398" s="19" t="s">
        <v>345</v>
      </c>
      <c r="B398" s="15" t="s">
        <v>29</v>
      </c>
      <c r="C398" s="15" t="s">
        <v>24</v>
      </c>
      <c r="D398" s="15" t="s">
        <v>31</v>
      </c>
      <c r="E398" s="15">
        <v>15</v>
      </c>
      <c r="F398" s="15">
        <v>9</v>
      </c>
      <c r="G398" s="15" t="s">
        <v>14</v>
      </c>
      <c r="H398" s="15" t="s">
        <v>26</v>
      </c>
      <c r="I398" s="15" t="s">
        <v>346</v>
      </c>
      <c r="J398" s="57">
        <v>49</v>
      </c>
    </row>
    <row r="399" spans="1:10" hidden="1" x14ac:dyDescent="0.3">
      <c r="A399" s="19" t="s">
        <v>361</v>
      </c>
      <c r="B399" s="15" t="s">
        <v>11</v>
      </c>
      <c r="C399" s="15" t="s">
        <v>30</v>
      </c>
      <c r="D399" s="15" t="s">
        <v>13</v>
      </c>
      <c r="E399" s="15">
        <v>20</v>
      </c>
      <c r="F399" s="15">
        <v>10</v>
      </c>
      <c r="G399" s="15" t="s">
        <v>32</v>
      </c>
      <c r="H399" s="15" t="s">
        <v>15</v>
      </c>
      <c r="I399" s="15" t="s">
        <v>362</v>
      </c>
      <c r="J399" s="57">
        <v>49</v>
      </c>
    </row>
    <row r="400" spans="1:10" hidden="1" x14ac:dyDescent="0.3">
      <c r="A400" s="19" t="s">
        <v>495</v>
      </c>
      <c r="B400" s="15" t="s">
        <v>35</v>
      </c>
      <c r="C400" s="15" t="s">
        <v>12</v>
      </c>
      <c r="D400" s="15" t="s">
        <v>13</v>
      </c>
      <c r="E400" s="15">
        <v>15</v>
      </c>
      <c r="F400" s="15">
        <v>12</v>
      </c>
      <c r="G400" s="15" t="s">
        <v>43</v>
      </c>
      <c r="H400" s="15" t="s">
        <v>20</v>
      </c>
      <c r="I400" s="15" t="s">
        <v>496</v>
      </c>
      <c r="J400" s="57">
        <v>49</v>
      </c>
    </row>
    <row r="401" spans="1:10" hidden="1" x14ac:dyDescent="0.3">
      <c r="A401" s="19" t="s">
        <v>623</v>
      </c>
      <c r="B401" s="15" t="s">
        <v>29</v>
      </c>
      <c r="C401" s="15" t="s">
        <v>12</v>
      </c>
      <c r="D401" s="15" t="s">
        <v>31</v>
      </c>
      <c r="E401" s="15">
        <v>19</v>
      </c>
      <c r="F401" s="15">
        <v>11</v>
      </c>
      <c r="G401" s="15" t="s">
        <v>25</v>
      </c>
      <c r="H401" s="15" t="s">
        <v>76</v>
      </c>
      <c r="I401" s="15" t="s">
        <v>624</v>
      </c>
      <c r="J401" s="57">
        <v>49</v>
      </c>
    </row>
    <row r="402" spans="1:10" hidden="1" x14ac:dyDescent="0.3">
      <c r="A402" s="19" t="s">
        <v>810</v>
      </c>
      <c r="B402" s="15" t="s">
        <v>73</v>
      </c>
      <c r="C402" s="15" t="s">
        <v>12</v>
      </c>
      <c r="D402" s="15" t="s">
        <v>13</v>
      </c>
      <c r="E402" s="15">
        <v>14</v>
      </c>
      <c r="F402" s="15">
        <v>10</v>
      </c>
      <c r="G402" s="15" t="s">
        <v>14</v>
      </c>
      <c r="H402" s="15" t="s">
        <v>46</v>
      </c>
      <c r="I402" s="15" t="s">
        <v>385</v>
      </c>
      <c r="J402" s="57">
        <v>49</v>
      </c>
    </row>
    <row r="403" spans="1:10" hidden="1" x14ac:dyDescent="0.3">
      <c r="A403" s="19" t="s">
        <v>928</v>
      </c>
      <c r="B403" s="15" t="s">
        <v>23</v>
      </c>
      <c r="C403" s="15" t="s">
        <v>55</v>
      </c>
      <c r="D403" s="15" t="s">
        <v>13</v>
      </c>
      <c r="E403" s="15">
        <v>20</v>
      </c>
      <c r="F403" s="15">
        <v>11</v>
      </c>
      <c r="G403" s="15" t="s">
        <v>14</v>
      </c>
      <c r="H403" s="15" t="s">
        <v>15</v>
      </c>
      <c r="I403" s="15" t="s">
        <v>608</v>
      </c>
      <c r="J403" s="57">
        <v>49</v>
      </c>
    </row>
    <row r="404" spans="1:10" hidden="1" x14ac:dyDescent="0.3">
      <c r="A404" s="19" t="s">
        <v>239</v>
      </c>
      <c r="B404" s="15" t="s">
        <v>68</v>
      </c>
      <c r="C404" s="15" t="s">
        <v>58</v>
      </c>
      <c r="D404" s="15" t="s">
        <v>13</v>
      </c>
      <c r="E404" s="15">
        <v>18</v>
      </c>
      <c r="F404" s="15">
        <v>11</v>
      </c>
      <c r="G404" s="15" t="s">
        <v>25</v>
      </c>
      <c r="H404" s="15" t="s">
        <v>15</v>
      </c>
      <c r="I404" s="15" t="s">
        <v>240</v>
      </c>
      <c r="J404" s="57">
        <v>48</v>
      </c>
    </row>
    <row r="405" spans="1:10" hidden="1" x14ac:dyDescent="0.3">
      <c r="A405" s="19" t="s">
        <v>255</v>
      </c>
      <c r="B405" s="15" t="s">
        <v>51</v>
      </c>
      <c r="C405" s="15" t="s">
        <v>79</v>
      </c>
      <c r="D405" s="15" t="s">
        <v>31</v>
      </c>
      <c r="E405" s="15">
        <v>20</v>
      </c>
      <c r="F405" s="15">
        <v>12</v>
      </c>
      <c r="G405" s="15" t="s">
        <v>43</v>
      </c>
      <c r="H405" s="15" t="s">
        <v>40</v>
      </c>
      <c r="I405" s="15" t="s">
        <v>256</v>
      </c>
      <c r="J405" s="57">
        <v>48</v>
      </c>
    </row>
    <row r="406" spans="1:10" hidden="1" x14ac:dyDescent="0.3">
      <c r="A406" s="19" t="s">
        <v>287</v>
      </c>
      <c r="B406" s="15" t="s">
        <v>54</v>
      </c>
      <c r="C406" s="15" t="s">
        <v>24</v>
      </c>
      <c r="D406" s="15" t="s">
        <v>31</v>
      </c>
      <c r="E406" s="15">
        <v>14</v>
      </c>
      <c r="F406" s="15">
        <v>12</v>
      </c>
      <c r="G406" s="15" t="s">
        <v>32</v>
      </c>
      <c r="H406" s="15" t="s">
        <v>76</v>
      </c>
      <c r="I406" s="15" t="s">
        <v>288</v>
      </c>
      <c r="J406" s="57">
        <v>48</v>
      </c>
    </row>
    <row r="407" spans="1:10" hidden="1" x14ac:dyDescent="0.3">
      <c r="A407" s="19" t="s">
        <v>689</v>
      </c>
      <c r="B407" s="15" t="s">
        <v>68</v>
      </c>
      <c r="C407" s="15" t="s">
        <v>96</v>
      </c>
      <c r="D407" s="15" t="s">
        <v>13</v>
      </c>
      <c r="E407" s="15">
        <v>20</v>
      </c>
      <c r="F407" s="15">
        <v>12</v>
      </c>
      <c r="G407" s="15" t="s">
        <v>43</v>
      </c>
      <c r="H407" s="15" t="s">
        <v>20</v>
      </c>
      <c r="I407" s="15" t="s">
        <v>626</v>
      </c>
      <c r="J407" s="57">
        <v>48</v>
      </c>
    </row>
    <row r="408" spans="1:10" hidden="1" x14ac:dyDescent="0.3">
      <c r="A408" s="19" t="s">
        <v>876</v>
      </c>
      <c r="B408" s="15" t="s">
        <v>18</v>
      </c>
      <c r="C408" s="15" t="s">
        <v>24</v>
      </c>
      <c r="D408" s="15" t="s">
        <v>31</v>
      </c>
      <c r="E408" s="15">
        <v>16</v>
      </c>
      <c r="F408" s="15">
        <v>9</v>
      </c>
      <c r="G408" s="15" t="s">
        <v>43</v>
      </c>
      <c r="H408" s="15" t="s">
        <v>26</v>
      </c>
      <c r="I408" s="15" t="s">
        <v>515</v>
      </c>
      <c r="J408" s="57">
        <v>48</v>
      </c>
    </row>
    <row r="409" spans="1:10" hidden="1" x14ac:dyDescent="0.3">
      <c r="A409" s="19" t="s">
        <v>268</v>
      </c>
      <c r="B409" s="15" t="s">
        <v>68</v>
      </c>
      <c r="C409" s="15" t="s">
        <v>24</v>
      </c>
      <c r="D409" s="15" t="s">
        <v>31</v>
      </c>
      <c r="E409" s="15">
        <v>16</v>
      </c>
      <c r="F409" s="15">
        <v>12</v>
      </c>
      <c r="G409" s="15" t="s">
        <v>43</v>
      </c>
      <c r="H409" s="15" t="s">
        <v>26</v>
      </c>
      <c r="I409" s="15" t="s">
        <v>269</v>
      </c>
      <c r="J409" s="57">
        <v>47</v>
      </c>
    </row>
    <row r="410" spans="1:10" hidden="1" x14ac:dyDescent="0.3">
      <c r="A410" s="19" t="s">
        <v>306</v>
      </c>
      <c r="B410" s="15" t="s">
        <v>23</v>
      </c>
      <c r="C410" s="15" t="s">
        <v>19</v>
      </c>
      <c r="D410" s="15" t="s">
        <v>31</v>
      </c>
      <c r="E410" s="15">
        <v>16</v>
      </c>
      <c r="F410" s="15">
        <v>10</v>
      </c>
      <c r="G410" s="15" t="s">
        <v>43</v>
      </c>
      <c r="H410" s="15" t="s">
        <v>61</v>
      </c>
      <c r="I410" s="15" t="s">
        <v>307</v>
      </c>
      <c r="J410" s="57">
        <v>47</v>
      </c>
    </row>
    <row r="411" spans="1:10" hidden="1" x14ac:dyDescent="0.3">
      <c r="A411" s="19" t="s">
        <v>414</v>
      </c>
      <c r="B411" s="15" t="s">
        <v>11</v>
      </c>
      <c r="C411" s="15" t="s">
        <v>55</v>
      </c>
      <c r="D411" s="15" t="s">
        <v>13</v>
      </c>
      <c r="E411" s="15">
        <v>16</v>
      </c>
      <c r="F411" s="15">
        <v>12</v>
      </c>
      <c r="G411" s="15" t="s">
        <v>32</v>
      </c>
      <c r="H411" s="15" t="s">
        <v>37</v>
      </c>
      <c r="I411" s="15" t="s">
        <v>415</v>
      </c>
      <c r="J411" s="57">
        <v>47</v>
      </c>
    </row>
    <row r="412" spans="1:10" hidden="1" x14ac:dyDescent="0.3">
      <c r="A412" s="19" t="s">
        <v>433</v>
      </c>
      <c r="B412" s="15" t="s">
        <v>84</v>
      </c>
      <c r="C412" s="15" t="s">
        <v>36</v>
      </c>
      <c r="D412" s="15" t="s">
        <v>13</v>
      </c>
      <c r="E412" s="15">
        <v>14</v>
      </c>
      <c r="F412" s="15">
        <v>9</v>
      </c>
      <c r="G412" s="15" t="s">
        <v>32</v>
      </c>
      <c r="H412" s="15" t="s">
        <v>15</v>
      </c>
      <c r="I412" s="15" t="s">
        <v>434</v>
      </c>
      <c r="J412" s="57">
        <v>47</v>
      </c>
    </row>
    <row r="413" spans="1:10" hidden="1" x14ac:dyDescent="0.3">
      <c r="A413" s="19" t="s">
        <v>493</v>
      </c>
      <c r="B413" s="15" t="s">
        <v>51</v>
      </c>
      <c r="C413" s="15" t="s">
        <v>96</v>
      </c>
      <c r="D413" s="15" t="s">
        <v>31</v>
      </c>
      <c r="E413" s="15">
        <v>14</v>
      </c>
      <c r="F413" s="15">
        <v>12</v>
      </c>
      <c r="G413" s="15" t="s">
        <v>14</v>
      </c>
      <c r="H413" s="15" t="s">
        <v>26</v>
      </c>
      <c r="I413" s="15" t="s">
        <v>494</v>
      </c>
      <c r="J413" s="57">
        <v>47</v>
      </c>
    </row>
    <row r="414" spans="1:10" hidden="1" x14ac:dyDescent="0.3">
      <c r="A414" s="19" t="s">
        <v>582</v>
      </c>
      <c r="B414" s="15" t="s">
        <v>51</v>
      </c>
      <c r="C414" s="15" t="s">
        <v>55</v>
      </c>
      <c r="D414" s="15" t="s">
        <v>31</v>
      </c>
      <c r="E414" s="15">
        <v>14</v>
      </c>
      <c r="F414" s="15">
        <v>11</v>
      </c>
      <c r="G414" s="15" t="s">
        <v>25</v>
      </c>
      <c r="H414" s="15" t="s">
        <v>37</v>
      </c>
      <c r="I414" s="15" t="s">
        <v>583</v>
      </c>
      <c r="J414" s="57">
        <v>47</v>
      </c>
    </row>
    <row r="415" spans="1:10" hidden="1" x14ac:dyDescent="0.3">
      <c r="A415" s="19" t="s">
        <v>814</v>
      </c>
      <c r="B415" s="15" t="s">
        <v>18</v>
      </c>
      <c r="C415" s="15" t="s">
        <v>24</v>
      </c>
      <c r="D415" s="15" t="s">
        <v>31</v>
      </c>
      <c r="E415" s="15">
        <v>17</v>
      </c>
      <c r="F415" s="15">
        <v>10</v>
      </c>
      <c r="G415" s="15" t="s">
        <v>14</v>
      </c>
      <c r="H415" s="15" t="s">
        <v>76</v>
      </c>
      <c r="I415" s="15" t="s">
        <v>815</v>
      </c>
      <c r="J415" s="57">
        <v>47</v>
      </c>
    </row>
    <row r="416" spans="1:10" hidden="1" x14ac:dyDescent="0.3">
      <c r="A416" s="19" t="s">
        <v>217</v>
      </c>
      <c r="B416" s="15" t="s">
        <v>84</v>
      </c>
      <c r="C416" s="15" t="s">
        <v>96</v>
      </c>
      <c r="D416" s="15" t="s">
        <v>31</v>
      </c>
      <c r="E416" s="15">
        <v>17</v>
      </c>
      <c r="F416" s="15">
        <v>10</v>
      </c>
      <c r="G416" s="15" t="s">
        <v>43</v>
      </c>
      <c r="H416" s="15" t="s">
        <v>46</v>
      </c>
      <c r="I416" s="15" t="s">
        <v>218</v>
      </c>
      <c r="J416" s="57">
        <v>46</v>
      </c>
    </row>
    <row r="417" spans="1:10" hidden="1" x14ac:dyDescent="0.3">
      <c r="A417" s="19" t="s">
        <v>391</v>
      </c>
      <c r="B417" s="15" t="s">
        <v>68</v>
      </c>
      <c r="C417" s="15" t="s">
        <v>19</v>
      </c>
      <c r="D417" s="15" t="s">
        <v>13</v>
      </c>
      <c r="E417" s="15">
        <v>19</v>
      </c>
      <c r="F417" s="15">
        <v>12</v>
      </c>
      <c r="G417" s="15" t="s">
        <v>25</v>
      </c>
      <c r="H417" s="15" t="s">
        <v>46</v>
      </c>
      <c r="I417" s="15" t="s">
        <v>392</v>
      </c>
      <c r="J417" s="57">
        <v>46</v>
      </c>
    </row>
    <row r="418" spans="1:10" hidden="1" x14ac:dyDescent="0.3">
      <c r="A418" s="19" t="s">
        <v>466</v>
      </c>
      <c r="B418" s="15" t="s">
        <v>11</v>
      </c>
      <c r="C418" s="15" t="s">
        <v>55</v>
      </c>
      <c r="D418" s="15" t="s">
        <v>31</v>
      </c>
      <c r="E418" s="15">
        <v>20</v>
      </c>
      <c r="F418" s="15">
        <v>11</v>
      </c>
      <c r="G418" s="15" t="s">
        <v>32</v>
      </c>
      <c r="H418" s="15" t="s">
        <v>40</v>
      </c>
      <c r="I418" s="15" t="s">
        <v>467</v>
      </c>
      <c r="J418" s="57">
        <v>46</v>
      </c>
    </row>
    <row r="419" spans="1:10" hidden="1" x14ac:dyDescent="0.3">
      <c r="A419" s="19" t="s">
        <v>528</v>
      </c>
      <c r="B419" s="15" t="s">
        <v>51</v>
      </c>
      <c r="C419" s="15" t="s">
        <v>19</v>
      </c>
      <c r="D419" s="15" t="s">
        <v>13</v>
      </c>
      <c r="E419" s="15">
        <v>19</v>
      </c>
      <c r="F419" s="15">
        <v>9</v>
      </c>
      <c r="G419" s="15" t="s">
        <v>43</v>
      </c>
      <c r="H419" s="15" t="s">
        <v>46</v>
      </c>
      <c r="I419" s="15" t="s">
        <v>222</v>
      </c>
      <c r="J419" s="57">
        <v>46</v>
      </c>
    </row>
    <row r="420" spans="1:10" hidden="1" x14ac:dyDescent="0.3">
      <c r="A420" s="19" t="s">
        <v>530</v>
      </c>
      <c r="B420" s="15" t="s">
        <v>54</v>
      </c>
      <c r="C420" s="15" t="s">
        <v>58</v>
      </c>
      <c r="D420" s="15" t="s">
        <v>13</v>
      </c>
      <c r="E420" s="15">
        <v>17</v>
      </c>
      <c r="F420" s="15">
        <v>10</v>
      </c>
      <c r="G420" s="15" t="s">
        <v>32</v>
      </c>
      <c r="H420" s="15" t="s">
        <v>15</v>
      </c>
      <c r="I420" s="15" t="s">
        <v>64</v>
      </c>
      <c r="J420" s="57">
        <v>46</v>
      </c>
    </row>
    <row r="421" spans="1:10" hidden="1" x14ac:dyDescent="0.3">
      <c r="A421" s="19" t="s">
        <v>893</v>
      </c>
      <c r="B421" s="15" t="s">
        <v>29</v>
      </c>
      <c r="C421" s="15" t="s">
        <v>30</v>
      </c>
      <c r="D421" s="15" t="s">
        <v>13</v>
      </c>
      <c r="E421" s="15">
        <v>17</v>
      </c>
      <c r="F421" s="15">
        <v>9</v>
      </c>
      <c r="G421" s="15" t="s">
        <v>14</v>
      </c>
      <c r="H421" s="15" t="s">
        <v>46</v>
      </c>
      <c r="I421" s="15" t="s">
        <v>423</v>
      </c>
      <c r="J421" s="57">
        <v>46</v>
      </c>
    </row>
    <row r="422" spans="1:10" hidden="1" x14ac:dyDescent="0.3">
      <c r="A422" s="19" t="s">
        <v>34</v>
      </c>
      <c r="B422" s="15" t="s">
        <v>35</v>
      </c>
      <c r="C422" s="15" t="s">
        <v>36</v>
      </c>
      <c r="D422" s="15" t="s">
        <v>31</v>
      </c>
      <c r="E422" s="15">
        <v>17</v>
      </c>
      <c r="F422" s="15">
        <v>10</v>
      </c>
      <c r="G422" s="15" t="s">
        <v>32</v>
      </c>
      <c r="H422" s="15" t="s">
        <v>37</v>
      </c>
      <c r="I422" s="15" t="s">
        <v>38</v>
      </c>
      <c r="J422" s="57">
        <v>45</v>
      </c>
    </row>
    <row r="423" spans="1:10" hidden="1" x14ac:dyDescent="0.3">
      <c r="A423" s="19" t="s">
        <v>166</v>
      </c>
      <c r="B423" s="15" t="s">
        <v>84</v>
      </c>
      <c r="C423" s="15" t="s">
        <v>24</v>
      </c>
      <c r="D423" s="15" t="s">
        <v>13</v>
      </c>
      <c r="E423" s="15">
        <v>14</v>
      </c>
      <c r="F423" s="15">
        <v>10</v>
      </c>
      <c r="G423" s="15" t="s">
        <v>43</v>
      </c>
      <c r="H423" s="15" t="s">
        <v>15</v>
      </c>
      <c r="I423" s="15" t="s">
        <v>167</v>
      </c>
      <c r="J423" s="57">
        <v>45</v>
      </c>
    </row>
    <row r="424" spans="1:10" hidden="1" x14ac:dyDescent="0.3">
      <c r="A424" s="19" t="s">
        <v>185</v>
      </c>
      <c r="B424" s="15" t="s">
        <v>35</v>
      </c>
      <c r="C424" s="15" t="s">
        <v>30</v>
      </c>
      <c r="D424" s="15" t="s">
        <v>31</v>
      </c>
      <c r="E424" s="15">
        <v>14</v>
      </c>
      <c r="F424" s="15">
        <v>12</v>
      </c>
      <c r="G424" s="15" t="s">
        <v>43</v>
      </c>
      <c r="H424" s="15" t="s">
        <v>61</v>
      </c>
      <c r="I424" s="15" t="s">
        <v>186</v>
      </c>
      <c r="J424" s="57">
        <v>45</v>
      </c>
    </row>
    <row r="425" spans="1:10" hidden="1" x14ac:dyDescent="0.3">
      <c r="A425" s="19" t="s">
        <v>462</v>
      </c>
      <c r="B425" s="15" t="s">
        <v>11</v>
      </c>
      <c r="C425" s="15" t="s">
        <v>24</v>
      </c>
      <c r="D425" s="15" t="s">
        <v>31</v>
      </c>
      <c r="E425" s="15">
        <v>19</v>
      </c>
      <c r="F425" s="15">
        <v>12</v>
      </c>
      <c r="G425" s="15" t="s">
        <v>43</v>
      </c>
      <c r="H425" s="15" t="s">
        <v>37</v>
      </c>
      <c r="I425" s="15" t="s">
        <v>463</v>
      </c>
      <c r="J425" s="57">
        <v>45</v>
      </c>
    </row>
    <row r="426" spans="1:10" hidden="1" x14ac:dyDescent="0.3">
      <c r="A426" s="19" t="s">
        <v>507</v>
      </c>
      <c r="B426" s="15" t="s">
        <v>54</v>
      </c>
      <c r="C426" s="15" t="s">
        <v>12</v>
      </c>
      <c r="D426" s="15" t="s">
        <v>31</v>
      </c>
      <c r="E426" s="15">
        <v>16</v>
      </c>
      <c r="F426" s="15">
        <v>12</v>
      </c>
      <c r="G426" s="15" t="s">
        <v>43</v>
      </c>
      <c r="H426" s="15" t="s">
        <v>61</v>
      </c>
      <c r="I426" s="15" t="s">
        <v>483</v>
      </c>
      <c r="J426" s="57">
        <v>45</v>
      </c>
    </row>
    <row r="427" spans="1:10" hidden="1" x14ac:dyDescent="0.3">
      <c r="A427" s="19" t="s">
        <v>588</v>
      </c>
      <c r="B427" s="15" t="s">
        <v>68</v>
      </c>
      <c r="C427" s="15" t="s">
        <v>85</v>
      </c>
      <c r="D427" s="15" t="s">
        <v>31</v>
      </c>
      <c r="E427" s="15">
        <v>17</v>
      </c>
      <c r="F427" s="15">
        <v>9</v>
      </c>
      <c r="G427" s="15" t="s">
        <v>25</v>
      </c>
      <c r="H427" s="15" t="s">
        <v>61</v>
      </c>
      <c r="I427" s="15" t="s">
        <v>589</v>
      </c>
      <c r="J427" s="57">
        <v>45</v>
      </c>
    </row>
    <row r="428" spans="1:10" x14ac:dyDescent="0.3">
      <c r="A428" s="19" t="s">
        <v>650</v>
      </c>
      <c r="B428" s="15" t="s">
        <v>23</v>
      </c>
      <c r="C428" s="15" t="s">
        <v>24</v>
      </c>
      <c r="D428" s="15" t="s">
        <v>13</v>
      </c>
      <c r="E428" s="15">
        <v>17</v>
      </c>
      <c r="F428" s="15">
        <v>12</v>
      </c>
      <c r="G428" s="15" t="s">
        <v>25</v>
      </c>
      <c r="H428" s="15" t="s">
        <v>46</v>
      </c>
      <c r="I428" s="15" t="s">
        <v>651</v>
      </c>
      <c r="J428" s="57">
        <v>45</v>
      </c>
    </row>
    <row r="429" spans="1:10" hidden="1" x14ac:dyDescent="0.3">
      <c r="A429" s="19" t="s">
        <v>652</v>
      </c>
      <c r="B429" s="15" t="s">
        <v>51</v>
      </c>
      <c r="C429" s="15" t="s">
        <v>55</v>
      </c>
      <c r="D429" s="15" t="s">
        <v>13</v>
      </c>
      <c r="E429" s="15">
        <v>16</v>
      </c>
      <c r="F429" s="15">
        <v>12</v>
      </c>
      <c r="G429" s="15" t="s">
        <v>32</v>
      </c>
      <c r="H429" s="15" t="s">
        <v>61</v>
      </c>
      <c r="I429" s="15" t="s">
        <v>653</v>
      </c>
      <c r="J429" s="57">
        <v>45</v>
      </c>
    </row>
    <row r="430" spans="1:10" x14ac:dyDescent="0.3">
      <c r="A430" s="19" t="s">
        <v>868</v>
      </c>
      <c r="B430" s="15" t="s">
        <v>84</v>
      </c>
      <c r="C430" s="15" t="s">
        <v>30</v>
      </c>
      <c r="D430" s="15" t="s">
        <v>31</v>
      </c>
      <c r="E430" s="15">
        <v>15</v>
      </c>
      <c r="F430" s="15">
        <v>9</v>
      </c>
      <c r="G430" s="15" t="s">
        <v>43</v>
      </c>
      <c r="H430" s="15" t="s">
        <v>61</v>
      </c>
      <c r="I430" s="15" t="s">
        <v>151</v>
      </c>
      <c r="J430" s="57">
        <v>45</v>
      </c>
    </row>
    <row r="431" spans="1:10" hidden="1" x14ac:dyDescent="0.3">
      <c r="A431" s="19" t="s">
        <v>312</v>
      </c>
      <c r="B431" s="15" t="s">
        <v>29</v>
      </c>
      <c r="C431" s="15" t="s">
        <v>12</v>
      </c>
      <c r="D431" s="15" t="s">
        <v>31</v>
      </c>
      <c r="E431" s="15">
        <v>14</v>
      </c>
      <c r="F431" s="15">
        <v>12</v>
      </c>
      <c r="G431" s="15" t="s">
        <v>43</v>
      </c>
      <c r="H431" s="15" t="s">
        <v>61</v>
      </c>
      <c r="I431" s="15" t="s">
        <v>313</v>
      </c>
      <c r="J431" s="57">
        <v>44</v>
      </c>
    </row>
    <row r="432" spans="1:10" hidden="1" x14ac:dyDescent="0.3">
      <c r="A432" s="19" t="s">
        <v>503</v>
      </c>
      <c r="B432" s="15" t="s">
        <v>84</v>
      </c>
      <c r="C432" s="15" t="s">
        <v>19</v>
      </c>
      <c r="D432" s="15" t="s">
        <v>31</v>
      </c>
      <c r="E432" s="15">
        <v>15</v>
      </c>
      <c r="F432" s="15">
        <v>10</v>
      </c>
      <c r="G432" s="15" t="s">
        <v>43</v>
      </c>
      <c r="H432" s="15" t="s">
        <v>61</v>
      </c>
      <c r="I432" s="15" t="s">
        <v>504</v>
      </c>
      <c r="J432" s="57">
        <v>44</v>
      </c>
    </row>
    <row r="433" spans="1:10" hidden="1" x14ac:dyDescent="0.3">
      <c r="A433" s="19" t="s">
        <v>531</v>
      </c>
      <c r="B433" s="15" t="s">
        <v>23</v>
      </c>
      <c r="C433" s="15" t="s">
        <v>36</v>
      </c>
      <c r="D433" s="15" t="s">
        <v>13</v>
      </c>
      <c r="E433" s="15">
        <v>20</v>
      </c>
      <c r="F433" s="15">
        <v>11</v>
      </c>
      <c r="G433" s="15" t="s">
        <v>43</v>
      </c>
      <c r="H433" s="15" t="s">
        <v>20</v>
      </c>
      <c r="I433" s="15" t="s">
        <v>178</v>
      </c>
      <c r="J433" s="57">
        <v>44</v>
      </c>
    </row>
    <row r="434" spans="1:10" hidden="1" x14ac:dyDescent="0.3">
      <c r="A434" s="19" t="s">
        <v>679</v>
      </c>
      <c r="B434" s="15" t="s">
        <v>18</v>
      </c>
      <c r="C434" s="15" t="s">
        <v>96</v>
      </c>
      <c r="D434" s="15" t="s">
        <v>13</v>
      </c>
      <c r="E434" s="15">
        <v>14</v>
      </c>
      <c r="F434" s="15">
        <v>12</v>
      </c>
      <c r="G434" s="15" t="s">
        <v>32</v>
      </c>
      <c r="H434" s="15" t="s">
        <v>46</v>
      </c>
      <c r="I434" s="15" t="s">
        <v>680</v>
      </c>
      <c r="J434" s="57">
        <v>44</v>
      </c>
    </row>
    <row r="435" spans="1:10" hidden="1" x14ac:dyDescent="0.3">
      <c r="A435" s="19" t="s">
        <v>811</v>
      </c>
      <c r="B435" s="15" t="s">
        <v>29</v>
      </c>
      <c r="C435" s="15" t="s">
        <v>58</v>
      </c>
      <c r="D435" s="15" t="s">
        <v>13</v>
      </c>
      <c r="E435" s="15">
        <v>20</v>
      </c>
      <c r="F435" s="15">
        <v>11</v>
      </c>
      <c r="G435" s="15" t="s">
        <v>14</v>
      </c>
      <c r="H435" s="15" t="s">
        <v>61</v>
      </c>
      <c r="I435" s="15" t="s">
        <v>358</v>
      </c>
      <c r="J435" s="57">
        <v>44</v>
      </c>
    </row>
    <row r="436" spans="1:10" hidden="1" x14ac:dyDescent="0.3">
      <c r="A436" s="19" t="s">
        <v>845</v>
      </c>
      <c r="B436" s="15" t="s">
        <v>11</v>
      </c>
      <c r="C436" s="15" t="s">
        <v>19</v>
      </c>
      <c r="D436" s="15" t="s">
        <v>31</v>
      </c>
      <c r="E436" s="15">
        <v>19</v>
      </c>
      <c r="F436" s="15">
        <v>11</v>
      </c>
      <c r="G436" s="15" t="s">
        <v>43</v>
      </c>
      <c r="H436" s="15" t="s">
        <v>76</v>
      </c>
      <c r="I436" s="15" t="s">
        <v>282</v>
      </c>
      <c r="J436" s="57">
        <v>44</v>
      </c>
    </row>
    <row r="437" spans="1:10" hidden="1" x14ac:dyDescent="0.3">
      <c r="A437" s="19" t="s">
        <v>57</v>
      </c>
      <c r="B437" s="15" t="s">
        <v>51</v>
      </c>
      <c r="C437" s="15" t="s">
        <v>58</v>
      </c>
      <c r="D437" s="15" t="s">
        <v>13</v>
      </c>
      <c r="E437" s="15">
        <v>14</v>
      </c>
      <c r="F437" s="15">
        <v>12</v>
      </c>
      <c r="G437" s="15" t="s">
        <v>32</v>
      </c>
      <c r="H437" s="15" t="s">
        <v>40</v>
      </c>
      <c r="I437" s="15" t="s">
        <v>59</v>
      </c>
      <c r="J437" s="57">
        <v>43</v>
      </c>
    </row>
    <row r="438" spans="1:10" hidden="1" x14ac:dyDescent="0.3">
      <c r="A438" s="19" t="s">
        <v>607</v>
      </c>
      <c r="B438" s="15" t="s">
        <v>68</v>
      </c>
      <c r="C438" s="15" t="s">
        <v>55</v>
      </c>
      <c r="D438" s="15" t="s">
        <v>13</v>
      </c>
      <c r="E438" s="15">
        <v>19</v>
      </c>
      <c r="F438" s="15">
        <v>11</v>
      </c>
      <c r="G438" s="15" t="s">
        <v>25</v>
      </c>
      <c r="H438" s="15" t="s">
        <v>20</v>
      </c>
      <c r="I438" s="15" t="s">
        <v>608</v>
      </c>
      <c r="J438" s="57">
        <v>43</v>
      </c>
    </row>
    <row r="439" spans="1:10" hidden="1" x14ac:dyDescent="0.3">
      <c r="A439" s="19" t="s">
        <v>640</v>
      </c>
      <c r="B439" s="15" t="s">
        <v>84</v>
      </c>
      <c r="C439" s="15" t="s">
        <v>79</v>
      </c>
      <c r="D439" s="15" t="s">
        <v>31</v>
      </c>
      <c r="E439" s="15">
        <v>14</v>
      </c>
      <c r="F439" s="15">
        <v>9</v>
      </c>
      <c r="G439" s="15" t="s">
        <v>14</v>
      </c>
      <c r="H439" s="15" t="s">
        <v>37</v>
      </c>
      <c r="I439" s="15" t="s">
        <v>641</v>
      </c>
      <c r="J439" s="57">
        <v>43</v>
      </c>
    </row>
    <row r="440" spans="1:10" hidden="1" x14ac:dyDescent="0.3">
      <c r="A440" s="19" t="s">
        <v>721</v>
      </c>
      <c r="B440" s="15" t="s">
        <v>23</v>
      </c>
      <c r="C440" s="15" t="s">
        <v>19</v>
      </c>
      <c r="D440" s="15" t="s">
        <v>31</v>
      </c>
      <c r="E440" s="15">
        <v>18</v>
      </c>
      <c r="F440" s="15">
        <v>10</v>
      </c>
      <c r="G440" s="15" t="s">
        <v>14</v>
      </c>
      <c r="H440" s="15" t="s">
        <v>26</v>
      </c>
      <c r="I440" s="15" t="s">
        <v>722</v>
      </c>
      <c r="J440" s="57">
        <v>43</v>
      </c>
    </row>
    <row r="441" spans="1:10" hidden="1" x14ac:dyDescent="0.3">
      <c r="A441" s="19" t="s">
        <v>804</v>
      </c>
      <c r="B441" s="15" t="s">
        <v>54</v>
      </c>
      <c r="C441" s="15" t="s">
        <v>79</v>
      </c>
      <c r="D441" s="15" t="s">
        <v>13</v>
      </c>
      <c r="E441" s="15">
        <v>19</v>
      </c>
      <c r="F441" s="15">
        <v>9</v>
      </c>
      <c r="G441" s="15" t="s">
        <v>25</v>
      </c>
      <c r="H441" s="15" t="s">
        <v>61</v>
      </c>
      <c r="I441" s="15" t="s">
        <v>56</v>
      </c>
      <c r="J441" s="57">
        <v>43</v>
      </c>
    </row>
    <row r="442" spans="1:10" hidden="1" x14ac:dyDescent="0.3">
      <c r="A442" s="19" t="s">
        <v>824</v>
      </c>
      <c r="B442" s="15" t="s">
        <v>54</v>
      </c>
      <c r="C442" s="15" t="s">
        <v>19</v>
      </c>
      <c r="D442" s="15" t="s">
        <v>31</v>
      </c>
      <c r="E442" s="15">
        <v>20</v>
      </c>
      <c r="F442" s="15">
        <v>9</v>
      </c>
      <c r="G442" s="15" t="s">
        <v>14</v>
      </c>
      <c r="H442" s="15" t="s">
        <v>37</v>
      </c>
      <c r="I442" s="15" t="s">
        <v>825</v>
      </c>
      <c r="J442" s="57">
        <v>43</v>
      </c>
    </row>
    <row r="443" spans="1:10" hidden="1" x14ac:dyDescent="0.3">
      <c r="A443" s="19" t="s">
        <v>843</v>
      </c>
      <c r="B443" s="15" t="s">
        <v>54</v>
      </c>
      <c r="C443" s="15" t="s">
        <v>12</v>
      </c>
      <c r="D443" s="15" t="s">
        <v>31</v>
      </c>
      <c r="E443" s="15">
        <v>17</v>
      </c>
      <c r="F443" s="15">
        <v>10</v>
      </c>
      <c r="G443" s="15" t="s">
        <v>25</v>
      </c>
      <c r="H443" s="15" t="s">
        <v>40</v>
      </c>
      <c r="I443" s="15" t="s">
        <v>844</v>
      </c>
      <c r="J443" s="57">
        <v>43</v>
      </c>
    </row>
    <row r="444" spans="1:10" hidden="1" x14ac:dyDescent="0.3">
      <c r="A444" s="19" t="s">
        <v>63</v>
      </c>
      <c r="B444" s="15" t="s">
        <v>11</v>
      </c>
      <c r="C444" s="15" t="s">
        <v>55</v>
      </c>
      <c r="D444" s="15" t="s">
        <v>13</v>
      </c>
      <c r="E444" s="15">
        <v>16</v>
      </c>
      <c r="F444" s="15">
        <v>10</v>
      </c>
      <c r="G444" s="15" t="s">
        <v>25</v>
      </c>
      <c r="H444" s="15" t="s">
        <v>26</v>
      </c>
      <c r="I444" s="15" t="s">
        <v>64</v>
      </c>
      <c r="J444" s="57">
        <v>42</v>
      </c>
    </row>
    <row r="445" spans="1:10" hidden="1" x14ac:dyDescent="0.3">
      <c r="A445" s="19" t="s">
        <v>70</v>
      </c>
      <c r="B445" s="15" t="s">
        <v>51</v>
      </c>
      <c r="C445" s="15" t="s">
        <v>36</v>
      </c>
      <c r="D445" s="15" t="s">
        <v>13</v>
      </c>
      <c r="E445" s="15">
        <v>14</v>
      </c>
      <c r="F445" s="15">
        <v>12</v>
      </c>
      <c r="G445" s="15" t="s">
        <v>25</v>
      </c>
      <c r="H445" s="15" t="s">
        <v>37</v>
      </c>
      <c r="I445" s="15" t="s">
        <v>71</v>
      </c>
      <c r="J445" s="57">
        <v>42</v>
      </c>
    </row>
    <row r="446" spans="1:10" hidden="1" x14ac:dyDescent="0.3">
      <c r="A446" s="19" t="s">
        <v>332</v>
      </c>
      <c r="B446" s="15" t="s">
        <v>29</v>
      </c>
      <c r="C446" s="15" t="s">
        <v>12</v>
      </c>
      <c r="D446" s="15" t="s">
        <v>31</v>
      </c>
      <c r="E446" s="15">
        <v>16</v>
      </c>
      <c r="F446" s="15">
        <v>11</v>
      </c>
      <c r="G446" s="15" t="s">
        <v>32</v>
      </c>
      <c r="H446" s="15" t="s">
        <v>76</v>
      </c>
      <c r="I446" s="15" t="s">
        <v>333</v>
      </c>
      <c r="J446" s="57">
        <v>42</v>
      </c>
    </row>
    <row r="447" spans="1:10" hidden="1" x14ac:dyDescent="0.3">
      <c r="A447" s="19" t="s">
        <v>408</v>
      </c>
      <c r="B447" s="15" t="s">
        <v>51</v>
      </c>
      <c r="C447" s="15" t="s">
        <v>85</v>
      </c>
      <c r="D447" s="15" t="s">
        <v>13</v>
      </c>
      <c r="E447" s="15">
        <v>17</v>
      </c>
      <c r="F447" s="15">
        <v>11</v>
      </c>
      <c r="G447" s="15" t="s">
        <v>25</v>
      </c>
      <c r="H447" s="15" t="s">
        <v>46</v>
      </c>
      <c r="I447" s="15" t="s">
        <v>52</v>
      </c>
      <c r="J447" s="57">
        <v>42</v>
      </c>
    </row>
    <row r="448" spans="1:10" x14ac:dyDescent="0.3">
      <c r="A448" s="19" t="s">
        <v>484</v>
      </c>
      <c r="B448" s="15" t="s">
        <v>29</v>
      </c>
      <c r="C448" s="15" t="s">
        <v>79</v>
      </c>
      <c r="D448" s="15" t="s">
        <v>31</v>
      </c>
      <c r="E448" s="15">
        <v>14</v>
      </c>
      <c r="F448" s="15">
        <v>11</v>
      </c>
      <c r="G448" s="15" t="s">
        <v>32</v>
      </c>
      <c r="H448" s="15" t="s">
        <v>40</v>
      </c>
      <c r="I448" s="15" t="s">
        <v>184</v>
      </c>
      <c r="J448" s="57">
        <v>42</v>
      </c>
    </row>
    <row r="449" spans="1:10" hidden="1" x14ac:dyDescent="0.3">
      <c r="A449" s="19" t="s">
        <v>497</v>
      </c>
      <c r="B449" s="15" t="s">
        <v>51</v>
      </c>
      <c r="C449" s="15" t="s">
        <v>96</v>
      </c>
      <c r="D449" s="15" t="s">
        <v>13</v>
      </c>
      <c r="E449" s="15">
        <v>16</v>
      </c>
      <c r="F449" s="15">
        <v>9</v>
      </c>
      <c r="G449" s="15" t="s">
        <v>25</v>
      </c>
      <c r="H449" s="15" t="s">
        <v>26</v>
      </c>
      <c r="I449" s="15" t="s">
        <v>498</v>
      </c>
      <c r="J449" s="57">
        <v>42</v>
      </c>
    </row>
    <row r="450" spans="1:10" hidden="1" x14ac:dyDescent="0.3">
      <c r="A450" s="19" t="s">
        <v>499</v>
      </c>
      <c r="B450" s="15" t="s">
        <v>54</v>
      </c>
      <c r="C450" s="15" t="s">
        <v>19</v>
      </c>
      <c r="D450" s="15" t="s">
        <v>31</v>
      </c>
      <c r="E450" s="15">
        <v>20</v>
      </c>
      <c r="F450" s="15">
        <v>9</v>
      </c>
      <c r="G450" s="15" t="s">
        <v>32</v>
      </c>
      <c r="H450" s="15" t="s">
        <v>46</v>
      </c>
      <c r="I450" s="15" t="s">
        <v>500</v>
      </c>
      <c r="J450" s="57">
        <v>42</v>
      </c>
    </row>
    <row r="451" spans="1:10" hidden="1" x14ac:dyDescent="0.3">
      <c r="A451" s="19" t="s">
        <v>520</v>
      </c>
      <c r="B451" s="15" t="s">
        <v>68</v>
      </c>
      <c r="C451" s="15" t="s">
        <v>12</v>
      </c>
      <c r="D451" s="15" t="s">
        <v>31</v>
      </c>
      <c r="E451" s="15">
        <v>20</v>
      </c>
      <c r="F451" s="15">
        <v>10</v>
      </c>
      <c r="G451" s="15" t="s">
        <v>32</v>
      </c>
      <c r="H451" s="15" t="s">
        <v>26</v>
      </c>
      <c r="I451" s="15" t="s">
        <v>521</v>
      </c>
      <c r="J451" s="57">
        <v>42</v>
      </c>
    </row>
    <row r="452" spans="1:10" hidden="1" x14ac:dyDescent="0.3">
      <c r="A452" s="19" t="s">
        <v>537</v>
      </c>
      <c r="B452" s="15" t="s">
        <v>68</v>
      </c>
      <c r="C452" s="15" t="s">
        <v>36</v>
      </c>
      <c r="D452" s="15" t="s">
        <v>31</v>
      </c>
      <c r="E452" s="15">
        <v>16</v>
      </c>
      <c r="F452" s="15">
        <v>12</v>
      </c>
      <c r="G452" s="15" t="s">
        <v>25</v>
      </c>
      <c r="H452" s="15" t="s">
        <v>26</v>
      </c>
      <c r="I452" s="15" t="s">
        <v>538</v>
      </c>
      <c r="J452" s="57">
        <v>42</v>
      </c>
    </row>
    <row r="453" spans="1:10" x14ac:dyDescent="0.3">
      <c r="A453" s="19" t="s">
        <v>654</v>
      </c>
      <c r="B453" s="15" t="s">
        <v>18</v>
      </c>
      <c r="C453" s="15" t="s">
        <v>24</v>
      </c>
      <c r="D453" s="15" t="s">
        <v>31</v>
      </c>
      <c r="E453" s="15">
        <v>14</v>
      </c>
      <c r="F453" s="15">
        <v>12</v>
      </c>
      <c r="G453" s="15" t="s">
        <v>14</v>
      </c>
      <c r="H453" s="15" t="s">
        <v>46</v>
      </c>
      <c r="I453" s="15" t="s">
        <v>655</v>
      </c>
      <c r="J453" s="57">
        <v>42</v>
      </c>
    </row>
    <row r="454" spans="1:10" hidden="1" x14ac:dyDescent="0.3">
      <c r="A454" s="19" t="s">
        <v>701</v>
      </c>
      <c r="B454" s="15" t="s">
        <v>54</v>
      </c>
      <c r="C454" s="15" t="s">
        <v>30</v>
      </c>
      <c r="D454" s="15" t="s">
        <v>31</v>
      </c>
      <c r="E454" s="15">
        <v>15</v>
      </c>
      <c r="F454" s="15">
        <v>11</v>
      </c>
      <c r="G454" s="15" t="s">
        <v>14</v>
      </c>
      <c r="H454" s="15" t="s">
        <v>76</v>
      </c>
      <c r="I454" s="15" t="s">
        <v>702</v>
      </c>
      <c r="J454" s="57">
        <v>42</v>
      </c>
    </row>
    <row r="455" spans="1:10" hidden="1" x14ac:dyDescent="0.3">
      <c r="A455" s="19" t="s">
        <v>826</v>
      </c>
      <c r="B455" s="15" t="s">
        <v>51</v>
      </c>
      <c r="C455" s="15" t="s">
        <v>55</v>
      </c>
      <c r="D455" s="15" t="s">
        <v>31</v>
      </c>
      <c r="E455" s="15">
        <v>15</v>
      </c>
      <c r="F455" s="15">
        <v>10</v>
      </c>
      <c r="G455" s="15" t="s">
        <v>43</v>
      </c>
      <c r="H455" s="15" t="s">
        <v>37</v>
      </c>
      <c r="I455" s="15" t="s">
        <v>174</v>
      </c>
      <c r="J455" s="57">
        <v>42</v>
      </c>
    </row>
    <row r="456" spans="1:10" hidden="1" x14ac:dyDescent="0.3">
      <c r="A456" s="19" t="s">
        <v>933</v>
      </c>
      <c r="B456" s="15" t="s">
        <v>51</v>
      </c>
      <c r="C456" s="15" t="s">
        <v>96</v>
      </c>
      <c r="D456" s="15" t="s">
        <v>13</v>
      </c>
      <c r="E456" s="15">
        <v>20</v>
      </c>
      <c r="F456" s="15">
        <v>11</v>
      </c>
      <c r="G456" s="15" t="s">
        <v>25</v>
      </c>
      <c r="H456" s="15" t="s">
        <v>15</v>
      </c>
      <c r="I456" s="15" t="s">
        <v>494</v>
      </c>
      <c r="J456" s="57">
        <v>42</v>
      </c>
    </row>
    <row r="457" spans="1:10" hidden="1" x14ac:dyDescent="0.3">
      <c r="A457" s="19" t="s">
        <v>265</v>
      </c>
      <c r="B457" s="15" t="s">
        <v>11</v>
      </c>
      <c r="C457" s="15" t="s">
        <v>85</v>
      </c>
      <c r="D457" s="15" t="s">
        <v>31</v>
      </c>
      <c r="E457" s="15">
        <v>14</v>
      </c>
      <c r="F457" s="15">
        <v>9</v>
      </c>
      <c r="G457" s="15" t="s">
        <v>43</v>
      </c>
      <c r="H457" s="15" t="s">
        <v>61</v>
      </c>
      <c r="I457" s="15" t="s">
        <v>56</v>
      </c>
      <c r="J457" s="57">
        <v>41</v>
      </c>
    </row>
    <row r="458" spans="1:10" hidden="1" x14ac:dyDescent="0.3">
      <c r="A458" s="19" t="s">
        <v>266</v>
      </c>
      <c r="B458" s="15" t="s">
        <v>54</v>
      </c>
      <c r="C458" s="15" t="s">
        <v>58</v>
      </c>
      <c r="D458" s="15" t="s">
        <v>13</v>
      </c>
      <c r="E458" s="15">
        <v>19</v>
      </c>
      <c r="F458" s="15">
        <v>11</v>
      </c>
      <c r="G458" s="15" t="s">
        <v>14</v>
      </c>
      <c r="H458" s="15" t="s">
        <v>40</v>
      </c>
      <c r="I458" s="15" t="s">
        <v>267</v>
      </c>
      <c r="J458" s="57">
        <v>41</v>
      </c>
    </row>
    <row r="459" spans="1:10" x14ac:dyDescent="0.3">
      <c r="A459" s="19" t="s">
        <v>534</v>
      </c>
      <c r="B459" s="15" t="s">
        <v>23</v>
      </c>
      <c r="C459" s="15" t="s">
        <v>19</v>
      </c>
      <c r="D459" s="15" t="s">
        <v>13</v>
      </c>
      <c r="E459" s="15">
        <v>20</v>
      </c>
      <c r="F459" s="15">
        <v>11</v>
      </c>
      <c r="G459" s="15" t="s">
        <v>32</v>
      </c>
      <c r="H459" s="15" t="s">
        <v>76</v>
      </c>
      <c r="I459" s="15" t="s">
        <v>358</v>
      </c>
      <c r="J459" s="57">
        <v>41</v>
      </c>
    </row>
    <row r="460" spans="1:10" hidden="1" x14ac:dyDescent="0.3">
      <c r="A460" s="19" t="s">
        <v>846</v>
      </c>
      <c r="B460" s="15" t="s">
        <v>35</v>
      </c>
      <c r="C460" s="15" t="s">
        <v>79</v>
      </c>
      <c r="D460" s="15" t="s">
        <v>13</v>
      </c>
      <c r="E460" s="15">
        <v>17</v>
      </c>
      <c r="F460" s="15">
        <v>12</v>
      </c>
      <c r="G460" s="15" t="s">
        <v>25</v>
      </c>
      <c r="H460" s="15" t="s">
        <v>46</v>
      </c>
      <c r="I460" s="15" t="s">
        <v>847</v>
      </c>
      <c r="J460" s="57">
        <v>41</v>
      </c>
    </row>
    <row r="461" spans="1:10" hidden="1" x14ac:dyDescent="0.3">
      <c r="A461" s="19" t="s">
        <v>938</v>
      </c>
      <c r="B461" s="15" t="s">
        <v>18</v>
      </c>
      <c r="C461" s="15" t="s">
        <v>58</v>
      </c>
      <c r="D461" s="15" t="s">
        <v>13</v>
      </c>
      <c r="E461" s="15">
        <v>16</v>
      </c>
      <c r="F461" s="15">
        <v>12</v>
      </c>
      <c r="G461" s="15" t="s">
        <v>25</v>
      </c>
      <c r="H461" s="15" t="s">
        <v>26</v>
      </c>
      <c r="I461" s="15" t="s">
        <v>939</v>
      </c>
      <c r="J461" s="57">
        <v>41</v>
      </c>
    </row>
    <row r="462" spans="1:10" hidden="1" x14ac:dyDescent="0.3">
      <c r="A462" s="19" t="s">
        <v>114</v>
      </c>
      <c r="B462" s="15" t="s">
        <v>73</v>
      </c>
      <c r="C462" s="15" t="s">
        <v>58</v>
      </c>
      <c r="D462" s="15" t="s">
        <v>13</v>
      </c>
      <c r="E462" s="15">
        <v>20</v>
      </c>
      <c r="F462" s="15">
        <v>9</v>
      </c>
      <c r="G462" s="15" t="s">
        <v>25</v>
      </c>
      <c r="H462" s="15" t="s">
        <v>46</v>
      </c>
      <c r="I462" s="15" t="s">
        <v>115</v>
      </c>
      <c r="J462" s="57">
        <v>40</v>
      </c>
    </row>
    <row r="463" spans="1:10" x14ac:dyDescent="0.3">
      <c r="A463" s="19" t="s">
        <v>146</v>
      </c>
      <c r="B463" s="15" t="s">
        <v>35</v>
      </c>
      <c r="C463" s="15" t="s">
        <v>30</v>
      </c>
      <c r="D463" s="15" t="s">
        <v>31</v>
      </c>
      <c r="E463" s="15">
        <v>20</v>
      </c>
      <c r="F463" s="15">
        <v>9</v>
      </c>
      <c r="G463" s="15" t="s">
        <v>43</v>
      </c>
      <c r="H463" s="15" t="s">
        <v>15</v>
      </c>
      <c r="I463" s="15" t="s">
        <v>147</v>
      </c>
      <c r="J463" s="57">
        <v>40</v>
      </c>
    </row>
    <row r="464" spans="1:10" x14ac:dyDescent="0.3">
      <c r="A464" s="19" t="s">
        <v>327</v>
      </c>
      <c r="B464" s="15" t="s">
        <v>73</v>
      </c>
      <c r="C464" s="15" t="s">
        <v>96</v>
      </c>
      <c r="D464" s="15" t="s">
        <v>13</v>
      </c>
      <c r="E464" s="15">
        <v>20</v>
      </c>
      <c r="F464" s="15">
        <v>9</v>
      </c>
      <c r="G464" s="15" t="s">
        <v>32</v>
      </c>
      <c r="H464" s="15" t="s">
        <v>61</v>
      </c>
      <c r="I464" s="15" t="s">
        <v>328</v>
      </c>
      <c r="J464" s="57">
        <v>40</v>
      </c>
    </row>
    <row r="465" spans="1:10" hidden="1" x14ac:dyDescent="0.3">
      <c r="A465" s="19" t="s">
        <v>454</v>
      </c>
      <c r="B465" s="15" t="s">
        <v>29</v>
      </c>
      <c r="C465" s="15" t="s">
        <v>12</v>
      </c>
      <c r="D465" s="15" t="s">
        <v>31</v>
      </c>
      <c r="E465" s="15">
        <v>16</v>
      </c>
      <c r="F465" s="15">
        <v>11</v>
      </c>
      <c r="G465" s="15" t="s">
        <v>43</v>
      </c>
      <c r="H465" s="15" t="s">
        <v>61</v>
      </c>
      <c r="I465" s="15" t="s">
        <v>385</v>
      </c>
      <c r="J465" s="57">
        <v>40</v>
      </c>
    </row>
    <row r="466" spans="1:10" hidden="1" x14ac:dyDescent="0.3">
      <c r="A466" s="19" t="s">
        <v>558</v>
      </c>
      <c r="B466" s="15" t="s">
        <v>54</v>
      </c>
      <c r="C466" s="15" t="s">
        <v>30</v>
      </c>
      <c r="D466" s="15" t="s">
        <v>31</v>
      </c>
      <c r="E466" s="15">
        <v>19</v>
      </c>
      <c r="F466" s="15">
        <v>10</v>
      </c>
      <c r="G466" s="15" t="s">
        <v>43</v>
      </c>
      <c r="H466" s="15" t="s">
        <v>76</v>
      </c>
      <c r="I466" s="15" t="s">
        <v>559</v>
      </c>
      <c r="J466" s="57">
        <v>40</v>
      </c>
    </row>
    <row r="467" spans="1:10" hidden="1" x14ac:dyDescent="0.3">
      <c r="A467" s="19" t="s">
        <v>807</v>
      </c>
      <c r="B467" s="15" t="s">
        <v>68</v>
      </c>
      <c r="C467" s="15" t="s">
        <v>79</v>
      </c>
      <c r="D467" s="15" t="s">
        <v>31</v>
      </c>
      <c r="E467" s="15">
        <v>16</v>
      </c>
      <c r="F467" s="15">
        <v>10</v>
      </c>
      <c r="G467" s="15" t="s">
        <v>43</v>
      </c>
      <c r="H467" s="15" t="s">
        <v>76</v>
      </c>
      <c r="I467" s="15" t="s">
        <v>305</v>
      </c>
      <c r="J467" s="57">
        <v>40</v>
      </c>
    </row>
    <row r="468" spans="1:10" hidden="1" x14ac:dyDescent="0.3">
      <c r="A468" s="19" t="s">
        <v>152</v>
      </c>
      <c r="B468" s="15" t="s">
        <v>23</v>
      </c>
      <c r="C468" s="15" t="s">
        <v>55</v>
      </c>
      <c r="D468" s="15" t="s">
        <v>13</v>
      </c>
      <c r="E468" s="15">
        <v>17</v>
      </c>
      <c r="F468" s="15">
        <v>12</v>
      </c>
      <c r="G468" s="15" t="s">
        <v>32</v>
      </c>
      <c r="H468" s="15" t="s">
        <v>46</v>
      </c>
      <c r="I468" s="15" t="s">
        <v>153</v>
      </c>
      <c r="J468" s="57">
        <v>39</v>
      </c>
    </row>
    <row r="469" spans="1:10" hidden="1" x14ac:dyDescent="0.3">
      <c r="A469" s="19" t="s">
        <v>384</v>
      </c>
      <c r="B469" s="15" t="s">
        <v>54</v>
      </c>
      <c r="C469" s="15" t="s">
        <v>19</v>
      </c>
      <c r="D469" s="15" t="s">
        <v>31</v>
      </c>
      <c r="E469" s="15">
        <v>16</v>
      </c>
      <c r="F469" s="15">
        <v>12</v>
      </c>
      <c r="G469" s="15" t="s">
        <v>25</v>
      </c>
      <c r="H469" s="15" t="s">
        <v>20</v>
      </c>
      <c r="I469" s="15" t="s">
        <v>385</v>
      </c>
      <c r="J469" s="57">
        <v>39</v>
      </c>
    </row>
    <row r="470" spans="1:10" hidden="1" x14ac:dyDescent="0.3">
      <c r="A470" s="19" t="s">
        <v>613</v>
      </c>
      <c r="B470" s="15" t="s">
        <v>68</v>
      </c>
      <c r="C470" s="15" t="s">
        <v>85</v>
      </c>
      <c r="D470" s="15" t="s">
        <v>31</v>
      </c>
      <c r="E470" s="15">
        <v>15</v>
      </c>
      <c r="F470" s="15">
        <v>9</v>
      </c>
      <c r="G470" s="15" t="s">
        <v>32</v>
      </c>
      <c r="H470" s="15" t="s">
        <v>37</v>
      </c>
      <c r="I470" s="15" t="s">
        <v>614</v>
      </c>
      <c r="J470" s="57">
        <v>39</v>
      </c>
    </row>
    <row r="471" spans="1:10" hidden="1" x14ac:dyDescent="0.3">
      <c r="A471" s="19" t="s">
        <v>729</v>
      </c>
      <c r="B471" s="15" t="s">
        <v>35</v>
      </c>
      <c r="C471" s="15" t="s">
        <v>79</v>
      </c>
      <c r="D471" s="15" t="s">
        <v>13</v>
      </c>
      <c r="E471" s="15">
        <v>15</v>
      </c>
      <c r="F471" s="15">
        <v>9</v>
      </c>
      <c r="G471" s="15" t="s">
        <v>43</v>
      </c>
      <c r="H471" s="15" t="s">
        <v>76</v>
      </c>
      <c r="I471" s="15" t="s">
        <v>730</v>
      </c>
      <c r="J471" s="57">
        <v>39</v>
      </c>
    </row>
    <row r="472" spans="1:10" hidden="1" x14ac:dyDescent="0.3">
      <c r="A472" s="19" t="s">
        <v>756</v>
      </c>
      <c r="B472" s="15" t="s">
        <v>11</v>
      </c>
      <c r="C472" s="15" t="s">
        <v>30</v>
      </c>
      <c r="D472" s="15" t="s">
        <v>13</v>
      </c>
      <c r="E472" s="15">
        <v>15</v>
      </c>
      <c r="F472" s="15">
        <v>11</v>
      </c>
      <c r="G472" s="15" t="s">
        <v>14</v>
      </c>
      <c r="H472" s="15" t="s">
        <v>76</v>
      </c>
      <c r="I472" s="15" t="s">
        <v>757</v>
      </c>
      <c r="J472" s="57">
        <v>39</v>
      </c>
    </row>
    <row r="473" spans="1:10" hidden="1" x14ac:dyDescent="0.3">
      <c r="A473" s="19" t="s">
        <v>783</v>
      </c>
      <c r="B473" s="15" t="s">
        <v>54</v>
      </c>
      <c r="C473" s="15" t="s">
        <v>79</v>
      </c>
      <c r="D473" s="15" t="s">
        <v>31</v>
      </c>
      <c r="E473" s="15">
        <v>15</v>
      </c>
      <c r="F473" s="15">
        <v>11</v>
      </c>
      <c r="G473" s="15" t="s">
        <v>25</v>
      </c>
      <c r="H473" s="15" t="s">
        <v>61</v>
      </c>
      <c r="I473" s="15" t="s">
        <v>628</v>
      </c>
      <c r="J473" s="57">
        <v>39</v>
      </c>
    </row>
    <row r="474" spans="1:10" x14ac:dyDescent="0.3">
      <c r="A474" s="19" t="s">
        <v>22</v>
      </c>
      <c r="B474" s="15" t="s">
        <v>23</v>
      </c>
      <c r="C474" s="15" t="s">
        <v>24</v>
      </c>
      <c r="D474" s="15" t="s">
        <v>13</v>
      </c>
      <c r="E474" s="15">
        <v>14</v>
      </c>
      <c r="F474" s="15">
        <v>12</v>
      </c>
      <c r="G474" s="15" t="s">
        <v>25</v>
      </c>
      <c r="H474" s="15" t="s">
        <v>26</v>
      </c>
      <c r="I474" s="15" t="s">
        <v>27</v>
      </c>
      <c r="J474" s="57">
        <v>38</v>
      </c>
    </row>
    <row r="475" spans="1:10" x14ac:dyDescent="0.3">
      <c r="A475" s="19" t="s">
        <v>745</v>
      </c>
      <c r="B475" s="15" t="s">
        <v>73</v>
      </c>
      <c r="C475" s="15" t="s">
        <v>36</v>
      </c>
      <c r="D475" s="15" t="s">
        <v>13</v>
      </c>
      <c r="E475" s="15">
        <v>16</v>
      </c>
      <c r="F475" s="15">
        <v>9</v>
      </c>
      <c r="G475" s="15" t="s">
        <v>32</v>
      </c>
      <c r="H475" s="15" t="s">
        <v>76</v>
      </c>
      <c r="I475" s="15" t="s">
        <v>746</v>
      </c>
      <c r="J475" s="57">
        <v>38</v>
      </c>
    </row>
    <row r="476" spans="1:10" hidden="1" x14ac:dyDescent="0.3">
      <c r="A476" s="19" t="s">
        <v>10</v>
      </c>
      <c r="B476" s="15" t="s">
        <v>11</v>
      </c>
      <c r="C476" s="15" t="s">
        <v>12</v>
      </c>
      <c r="D476" s="15" t="s">
        <v>13</v>
      </c>
      <c r="E476" s="15">
        <v>16</v>
      </c>
      <c r="F476" s="15">
        <v>10</v>
      </c>
      <c r="G476" s="15" t="s">
        <v>14</v>
      </c>
      <c r="H476" s="15" t="s">
        <v>15</v>
      </c>
      <c r="I476" s="15" t="s">
        <v>16</v>
      </c>
      <c r="J476" s="57">
        <v>37</v>
      </c>
    </row>
    <row r="477" spans="1:10" hidden="1" x14ac:dyDescent="0.3">
      <c r="A477" s="19" t="s">
        <v>120</v>
      </c>
      <c r="B477" s="15" t="s">
        <v>35</v>
      </c>
      <c r="C477" s="15" t="s">
        <v>36</v>
      </c>
      <c r="D477" s="15" t="s">
        <v>31</v>
      </c>
      <c r="E477" s="15">
        <v>20</v>
      </c>
      <c r="F477" s="15">
        <v>10</v>
      </c>
      <c r="G477" s="15" t="s">
        <v>43</v>
      </c>
      <c r="H477" s="15" t="s">
        <v>61</v>
      </c>
      <c r="I477" s="15" t="s">
        <v>121</v>
      </c>
      <c r="J477" s="57">
        <v>37</v>
      </c>
    </row>
    <row r="478" spans="1:10" hidden="1" x14ac:dyDescent="0.3">
      <c r="A478" s="19" t="s">
        <v>227</v>
      </c>
      <c r="B478" s="15" t="s">
        <v>68</v>
      </c>
      <c r="C478" s="15" t="s">
        <v>58</v>
      </c>
      <c r="D478" s="15" t="s">
        <v>13</v>
      </c>
      <c r="E478" s="15">
        <v>17</v>
      </c>
      <c r="F478" s="15">
        <v>12</v>
      </c>
      <c r="G478" s="15" t="s">
        <v>32</v>
      </c>
      <c r="H478" s="15" t="s">
        <v>26</v>
      </c>
      <c r="I478" s="15" t="s">
        <v>228</v>
      </c>
      <c r="J478" s="57">
        <v>37</v>
      </c>
    </row>
    <row r="479" spans="1:10" hidden="1" x14ac:dyDescent="0.3">
      <c r="A479" s="19" t="s">
        <v>347</v>
      </c>
      <c r="B479" s="15" t="s">
        <v>23</v>
      </c>
      <c r="C479" s="15" t="s">
        <v>85</v>
      </c>
      <c r="D479" s="15" t="s">
        <v>31</v>
      </c>
      <c r="E479" s="15">
        <v>15</v>
      </c>
      <c r="F479" s="15">
        <v>11</v>
      </c>
      <c r="G479" s="15" t="s">
        <v>32</v>
      </c>
      <c r="H479" s="15" t="s">
        <v>26</v>
      </c>
      <c r="I479" s="15" t="s">
        <v>348</v>
      </c>
      <c r="J479" s="57">
        <v>37</v>
      </c>
    </row>
    <row r="480" spans="1:10" hidden="1" x14ac:dyDescent="0.3">
      <c r="A480" s="19" t="s">
        <v>355</v>
      </c>
      <c r="B480" s="15" t="s">
        <v>68</v>
      </c>
      <c r="C480" s="15" t="s">
        <v>79</v>
      </c>
      <c r="D480" s="15" t="s">
        <v>13</v>
      </c>
      <c r="E480" s="15">
        <v>15</v>
      </c>
      <c r="F480" s="15">
        <v>12</v>
      </c>
      <c r="G480" s="15" t="s">
        <v>14</v>
      </c>
      <c r="H480" s="15" t="s">
        <v>20</v>
      </c>
      <c r="I480" s="15" t="s">
        <v>356</v>
      </c>
      <c r="J480" s="57">
        <v>37</v>
      </c>
    </row>
    <row r="481" spans="1:10" hidden="1" x14ac:dyDescent="0.3">
      <c r="A481" s="19" t="s">
        <v>403</v>
      </c>
      <c r="B481" s="15" t="s">
        <v>11</v>
      </c>
      <c r="C481" s="15" t="s">
        <v>12</v>
      </c>
      <c r="D481" s="15" t="s">
        <v>31</v>
      </c>
      <c r="E481" s="15">
        <v>19</v>
      </c>
      <c r="F481" s="15">
        <v>9</v>
      </c>
      <c r="G481" s="15" t="s">
        <v>43</v>
      </c>
      <c r="H481" s="15" t="s">
        <v>46</v>
      </c>
      <c r="I481" s="15" t="s">
        <v>404</v>
      </c>
      <c r="J481" s="57">
        <v>37</v>
      </c>
    </row>
    <row r="482" spans="1:10" hidden="1" x14ac:dyDescent="0.3">
      <c r="A482" s="19" t="s">
        <v>539</v>
      </c>
      <c r="B482" s="15" t="s">
        <v>73</v>
      </c>
      <c r="C482" s="15" t="s">
        <v>36</v>
      </c>
      <c r="D482" s="15" t="s">
        <v>31</v>
      </c>
      <c r="E482" s="15">
        <v>14</v>
      </c>
      <c r="F482" s="15">
        <v>12</v>
      </c>
      <c r="G482" s="15" t="s">
        <v>43</v>
      </c>
      <c r="H482" s="15" t="s">
        <v>61</v>
      </c>
      <c r="I482" s="15" t="s">
        <v>387</v>
      </c>
      <c r="J482" s="57">
        <v>37</v>
      </c>
    </row>
    <row r="483" spans="1:10" hidden="1" x14ac:dyDescent="0.3">
      <c r="A483" s="19" t="s">
        <v>544</v>
      </c>
      <c r="B483" s="15" t="s">
        <v>68</v>
      </c>
      <c r="C483" s="15" t="s">
        <v>19</v>
      </c>
      <c r="D483" s="15" t="s">
        <v>31</v>
      </c>
      <c r="E483" s="15">
        <v>16</v>
      </c>
      <c r="F483" s="15">
        <v>9</v>
      </c>
      <c r="G483" s="15" t="s">
        <v>14</v>
      </c>
      <c r="H483" s="15" t="s">
        <v>40</v>
      </c>
      <c r="I483" s="15" t="s">
        <v>545</v>
      </c>
      <c r="J483" s="57">
        <v>37</v>
      </c>
    </row>
    <row r="484" spans="1:10" hidden="1" x14ac:dyDescent="0.3">
      <c r="A484" s="19" t="s">
        <v>580</v>
      </c>
      <c r="B484" s="15" t="s">
        <v>29</v>
      </c>
      <c r="C484" s="15" t="s">
        <v>36</v>
      </c>
      <c r="D484" s="15" t="s">
        <v>13</v>
      </c>
      <c r="E484" s="15">
        <v>17</v>
      </c>
      <c r="F484" s="15">
        <v>10</v>
      </c>
      <c r="G484" s="15" t="s">
        <v>32</v>
      </c>
      <c r="H484" s="15" t="s">
        <v>15</v>
      </c>
      <c r="I484" s="15" t="s">
        <v>581</v>
      </c>
      <c r="J484" s="57">
        <v>37</v>
      </c>
    </row>
    <row r="485" spans="1:10" hidden="1" x14ac:dyDescent="0.3">
      <c r="A485" s="19" t="s">
        <v>833</v>
      </c>
      <c r="B485" s="15" t="s">
        <v>73</v>
      </c>
      <c r="C485" s="15" t="s">
        <v>96</v>
      </c>
      <c r="D485" s="15" t="s">
        <v>31</v>
      </c>
      <c r="E485" s="15">
        <v>15</v>
      </c>
      <c r="F485" s="15">
        <v>10</v>
      </c>
      <c r="G485" s="15" t="s">
        <v>43</v>
      </c>
      <c r="H485" s="15" t="s">
        <v>76</v>
      </c>
      <c r="I485" s="15" t="s">
        <v>834</v>
      </c>
      <c r="J485" s="57">
        <v>37</v>
      </c>
    </row>
    <row r="486" spans="1:10" hidden="1" x14ac:dyDescent="0.3">
      <c r="A486" s="19" t="s">
        <v>840</v>
      </c>
      <c r="B486" s="15" t="s">
        <v>29</v>
      </c>
      <c r="C486" s="15" t="s">
        <v>12</v>
      </c>
      <c r="D486" s="15" t="s">
        <v>31</v>
      </c>
      <c r="E486" s="15">
        <v>20</v>
      </c>
      <c r="F486" s="15">
        <v>10</v>
      </c>
      <c r="G486" s="15" t="s">
        <v>43</v>
      </c>
      <c r="H486" s="15" t="s">
        <v>15</v>
      </c>
      <c r="I486" s="15" t="s">
        <v>841</v>
      </c>
      <c r="J486" s="57">
        <v>37</v>
      </c>
    </row>
    <row r="487" spans="1:10" hidden="1" x14ac:dyDescent="0.3">
      <c r="A487" s="19" t="s">
        <v>39</v>
      </c>
      <c r="B487" s="15" t="s">
        <v>11</v>
      </c>
      <c r="C487" s="15" t="s">
        <v>12</v>
      </c>
      <c r="D487" s="15" t="s">
        <v>31</v>
      </c>
      <c r="E487" s="15">
        <v>19</v>
      </c>
      <c r="F487" s="15">
        <v>10</v>
      </c>
      <c r="G487" s="15" t="s">
        <v>14</v>
      </c>
      <c r="H487" s="15" t="s">
        <v>40</v>
      </c>
      <c r="I487" s="15" t="s">
        <v>41</v>
      </c>
      <c r="J487" s="57">
        <v>36</v>
      </c>
    </row>
    <row r="488" spans="1:10" x14ac:dyDescent="0.3">
      <c r="A488" s="19" t="s">
        <v>158</v>
      </c>
      <c r="B488" s="15" t="s">
        <v>18</v>
      </c>
      <c r="C488" s="15" t="s">
        <v>19</v>
      </c>
      <c r="D488" s="15" t="s">
        <v>13</v>
      </c>
      <c r="E488" s="15">
        <v>16</v>
      </c>
      <c r="F488" s="15">
        <v>12</v>
      </c>
      <c r="G488" s="15" t="s">
        <v>43</v>
      </c>
      <c r="H488" s="15" t="s">
        <v>40</v>
      </c>
      <c r="I488" s="15" t="s">
        <v>159</v>
      </c>
      <c r="J488" s="57">
        <v>36</v>
      </c>
    </row>
    <row r="489" spans="1:10" hidden="1" x14ac:dyDescent="0.3">
      <c r="A489" s="19" t="s">
        <v>253</v>
      </c>
      <c r="B489" s="15" t="s">
        <v>18</v>
      </c>
      <c r="C489" s="15" t="s">
        <v>24</v>
      </c>
      <c r="D489" s="15" t="s">
        <v>13</v>
      </c>
      <c r="E489" s="15">
        <v>15</v>
      </c>
      <c r="F489" s="15">
        <v>9</v>
      </c>
      <c r="G489" s="15" t="s">
        <v>25</v>
      </c>
      <c r="H489" s="15" t="s">
        <v>20</v>
      </c>
      <c r="I489" s="15" t="s">
        <v>254</v>
      </c>
      <c r="J489" s="57">
        <v>36</v>
      </c>
    </row>
    <row r="490" spans="1:10" hidden="1" x14ac:dyDescent="0.3">
      <c r="A490" s="19" t="s">
        <v>435</v>
      </c>
      <c r="B490" s="15" t="s">
        <v>29</v>
      </c>
      <c r="C490" s="15" t="s">
        <v>30</v>
      </c>
      <c r="D490" s="15" t="s">
        <v>31</v>
      </c>
      <c r="E490" s="15">
        <v>20</v>
      </c>
      <c r="F490" s="15">
        <v>12</v>
      </c>
      <c r="G490" s="15" t="s">
        <v>43</v>
      </c>
      <c r="H490" s="15" t="s">
        <v>26</v>
      </c>
      <c r="I490" s="15" t="s">
        <v>436</v>
      </c>
      <c r="J490" s="57">
        <v>36</v>
      </c>
    </row>
    <row r="491" spans="1:10" hidden="1" x14ac:dyDescent="0.3">
      <c r="A491" s="19" t="s">
        <v>480</v>
      </c>
      <c r="B491" s="15" t="s">
        <v>35</v>
      </c>
      <c r="C491" s="15" t="s">
        <v>12</v>
      </c>
      <c r="D491" s="15" t="s">
        <v>31</v>
      </c>
      <c r="E491" s="15">
        <v>18</v>
      </c>
      <c r="F491" s="15">
        <v>10</v>
      </c>
      <c r="G491" s="15" t="s">
        <v>14</v>
      </c>
      <c r="H491" s="15" t="s">
        <v>37</v>
      </c>
      <c r="I491" s="15" t="s">
        <v>481</v>
      </c>
      <c r="J491" s="57">
        <v>36</v>
      </c>
    </row>
    <row r="492" spans="1:10" hidden="1" x14ac:dyDescent="0.3">
      <c r="A492" s="19" t="s">
        <v>780</v>
      </c>
      <c r="B492" s="15" t="s">
        <v>35</v>
      </c>
      <c r="C492" s="15" t="s">
        <v>36</v>
      </c>
      <c r="D492" s="15" t="s">
        <v>31</v>
      </c>
      <c r="E492" s="15">
        <v>14</v>
      </c>
      <c r="F492" s="15">
        <v>9</v>
      </c>
      <c r="G492" s="15" t="s">
        <v>25</v>
      </c>
      <c r="H492" s="15" t="s">
        <v>40</v>
      </c>
      <c r="I492" s="15" t="s">
        <v>781</v>
      </c>
      <c r="J492" s="57">
        <v>36</v>
      </c>
    </row>
    <row r="493" spans="1:10" hidden="1" x14ac:dyDescent="0.3">
      <c r="A493" s="19" t="s">
        <v>894</v>
      </c>
      <c r="B493" s="15" t="s">
        <v>23</v>
      </c>
      <c r="C493" s="15" t="s">
        <v>79</v>
      </c>
      <c r="D493" s="15" t="s">
        <v>31</v>
      </c>
      <c r="E493" s="15">
        <v>20</v>
      </c>
      <c r="F493" s="15">
        <v>9</v>
      </c>
      <c r="G493" s="15" t="s">
        <v>14</v>
      </c>
      <c r="H493" s="15" t="s">
        <v>26</v>
      </c>
      <c r="I493" s="15" t="s">
        <v>895</v>
      </c>
      <c r="J493" s="57">
        <v>36</v>
      </c>
    </row>
    <row r="494" spans="1:10" hidden="1" x14ac:dyDescent="0.3">
      <c r="A494" s="19" t="s">
        <v>940</v>
      </c>
      <c r="B494" s="15" t="s">
        <v>51</v>
      </c>
      <c r="C494" s="15" t="s">
        <v>96</v>
      </c>
      <c r="D494" s="15" t="s">
        <v>31</v>
      </c>
      <c r="E494" s="15">
        <v>18</v>
      </c>
      <c r="F494" s="15">
        <v>9</v>
      </c>
      <c r="G494" s="15" t="s">
        <v>43</v>
      </c>
      <c r="H494" s="15" t="s">
        <v>76</v>
      </c>
      <c r="I494" s="15" t="s">
        <v>506</v>
      </c>
      <c r="J494" s="57">
        <v>36</v>
      </c>
    </row>
    <row r="495" spans="1:10" x14ac:dyDescent="0.3">
      <c r="A495" s="19" t="s">
        <v>314</v>
      </c>
      <c r="B495" s="15" t="s">
        <v>68</v>
      </c>
      <c r="C495" s="15" t="s">
        <v>79</v>
      </c>
      <c r="D495" s="15" t="s">
        <v>13</v>
      </c>
      <c r="E495" s="15">
        <v>15</v>
      </c>
      <c r="F495" s="15">
        <v>11</v>
      </c>
      <c r="G495" s="15" t="s">
        <v>14</v>
      </c>
      <c r="H495" s="15" t="s">
        <v>46</v>
      </c>
      <c r="I495" s="15" t="s">
        <v>315</v>
      </c>
      <c r="J495" s="57">
        <v>35</v>
      </c>
    </row>
    <row r="496" spans="1:10" hidden="1" x14ac:dyDescent="0.3">
      <c r="A496" s="19" t="s">
        <v>343</v>
      </c>
      <c r="B496" s="15" t="s">
        <v>68</v>
      </c>
      <c r="C496" s="15" t="s">
        <v>79</v>
      </c>
      <c r="D496" s="15" t="s">
        <v>13</v>
      </c>
      <c r="E496" s="15">
        <v>19</v>
      </c>
      <c r="F496" s="15">
        <v>11</v>
      </c>
      <c r="G496" s="15" t="s">
        <v>14</v>
      </c>
      <c r="H496" s="15" t="s">
        <v>40</v>
      </c>
      <c r="I496" s="15" t="s">
        <v>344</v>
      </c>
      <c r="J496" s="57">
        <v>35</v>
      </c>
    </row>
    <row r="497" spans="1:10" hidden="1" x14ac:dyDescent="0.3">
      <c r="A497" s="19" t="s">
        <v>452</v>
      </c>
      <c r="B497" s="15" t="s">
        <v>51</v>
      </c>
      <c r="C497" s="15" t="s">
        <v>12</v>
      </c>
      <c r="D497" s="15" t="s">
        <v>13</v>
      </c>
      <c r="E497" s="15">
        <v>18</v>
      </c>
      <c r="F497" s="15">
        <v>9</v>
      </c>
      <c r="G497" s="15" t="s">
        <v>32</v>
      </c>
      <c r="H497" s="15" t="s">
        <v>76</v>
      </c>
      <c r="I497" s="15" t="s">
        <v>453</v>
      </c>
      <c r="J497" s="57">
        <v>35</v>
      </c>
    </row>
    <row r="498" spans="1:10" hidden="1" x14ac:dyDescent="0.3">
      <c r="A498" s="19" t="s">
        <v>579</v>
      </c>
      <c r="B498" s="15" t="s">
        <v>51</v>
      </c>
      <c r="C498" s="15" t="s">
        <v>55</v>
      </c>
      <c r="D498" s="15" t="s">
        <v>31</v>
      </c>
      <c r="E498" s="15">
        <v>20</v>
      </c>
      <c r="F498" s="15">
        <v>9</v>
      </c>
      <c r="G498" s="15" t="s">
        <v>25</v>
      </c>
      <c r="H498" s="15" t="s">
        <v>26</v>
      </c>
      <c r="I498" s="15" t="s">
        <v>212</v>
      </c>
      <c r="J498" s="57">
        <v>35</v>
      </c>
    </row>
    <row r="499" spans="1:10" hidden="1" x14ac:dyDescent="0.3">
      <c r="A499" s="19" t="s">
        <v>707</v>
      </c>
      <c r="B499" s="15" t="s">
        <v>68</v>
      </c>
      <c r="C499" s="15" t="s">
        <v>96</v>
      </c>
      <c r="D499" s="15" t="s">
        <v>31</v>
      </c>
      <c r="E499" s="15">
        <v>20</v>
      </c>
      <c r="F499" s="15">
        <v>12</v>
      </c>
      <c r="G499" s="15" t="s">
        <v>43</v>
      </c>
      <c r="H499" s="15" t="s">
        <v>37</v>
      </c>
      <c r="I499" s="15" t="s">
        <v>708</v>
      </c>
      <c r="J499" s="57">
        <v>35</v>
      </c>
    </row>
    <row r="500" spans="1:10" hidden="1" x14ac:dyDescent="0.3">
      <c r="A500" s="19" t="s">
        <v>718</v>
      </c>
      <c r="B500" s="15" t="s">
        <v>84</v>
      </c>
      <c r="C500" s="15" t="s">
        <v>12</v>
      </c>
      <c r="D500" s="15" t="s">
        <v>31</v>
      </c>
      <c r="E500" s="15">
        <v>20</v>
      </c>
      <c r="F500" s="15">
        <v>10</v>
      </c>
      <c r="G500" s="15" t="s">
        <v>25</v>
      </c>
      <c r="H500" s="15" t="s">
        <v>61</v>
      </c>
      <c r="I500" s="15" t="s">
        <v>639</v>
      </c>
      <c r="J500" s="57">
        <v>35</v>
      </c>
    </row>
    <row r="501" spans="1:10" hidden="1" x14ac:dyDescent="0.3">
      <c r="A501" s="19" t="s">
        <v>831</v>
      </c>
      <c r="B501" s="15" t="s">
        <v>54</v>
      </c>
      <c r="C501" s="15" t="s">
        <v>36</v>
      </c>
      <c r="D501" s="15" t="s">
        <v>31</v>
      </c>
      <c r="E501" s="15">
        <v>19</v>
      </c>
      <c r="F501" s="15">
        <v>9</v>
      </c>
      <c r="G501" s="15" t="s">
        <v>32</v>
      </c>
      <c r="H501" s="15" t="s">
        <v>15</v>
      </c>
      <c r="I501" s="15" t="s">
        <v>832</v>
      </c>
      <c r="J501" s="57">
        <v>35</v>
      </c>
    </row>
    <row r="502" spans="1:10" x14ac:dyDescent="0.3">
      <c r="A502" s="19" t="s">
        <v>838</v>
      </c>
      <c r="B502" s="15" t="s">
        <v>29</v>
      </c>
      <c r="C502" s="15" t="s">
        <v>36</v>
      </c>
      <c r="D502" s="15" t="s">
        <v>31</v>
      </c>
      <c r="E502" s="15">
        <v>17</v>
      </c>
      <c r="F502" s="15">
        <v>10</v>
      </c>
      <c r="G502" s="15" t="s">
        <v>25</v>
      </c>
      <c r="H502" s="15" t="s">
        <v>15</v>
      </c>
      <c r="I502" s="15" t="s">
        <v>839</v>
      </c>
      <c r="J502" s="57">
        <v>35</v>
      </c>
    </row>
    <row r="503" spans="1:10" hidden="1" x14ac:dyDescent="0.3">
      <c r="A503" s="21" t="s">
        <v>874</v>
      </c>
      <c r="B503" s="22" t="s">
        <v>35</v>
      </c>
      <c r="C503" s="22" t="s">
        <v>36</v>
      </c>
      <c r="D503" s="22" t="s">
        <v>13</v>
      </c>
      <c r="E503" s="22">
        <v>16</v>
      </c>
      <c r="F503" s="22">
        <v>10</v>
      </c>
      <c r="G503" s="22" t="s">
        <v>14</v>
      </c>
      <c r="H503" s="22" t="s">
        <v>61</v>
      </c>
      <c r="I503" s="22" t="s">
        <v>875</v>
      </c>
      <c r="J503" s="58">
        <v>35</v>
      </c>
    </row>
  </sheetData>
  <mergeCells count="1">
    <mergeCell ref="B1:J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2EBC-94D3-4A5C-9E3E-36FC3171D8EC}">
  <sheetPr filterMode="1"/>
  <dimension ref="A1:J503"/>
  <sheetViews>
    <sheetView workbookViewId="0">
      <selection activeCell="P54" sqref="P54"/>
    </sheetView>
  </sheetViews>
  <sheetFormatPr defaultRowHeight="14.4" x14ac:dyDescent="0.3"/>
  <cols>
    <col min="1" max="2" width="12.6640625" bestFit="1" customWidth="1"/>
    <col min="3" max="3" width="12.5546875" bestFit="1" customWidth="1"/>
    <col min="4" max="4" width="9.33203125" bestFit="1" customWidth="1"/>
    <col min="5" max="5" width="6.44140625" bestFit="1" customWidth="1"/>
    <col min="6" max="6" width="7.33203125" bestFit="1" customWidth="1"/>
    <col min="7" max="7" width="9.44140625" bestFit="1" customWidth="1"/>
    <col min="8" max="8" width="9.77734375" bestFit="1" customWidth="1"/>
    <col min="9" max="9" width="16.88671875" bestFit="1" customWidth="1"/>
    <col min="10" max="10" width="8.44140625" bestFit="1" customWidth="1"/>
  </cols>
  <sheetData>
    <row r="1" spans="1:10" ht="18" x14ac:dyDescent="0.35">
      <c r="A1" s="16">
        <v>8</v>
      </c>
      <c r="B1" s="29" t="s">
        <v>981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</row>
    <row r="4" spans="1:10" hidden="1" x14ac:dyDescent="0.3">
      <c r="A4" s="19" t="s">
        <v>22</v>
      </c>
      <c r="B4" s="15" t="s">
        <v>23</v>
      </c>
      <c r="C4" s="15" t="s">
        <v>24</v>
      </c>
      <c r="D4" s="15" t="s">
        <v>13</v>
      </c>
      <c r="E4" s="59">
        <v>14</v>
      </c>
      <c r="F4" s="15">
        <v>12</v>
      </c>
      <c r="G4" s="15" t="s">
        <v>25</v>
      </c>
      <c r="H4" s="15" t="s">
        <v>26</v>
      </c>
      <c r="I4" s="15" t="s">
        <v>27</v>
      </c>
      <c r="J4" s="20">
        <v>38</v>
      </c>
    </row>
    <row r="5" spans="1:10" hidden="1" x14ac:dyDescent="0.3">
      <c r="A5" s="19" t="s">
        <v>57</v>
      </c>
      <c r="B5" s="15" t="s">
        <v>51</v>
      </c>
      <c r="C5" s="15" t="s">
        <v>58</v>
      </c>
      <c r="D5" s="15" t="s">
        <v>13</v>
      </c>
      <c r="E5" s="59">
        <v>14</v>
      </c>
      <c r="F5" s="15">
        <v>12</v>
      </c>
      <c r="G5" s="15" t="s">
        <v>32</v>
      </c>
      <c r="H5" s="15" t="s">
        <v>40</v>
      </c>
      <c r="I5" s="15" t="s">
        <v>59</v>
      </c>
      <c r="J5" s="20">
        <v>43</v>
      </c>
    </row>
    <row r="6" spans="1:10" x14ac:dyDescent="0.3">
      <c r="A6" s="19" t="s">
        <v>70</v>
      </c>
      <c r="B6" s="15" t="s">
        <v>51</v>
      </c>
      <c r="C6" s="15" t="s">
        <v>36</v>
      </c>
      <c r="D6" s="15" t="s">
        <v>13</v>
      </c>
      <c r="E6" s="59">
        <v>14</v>
      </c>
      <c r="F6" s="15">
        <v>12</v>
      </c>
      <c r="G6" s="15" t="s">
        <v>25</v>
      </c>
      <c r="H6" s="15" t="s">
        <v>37</v>
      </c>
      <c r="I6" s="15" t="s">
        <v>71</v>
      </c>
      <c r="J6" s="20">
        <v>42</v>
      </c>
    </row>
    <row r="7" spans="1:10" x14ac:dyDescent="0.3">
      <c r="A7" s="19" t="s">
        <v>93</v>
      </c>
      <c r="B7" s="15" t="s">
        <v>29</v>
      </c>
      <c r="C7" s="15" t="s">
        <v>24</v>
      </c>
      <c r="D7" s="15" t="s">
        <v>31</v>
      </c>
      <c r="E7" s="59">
        <v>14</v>
      </c>
      <c r="F7" s="15">
        <v>12</v>
      </c>
      <c r="G7" s="15" t="s">
        <v>32</v>
      </c>
      <c r="H7" s="15" t="s">
        <v>61</v>
      </c>
      <c r="I7" s="15" t="s">
        <v>94</v>
      </c>
      <c r="J7" s="20">
        <v>72</v>
      </c>
    </row>
    <row r="8" spans="1:10" hidden="1" x14ac:dyDescent="0.3">
      <c r="A8" s="19" t="s">
        <v>110</v>
      </c>
      <c r="B8" s="15" t="s">
        <v>51</v>
      </c>
      <c r="C8" s="15" t="s">
        <v>58</v>
      </c>
      <c r="D8" s="15" t="s">
        <v>31</v>
      </c>
      <c r="E8" s="59">
        <v>14</v>
      </c>
      <c r="F8" s="15">
        <v>10</v>
      </c>
      <c r="G8" s="15" t="s">
        <v>32</v>
      </c>
      <c r="H8" s="15" t="s">
        <v>76</v>
      </c>
      <c r="I8" s="15" t="s">
        <v>111</v>
      </c>
      <c r="J8" s="20">
        <v>60</v>
      </c>
    </row>
    <row r="9" spans="1:10" hidden="1" x14ac:dyDescent="0.3">
      <c r="A9" s="19" t="s">
        <v>136</v>
      </c>
      <c r="B9" s="15" t="s">
        <v>11</v>
      </c>
      <c r="C9" s="15" t="s">
        <v>79</v>
      </c>
      <c r="D9" s="15" t="s">
        <v>13</v>
      </c>
      <c r="E9" s="59">
        <v>14</v>
      </c>
      <c r="F9" s="15">
        <v>10</v>
      </c>
      <c r="G9" s="15" t="s">
        <v>43</v>
      </c>
      <c r="H9" s="15" t="s">
        <v>61</v>
      </c>
      <c r="I9" s="15" t="s">
        <v>137</v>
      </c>
      <c r="J9" s="20">
        <v>65</v>
      </c>
    </row>
    <row r="10" spans="1:10" hidden="1" x14ac:dyDescent="0.3">
      <c r="A10" s="19" t="s">
        <v>166</v>
      </c>
      <c r="B10" s="15" t="s">
        <v>84</v>
      </c>
      <c r="C10" s="15" t="s">
        <v>24</v>
      </c>
      <c r="D10" s="15" t="s">
        <v>13</v>
      </c>
      <c r="E10" s="59">
        <v>14</v>
      </c>
      <c r="F10" s="15">
        <v>10</v>
      </c>
      <c r="G10" s="15" t="s">
        <v>43</v>
      </c>
      <c r="H10" s="15" t="s">
        <v>15</v>
      </c>
      <c r="I10" s="15" t="s">
        <v>167</v>
      </c>
      <c r="J10" s="20">
        <v>45</v>
      </c>
    </row>
    <row r="11" spans="1:10" hidden="1" x14ac:dyDescent="0.3">
      <c r="A11" s="19" t="s">
        <v>171</v>
      </c>
      <c r="B11" s="15" t="s">
        <v>29</v>
      </c>
      <c r="C11" s="15" t="s">
        <v>85</v>
      </c>
      <c r="D11" s="15" t="s">
        <v>13</v>
      </c>
      <c r="E11" s="59">
        <v>14</v>
      </c>
      <c r="F11" s="15">
        <v>10</v>
      </c>
      <c r="G11" s="15" t="s">
        <v>32</v>
      </c>
      <c r="H11" s="15" t="s">
        <v>61</v>
      </c>
      <c r="I11" s="15" t="s">
        <v>172</v>
      </c>
      <c r="J11" s="20">
        <v>51</v>
      </c>
    </row>
    <row r="12" spans="1:10" hidden="1" x14ac:dyDescent="0.3">
      <c r="A12" s="19" t="s">
        <v>185</v>
      </c>
      <c r="B12" s="15" t="s">
        <v>35</v>
      </c>
      <c r="C12" s="15" t="s">
        <v>30</v>
      </c>
      <c r="D12" s="15" t="s">
        <v>31</v>
      </c>
      <c r="E12" s="59">
        <v>14</v>
      </c>
      <c r="F12" s="15">
        <v>12</v>
      </c>
      <c r="G12" s="15" t="s">
        <v>43</v>
      </c>
      <c r="H12" s="15" t="s">
        <v>61</v>
      </c>
      <c r="I12" s="15" t="s">
        <v>186</v>
      </c>
      <c r="J12" s="20">
        <v>45</v>
      </c>
    </row>
    <row r="13" spans="1:10" hidden="1" x14ac:dyDescent="0.3">
      <c r="A13" s="19" t="s">
        <v>190</v>
      </c>
      <c r="B13" s="15" t="s">
        <v>18</v>
      </c>
      <c r="C13" s="15" t="s">
        <v>19</v>
      </c>
      <c r="D13" s="15" t="s">
        <v>31</v>
      </c>
      <c r="E13" s="59">
        <v>14</v>
      </c>
      <c r="F13" s="15">
        <v>12</v>
      </c>
      <c r="G13" s="15" t="s">
        <v>32</v>
      </c>
      <c r="H13" s="15" t="s">
        <v>37</v>
      </c>
      <c r="I13" s="15" t="s">
        <v>191</v>
      </c>
      <c r="J13" s="20">
        <v>63</v>
      </c>
    </row>
    <row r="14" spans="1:10" hidden="1" x14ac:dyDescent="0.3">
      <c r="A14" s="19" t="s">
        <v>198</v>
      </c>
      <c r="B14" s="15" t="s">
        <v>11</v>
      </c>
      <c r="C14" s="15" t="s">
        <v>85</v>
      </c>
      <c r="D14" s="15" t="s">
        <v>31</v>
      </c>
      <c r="E14" s="59">
        <v>14</v>
      </c>
      <c r="F14" s="15">
        <v>10</v>
      </c>
      <c r="G14" s="15" t="s">
        <v>25</v>
      </c>
      <c r="H14" s="15" t="s">
        <v>61</v>
      </c>
      <c r="I14" s="15" t="s">
        <v>199</v>
      </c>
      <c r="J14" s="20">
        <v>97</v>
      </c>
    </row>
    <row r="15" spans="1:10" hidden="1" x14ac:dyDescent="0.3">
      <c r="A15" s="19" t="s">
        <v>221</v>
      </c>
      <c r="B15" s="15" t="s">
        <v>51</v>
      </c>
      <c r="C15" s="15" t="s">
        <v>55</v>
      </c>
      <c r="D15" s="15" t="s">
        <v>13</v>
      </c>
      <c r="E15" s="59">
        <v>14</v>
      </c>
      <c r="F15" s="15">
        <v>10</v>
      </c>
      <c r="G15" s="15" t="s">
        <v>43</v>
      </c>
      <c r="H15" s="15" t="s">
        <v>61</v>
      </c>
      <c r="I15" s="15" t="s">
        <v>222</v>
      </c>
      <c r="J15" s="20">
        <v>72</v>
      </c>
    </row>
    <row r="16" spans="1:10" hidden="1" x14ac:dyDescent="0.3">
      <c r="A16" s="19" t="s">
        <v>233</v>
      </c>
      <c r="B16" s="15" t="s">
        <v>11</v>
      </c>
      <c r="C16" s="15" t="s">
        <v>55</v>
      </c>
      <c r="D16" s="15" t="s">
        <v>13</v>
      </c>
      <c r="E16" s="59">
        <v>14</v>
      </c>
      <c r="F16" s="15">
        <v>9</v>
      </c>
      <c r="G16" s="15" t="s">
        <v>25</v>
      </c>
      <c r="H16" s="15" t="s">
        <v>37</v>
      </c>
      <c r="I16" s="15" t="s">
        <v>234</v>
      </c>
      <c r="J16" s="20">
        <v>66</v>
      </c>
    </row>
    <row r="17" spans="1:10" x14ac:dyDescent="0.3">
      <c r="A17" s="19" t="s">
        <v>235</v>
      </c>
      <c r="B17" s="15" t="s">
        <v>11</v>
      </c>
      <c r="C17" s="15" t="s">
        <v>36</v>
      </c>
      <c r="D17" s="15" t="s">
        <v>31</v>
      </c>
      <c r="E17" s="59">
        <v>14</v>
      </c>
      <c r="F17" s="15">
        <v>12</v>
      </c>
      <c r="G17" s="15" t="s">
        <v>43</v>
      </c>
      <c r="H17" s="15" t="s">
        <v>40</v>
      </c>
      <c r="I17" s="15" t="s">
        <v>236</v>
      </c>
      <c r="J17" s="20">
        <v>65</v>
      </c>
    </row>
    <row r="18" spans="1:10" hidden="1" x14ac:dyDescent="0.3">
      <c r="A18" s="19" t="s">
        <v>247</v>
      </c>
      <c r="B18" s="15" t="s">
        <v>29</v>
      </c>
      <c r="C18" s="15" t="s">
        <v>58</v>
      </c>
      <c r="D18" s="15" t="s">
        <v>31</v>
      </c>
      <c r="E18" s="59">
        <v>14</v>
      </c>
      <c r="F18" s="15">
        <v>12</v>
      </c>
      <c r="G18" s="15" t="s">
        <v>14</v>
      </c>
      <c r="H18" s="15" t="s">
        <v>40</v>
      </c>
      <c r="I18" s="15" t="s">
        <v>248</v>
      </c>
      <c r="J18" s="20">
        <v>66</v>
      </c>
    </row>
    <row r="19" spans="1:10" hidden="1" x14ac:dyDescent="0.3">
      <c r="A19" s="19" t="s">
        <v>259</v>
      </c>
      <c r="B19" s="15" t="s">
        <v>54</v>
      </c>
      <c r="C19" s="15" t="s">
        <v>85</v>
      </c>
      <c r="D19" s="15" t="s">
        <v>13</v>
      </c>
      <c r="E19" s="59">
        <v>14</v>
      </c>
      <c r="F19" s="15">
        <v>11</v>
      </c>
      <c r="G19" s="15" t="s">
        <v>43</v>
      </c>
      <c r="H19" s="15" t="s">
        <v>46</v>
      </c>
      <c r="I19" s="15" t="s">
        <v>260</v>
      </c>
      <c r="J19" s="20">
        <v>62</v>
      </c>
    </row>
    <row r="20" spans="1:10" hidden="1" x14ac:dyDescent="0.3">
      <c r="A20" s="19" t="s">
        <v>265</v>
      </c>
      <c r="B20" s="15" t="s">
        <v>11</v>
      </c>
      <c r="C20" s="15" t="s">
        <v>85</v>
      </c>
      <c r="D20" s="15" t="s">
        <v>31</v>
      </c>
      <c r="E20" s="59">
        <v>14</v>
      </c>
      <c r="F20" s="15">
        <v>9</v>
      </c>
      <c r="G20" s="15" t="s">
        <v>43</v>
      </c>
      <c r="H20" s="15" t="s">
        <v>61</v>
      </c>
      <c r="I20" s="15" t="s">
        <v>56</v>
      </c>
      <c r="J20" s="20">
        <v>41</v>
      </c>
    </row>
    <row r="21" spans="1:10" hidden="1" x14ac:dyDescent="0.3">
      <c r="A21" s="19" t="s">
        <v>276</v>
      </c>
      <c r="B21" s="15" t="s">
        <v>84</v>
      </c>
      <c r="C21" s="15" t="s">
        <v>30</v>
      </c>
      <c r="D21" s="15" t="s">
        <v>31</v>
      </c>
      <c r="E21" s="59">
        <v>14</v>
      </c>
      <c r="F21" s="15">
        <v>12</v>
      </c>
      <c r="G21" s="15" t="s">
        <v>14</v>
      </c>
      <c r="H21" s="15" t="s">
        <v>26</v>
      </c>
      <c r="I21" s="15" t="s">
        <v>277</v>
      </c>
      <c r="J21" s="20">
        <v>62</v>
      </c>
    </row>
    <row r="22" spans="1:10" hidden="1" x14ac:dyDescent="0.3">
      <c r="A22" s="19" t="s">
        <v>278</v>
      </c>
      <c r="B22" s="15" t="s">
        <v>73</v>
      </c>
      <c r="C22" s="15" t="s">
        <v>36</v>
      </c>
      <c r="D22" s="15" t="s">
        <v>13</v>
      </c>
      <c r="E22" s="59">
        <v>14</v>
      </c>
      <c r="F22" s="15">
        <v>11</v>
      </c>
      <c r="G22" s="15" t="s">
        <v>32</v>
      </c>
      <c r="H22" s="15" t="s">
        <v>37</v>
      </c>
      <c r="I22" s="15" t="s">
        <v>279</v>
      </c>
      <c r="J22" s="20">
        <v>51</v>
      </c>
    </row>
    <row r="23" spans="1:10" hidden="1" x14ac:dyDescent="0.3">
      <c r="A23" s="19" t="s">
        <v>285</v>
      </c>
      <c r="B23" s="15" t="s">
        <v>18</v>
      </c>
      <c r="C23" s="15" t="s">
        <v>36</v>
      </c>
      <c r="D23" s="15" t="s">
        <v>31</v>
      </c>
      <c r="E23" s="59">
        <v>14</v>
      </c>
      <c r="F23" s="15">
        <v>11</v>
      </c>
      <c r="G23" s="15" t="s">
        <v>25</v>
      </c>
      <c r="H23" s="15" t="s">
        <v>46</v>
      </c>
      <c r="I23" s="15" t="s">
        <v>286</v>
      </c>
      <c r="J23" s="20">
        <v>64</v>
      </c>
    </row>
    <row r="24" spans="1:10" hidden="1" x14ac:dyDescent="0.3">
      <c r="A24" s="19" t="s">
        <v>287</v>
      </c>
      <c r="B24" s="15" t="s">
        <v>54</v>
      </c>
      <c r="C24" s="15" t="s">
        <v>24</v>
      </c>
      <c r="D24" s="15" t="s">
        <v>31</v>
      </c>
      <c r="E24" s="59">
        <v>14</v>
      </c>
      <c r="F24" s="15">
        <v>12</v>
      </c>
      <c r="G24" s="15" t="s">
        <v>32</v>
      </c>
      <c r="H24" s="15" t="s">
        <v>76</v>
      </c>
      <c r="I24" s="15" t="s">
        <v>288</v>
      </c>
      <c r="J24" s="20">
        <v>48</v>
      </c>
    </row>
    <row r="25" spans="1:10" hidden="1" x14ac:dyDescent="0.3">
      <c r="A25" s="19" t="s">
        <v>302</v>
      </c>
      <c r="B25" s="15" t="s">
        <v>29</v>
      </c>
      <c r="C25" s="15" t="s">
        <v>79</v>
      </c>
      <c r="D25" s="15" t="s">
        <v>13</v>
      </c>
      <c r="E25" s="59">
        <v>14</v>
      </c>
      <c r="F25" s="15">
        <v>12</v>
      </c>
      <c r="G25" s="15" t="s">
        <v>14</v>
      </c>
      <c r="H25" s="15" t="s">
        <v>20</v>
      </c>
      <c r="I25" s="15" t="s">
        <v>303</v>
      </c>
      <c r="J25" s="20">
        <v>66</v>
      </c>
    </row>
    <row r="26" spans="1:10" x14ac:dyDescent="0.3">
      <c r="A26" s="19" t="s">
        <v>312</v>
      </c>
      <c r="B26" s="15" t="s">
        <v>29</v>
      </c>
      <c r="C26" s="15" t="s">
        <v>12</v>
      </c>
      <c r="D26" s="15" t="s">
        <v>31</v>
      </c>
      <c r="E26" s="59">
        <v>14</v>
      </c>
      <c r="F26" s="15">
        <v>12</v>
      </c>
      <c r="G26" s="15" t="s">
        <v>43</v>
      </c>
      <c r="H26" s="15" t="s">
        <v>61</v>
      </c>
      <c r="I26" s="15" t="s">
        <v>313</v>
      </c>
      <c r="J26" s="20">
        <v>44</v>
      </c>
    </row>
    <row r="27" spans="1:10" hidden="1" x14ac:dyDescent="0.3">
      <c r="A27" s="19" t="s">
        <v>322</v>
      </c>
      <c r="B27" s="15" t="s">
        <v>35</v>
      </c>
      <c r="C27" s="15" t="s">
        <v>12</v>
      </c>
      <c r="D27" s="15" t="s">
        <v>13</v>
      </c>
      <c r="E27" s="59">
        <v>14</v>
      </c>
      <c r="F27" s="15">
        <v>11</v>
      </c>
      <c r="G27" s="15" t="s">
        <v>14</v>
      </c>
      <c r="H27" s="15" t="s">
        <v>26</v>
      </c>
      <c r="I27" s="15" t="s">
        <v>323</v>
      </c>
      <c r="J27" s="20">
        <v>93</v>
      </c>
    </row>
    <row r="28" spans="1:10" hidden="1" x14ac:dyDescent="0.3">
      <c r="A28" s="19" t="s">
        <v>341</v>
      </c>
      <c r="B28" s="15" t="s">
        <v>54</v>
      </c>
      <c r="C28" s="15" t="s">
        <v>55</v>
      </c>
      <c r="D28" s="15" t="s">
        <v>13</v>
      </c>
      <c r="E28" s="59">
        <v>14</v>
      </c>
      <c r="F28" s="15">
        <v>9</v>
      </c>
      <c r="G28" s="15" t="s">
        <v>25</v>
      </c>
      <c r="H28" s="15" t="s">
        <v>37</v>
      </c>
      <c r="I28" s="15" t="s">
        <v>342</v>
      </c>
      <c r="J28" s="20">
        <v>82</v>
      </c>
    </row>
    <row r="29" spans="1:10" hidden="1" x14ac:dyDescent="0.3">
      <c r="A29" s="19" t="s">
        <v>389</v>
      </c>
      <c r="B29" s="15" t="s">
        <v>54</v>
      </c>
      <c r="C29" s="15" t="s">
        <v>58</v>
      </c>
      <c r="D29" s="15" t="s">
        <v>31</v>
      </c>
      <c r="E29" s="59">
        <v>14</v>
      </c>
      <c r="F29" s="15">
        <v>11</v>
      </c>
      <c r="G29" s="15" t="s">
        <v>32</v>
      </c>
      <c r="H29" s="15" t="s">
        <v>76</v>
      </c>
      <c r="I29" s="15" t="s">
        <v>390</v>
      </c>
      <c r="J29" s="20">
        <v>54</v>
      </c>
    </row>
    <row r="30" spans="1:10" hidden="1" x14ac:dyDescent="0.3">
      <c r="A30" s="19" t="s">
        <v>422</v>
      </c>
      <c r="B30" s="15" t="s">
        <v>73</v>
      </c>
      <c r="C30" s="15" t="s">
        <v>96</v>
      </c>
      <c r="D30" s="15" t="s">
        <v>13</v>
      </c>
      <c r="E30" s="59">
        <v>14</v>
      </c>
      <c r="F30" s="15">
        <v>10</v>
      </c>
      <c r="G30" s="15" t="s">
        <v>25</v>
      </c>
      <c r="H30" s="15" t="s">
        <v>15</v>
      </c>
      <c r="I30" s="15" t="s">
        <v>423</v>
      </c>
      <c r="J30" s="20">
        <v>99</v>
      </c>
    </row>
    <row r="31" spans="1:10" hidden="1" x14ac:dyDescent="0.3">
      <c r="A31" s="19" t="s">
        <v>433</v>
      </c>
      <c r="B31" s="15" t="s">
        <v>84</v>
      </c>
      <c r="C31" s="15" t="s">
        <v>36</v>
      </c>
      <c r="D31" s="15" t="s">
        <v>13</v>
      </c>
      <c r="E31" s="59">
        <v>14</v>
      </c>
      <c r="F31" s="15">
        <v>9</v>
      </c>
      <c r="G31" s="15" t="s">
        <v>32</v>
      </c>
      <c r="H31" s="15" t="s">
        <v>15</v>
      </c>
      <c r="I31" s="15" t="s">
        <v>434</v>
      </c>
      <c r="J31" s="20">
        <v>47</v>
      </c>
    </row>
    <row r="32" spans="1:10" hidden="1" x14ac:dyDescent="0.3">
      <c r="A32" s="19" t="s">
        <v>437</v>
      </c>
      <c r="B32" s="15" t="s">
        <v>73</v>
      </c>
      <c r="C32" s="15" t="s">
        <v>30</v>
      </c>
      <c r="D32" s="15" t="s">
        <v>13</v>
      </c>
      <c r="E32" s="59">
        <v>14</v>
      </c>
      <c r="F32" s="15">
        <v>11</v>
      </c>
      <c r="G32" s="15" t="s">
        <v>32</v>
      </c>
      <c r="H32" s="15" t="s">
        <v>76</v>
      </c>
      <c r="I32" s="15" t="s">
        <v>438</v>
      </c>
      <c r="J32" s="20">
        <v>62</v>
      </c>
    </row>
    <row r="33" spans="1:10" x14ac:dyDescent="0.3">
      <c r="A33" s="19" t="s">
        <v>484</v>
      </c>
      <c r="B33" s="15" t="s">
        <v>29</v>
      </c>
      <c r="C33" s="15" t="s">
        <v>79</v>
      </c>
      <c r="D33" s="15" t="s">
        <v>31</v>
      </c>
      <c r="E33" s="59">
        <v>14</v>
      </c>
      <c r="F33" s="15">
        <v>11</v>
      </c>
      <c r="G33" s="15" t="s">
        <v>32</v>
      </c>
      <c r="H33" s="15" t="s">
        <v>40</v>
      </c>
      <c r="I33" s="15" t="s">
        <v>184</v>
      </c>
      <c r="J33" s="20">
        <v>42</v>
      </c>
    </row>
    <row r="34" spans="1:10" hidden="1" x14ac:dyDescent="0.3">
      <c r="A34" s="19" t="s">
        <v>493</v>
      </c>
      <c r="B34" s="15" t="s">
        <v>51</v>
      </c>
      <c r="C34" s="15" t="s">
        <v>96</v>
      </c>
      <c r="D34" s="15" t="s">
        <v>31</v>
      </c>
      <c r="E34" s="59">
        <v>14</v>
      </c>
      <c r="F34" s="15">
        <v>12</v>
      </c>
      <c r="G34" s="15" t="s">
        <v>14</v>
      </c>
      <c r="H34" s="15" t="s">
        <v>26</v>
      </c>
      <c r="I34" s="15" t="s">
        <v>494</v>
      </c>
      <c r="J34" s="20">
        <v>47</v>
      </c>
    </row>
    <row r="35" spans="1:10" x14ac:dyDescent="0.3">
      <c r="A35" s="19" t="s">
        <v>513</v>
      </c>
      <c r="B35" s="15" t="s">
        <v>11</v>
      </c>
      <c r="C35" s="15" t="s">
        <v>19</v>
      </c>
      <c r="D35" s="15" t="s">
        <v>31</v>
      </c>
      <c r="E35" s="59">
        <v>14</v>
      </c>
      <c r="F35" s="15">
        <v>12</v>
      </c>
      <c r="G35" s="15" t="s">
        <v>32</v>
      </c>
      <c r="H35" s="15" t="s">
        <v>15</v>
      </c>
      <c r="I35" s="15" t="s">
        <v>381</v>
      </c>
      <c r="J35" s="20">
        <v>65</v>
      </c>
    </row>
    <row r="36" spans="1:10" x14ac:dyDescent="0.3">
      <c r="A36" s="19" t="s">
        <v>516</v>
      </c>
      <c r="B36" s="15" t="s">
        <v>18</v>
      </c>
      <c r="C36" s="15" t="s">
        <v>96</v>
      </c>
      <c r="D36" s="15" t="s">
        <v>31</v>
      </c>
      <c r="E36" s="59">
        <v>14</v>
      </c>
      <c r="F36" s="15">
        <v>11</v>
      </c>
      <c r="G36" s="15" t="s">
        <v>32</v>
      </c>
      <c r="H36" s="15" t="s">
        <v>46</v>
      </c>
      <c r="I36" s="15" t="s">
        <v>517</v>
      </c>
      <c r="J36" s="20">
        <v>86</v>
      </c>
    </row>
    <row r="37" spans="1:10" hidden="1" x14ac:dyDescent="0.3">
      <c r="A37" s="19" t="s">
        <v>532</v>
      </c>
      <c r="B37" s="15" t="s">
        <v>51</v>
      </c>
      <c r="C37" s="15" t="s">
        <v>19</v>
      </c>
      <c r="D37" s="15" t="s">
        <v>31</v>
      </c>
      <c r="E37" s="59">
        <v>14</v>
      </c>
      <c r="F37" s="15">
        <v>11</v>
      </c>
      <c r="G37" s="15" t="s">
        <v>43</v>
      </c>
      <c r="H37" s="15" t="s">
        <v>20</v>
      </c>
      <c r="I37" s="15" t="s">
        <v>533</v>
      </c>
      <c r="J37" s="20">
        <v>93</v>
      </c>
    </row>
    <row r="38" spans="1:10" x14ac:dyDescent="0.3">
      <c r="A38" s="19" t="s">
        <v>539</v>
      </c>
      <c r="B38" s="15" t="s">
        <v>73</v>
      </c>
      <c r="C38" s="15" t="s">
        <v>36</v>
      </c>
      <c r="D38" s="15" t="s">
        <v>31</v>
      </c>
      <c r="E38" s="59">
        <v>14</v>
      </c>
      <c r="F38" s="15">
        <v>12</v>
      </c>
      <c r="G38" s="15" t="s">
        <v>43</v>
      </c>
      <c r="H38" s="15" t="s">
        <v>61</v>
      </c>
      <c r="I38" s="15" t="s">
        <v>387</v>
      </c>
      <c r="J38" s="20">
        <v>37</v>
      </c>
    </row>
    <row r="39" spans="1:10" hidden="1" x14ac:dyDescent="0.3">
      <c r="A39" s="19" t="s">
        <v>546</v>
      </c>
      <c r="B39" s="15" t="s">
        <v>51</v>
      </c>
      <c r="C39" s="15" t="s">
        <v>36</v>
      </c>
      <c r="D39" s="15" t="s">
        <v>31</v>
      </c>
      <c r="E39" s="59">
        <v>14</v>
      </c>
      <c r="F39" s="15">
        <v>9</v>
      </c>
      <c r="G39" s="15" t="s">
        <v>14</v>
      </c>
      <c r="H39" s="15" t="s">
        <v>46</v>
      </c>
      <c r="I39" s="15" t="s">
        <v>547</v>
      </c>
      <c r="J39" s="20">
        <v>81</v>
      </c>
    </row>
    <row r="40" spans="1:10" hidden="1" x14ac:dyDescent="0.3">
      <c r="A40" s="19" t="s">
        <v>550</v>
      </c>
      <c r="B40" s="15" t="s">
        <v>73</v>
      </c>
      <c r="C40" s="15" t="s">
        <v>19</v>
      </c>
      <c r="D40" s="15" t="s">
        <v>13</v>
      </c>
      <c r="E40" s="59">
        <v>14</v>
      </c>
      <c r="F40" s="15">
        <v>11</v>
      </c>
      <c r="G40" s="15" t="s">
        <v>32</v>
      </c>
      <c r="H40" s="15" t="s">
        <v>26</v>
      </c>
      <c r="I40" s="15" t="s">
        <v>551</v>
      </c>
      <c r="J40" s="20">
        <v>90</v>
      </c>
    </row>
    <row r="41" spans="1:10" x14ac:dyDescent="0.3">
      <c r="A41" s="19" t="s">
        <v>575</v>
      </c>
      <c r="B41" s="15" t="s">
        <v>35</v>
      </c>
      <c r="C41" s="15" t="s">
        <v>30</v>
      </c>
      <c r="D41" s="15" t="s">
        <v>31</v>
      </c>
      <c r="E41" s="59">
        <v>14</v>
      </c>
      <c r="F41" s="15">
        <v>10</v>
      </c>
      <c r="G41" s="15" t="s">
        <v>32</v>
      </c>
      <c r="H41" s="15" t="s">
        <v>40</v>
      </c>
      <c r="I41" s="15" t="s">
        <v>576</v>
      </c>
      <c r="J41" s="20">
        <v>50</v>
      </c>
    </row>
    <row r="42" spans="1:10" hidden="1" x14ac:dyDescent="0.3">
      <c r="A42" s="19" t="s">
        <v>582</v>
      </c>
      <c r="B42" s="15" t="s">
        <v>51</v>
      </c>
      <c r="C42" s="15" t="s">
        <v>55</v>
      </c>
      <c r="D42" s="15" t="s">
        <v>31</v>
      </c>
      <c r="E42" s="59">
        <v>14</v>
      </c>
      <c r="F42" s="15">
        <v>11</v>
      </c>
      <c r="G42" s="15" t="s">
        <v>25</v>
      </c>
      <c r="H42" s="15" t="s">
        <v>37</v>
      </c>
      <c r="I42" s="15" t="s">
        <v>583</v>
      </c>
      <c r="J42" s="20">
        <v>47</v>
      </c>
    </row>
    <row r="43" spans="1:10" hidden="1" x14ac:dyDescent="0.3">
      <c r="A43" s="19" t="s">
        <v>590</v>
      </c>
      <c r="B43" s="15" t="s">
        <v>35</v>
      </c>
      <c r="C43" s="15" t="s">
        <v>12</v>
      </c>
      <c r="D43" s="15" t="s">
        <v>13</v>
      </c>
      <c r="E43" s="59">
        <v>14</v>
      </c>
      <c r="F43" s="15">
        <v>11</v>
      </c>
      <c r="G43" s="15" t="s">
        <v>25</v>
      </c>
      <c r="H43" s="15" t="s">
        <v>20</v>
      </c>
      <c r="I43" s="15" t="s">
        <v>591</v>
      </c>
      <c r="J43" s="20">
        <v>64</v>
      </c>
    </row>
    <row r="44" spans="1:10" hidden="1" x14ac:dyDescent="0.3">
      <c r="A44" s="19" t="s">
        <v>596</v>
      </c>
      <c r="B44" s="15" t="s">
        <v>11</v>
      </c>
      <c r="C44" s="15" t="s">
        <v>30</v>
      </c>
      <c r="D44" s="15" t="s">
        <v>13</v>
      </c>
      <c r="E44" s="59">
        <v>14</v>
      </c>
      <c r="F44" s="15">
        <v>9</v>
      </c>
      <c r="G44" s="15" t="s">
        <v>25</v>
      </c>
      <c r="H44" s="15" t="s">
        <v>76</v>
      </c>
      <c r="I44" s="15" t="s">
        <v>447</v>
      </c>
      <c r="J44" s="20">
        <v>62</v>
      </c>
    </row>
    <row r="45" spans="1:10" hidden="1" x14ac:dyDescent="0.3">
      <c r="A45" s="19" t="s">
        <v>609</v>
      </c>
      <c r="B45" s="15" t="s">
        <v>68</v>
      </c>
      <c r="C45" s="15" t="s">
        <v>58</v>
      </c>
      <c r="D45" s="15" t="s">
        <v>13</v>
      </c>
      <c r="E45" s="59">
        <v>14</v>
      </c>
      <c r="F45" s="15">
        <v>10</v>
      </c>
      <c r="G45" s="15" t="s">
        <v>25</v>
      </c>
      <c r="H45" s="15" t="s">
        <v>37</v>
      </c>
      <c r="I45" s="15" t="s">
        <v>610</v>
      </c>
      <c r="J45" s="20">
        <v>90</v>
      </c>
    </row>
    <row r="46" spans="1:10" hidden="1" x14ac:dyDescent="0.3">
      <c r="A46" s="19" t="s">
        <v>618</v>
      </c>
      <c r="B46" s="15" t="s">
        <v>73</v>
      </c>
      <c r="C46" s="15" t="s">
        <v>85</v>
      </c>
      <c r="D46" s="15" t="s">
        <v>31</v>
      </c>
      <c r="E46" s="59">
        <v>14</v>
      </c>
      <c r="F46" s="15">
        <v>11</v>
      </c>
      <c r="G46" s="15" t="s">
        <v>25</v>
      </c>
      <c r="H46" s="15" t="s">
        <v>20</v>
      </c>
      <c r="I46" s="15" t="s">
        <v>619</v>
      </c>
      <c r="J46" s="20">
        <v>67</v>
      </c>
    </row>
    <row r="47" spans="1:10" hidden="1" x14ac:dyDescent="0.3">
      <c r="A47" s="19" t="s">
        <v>640</v>
      </c>
      <c r="B47" s="15" t="s">
        <v>84</v>
      </c>
      <c r="C47" s="15" t="s">
        <v>79</v>
      </c>
      <c r="D47" s="15" t="s">
        <v>31</v>
      </c>
      <c r="E47" s="59">
        <v>14</v>
      </c>
      <c r="F47" s="15">
        <v>9</v>
      </c>
      <c r="G47" s="15" t="s">
        <v>14</v>
      </c>
      <c r="H47" s="15" t="s">
        <v>37</v>
      </c>
      <c r="I47" s="15" t="s">
        <v>641</v>
      </c>
      <c r="J47" s="20">
        <v>43</v>
      </c>
    </row>
    <row r="48" spans="1:10" hidden="1" x14ac:dyDescent="0.3">
      <c r="A48" s="19" t="s">
        <v>642</v>
      </c>
      <c r="B48" s="15" t="s">
        <v>18</v>
      </c>
      <c r="C48" s="15" t="s">
        <v>19</v>
      </c>
      <c r="D48" s="15" t="s">
        <v>13</v>
      </c>
      <c r="E48" s="59">
        <v>14</v>
      </c>
      <c r="F48" s="15">
        <v>9</v>
      </c>
      <c r="G48" s="15" t="s">
        <v>43</v>
      </c>
      <c r="H48" s="15" t="s">
        <v>20</v>
      </c>
      <c r="I48" s="15" t="s">
        <v>643</v>
      </c>
      <c r="J48" s="20">
        <v>57</v>
      </c>
    </row>
    <row r="49" spans="1:10" hidden="1" x14ac:dyDescent="0.3">
      <c r="A49" s="19" t="s">
        <v>648</v>
      </c>
      <c r="B49" s="15" t="s">
        <v>51</v>
      </c>
      <c r="C49" s="15" t="s">
        <v>79</v>
      </c>
      <c r="D49" s="15" t="s">
        <v>13</v>
      </c>
      <c r="E49" s="59">
        <v>14</v>
      </c>
      <c r="F49" s="15">
        <v>9</v>
      </c>
      <c r="G49" s="15" t="s">
        <v>25</v>
      </c>
      <c r="H49" s="15" t="s">
        <v>15</v>
      </c>
      <c r="I49" s="15" t="s">
        <v>649</v>
      </c>
      <c r="J49" s="20">
        <v>77</v>
      </c>
    </row>
    <row r="50" spans="1:10" hidden="1" x14ac:dyDescent="0.3">
      <c r="A50" s="19" t="s">
        <v>654</v>
      </c>
      <c r="B50" s="15" t="s">
        <v>18</v>
      </c>
      <c r="C50" s="15" t="s">
        <v>24</v>
      </c>
      <c r="D50" s="15" t="s">
        <v>31</v>
      </c>
      <c r="E50" s="59">
        <v>14</v>
      </c>
      <c r="F50" s="15">
        <v>12</v>
      </c>
      <c r="G50" s="15" t="s">
        <v>14</v>
      </c>
      <c r="H50" s="15" t="s">
        <v>46</v>
      </c>
      <c r="I50" s="15" t="s">
        <v>655</v>
      </c>
      <c r="J50" s="20">
        <v>42</v>
      </c>
    </row>
    <row r="51" spans="1:10" hidden="1" x14ac:dyDescent="0.3">
      <c r="A51" s="19" t="s">
        <v>665</v>
      </c>
      <c r="B51" s="15" t="s">
        <v>51</v>
      </c>
      <c r="C51" s="15" t="s">
        <v>96</v>
      </c>
      <c r="D51" s="15" t="s">
        <v>13</v>
      </c>
      <c r="E51" s="59">
        <v>14</v>
      </c>
      <c r="F51" s="15">
        <v>10</v>
      </c>
      <c r="G51" s="15" t="s">
        <v>14</v>
      </c>
      <c r="H51" s="15" t="s">
        <v>37</v>
      </c>
      <c r="I51" s="15" t="s">
        <v>666</v>
      </c>
      <c r="J51" s="20">
        <v>68</v>
      </c>
    </row>
    <row r="52" spans="1:10" hidden="1" x14ac:dyDescent="0.3">
      <c r="A52" s="19" t="s">
        <v>671</v>
      </c>
      <c r="B52" s="15" t="s">
        <v>11</v>
      </c>
      <c r="C52" s="15" t="s">
        <v>36</v>
      </c>
      <c r="D52" s="15" t="s">
        <v>13</v>
      </c>
      <c r="E52" s="59">
        <v>14</v>
      </c>
      <c r="F52" s="15">
        <v>10</v>
      </c>
      <c r="G52" s="15" t="s">
        <v>32</v>
      </c>
      <c r="H52" s="15" t="s">
        <v>40</v>
      </c>
      <c r="I52" s="15" t="s">
        <v>672</v>
      </c>
      <c r="J52" s="20">
        <v>64</v>
      </c>
    </row>
    <row r="53" spans="1:10" hidden="1" x14ac:dyDescent="0.3">
      <c r="A53" s="19" t="s">
        <v>679</v>
      </c>
      <c r="B53" s="15" t="s">
        <v>18</v>
      </c>
      <c r="C53" s="15" t="s">
        <v>96</v>
      </c>
      <c r="D53" s="15" t="s">
        <v>13</v>
      </c>
      <c r="E53" s="59">
        <v>14</v>
      </c>
      <c r="F53" s="15">
        <v>12</v>
      </c>
      <c r="G53" s="15" t="s">
        <v>32</v>
      </c>
      <c r="H53" s="15" t="s">
        <v>46</v>
      </c>
      <c r="I53" s="15" t="s">
        <v>680</v>
      </c>
      <c r="J53" s="20">
        <v>44</v>
      </c>
    </row>
    <row r="54" spans="1:10" x14ac:dyDescent="0.3">
      <c r="A54" s="19" t="s">
        <v>681</v>
      </c>
      <c r="B54" s="15" t="s">
        <v>35</v>
      </c>
      <c r="C54" s="15" t="s">
        <v>36</v>
      </c>
      <c r="D54" s="15" t="s">
        <v>13</v>
      </c>
      <c r="E54" s="59">
        <v>14</v>
      </c>
      <c r="F54" s="15">
        <v>9</v>
      </c>
      <c r="G54" s="15" t="s">
        <v>43</v>
      </c>
      <c r="H54" s="15" t="s">
        <v>46</v>
      </c>
      <c r="I54" s="15" t="s">
        <v>682</v>
      </c>
      <c r="J54" s="20">
        <v>67</v>
      </c>
    </row>
    <row r="55" spans="1:10" hidden="1" x14ac:dyDescent="0.3">
      <c r="A55" s="19" t="s">
        <v>705</v>
      </c>
      <c r="B55" s="15" t="s">
        <v>84</v>
      </c>
      <c r="C55" s="15" t="s">
        <v>55</v>
      </c>
      <c r="D55" s="15" t="s">
        <v>31</v>
      </c>
      <c r="E55" s="59">
        <v>14</v>
      </c>
      <c r="F55" s="15">
        <v>12</v>
      </c>
      <c r="G55" s="15" t="s">
        <v>43</v>
      </c>
      <c r="H55" s="15" t="s">
        <v>76</v>
      </c>
      <c r="I55" s="15" t="s">
        <v>706</v>
      </c>
      <c r="J55" s="20">
        <v>63</v>
      </c>
    </row>
    <row r="56" spans="1:10" hidden="1" x14ac:dyDescent="0.3">
      <c r="A56" s="19" t="s">
        <v>711</v>
      </c>
      <c r="B56" s="15" t="s">
        <v>29</v>
      </c>
      <c r="C56" s="15" t="s">
        <v>79</v>
      </c>
      <c r="D56" s="15" t="s">
        <v>13</v>
      </c>
      <c r="E56" s="59">
        <v>14</v>
      </c>
      <c r="F56" s="15">
        <v>9</v>
      </c>
      <c r="G56" s="15" t="s">
        <v>32</v>
      </c>
      <c r="H56" s="15" t="s">
        <v>15</v>
      </c>
      <c r="I56" s="15" t="s">
        <v>712</v>
      </c>
      <c r="J56" s="20">
        <v>72</v>
      </c>
    </row>
    <row r="57" spans="1:10" hidden="1" x14ac:dyDescent="0.3">
      <c r="A57" s="19" t="s">
        <v>727</v>
      </c>
      <c r="B57" s="15" t="s">
        <v>68</v>
      </c>
      <c r="C57" s="15" t="s">
        <v>12</v>
      </c>
      <c r="D57" s="15" t="s">
        <v>13</v>
      </c>
      <c r="E57" s="59">
        <v>14</v>
      </c>
      <c r="F57" s="15">
        <v>9</v>
      </c>
      <c r="G57" s="15" t="s">
        <v>14</v>
      </c>
      <c r="H57" s="15" t="s">
        <v>20</v>
      </c>
      <c r="I57" s="15" t="s">
        <v>728</v>
      </c>
      <c r="J57" s="20">
        <v>68</v>
      </c>
    </row>
    <row r="58" spans="1:10" hidden="1" x14ac:dyDescent="0.3">
      <c r="A58" s="19" t="s">
        <v>739</v>
      </c>
      <c r="B58" s="15" t="s">
        <v>18</v>
      </c>
      <c r="C58" s="15" t="s">
        <v>79</v>
      </c>
      <c r="D58" s="15" t="s">
        <v>31</v>
      </c>
      <c r="E58" s="59">
        <v>14</v>
      </c>
      <c r="F58" s="15">
        <v>10</v>
      </c>
      <c r="G58" s="15" t="s">
        <v>32</v>
      </c>
      <c r="H58" s="15" t="s">
        <v>20</v>
      </c>
      <c r="I58" s="15" t="s">
        <v>740</v>
      </c>
      <c r="J58" s="20">
        <v>99</v>
      </c>
    </row>
    <row r="59" spans="1:10" hidden="1" x14ac:dyDescent="0.3">
      <c r="A59" s="19" t="s">
        <v>741</v>
      </c>
      <c r="B59" s="15" t="s">
        <v>54</v>
      </c>
      <c r="C59" s="15" t="s">
        <v>24</v>
      </c>
      <c r="D59" s="15" t="s">
        <v>13</v>
      </c>
      <c r="E59" s="59">
        <v>14</v>
      </c>
      <c r="F59" s="15">
        <v>9</v>
      </c>
      <c r="G59" s="15" t="s">
        <v>14</v>
      </c>
      <c r="H59" s="15" t="s">
        <v>76</v>
      </c>
      <c r="I59" s="15" t="s">
        <v>742</v>
      </c>
      <c r="J59" s="20">
        <v>55</v>
      </c>
    </row>
    <row r="60" spans="1:10" hidden="1" x14ac:dyDescent="0.3">
      <c r="A60" s="19" t="s">
        <v>754</v>
      </c>
      <c r="B60" s="15" t="s">
        <v>54</v>
      </c>
      <c r="C60" s="15" t="s">
        <v>12</v>
      </c>
      <c r="D60" s="15" t="s">
        <v>13</v>
      </c>
      <c r="E60" s="59">
        <v>14</v>
      </c>
      <c r="F60" s="15">
        <v>12</v>
      </c>
      <c r="G60" s="15" t="s">
        <v>32</v>
      </c>
      <c r="H60" s="15" t="s">
        <v>20</v>
      </c>
      <c r="I60" s="15" t="s">
        <v>755</v>
      </c>
      <c r="J60" s="20">
        <v>98</v>
      </c>
    </row>
    <row r="61" spans="1:10" hidden="1" x14ac:dyDescent="0.3">
      <c r="A61" s="19" t="s">
        <v>773</v>
      </c>
      <c r="B61" s="15" t="s">
        <v>68</v>
      </c>
      <c r="C61" s="15" t="s">
        <v>19</v>
      </c>
      <c r="D61" s="15" t="s">
        <v>13</v>
      </c>
      <c r="E61" s="59">
        <v>14</v>
      </c>
      <c r="F61" s="15">
        <v>11</v>
      </c>
      <c r="G61" s="15" t="s">
        <v>14</v>
      </c>
      <c r="H61" s="15" t="s">
        <v>20</v>
      </c>
      <c r="I61" s="15" t="s">
        <v>774</v>
      </c>
      <c r="J61" s="20">
        <v>72</v>
      </c>
    </row>
    <row r="62" spans="1:10" hidden="1" x14ac:dyDescent="0.3">
      <c r="A62" s="19" t="s">
        <v>780</v>
      </c>
      <c r="B62" s="15" t="s">
        <v>35</v>
      </c>
      <c r="C62" s="15" t="s">
        <v>36</v>
      </c>
      <c r="D62" s="15" t="s">
        <v>31</v>
      </c>
      <c r="E62" s="59">
        <v>14</v>
      </c>
      <c r="F62" s="15">
        <v>9</v>
      </c>
      <c r="G62" s="15" t="s">
        <v>25</v>
      </c>
      <c r="H62" s="15" t="s">
        <v>40</v>
      </c>
      <c r="I62" s="15" t="s">
        <v>781</v>
      </c>
      <c r="J62" s="20">
        <v>36</v>
      </c>
    </row>
    <row r="63" spans="1:10" hidden="1" x14ac:dyDescent="0.3">
      <c r="A63" s="19" t="s">
        <v>782</v>
      </c>
      <c r="B63" s="15" t="s">
        <v>84</v>
      </c>
      <c r="C63" s="15" t="s">
        <v>12</v>
      </c>
      <c r="D63" s="15" t="s">
        <v>31</v>
      </c>
      <c r="E63" s="59">
        <v>14</v>
      </c>
      <c r="F63" s="15">
        <v>11</v>
      </c>
      <c r="G63" s="15" t="s">
        <v>14</v>
      </c>
      <c r="H63" s="15" t="s">
        <v>37</v>
      </c>
      <c r="I63" s="15" t="s">
        <v>252</v>
      </c>
      <c r="J63" s="20">
        <v>95</v>
      </c>
    </row>
    <row r="64" spans="1:10" hidden="1" x14ac:dyDescent="0.3">
      <c r="A64" s="19" t="s">
        <v>791</v>
      </c>
      <c r="B64" s="15" t="s">
        <v>51</v>
      </c>
      <c r="C64" s="15" t="s">
        <v>85</v>
      </c>
      <c r="D64" s="15" t="s">
        <v>13</v>
      </c>
      <c r="E64" s="59">
        <v>14</v>
      </c>
      <c r="F64" s="15">
        <v>9</v>
      </c>
      <c r="G64" s="15" t="s">
        <v>43</v>
      </c>
      <c r="H64" s="15" t="s">
        <v>61</v>
      </c>
      <c r="I64" s="15" t="s">
        <v>792</v>
      </c>
      <c r="J64" s="20">
        <v>96</v>
      </c>
    </row>
    <row r="65" spans="1:10" hidden="1" x14ac:dyDescent="0.3">
      <c r="A65" s="19" t="s">
        <v>802</v>
      </c>
      <c r="B65" s="15" t="s">
        <v>29</v>
      </c>
      <c r="C65" s="15" t="s">
        <v>96</v>
      </c>
      <c r="D65" s="15" t="s">
        <v>13</v>
      </c>
      <c r="E65" s="59">
        <v>14</v>
      </c>
      <c r="F65" s="15">
        <v>10</v>
      </c>
      <c r="G65" s="15" t="s">
        <v>25</v>
      </c>
      <c r="H65" s="15" t="s">
        <v>61</v>
      </c>
      <c r="I65" s="15" t="s">
        <v>803</v>
      </c>
      <c r="J65" s="20">
        <v>89</v>
      </c>
    </row>
    <row r="66" spans="1:10" x14ac:dyDescent="0.3">
      <c r="A66" s="19" t="s">
        <v>808</v>
      </c>
      <c r="B66" s="15" t="s">
        <v>54</v>
      </c>
      <c r="C66" s="15" t="s">
        <v>24</v>
      </c>
      <c r="D66" s="15" t="s">
        <v>13</v>
      </c>
      <c r="E66" s="59">
        <v>14</v>
      </c>
      <c r="F66" s="15">
        <v>9</v>
      </c>
      <c r="G66" s="15" t="s">
        <v>25</v>
      </c>
      <c r="H66" s="15" t="s">
        <v>46</v>
      </c>
      <c r="I66" s="15" t="s">
        <v>809</v>
      </c>
      <c r="J66" s="20">
        <v>92</v>
      </c>
    </row>
    <row r="67" spans="1:10" hidden="1" x14ac:dyDescent="0.3">
      <c r="A67" s="19" t="s">
        <v>810</v>
      </c>
      <c r="B67" s="15" t="s">
        <v>73</v>
      </c>
      <c r="C67" s="15" t="s">
        <v>12</v>
      </c>
      <c r="D67" s="15" t="s">
        <v>13</v>
      </c>
      <c r="E67" s="59">
        <v>14</v>
      </c>
      <c r="F67" s="15">
        <v>10</v>
      </c>
      <c r="G67" s="15" t="s">
        <v>14</v>
      </c>
      <c r="H67" s="15" t="s">
        <v>46</v>
      </c>
      <c r="I67" s="15" t="s">
        <v>385</v>
      </c>
      <c r="J67" s="20">
        <v>49</v>
      </c>
    </row>
    <row r="68" spans="1:10" hidden="1" x14ac:dyDescent="0.3">
      <c r="A68" s="19" t="s">
        <v>819</v>
      </c>
      <c r="B68" s="15" t="s">
        <v>18</v>
      </c>
      <c r="C68" s="15" t="s">
        <v>36</v>
      </c>
      <c r="D68" s="15" t="s">
        <v>31</v>
      </c>
      <c r="E68" s="59">
        <v>14</v>
      </c>
      <c r="F68" s="15">
        <v>10</v>
      </c>
      <c r="G68" s="15" t="s">
        <v>43</v>
      </c>
      <c r="H68" s="15" t="s">
        <v>76</v>
      </c>
      <c r="I68" s="15" t="s">
        <v>820</v>
      </c>
      <c r="J68" s="20">
        <v>56</v>
      </c>
    </row>
    <row r="69" spans="1:10" hidden="1" x14ac:dyDescent="0.3">
      <c r="A69" s="19" t="s">
        <v>827</v>
      </c>
      <c r="B69" s="15" t="s">
        <v>35</v>
      </c>
      <c r="C69" s="15" t="s">
        <v>12</v>
      </c>
      <c r="D69" s="15" t="s">
        <v>13</v>
      </c>
      <c r="E69" s="59">
        <v>14</v>
      </c>
      <c r="F69" s="15">
        <v>12</v>
      </c>
      <c r="G69" s="15" t="s">
        <v>25</v>
      </c>
      <c r="H69" s="15" t="s">
        <v>61</v>
      </c>
      <c r="I69" s="15" t="s">
        <v>570</v>
      </c>
      <c r="J69" s="20">
        <v>65</v>
      </c>
    </row>
    <row r="70" spans="1:10" hidden="1" x14ac:dyDescent="0.3">
      <c r="A70" s="19" t="s">
        <v>850</v>
      </c>
      <c r="B70" s="15" t="s">
        <v>51</v>
      </c>
      <c r="C70" s="15" t="s">
        <v>96</v>
      </c>
      <c r="D70" s="15" t="s">
        <v>13</v>
      </c>
      <c r="E70" s="59">
        <v>14</v>
      </c>
      <c r="F70" s="15">
        <v>9</v>
      </c>
      <c r="G70" s="15" t="s">
        <v>25</v>
      </c>
      <c r="H70" s="15" t="s">
        <v>26</v>
      </c>
      <c r="I70" s="15" t="s">
        <v>851</v>
      </c>
      <c r="J70" s="20">
        <v>90</v>
      </c>
    </row>
    <row r="71" spans="1:10" hidden="1" x14ac:dyDescent="0.3">
      <c r="A71" s="19" t="s">
        <v>881</v>
      </c>
      <c r="B71" s="15" t="s">
        <v>73</v>
      </c>
      <c r="C71" s="15" t="s">
        <v>24</v>
      </c>
      <c r="D71" s="15" t="s">
        <v>31</v>
      </c>
      <c r="E71" s="59">
        <v>14</v>
      </c>
      <c r="F71" s="15">
        <v>12</v>
      </c>
      <c r="G71" s="15" t="s">
        <v>25</v>
      </c>
      <c r="H71" s="15" t="s">
        <v>46</v>
      </c>
      <c r="I71" s="15" t="s">
        <v>882</v>
      </c>
      <c r="J71" s="20">
        <v>58</v>
      </c>
    </row>
    <row r="72" spans="1:10" x14ac:dyDescent="0.3">
      <c r="A72" s="19" t="s">
        <v>902</v>
      </c>
      <c r="B72" s="15" t="s">
        <v>35</v>
      </c>
      <c r="C72" s="15" t="s">
        <v>12</v>
      </c>
      <c r="D72" s="15" t="s">
        <v>31</v>
      </c>
      <c r="E72" s="59">
        <v>14</v>
      </c>
      <c r="F72" s="15">
        <v>11</v>
      </c>
      <c r="G72" s="15" t="s">
        <v>14</v>
      </c>
      <c r="H72" s="15" t="s">
        <v>37</v>
      </c>
      <c r="I72" s="15" t="s">
        <v>271</v>
      </c>
      <c r="J72" s="20">
        <v>59</v>
      </c>
    </row>
    <row r="73" spans="1:10" hidden="1" x14ac:dyDescent="0.3">
      <c r="A73" s="19" t="s">
        <v>908</v>
      </c>
      <c r="B73" s="15" t="s">
        <v>11</v>
      </c>
      <c r="C73" s="15" t="s">
        <v>79</v>
      </c>
      <c r="D73" s="15" t="s">
        <v>31</v>
      </c>
      <c r="E73" s="59">
        <v>14</v>
      </c>
      <c r="F73" s="15">
        <v>10</v>
      </c>
      <c r="G73" s="15" t="s">
        <v>14</v>
      </c>
      <c r="H73" s="15" t="s">
        <v>46</v>
      </c>
      <c r="I73" s="15" t="s">
        <v>909</v>
      </c>
      <c r="J73" s="20">
        <v>55</v>
      </c>
    </row>
    <row r="74" spans="1:10" hidden="1" x14ac:dyDescent="0.3">
      <c r="A74" s="19" t="s">
        <v>913</v>
      </c>
      <c r="B74" s="15" t="s">
        <v>68</v>
      </c>
      <c r="C74" s="15" t="s">
        <v>58</v>
      </c>
      <c r="D74" s="15" t="s">
        <v>13</v>
      </c>
      <c r="E74" s="59">
        <v>14</v>
      </c>
      <c r="F74" s="15">
        <v>10</v>
      </c>
      <c r="G74" s="15" t="s">
        <v>14</v>
      </c>
      <c r="H74" s="15" t="s">
        <v>15</v>
      </c>
      <c r="I74" s="15" t="s">
        <v>914</v>
      </c>
      <c r="J74" s="20">
        <v>69</v>
      </c>
    </row>
    <row r="75" spans="1:10" hidden="1" x14ac:dyDescent="0.3">
      <c r="A75" s="19" t="s">
        <v>919</v>
      </c>
      <c r="B75" s="15" t="s">
        <v>23</v>
      </c>
      <c r="C75" s="15" t="s">
        <v>19</v>
      </c>
      <c r="D75" s="15" t="s">
        <v>13</v>
      </c>
      <c r="E75" s="59">
        <v>14</v>
      </c>
      <c r="F75" s="15">
        <v>12</v>
      </c>
      <c r="G75" s="15" t="s">
        <v>14</v>
      </c>
      <c r="H75" s="15" t="s">
        <v>15</v>
      </c>
      <c r="I75" s="15" t="s">
        <v>920</v>
      </c>
      <c r="J75" s="20">
        <v>92</v>
      </c>
    </row>
    <row r="76" spans="1:10" hidden="1" x14ac:dyDescent="0.3">
      <c r="A76" s="19" t="s">
        <v>926</v>
      </c>
      <c r="B76" s="15" t="s">
        <v>73</v>
      </c>
      <c r="C76" s="15" t="s">
        <v>85</v>
      </c>
      <c r="D76" s="15" t="s">
        <v>13</v>
      </c>
      <c r="E76" s="59">
        <v>14</v>
      </c>
      <c r="F76" s="15">
        <v>9</v>
      </c>
      <c r="G76" s="15" t="s">
        <v>32</v>
      </c>
      <c r="H76" s="15" t="s">
        <v>20</v>
      </c>
      <c r="I76" s="15" t="s">
        <v>927</v>
      </c>
      <c r="J76" s="20">
        <v>94</v>
      </c>
    </row>
    <row r="77" spans="1:10" hidden="1" x14ac:dyDescent="0.3">
      <c r="A77" s="19" t="s">
        <v>17</v>
      </c>
      <c r="B77" s="15" t="s">
        <v>18</v>
      </c>
      <c r="C77" s="15" t="s">
        <v>19</v>
      </c>
      <c r="D77" s="15" t="s">
        <v>13</v>
      </c>
      <c r="E77" s="59">
        <v>15</v>
      </c>
      <c r="F77" s="15">
        <v>12</v>
      </c>
      <c r="G77" s="15" t="s">
        <v>14</v>
      </c>
      <c r="H77" s="15" t="s">
        <v>20</v>
      </c>
      <c r="I77" s="15" t="s">
        <v>21</v>
      </c>
      <c r="J77" s="20">
        <v>98</v>
      </c>
    </row>
    <row r="78" spans="1:10" hidden="1" x14ac:dyDescent="0.3">
      <c r="A78" s="19" t="s">
        <v>50</v>
      </c>
      <c r="B78" s="15" t="s">
        <v>51</v>
      </c>
      <c r="C78" s="15" t="s">
        <v>24</v>
      </c>
      <c r="D78" s="15" t="s">
        <v>31</v>
      </c>
      <c r="E78" s="59">
        <v>15</v>
      </c>
      <c r="F78" s="15">
        <v>9</v>
      </c>
      <c r="G78" s="15" t="s">
        <v>43</v>
      </c>
      <c r="H78" s="15" t="s">
        <v>15</v>
      </c>
      <c r="I78" s="15" t="s">
        <v>52</v>
      </c>
      <c r="J78" s="20">
        <v>90</v>
      </c>
    </row>
    <row r="79" spans="1:10" hidden="1" x14ac:dyDescent="0.3">
      <c r="A79" s="19" t="s">
        <v>60</v>
      </c>
      <c r="B79" s="15" t="s">
        <v>35</v>
      </c>
      <c r="C79" s="15" t="s">
        <v>55</v>
      </c>
      <c r="D79" s="15" t="s">
        <v>13</v>
      </c>
      <c r="E79" s="59">
        <v>15</v>
      </c>
      <c r="F79" s="15">
        <v>12</v>
      </c>
      <c r="G79" s="15" t="s">
        <v>14</v>
      </c>
      <c r="H79" s="15" t="s">
        <v>61</v>
      </c>
      <c r="I79" s="15" t="s">
        <v>62</v>
      </c>
      <c r="J79" s="20">
        <v>51</v>
      </c>
    </row>
    <row r="80" spans="1:10" hidden="1" x14ac:dyDescent="0.3">
      <c r="A80" s="19" t="s">
        <v>78</v>
      </c>
      <c r="B80" s="15" t="s">
        <v>68</v>
      </c>
      <c r="C80" s="15" t="s">
        <v>79</v>
      </c>
      <c r="D80" s="15" t="s">
        <v>31</v>
      </c>
      <c r="E80" s="59">
        <v>15</v>
      </c>
      <c r="F80" s="15">
        <v>10</v>
      </c>
      <c r="G80" s="15" t="s">
        <v>14</v>
      </c>
      <c r="H80" s="15" t="s">
        <v>20</v>
      </c>
      <c r="I80" s="15" t="s">
        <v>80</v>
      </c>
      <c r="J80" s="20">
        <v>59</v>
      </c>
    </row>
    <row r="81" spans="1:10" hidden="1" x14ac:dyDescent="0.3">
      <c r="A81" s="19" t="s">
        <v>108</v>
      </c>
      <c r="B81" s="15" t="s">
        <v>29</v>
      </c>
      <c r="C81" s="15" t="s">
        <v>96</v>
      </c>
      <c r="D81" s="15" t="s">
        <v>31</v>
      </c>
      <c r="E81" s="59">
        <v>15</v>
      </c>
      <c r="F81" s="15">
        <v>11</v>
      </c>
      <c r="G81" s="15" t="s">
        <v>43</v>
      </c>
      <c r="H81" s="15" t="s">
        <v>26</v>
      </c>
      <c r="I81" s="15" t="s">
        <v>109</v>
      </c>
      <c r="J81" s="20">
        <v>77</v>
      </c>
    </row>
    <row r="82" spans="1:10" hidden="1" x14ac:dyDescent="0.3">
      <c r="A82" s="19" t="s">
        <v>112</v>
      </c>
      <c r="B82" s="15" t="s">
        <v>73</v>
      </c>
      <c r="C82" s="15" t="s">
        <v>30</v>
      </c>
      <c r="D82" s="15" t="s">
        <v>13</v>
      </c>
      <c r="E82" s="59">
        <v>15</v>
      </c>
      <c r="F82" s="15">
        <v>9</v>
      </c>
      <c r="G82" s="15" t="s">
        <v>14</v>
      </c>
      <c r="H82" s="15" t="s">
        <v>26</v>
      </c>
      <c r="I82" s="15" t="s">
        <v>113</v>
      </c>
      <c r="J82" s="20">
        <v>58</v>
      </c>
    </row>
    <row r="83" spans="1:10" x14ac:dyDescent="0.3">
      <c r="A83" s="19" t="s">
        <v>122</v>
      </c>
      <c r="B83" s="15" t="s">
        <v>18</v>
      </c>
      <c r="C83" s="15" t="s">
        <v>19</v>
      </c>
      <c r="D83" s="15" t="s">
        <v>13</v>
      </c>
      <c r="E83" s="59">
        <v>15</v>
      </c>
      <c r="F83" s="15">
        <v>10</v>
      </c>
      <c r="G83" s="15" t="s">
        <v>32</v>
      </c>
      <c r="H83" s="15" t="s">
        <v>20</v>
      </c>
      <c r="I83" s="15" t="s">
        <v>123</v>
      </c>
      <c r="J83" s="20">
        <v>51</v>
      </c>
    </row>
    <row r="84" spans="1:10" hidden="1" x14ac:dyDescent="0.3">
      <c r="A84" s="19" t="s">
        <v>126</v>
      </c>
      <c r="B84" s="15" t="s">
        <v>18</v>
      </c>
      <c r="C84" s="15" t="s">
        <v>24</v>
      </c>
      <c r="D84" s="15" t="s">
        <v>13</v>
      </c>
      <c r="E84" s="59">
        <v>15</v>
      </c>
      <c r="F84" s="15">
        <v>9</v>
      </c>
      <c r="G84" s="15" t="s">
        <v>25</v>
      </c>
      <c r="H84" s="15" t="s">
        <v>76</v>
      </c>
      <c r="I84" s="15" t="s">
        <v>127</v>
      </c>
      <c r="J84" s="20">
        <v>59</v>
      </c>
    </row>
    <row r="85" spans="1:10" hidden="1" x14ac:dyDescent="0.3">
      <c r="A85" s="19" t="s">
        <v>188</v>
      </c>
      <c r="B85" s="15" t="s">
        <v>23</v>
      </c>
      <c r="C85" s="15" t="s">
        <v>55</v>
      </c>
      <c r="D85" s="15" t="s">
        <v>31</v>
      </c>
      <c r="E85" s="59">
        <v>15</v>
      </c>
      <c r="F85" s="15">
        <v>9</v>
      </c>
      <c r="G85" s="15" t="s">
        <v>43</v>
      </c>
      <c r="H85" s="15" t="s">
        <v>20</v>
      </c>
      <c r="I85" s="15" t="s">
        <v>189</v>
      </c>
      <c r="J85" s="20">
        <v>88</v>
      </c>
    </row>
    <row r="86" spans="1:10" hidden="1" x14ac:dyDescent="0.3">
      <c r="A86" s="19" t="s">
        <v>202</v>
      </c>
      <c r="B86" s="15" t="s">
        <v>51</v>
      </c>
      <c r="C86" s="15" t="s">
        <v>55</v>
      </c>
      <c r="D86" s="15" t="s">
        <v>31</v>
      </c>
      <c r="E86" s="59">
        <v>15</v>
      </c>
      <c r="F86" s="15">
        <v>9</v>
      </c>
      <c r="G86" s="15" t="s">
        <v>14</v>
      </c>
      <c r="H86" s="15" t="s">
        <v>40</v>
      </c>
      <c r="I86" s="15" t="s">
        <v>111</v>
      </c>
      <c r="J86" s="20">
        <v>70</v>
      </c>
    </row>
    <row r="87" spans="1:10" hidden="1" x14ac:dyDescent="0.3">
      <c r="A87" s="19" t="s">
        <v>241</v>
      </c>
      <c r="B87" s="15" t="s">
        <v>54</v>
      </c>
      <c r="C87" s="15" t="s">
        <v>85</v>
      </c>
      <c r="D87" s="15" t="s">
        <v>31</v>
      </c>
      <c r="E87" s="59">
        <v>15</v>
      </c>
      <c r="F87" s="15">
        <v>12</v>
      </c>
      <c r="G87" s="15" t="s">
        <v>14</v>
      </c>
      <c r="H87" s="15" t="s">
        <v>40</v>
      </c>
      <c r="I87" s="15" t="s">
        <v>242</v>
      </c>
      <c r="J87" s="20">
        <v>100</v>
      </c>
    </row>
    <row r="88" spans="1:10" hidden="1" x14ac:dyDescent="0.3">
      <c r="A88" s="19" t="s">
        <v>243</v>
      </c>
      <c r="B88" s="15" t="s">
        <v>23</v>
      </c>
      <c r="C88" s="15" t="s">
        <v>96</v>
      </c>
      <c r="D88" s="15" t="s">
        <v>31</v>
      </c>
      <c r="E88" s="59">
        <v>15</v>
      </c>
      <c r="F88" s="15">
        <v>11</v>
      </c>
      <c r="G88" s="15" t="s">
        <v>25</v>
      </c>
      <c r="H88" s="15" t="s">
        <v>61</v>
      </c>
      <c r="I88" s="15" t="s">
        <v>244</v>
      </c>
      <c r="J88" s="20">
        <v>72</v>
      </c>
    </row>
    <row r="89" spans="1:10" hidden="1" x14ac:dyDescent="0.3">
      <c r="A89" s="19" t="s">
        <v>253</v>
      </c>
      <c r="B89" s="15" t="s">
        <v>18</v>
      </c>
      <c r="C89" s="15" t="s">
        <v>24</v>
      </c>
      <c r="D89" s="15" t="s">
        <v>13</v>
      </c>
      <c r="E89" s="59">
        <v>15</v>
      </c>
      <c r="F89" s="15">
        <v>9</v>
      </c>
      <c r="G89" s="15" t="s">
        <v>25</v>
      </c>
      <c r="H89" s="15" t="s">
        <v>20</v>
      </c>
      <c r="I89" s="15" t="s">
        <v>254</v>
      </c>
      <c r="J89" s="20">
        <v>36</v>
      </c>
    </row>
    <row r="90" spans="1:10" hidden="1" x14ac:dyDescent="0.3">
      <c r="A90" s="19" t="s">
        <v>261</v>
      </c>
      <c r="B90" s="15" t="s">
        <v>23</v>
      </c>
      <c r="C90" s="15" t="s">
        <v>36</v>
      </c>
      <c r="D90" s="15" t="s">
        <v>13</v>
      </c>
      <c r="E90" s="59">
        <v>15</v>
      </c>
      <c r="F90" s="15">
        <v>11</v>
      </c>
      <c r="G90" s="15" t="s">
        <v>25</v>
      </c>
      <c r="H90" s="15" t="s">
        <v>26</v>
      </c>
      <c r="I90" s="15" t="s">
        <v>262</v>
      </c>
      <c r="J90" s="20">
        <v>63</v>
      </c>
    </row>
    <row r="91" spans="1:10" hidden="1" x14ac:dyDescent="0.3">
      <c r="A91" s="19" t="s">
        <v>263</v>
      </c>
      <c r="B91" s="15" t="s">
        <v>29</v>
      </c>
      <c r="C91" s="15" t="s">
        <v>19</v>
      </c>
      <c r="D91" s="15" t="s">
        <v>13</v>
      </c>
      <c r="E91" s="59">
        <v>15</v>
      </c>
      <c r="F91" s="15">
        <v>11</v>
      </c>
      <c r="G91" s="15" t="s">
        <v>25</v>
      </c>
      <c r="H91" s="15" t="s">
        <v>46</v>
      </c>
      <c r="I91" s="15" t="s">
        <v>264</v>
      </c>
      <c r="J91" s="20">
        <v>58</v>
      </c>
    </row>
    <row r="92" spans="1:10" hidden="1" x14ac:dyDescent="0.3">
      <c r="A92" s="19" t="s">
        <v>270</v>
      </c>
      <c r="B92" s="15" t="s">
        <v>73</v>
      </c>
      <c r="C92" s="15" t="s">
        <v>30</v>
      </c>
      <c r="D92" s="15" t="s">
        <v>31</v>
      </c>
      <c r="E92" s="59">
        <v>15</v>
      </c>
      <c r="F92" s="15">
        <v>9</v>
      </c>
      <c r="G92" s="15" t="s">
        <v>43</v>
      </c>
      <c r="H92" s="15" t="s">
        <v>26</v>
      </c>
      <c r="I92" s="15" t="s">
        <v>271</v>
      </c>
      <c r="J92" s="20">
        <v>76</v>
      </c>
    </row>
    <row r="93" spans="1:10" hidden="1" x14ac:dyDescent="0.3">
      <c r="A93" s="19" t="s">
        <v>272</v>
      </c>
      <c r="B93" s="15" t="s">
        <v>54</v>
      </c>
      <c r="C93" s="15" t="s">
        <v>24</v>
      </c>
      <c r="D93" s="15" t="s">
        <v>13</v>
      </c>
      <c r="E93" s="59">
        <v>15</v>
      </c>
      <c r="F93" s="15">
        <v>9</v>
      </c>
      <c r="G93" s="15" t="s">
        <v>43</v>
      </c>
      <c r="H93" s="15" t="s">
        <v>20</v>
      </c>
      <c r="I93" s="15" t="s">
        <v>273</v>
      </c>
      <c r="J93" s="20">
        <v>50</v>
      </c>
    </row>
    <row r="94" spans="1:10" hidden="1" x14ac:dyDescent="0.3">
      <c r="A94" s="19" t="s">
        <v>281</v>
      </c>
      <c r="B94" s="15" t="s">
        <v>51</v>
      </c>
      <c r="C94" s="15" t="s">
        <v>36</v>
      </c>
      <c r="D94" s="15" t="s">
        <v>31</v>
      </c>
      <c r="E94" s="59">
        <v>15</v>
      </c>
      <c r="F94" s="15">
        <v>11</v>
      </c>
      <c r="G94" s="15" t="s">
        <v>43</v>
      </c>
      <c r="H94" s="15" t="s">
        <v>37</v>
      </c>
      <c r="I94" s="15" t="s">
        <v>282</v>
      </c>
      <c r="J94" s="20">
        <v>66</v>
      </c>
    </row>
    <row r="95" spans="1:10" hidden="1" x14ac:dyDescent="0.3">
      <c r="A95" s="19" t="s">
        <v>304</v>
      </c>
      <c r="B95" s="15" t="s">
        <v>51</v>
      </c>
      <c r="C95" s="15" t="s">
        <v>36</v>
      </c>
      <c r="D95" s="15" t="s">
        <v>31</v>
      </c>
      <c r="E95" s="59">
        <v>15</v>
      </c>
      <c r="F95" s="15">
        <v>12</v>
      </c>
      <c r="G95" s="15" t="s">
        <v>32</v>
      </c>
      <c r="H95" s="15" t="s">
        <v>46</v>
      </c>
      <c r="I95" s="15" t="s">
        <v>305</v>
      </c>
      <c r="J95" s="20">
        <v>77</v>
      </c>
    </row>
    <row r="96" spans="1:10" hidden="1" x14ac:dyDescent="0.3">
      <c r="A96" s="19" t="s">
        <v>314</v>
      </c>
      <c r="B96" s="15" t="s">
        <v>68</v>
      </c>
      <c r="C96" s="15" t="s">
        <v>79</v>
      </c>
      <c r="D96" s="15" t="s">
        <v>13</v>
      </c>
      <c r="E96" s="59">
        <v>15</v>
      </c>
      <c r="F96" s="15">
        <v>11</v>
      </c>
      <c r="G96" s="15" t="s">
        <v>14</v>
      </c>
      <c r="H96" s="15" t="s">
        <v>46</v>
      </c>
      <c r="I96" s="15" t="s">
        <v>315</v>
      </c>
      <c r="J96" s="20">
        <v>35</v>
      </c>
    </row>
    <row r="97" spans="1:10" x14ac:dyDescent="0.3">
      <c r="A97" s="19" t="s">
        <v>329</v>
      </c>
      <c r="B97" s="15" t="s">
        <v>11</v>
      </c>
      <c r="C97" s="15" t="s">
        <v>24</v>
      </c>
      <c r="D97" s="15" t="s">
        <v>31</v>
      </c>
      <c r="E97" s="59">
        <v>15</v>
      </c>
      <c r="F97" s="15">
        <v>9</v>
      </c>
      <c r="G97" s="15" t="s">
        <v>43</v>
      </c>
      <c r="H97" s="15" t="s">
        <v>61</v>
      </c>
      <c r="I97" s="15" t="s">
        <v>330</v>
      </c>
      <c r="J97" s="20">
        <v>83</v>
      </c>
    </row>
    <row r="98" spans="1:10" x14ac:dyDescent="0.3">
      <c r="A98" s="19" t="s">
        <v>345</v>
      </c>
      <c r="B98" s="15" t="s">
        <v>29</v>
      </c>
      <c r="C98" s="15" t="s">
        <v>24</v>
      </c>
      <c r="D98" s="15" t="s">
        <v>31</v>
      </c>
      <c r="E98" s="59">
        <v>15</v>
      </c>
      <c r="F98" s="15">
        <v>9</v>
      </c>
      <c r="G98" s="15" t="s">
        <v>14</v>
      </c>
      <c r="H98" s="15" t="s">
        <v>26</v>
      </c>
      <c r="I98" s="15" t="s">
        <v>346</v>
      </c>
      <c r="J98" s="20">
        <v>49</v>
      </c>
    </row>
    <row r="99" spans="1:10" hidden="1" x14ac:dyDescent="0.3">
      <c r="A99" s="19" t="s">
        <v>347</v>
      </c>
      <c r="B99" s="15" t="s">
        <v>23</v>
      </c>
      <c r="C99" s="15" t="s">
        <v>85</v>
      </c>
      <c r="D99" s="15" t="s">
        <v>31</v>
      </c>
      <c r="E99" s="59">
        <v>15</v>
      </c>
      <c r="F99" s="15">
        <v>11</v>
      </c>
      <c r="G99" s="15" t="s">
        <v>32</v>
      </c>
      <c r="H99" s="15" t="s">
        <v>26</v>
      </c>
      <c r="I99" s="15" t="s">
        <v>348</v>
      </c>
      <c r="J99" s="20">
        <v>37</v>
      </c>
    </row>
    <row r="100" spans="1:10" hidden="1" x14ac:dyDescent="0.3">
      <c r="A100" s="19" t="s">
        <v>351</v>
      </c>
      <c r="B100" s="15" t="s">
        <v>68</v>
      </c>
      <c r="C100" s="15" t="s">
        <v>96</v>
      </c>
      <c r="D100" s="15" t="s">
        <v>13</v>
      </c>
      <c r="E100" s="59">
        <v>15</v>
      </c>
      <c r="F100" s="15">
        <v>10</v>
      </c>
      <c r="G100" s="15" t="s">
        <v>25</v>
      </c>
      <c r="H100" s="15" t="s">
        <v>20</v>
      </c>
      <c r="I100" s="15" t="s">
        <v>352</v>
      </c>
      <c r="J100" s="20">
        <v>50</v>
      </c>
    </row>
    <row r="101" spans="1:10" hidden="1" x14ac:dyDescent="0.3">
      <c r="A101" s="19" t="s">
        <v>355</v>
      </c>
      <c r="B101" s="15" t="s">
        <v>68</v>
      </c>
      <c r="C101" s="15" t="s">
        <v>79</v>
      </c>
      <c r="D101" s="15" t="s">
        <v>13</v>
      </c>
      <c r="E101" s="59">
        <v>15</v>
      </c>
      <c r="F101" s="15">
        <v>12</v>
      </c>
      <c r="G101" s="15" t="s">
        <v>14</v>
      </c>
      <c r="H101" s="15" t="s">
        <v>20</v>
      </c>
      <c r="I101" s="15" t="s">
        <v>356</v>
      </c>
      <c r="J101" s="20">
        <v>37</v>
      </c>
    </row>
    <row r="102" spans="1:10" hidden="1" x14ac:dyDescent="0.3">
      <c r="A102" s="19" t="s">
        <v>363</v>
      </c>
      <c r="B102" s="15" t="s">
        <v>11</v>
      </c>
      <c r="C102" s="15" t="s">
        <v>85</v>
      </c>
      <c r="D102" s="15" t="s">
        <v>31</v>
      </c>
      <c r="E102" s="59">
        <v>15</v>
      </c>
      <c r="F102" s="15">
        <v>10</v>
      </c>
      <c r="G102" s="15" t="s">
        <v>14</v>
      </c>
      <c r="H102" s="15" t="s">
        <v>37</v>
      </c>
      <c r="I102" s="15" t="s">
        <v>364</v>
      </c>
      <c r="J102" s="20">
        <v>71</v>
      </c>
    </row>
    <row r="103" spans="1:10" hidden="1" x14ac:dyDescent="0.3">
      <c r="A103" s="19" t="s">
        <v>367</v>
      </c>
      <c r="B103" s="15" t="s">
        <v>35</v>
      </c>
      <c r="C103" s="15" t="s">
        <v>12</v>
      </c>
      <c r="D103" s="15" t="s">
        <v>31</v>
      </c>
      <c r="E103" s="59">
        <v>15</v>
      </c>
      <c r="F103" s="15">
        <v>10</v>
      </c>
      <c r="G103" s="15" t="s">
        <v>32</v>
      </c>
      <c r="H103" s="15" t="s">
        <v>20</v>
      </c>
      <c r="I103" s="15" t="s">
        <v>368</v>
      </c>
      <c r="J103" s="20">
        <v>99</v>
      </c>
    </row>
    <row r="104" spans="1:10" hidden="1" x14ac:dyDescent="0.3">
      <c r="A104" s="19" t="s">
        <v>373</v>
      </c>
      <c r="B104" s="15" t="s">
        <v>51</v>
      </c>
      <c r="C104" s="15" t="s">
        <v>19</v>
      </c>
      <c r="D104" s="15" t="s">
        <v>13</v>
      </c>
      <c r="E104" s="59">
        <v>15</v>
      </c>
      <c r="F104" s="15">
        <v>11</v>
      </c>
      <c r="G104" s="15" t="s">
        <v>14</v>
      </c>
      <c r="H104" s="15" t="s">
        <v>61</v>
      </c>
      <c r="I104" s="15" t="s">
        <v>374</v>
      </c>
      <c r="J104" s="20">
        <v>78</v>
      </c>
    </row>
    <row r="105" spans="1:10" hidden="1" x14ac:dyDescent="0.3">
      <c r="A105" s="19" t="s">
        <v>393</v>
      </c>
      <c r="B105" s="15" t="s">
        <v>68</v>
      </c>
      <c r="C105" s="15" t="s">
        <v>85</v>
      </c>
      <c r="D105" s="15" t="s">
        <v>13</v>
      </c>
      <c r="E105" s="59">
        <v>15</v>
      </c>
      <c r="F105" s="15">
        <v>10</v>
      </c>
      <c r="G105" s="15" t="s">
        <v>32</v>
      </c>
      <c r="H105" s="15" t="s">
        <v>37</v>
      </c>
      <c r="I105" s="15" t="s">
        <v>394</v>
      </c>
      <c r="J105" s="20">
        <v>89</v>
      </c>
    </row>
    <row r="106" spans="1:10" x14ac:dyDescent="0.3">
      <c r="A106" s="19" t="s">
        <v>401</v>
      </c>
      <c r="B106" s="15" t="s">
        <v>11</v>
      </c>
      <c r="C106" s="15" t="s">
        <v>79</v>
      </c>
      <c r="D106" s="15" t="s">
        <v>31</v>
      </c>
      <c r="E106" s="59">
        <v>15</v>
      </c>
      <c r="F106" s="15">
        <v>11</v>
      </c>
      <c r="G106" s="15" t="s">
        <v>43</v>
      </c>
      <c r="H106" s="15" t="s">
        <v>40</v>
      </c>
      <c r="I106" s="15" t="s">
        <v>402</v>
      </c>
      <c r="J106" s="20">
        <v>84</v>
      </c>
    </row>
    <row r="107" spans="1:10" hidden="1" x14ac:dyDescent="0.3">
      <c r="A107" s="19" t="s">
        <v>418</v>
      </c>
      <c r="B107" s="15" t="s">
        <v>84</v>
      </c>
      <c r="C107" s="15" t="s">
        <v>24</v>
      </c>
      <c r="D107" s="15" t="s">
        <v>13</v>
      </c>
      <c r="E107" s="59">
        <v>15</v>
      </c>
      <c r="F107" s="15">
        <v>9</v>
      </c>
      <c r="G107" s="15" t="s">
        <v>25</v>
      </c>
      <c r="H107" s="15" t="s">
        <v>20</v>
      </c>
      <c r="I107" s="15" t="s">
        <v>419</v>
      </c>
      <c r="J107" s="20">
        <v>63</v>
      </c>
    </row>
    <row r="108" spans="1:10" hidden="1" x14ac:dyDescent="0.3">
      <c r="A108" s="19" t="s">
        <v>425</v>
      </c>
      <c r="B108" s="15" t="s">
        <v>73</v>
      </c>
      <c r="C108" s="15" t="s">
        <v>30</v>
      </c>
      <c r="D108" s="15" t="s">
        <v>31</v>
      </c>
      <c r="E108" s="59">
        <v>15</v>
      </c>
      <c r="F108" s="15">
        <v>9</v>
      </c>
      <c r="G108" s="15" t="s">
        <v>14</v>
      </c>
      <c r="H108" s="15" t="s">
        <v>76</v>
      </c>
      <c r="I108" s="15" t="s">
        <v>149</v>
      </c>
      <c r="J108" s="20">
        <v>54</v>
      </c>
    </row>
    <row r="109" spans="1:10" hidden="1" x14ac:dyDescent="0.3">
      <c r="A109" s="19" t="s">
        <v>439</v>
      </c>
      <c r="B109" s="15" t="s">
        <v>11</v>
      </c>
      <c r="C109" s="15" t="s">
        <v>12</v>
      </c>
      <c r="D109" s="15" t="s">
        <v>13</v>
      </c>
      <c r="E109" s="59">
        <v>15</v>
      </c>
      <c r="F109" s="15">
        <v>9</v>
      </c>
      <c r="G109" s="15" t="s">
        <v>25</v>
      </c>
      <c r="H109" s="15" t="s">
        <v>15</v>
      </c>
      <c r="I109" s="15" t="s">
        <v>440</v>
      </c>
      <c r="J109" s="20">
        <v>90</v>
      </c>
    </row>
    <row r="110" spans="1:10" hidden="1" x14ac:dyDescent="0.3">
      <c r="A110" s="19" t="s">
        <v>456</v>
      </c>
      <c r="B110" s="15" t="s">
        <v>11</v>
      </c>
      <c r="C110" s="15" t="s">
        <v>55</v>
      </c>
      <c r="D110" s="15" t="s">
        <v>13</v>
      </c>
      <c r="E110" s="59">
        <v>15</v>
      </c>
      <c r="F110" s="15">
        <v>9</v>
      </c>
      <c r="G110" s="15" t="s">
        <v>32</v>
      </c>
      <c r="H110" s="15" t="s">
        <v>61</v>
      </c>
      <c r="I110" s="15" t="s">
        <v>457</v>
      </c>
      <c r="J110" s="20">
        <v>97</v>
      </c>
    </row>
    <row r="111" spans="1:10" hidden="1" x14ac:dyDescent="0.3">
      <c r="A111" s="19" t="s">
        <v>472</v>
      </c>
      <c r="B111" s="15" t="s">
        <v>84</v>
      </c>
      <c r="C111" s="15" t="s">
        <v>79</v>
      </c>
      <c r="D111" s="15" t="s">
        <v>31</v>
      </c>
      <c r="E111" s="59">
        <v>15</v>
      </c>
      <c r="F111" s="15">
        <v>11</v>
      </c>
      <c r="G111" s="15" t="s">
        <v>14</v>
      </c>
      <c r="H111" s="15" t="s">
        <v>40</v>
      </c>
      <c r="I111" s="15" t="s">
        <v>317</v>
      </c>
      <c r="J111" s="20">
        <v>72</v>
      </c>
    </row>
    <row r="112" spans="1:10" hidden="1" x14ac:dyDescent="0.3">
      <c r="A112" s="19" t="s">
        <v>495</v>
      </c>
      <c r="B112" s="15" t="s">
        <v>35</v>
      </c>
      <c r="C112" s="15" t="s">
        <v>12</v>
      </c>
      <c r="D112" s="15" t="s">
        <v>13</v>
      </c>
      <c r="E112" s="59">
        <v>15</v>
      </c>
      <c r="F112" s="15">
        <v>12</v>
      </c>
      <c r="G112" s="15" t="s">
        <v>43</v>
      </c>
      <c r="H112" s="15" t="s">
        <v>20</v>
      </c>
      <c r="I112" s="15" t="s">
        <v>496</v>
      </c>
      <c r="J112" s="20">
        <v>49</v>
      </c>
    </row>
    <row r="113" spans="1:10" hidden="1" x14ac:dyDescent="0.3">
      <c r="A113" s="19" t="s">
        <v>503</v>
      </c>
      <c r="B113" s="15" t="s">
        <v>84</v>
      </c>
      <c r="C113" s="15" t="s">
        <v>19</v>
      </c>
      <c r="D113" s="15" t="s">
        <v>31</v>
      </c>
      <c r="E113" s="59">
        <v>15</v>
      </c>
      <c r="F113" s="15">
        <v>10</v>
      </c>
      <c r="G113" s="15" t="s">
        <v>43</v>
      </c>
      <c r="H113" s="15" t="s">
        <v>61</v>
      </c>
      <c r="I113" s="15" t="s">
        <v>504</v>
      </c>
      <c r="J113" s="20">
        <v>44</v>
      </c>
    </row>
    <row r="114" spans="1:10" x14ac:dyDescent="0.3">
      <c r="A114" s="19" t="s">
        <v>508</v>
      </c>
      <c r="B114" s="15" t="s">
        <v>73</v>
      </c>
      <c r="C114" s="15" t="s">
        <v>55</v>
      </c>
      <c r="D114" s="15" t="s">
        <v>13</v>
      </c>
      <c r="E114" s="59">
        <v>15</v>
      </c>
      <c r="F114" s="15">
        <v>11</v>
      </c>
      <c r="G114" s="15" t="s">
        <v>43</v>
      </c>
      <c r="H114" s="15" t="s">
        <v>46</v>
      </c>
      <c r="I114" s="15" t="s">
        <v>509</v>
      </c>
      <c r="J114" s="20">
        <v>54</v>
      </c>
    </row>
    <row r="115" spans="1:10" hidden="1" x14ac:dyDescent="0.3">
      <c r="A115" s="19" t="s">
        <v>510</v>
      </c>
      <c r="B115" s="15" t="s">
        <v>54</v>
      </c>
      <c r="C115" s="15" t="s">
        <v>79</v>
      </c>
      <c r="D115" s="15" t="s">
        <v>31</v>
      </c>
      <c r="E115" s="59">
        <v>15</v>
      </c>
      <c r="F115" s="15">
        <v>9</v>
      </c>
      <c r="G115" s="15" t="s">
        <v>14</v>
      </c>
      <c r="H115" s="15" t="s">
        <v>40</v>
      </c>
      <c r="I115" s="15" t="s">
        <v>479</v>
      </c>
      <c r="J115" s="20">
        <v>66</v>
      </c>
    </row>
    <row r="116" spans="1:10" hidden="1" x14ac:dyDescent="0.3">
      <c r="A116" s="19" t="s">
        <v>511</v>
      </c>
      <c r="B116" s="15" t="s">
        <v>35</v>
      </c>
      <c r="C116" s="15" t="s">
        <v>19</v>
      </c>
      <c r="D116" s="15" t="s">
        <v>31</v>
      </c>
      <c r="E116" s="59">
        <v>15</v>
      </c>
      <c r="F116" s="15">
        <v>9</v>
      </c>
      <c r="G116" s="15" t="s">
        <v>25</v>
      </c>
      <c r="H116" s="15" t="s">
        <v>15</v>
      </c>
      <c r="I116" s="15" t="s">
        <v>512</v>
      </c>
      <c r="J116" s="20">
        <v>95</v>
      </c>
    </row>
    <row r="117" spans="1:10" hidden="1" x14ac:dyDescent="0.3">
      <c r="A117" s="19" t="s">
        <v>514</v>
      </c>
      <c r="B117" s="15" t="s">
        <v>11</v>
      </c>
      <c r="C117" s="15" t="s">
        <v>12</v>
      </c>
      <c r="D117" s="15" t="s">
        <v>31</v>
      </c>
      <c r="E117" s="59">
        <v>15</v>
      </c>
      <c r="F117" s="15">
        <v>11</v>
      </c>
      <c r="G117" s="15" t="s">
        <v>25</v>
      </c>
      <c r="H117" s="15" t="s">
        <v>20</v>
      </c>
      <c r="I117" s="15" t="s">
        <v>515</v>
      </c>
      <c r="J117" s="20">
        <v>61</v>
      </c>
    </row>
    <row r="118" spans="1:10" x14ac:dyDescent="0.3">
      <c r="A118" s="19" t="s">
        <v>548</v>
      </c>
      <c r="B118" s="15" t="s">
        <v>51</v>
      </c>
      <c r="C118" s="15" t="s">
        <v>24</v>
      </c>
      <c r="D118" s="15" t="s">
        <v>31</v>
      </c>
      <c r="E118" s="59">
        <v>15</v>
      </c>
      <c r="F118" s="15">
        <v>11</v>
      </c>
      <c r="G118" s="15" t="s">
        <v>32</v>
      </c>
      <c r="H118" s="15" t="s">
        <v>40</v>
      </c>
      <c r="I118" s="15" t="s">
        <v>549</v>
      </c>
      <c r="J118" s="20">
        <v>90</v>
      </c>
    </row>
    <row r="119" spans="1:10" x14ac:dyDescent="0.3">
      <c r="A119" s="19" t="s">
        <v>554</v>
      </c>
      <c r="B119" s="15" t="s">
        <v>29</v>
      </c>
      <c r="C119" s="15" t="s">
        <v>79</v>
      </c>
      <c r="D119" s="15" t="s">
        <v>13</v>
      </c>
      <c r="E119" s="59">
        <v>15</v>
      </c>
      <c r="F119" s="15">
        <v>9</v>
      </c>
      <c r="G119" s="15" t="s">
        <v>32</v>
      </c>
      <c r="H119" s="15" t="s">
        <v>76</v>
      </c>
      <c r="I119" s="15" t="s">
        <v>184</v>
      </c>
      <c r="J119" s="20">
        <v>53</v>
      </c>
    </row>
    <row r="120" spans="1:10" hidden="1" x14ac:dyDescent="0.3">
      <c r="A120" s="19" t="s">
        <v>560</v>
      </c>
      <c r="B120" s="15" t="s">
        <v>68</v>
      </c>
      <c r="C120" s="15" t="s">
        <v>85</v>
      </c>
      <c r="D120" s="15" t="s">
        <v>31</v>
      </c>
      <c r="E120" s="59">
        <v>15</v>
      </c>
      <c r="F120" s="15">
        <v>10</v>
      </c>
      <c r="G120" s="15" t="s">
        <v>43</v>
      </c>
      <c r="H120" s="15" t="s">
        <v>26</v>
      </c>
      <c r="I120" s="15" t="s">
        <v>561</v>
      </c>
      <c r="J120" s="20">
        <v>63</v>
      </c>
    </row>
    <row r="121" spans="1:10" hidden="1" x14ac:dyDescent="0.3">
      <c r="A121" s="19" t="s">
        <v>562</v>
      </c>
      <c r="B121" s="15" t="s">
        <v>29</v>
      </c>
      <c r="C121" s="15" t="s">
        <v>79</v>
      </c>
      <c r="D121" s="15" t="s">
        <v>31</v>
      </c>
      <c r="E121" s="59">
        <v>15</v>
      </c>
      <c r="F121" s="15">
        <v>12</v>
      </c>
      <c r="G121" s="15" t="s">
        <v>32</v>
      </c>
      <c r="H121" s="15" t="s">
        <v>46</v>
      </c>
      <c r="I121" s="15" t="s">
        <v>121</v>
      </c>
      <c r="J121" s="20">
        <v>53</v>
      </c>
    </row>
    <row r="122" spans="1:10" x14ac:dyDescent="0.3">
      <c r="A122" s="19" t="s">
        <v>577</v>
      </c>
      <c r="B122" s="15" t="s">
        <v>84</v>
      </c>
      <c r="C122" s="15" t="s">
        <v>79</v>
      </c>
      <c r="D122" s="15" t="s">
        <v>31</v>
      </c>
      <c r="E122" s="59">
        <v>15</v>
      </c>
      <c r="F122" s="15">
        <v>11</v>
      </c>
      <c r="G122" s="15" t="s">
        <v>25</v>
      </c>
      <c r="H122" s="15" t="s">
        <v>40</v>
      </c>
      <c r="I122" s="15" t="s">
        <v>578</v>
      </c>
      <c r="J122" s="20">
        <v>72</v>
      </c>
    </row>
    <row r="123" spans="1:10" hidden="1" x14ac:dyDescent="0.3">
      <c r="A123" s="19" t="s">
        <v>602</v>
      </c>
      <c r="B123" s="15" t="s">
        <v>23</v>
      </c>
      <c r="C123" s="15" t="s">
        <v>19</v>
      </c>
      <c r="D123" s="15" t="s">
        <v>13</v>
      </c>
      <c r="E123" s="59">
        <v>15</v>
      </c>
      <c r="F123" s="15">
        <v>12</v>
      </c>
      <c r="G123" s="15" t="s">
        <v>14</v>
      </c>
      <c r="H123" s="15" t="s">
        <v>61</v>
      </c>
      <c r="I123" s="15" t="s">
        <v>603</v>
      </c>
      <c r="J123" s="20">
        <v>54</v>
      </c>
    </row>
    <row r="124" spans="1:10" hidden="1" x14ac:dyDescent="0.3">
      <c r="A124" s="19" t="s">
        <v>613</v>
      </c>
      <c r="B124" s="15" t="s">
        <v>68</v>
      </c>
      <c r="C124" s="15" t="s">
        <v>85</v>
      </c>
      <c r="D124" s="15" t="s">
        <v>31</v>
      </c>
      <c r="E124" s="59">
        <v>15</v>
      </c>
      <c r="F124" s="15">
        <v>9</v>
      </c>
      <c r="G124" s="15" t="s">
        <v>32</v>
      </c>
      <c r="H124" s="15" t="s">
        <v>37</v>
      </c>
      <c r="I124" s="15" t="s">
        <v>614</v>
      </c>
      <c r="J124" s="20">
        <v>39</v>
      </c>
    </row>
    <row r="125" spans="1:10" hidden="1" x14ac:dyDescent="0.3">
      <c r="A125" s="19" t="s">
        <v>617</v>
      </c>
      <c r="B125" s="15" t="s">
        <v>35</v>
      </c>
      <c r="C125" s="15" t="s">
        <v>12</v>
      </c>
      <c r="D125" s="15" t="s">
        <v>13</v>
      </c>
      <c r="E125" s="59">
        <v>15</v>
      </c>
      <c r="F125" s="15">
        <v>9</v>
      </c>
      <c r="G125" s="15" t="s">
        <v>25</v>
      </c>
      <c r="H125" s="15" t="s">
        <v>46</v>
      </c>
      <c r="I125" s="15" t="s">
        <v>155</v>
      </c>
      <c r="J125" s="20">
        <v>85</v>
      </c>
    </row>
    <row r="126" spans="1:10" hidden="1" x14ac:dyDescent="0.3">
      <c r="A126" s="19" t="s">
        <v>634</v>
      </c>
      <c r="B126" s="15" t="s">
        <v>54</v>
      </c>
      <c r="C126" s="15" t="s">
        <v>30</v>
      </c>
      <c r="D126" s="15" t="s">
        <v>31</v>
      </c>
      <c r="E126" s="59">
        <v>15</v>
      </c>
      <c r="F126" s="15">
        <v>9</v>
      </c>
      <c r="G126" s="15" t="s">
        <v>25</v>
      </c>
      <c r="H126" s="15" t="s">
        <v>40</v>
      </c>
      <c r="I126" s="15" t="s">
        <v>635</v>
      </c>
      <c r="J126" s="20">
        <v>53</v>
      </c>
    </row>
    <row r="127" spans="1:10" hidden="1" x14ac:dyDescent="0.3">
      <c r="A127" s="19" t="s">
        <v>638</v>
      </c>
      <c r="B127" s="15" t="s">
        <v>54</v>
      </c>
      <c r="C127" s="15" t="s">
        <v>12</v>
      </c>
      <c r="D127" s="15" t="s">
        <v>31</v>
      </c>
      <c r="E127" s="59">
        <v>15</v>
      </c>
      <c r="F127" s="15">
        <v>12</v>
      </c>
      <c r="G127" s="15" t="s">
        <v>43</v>
      </c>
      <c r="H127" s="15" t="s">
        <v>76</v>
      </c>
      <c r="I127" s="15" t="s">
        <v>639</v>
      </c>
      <c r="J127" s="20">
        <v>51</v>
      </c>
    </row>
    <row r="128" spans="1:10" hidden="1" x14ac:dyDescent="0.3">
      <c r="A128" s="19" t="s">
        <v>667</v>
      </c>
      <c r="B128" s="15" t="s">
        <v>35</v>
      </c>
      <c r="C128" s="15" t="s">
        <v>12</v>
      </c>
      <c r="D128" s="15" t="s">
        <v>31</v>
      </c>
      <c r="E128" s="59">
        <v>15</v>
      </c>
      <c r="F128" s="15">
        <v>12</v>
      </c>
      <c r="G128" s="15" t="s">
        <v>14</v>
      </c>
      <c r="H128" s="15" t="s">
        <v>46</v>
      </c>
      <c r="I128" s="15" t="s">
        <v>668</v>
      </c>
      <c r="J128" s="20">
        <v>82</v>
      </c>
    </row>
    <row r="129" spans="1:10" hidden="1" x14ac:dyDescent="0.3">
      <c r="A129" s="19" t="s">
        <v>701</v>
      </c>
      <c r="B129" s="15" t="s">
        <v>54</v>
      </c>
      <c r="C129" s="15" t="s">
        <v>30</v>
      </c>
      <c r="D129" s="15" t="s">
        <v>31</v>
      </c>
      <c r="E129" s="59">
        <v>15</v>
      </c>
      <c r="F129" s="15">
        <v>11</v>
      </c>
      <c r="G129" s="15" t="s">
        <v>14</v>
      </c>
      <c r="H129" s="15" t="s">
        <v>76</v>
      </c>
      <c r="I129" s="15" t="s">
        <v>702</v>
      </c>
      <c r="J129" s="20">
        <v>42</v>
      </c>
    </row>
    <row r="130" spans="1:10" hidden="1" x14ac:dyDescent="0.3">
      <c r="A130" s="19" t="s">
        <v>725</v>
      </c>
      <c r="B130" s="15" t="s">
        <v>11</v>
      </c>
      <c r="C130" s="15" t="s">
        <v>55</v>
      </c>
      <c r="D130" s="15" t="s">
        <v>31</v>
      </c>
      <c r="E130" s="59">
        <v>15</v>
      </c>
      <c r="F130" s="15">
        <v>9</v>
      </c>
      <c r="G130" s="15" t="s">
        <v>25</v>
      </c>
      <c r="H130" s="15" t="s">
        <v>37</v>
      </c>
      <c r="I130" s="15" t="s">
        <v>726</v>
      </c>
      <c r="J130" s="20">
        <v>72</v>
      </c>
    </row>
    <row r="131" spans="1:10" x14ac:dyDescent="0.3">
      <c r="A131" s="19" t="s">
        <v>729</v>
      </c>
      <c r="B131" s="15" t="s">
        <v>35</v>
      </c>
      <c r="C131" s="15" t="s">
        <v>79</v>
      </c>
      <c r="D131" s="15" t="s">
        <v>13</v>
      </c>
      <c r="E131" s="59">
        <v>15</v>
      </c>
      <c r="F131" s="15">
        <v>9</v>
      </c>
      <c r="G131" s="15" t="s">
        <v>43</v>
      </c>
      <c r="H131" s="15" t="s">
        <v>76</v>
      </c>
      <c r="I131" s="15" t="s">
        <v>730</v>
      </c>
      <c r="J131" s="20">
        <v>39</v>
      </c>
    </row>
    <row r="132" spans="1:10" hidden="1" x14ac:dyDescent="0.3">
      <c r="A132" s="19" t="s">
        <v>743</v>
      </c>
      <c r="B132" s="15" t="s">
        <v>84</v>
      </c>
      <c r="C132" s="15" t="s">
        <v>19</v>
      </c>
      <c r="D132" s="15" t="s">
        <v>13</v>
      </c>
      <c r="E132" s="59">
        <v>15</v>
      </c>
      <c r="F132" s="15">
        <v>10</v>
      </c>
      <c r="G132" s="15" t="s">
        <v>43</v>
      </c>
      <c r="H132" s="15" t="s">
        <v>26</v>
      </c>
      <c r="I132" s="15" t="s">
        <v>744</v>
      </c>
      <c r="J132" s="20">
        <v>60</v>
      </c>
    </row>
    <row r="133" spans="1:10" hidden="1" x14ac:dyDescent="0.3">
      <c r="A133" s="19" t="s">
        <v>749</v>
      </c>
      <c r="B133" s="15" t="s">
        <v>84</v>
      </c>
      <c r="C133" s="15" t="s">
        <v>30</v>
      </c>
      <c r="D133" s="15" t="s">
        <v>13</v>
      </c>
      <c r="E133" s="59">
        <v>15</v>
      </c>
      <c r="F133" s="15">
        <v>12</v>
      </c>
      <c r="G133" s="15" t="s">
        <v>25</v>
      </c>
      <c r="H133" s="15" t="s">
        <v>61</v>
      </c>
      <c r="I133" s="15" t="s">
        <v>750</v>
      </c>
      <c r="J133" s="20">
        <v>95</v>
      </c>
    </row>
    <row r="134" spans="1:10" x14ac:dyDescent="0.3">
      <c r="A134" s="19" t="s">
        <v>756</v>
      </c>
      <c r="B134" s="15" t="s">
        <v>11</v>
      </c>
      <c r="C134" s="15" t="s">
        <v>30</v>
      </c>
      <c r="D134" s="15" t="s">
        <v>13</v>
      </c>
      <c r="E134" s="59">
        <v>15</v>
      </c>
      <c r="F134" s="15">
        <v>11</v>
      </c>
      <c r="G134" s="15" t="s">
        <v>14</v>
      </c>
      <c r="H134" s="15" t="s">
        <v>76</v>
      </c>
      <c r="I134" s="15" t="s">
        <v>757</v>
      </c>
      <c r="J134" s="20">
        <v>39</v>
      </c>
    </row>
    <row r="135" spans="1:10" hidden="1" x14ac:dyDescent="0.3">
      <c r="A135" s="19" t="s">
        <v>783</v>
      </c>
      <c r="B135" s="15" t="s">
        <v>54</v>
      </c>
      <c r="C135" s="15" t="s">
        <v>79</v>
      </c>
      <c r="D135" s="15" t="s">
        <v>31</v>
      </c>
      <c r="E135" s="59">
        <v>15</v>
      </c>
      <c r="F135" s="15">
        <v>11</v>
      </c>
      <c r="G135" s="15" t="s">
        <v>25</v>
      </c>
      <c r="H135" s="15" t="s">
        <v>61</v>
      </c>
      <c r="I135" s="15" t="s">
        <v>628</v>
      </c>
      <c r="J135" s="20">
        <v>39</v>
      </c>
    </row>
    <row r="136" spans="1:10" hidden="1" x14ac:dyDescent="0.3">
      <c r="A136" s="19" t="s">
        <v>812</v>
      </c>
      <c r="B136" s="15" t="s">
        <v>51</v>
      </c>
      <c r="C136" s="15" t="s">
        <v>55</v>
      </c>
      <c r="D136" s="15" t="s">
        <v>13</v>
      </c>
      <c r="E136" s="59">
        <v>15</v>
      </c>
      <c r="F136" s="15">
        <v>10</v>
      </c>
      <c r="G136" s="15" t="s">
        <v>43</v>
      </c>
      <c r="H136" s="15" t="s">
        <v>46</v>
      </c>
      <c r="I136" s="15" t="s">
        <v>82</v>
      </c>
      <c r="J136" s="20">
        <v>62</v>
      </c>
    </row>
    <row r="137" spans="1:10" hidden="1" x14ac:dyDescent="0.3">
      <c r="A137" s="19" t="s">
        <v>816</v>
      </c>
      <c r="B137" s="15" t="s">
        <v>23</v>
      </c>
      <c r="C137" s="15" t="s">
        <v>79</v>
      </c>
      <c r="D137" s="15" t="s">
        <v>31</v>
      </c>
      <c r="E137" s="59">
        <v>15</v>
      </c>
      <c r="F137" s="15">
        <v>9</v>
      </c>
      <c r="G137" s="15" t="s">
        <v>25</v>
      </c>
      <c r="H137" s="15" t="s">
        <v>76</v>
      </c>
      <c r="I137" s="15" t="s">
        <v>149</v>
      </c>
      <c r="J137" s="20">
        <v>79</v>
      </c>
    </row>
    <row r="138" spans="1:10" hidden="1" x14ac:dyDescent="0.3">
      <c r="A138" s="19" t="s">
        <v>826</v>
      </c>
      <c r="B138" s="15" t="s">
        <v>51</v>
      </c>
      <c r="C138" s="15" t="s">
        <v>55</v>
      </c>
      <c r="D138" s="15" t="s">
        <v>31</v>
      </c>
      <c r="E138" s="59">
        <v>15</v>
      </c>
      <c r="F138" s="15">
        <v>10</v>
      </c>
      <c r="G138" s="15" t="s">
        <v>43</v>
      </c>
      <c r="H138" s="15" t="s">
        <v>37</v>
      </c>
      <c r="I138" s="15" t="s">
        <v>174</v>
      </c>
      <c r="J138" s="20">
        <v>42</v>
      </c>
    </row>
    <row r="139" spans="1:10" hidden="1" x14ac:dyDescent="0.3">
      <c r="A139" s="19" t="s">
        <v>828</v>
      </c>
      <c r="B139" s="15" t="s">
        <v>29</v>
      </c>
      <c r="C139" s="15" t="s">
        <v>55</v>
      </c>
      <c r="D139" s="15" t="s">
        <v>13</v>
      </c>
      <c r="E139" s="59">
        <v>15</v>
      </c>
      <c r="F139" s="15">
        <v>9</v>
      </c>
      <c r="G139" s="15" t="s">
        <v>32</v>
      </c>
      <c r="H139" s="15" t="s">
        <v>40</v>
      </c>
      <c r="I139" s="15" t="s">
        <v>829</v>
      </c>
      <c r="J139" s="20">
        <v>64</v>
      </c>
    </row>
    <row r="140" spans="1:10" hidden="1" x14ac:dyDescent="0.3">
      <c r="A140" s="19" t="s">
        <v>833</v>
      </c>
      <c r="B140" s="15" t="s">
        <v>73</v>
      </c>
      <c r="C140" s="15" t="s">
        <v>96</v>
      </c>
      <c r="D140" s="15" t="s">
        <v>31</v>
      </c>
      <c r="E140" s="59">
        <v>15</v>
      </c>
      <c r="F140" s="15">
        <v>10</v>
      </c>
      <c r="G140" s="15" t="s">
        <v>43</v>
      </c>
      <c r="H140" s="15" t="s">
        <v>76</v>
      </c>
      <c r="I140" s="15" t="s">
        <v>834</v>
      </c>
      <c r="J140" s="20">
        <v>37</v>
      </c>
    </row>
    <row r="141" spans="1:10" hidden="1" x14ac:dyDescent="0.3">
      <c r="A141" s="19" t="s">
        <v>842</v>
      </c>
      <c r="B141" s="15" t="s">
        <v>23</v>
      </c>
      <c r="C141" s="15" t="s">
        <v>30</v>
      </c>
      <c r="D141" s="15" t="s">
        <v>13</v>
      </c>
      <c r="E141" s="59">
        <v>15</v>
      </c>
      <c r="F141" s="15">
        <v>9</v>
      </c>
      <c r="G141" s="15" t="s">
        <v>32</v>
      </c>
      <c r="H141" s="15" t="s">
        <v>37</v>
      </c>
      <c r="I141" s="15" t="s">
        <v>477</v>
      </c>
      <c r="J141" s="20">
        <v>51</v>
      </c>
    </row>
    <row r="142" spans="1:10" hidden="1" x14ac:dyDescent="0.3">
      <c r="A142" s="19" t="s">
        <v>852</v>
      </c>
      <c r="B142" s="15" t="s">
        <v>29</v>
      </c>
      <c r="C142" s="15" t="s">
        <v>55</v>
      </c>
      <c r="D142" s="15" t="s">
        <v>13</v>
      </c>
      <c r="E142" s="59">
        <v>15</v>
      </c>
      <c r="F142" s="15">
        <v>9</v>
      </c>
      <c r="G142" s="15" t="s">
        <v>14</v>
      </c>
      <c r="H142" s="15" t="s">
        <v>20</v>
      </c>
      <c r="I142" s="15" t="s">
        <v>853</v>
      </c>
      <c r="J142" s="20">
        <v>74</v>
      </c>
    </row>
    <row r="143" spans="1:10" hidden="1" x14ac:dyDescent="0.3">
      <c r="A143" s="19" t="s">
        <v>854</v>
      </c>
      <c r="B143" s="15" t="s">
        <v>51</v>
      </c>
      <c r="C143" s="15" t="s">
        <v>55</v>
      </c>
      <c r="D143" s="15" t="s">
        <v>13</v>
      </c>
      <c r="E143" s="59">
        <v>15</v>
      </c>
      <c r="F143" s="15">
        <v>11</v>
      </c>
      <c r="G143" s="15" t="s">
        <v>14</v>
      </c>
      <c r="H143" s="15" t="s">
        <v>61</v>
      </c>
      <c r="I143" s="15" t="s">
        <v>855</v>
      </c>
      <c r="J143" s="20">
        <v>84</v>
      </c>
    </row>
    <row r="144" spans="1:10" hidden="1" x14ac:dyDescent="0.3">
      <c r="A144" s="19" t="s">
        <v>866</v>
      </c>
      <c r="B144" s="15" t="s">
        <v>18</v>
      </c>
      <c r="C144" s="15" t="s">
        <v>24</v>
      </c>
      <c r="D144" s="15" t="s">
        <v>13</v>
      </c>
      <c r="E144" s="59">
        <v>15</v>
      </c>
      <c r="F144" s="15">
        <v>11</v>
      </c>
      <c r="G144" s="15" t="s">
        <v>14</v>
      </c>
      <c r="H144" s="15" t="s">
        <v>61</v>
      </c>
      <c r="I144" s="15" t="s">
        <v>867</v>
      </c>
      <c r="J144" s="20">
        <v>97</v>
      </c>
    </row>
    <row r="145" spans="1:10" hidden="1" x14ac:dyDescent="0.3">
      <c r="A145" s="19" t="s">
        <v>868</v>
      </c>
      <c r="B145" s="15" t="s">
        <v>84</v>
      </c>
      <c r="C145" s="15" t="s">
        <v>30</v>
      </c>
      <c r="D145" s="15" t="s">
        <v>31</v>
      </c>
      <c r="E145" s="59">
        <v>15</v>
      </c>
      <c r="F145" s="15">
        <v>9</v>
      </c>
      <c r="G145" s="15" t="s">
        <v>43</v>
      </c>
      <c r="H145" s="15" t="s">
        <v>61</v>
      </c>
      <c r="I145" s="15" t="s">
        <v>151</v>
      </c>
      <c r="J145" s="20">
        <v>45</v>
      </c>
    </row>
    <row r="146" spans="1:10" x14ac:dyDescent="0.3">
      <c r="A146" s="19" t="s">
        <v>879</v>
      </c>
      <c r="B146" s="15" t="s">
        <v>18</v>
      </c>
      <c r="C146" s="15" t="s">
        <v>85</v>
      </c>
      <c r="D146" s="15" t="s">
        <v>13</v>
      </c>
      <c r="E146" s="59">
        <v>15</v>
      </c>
      <c r="F146" s="15">
        <v>11</v>
      </c>
      <c r="G146" s="15" t="s">
        <v>32</v>
      </c>
      <c r="H146" s="15" t="s">
        <v>37</v>
      </c>
      <c r="I146" s="15" t="s">
        <v>880</v>
      </c>
      <c r="J146" s="20">
        <v>86</v>
      </c>
    </row>
    <row r="147" spans="1:10" hidden="1" x14ac:dyDescent="0.3">
      <c r="A147" s="19" t="s">
        <v>896</v>
      </c>
      <c r="B147" s="15" t="s">
        <v>11</v>
      </c>
      <c r="C147" s="15" t="s">
        <v>36</v>
      </c>
      <c r="D147" s="15" t="s">
        <v>13</v>
      </c>
      <c r="E147" s="59">
        <v>15</v>
      </c>
      <c r="F147" s="15">
        <v>11</v>
      </c>
      <c r="G147" s="15" t="s">
        <v>14</v>
      </c>
      <c r="H147" s="15" t="s">
        <v>26</v>
      </c>
      <c r="I147" s="15" t="s">
        <v>897</v>
      </c>
      <c r="J147" s="20">
        <v>95</v>
      </c>
    </row>
    <row r="148" spans="1:10" hidden="1" x14ac:dyDescent="0.3">
      <c r="A148" s="19" t="s">
        <v>899</v>
      </c>
      <c r="B148" s="15" t="s">
        <v>11</v>
      </c>
      <c r="C148" s="15" t="s">
        <v>79</v>
      </c>
      <c r="D148" s="15" t="s">
        <v>13</v>
      </c>
      <c r="E148" s="59">
        <v>15</v>
      </c>
      <c r="F148" s="15">
        <v>10</v>
      </c>
      <c r="G148" s="15" t="s">
        <v>14</v>
      </c>
      <c r="H148" s="15" t="s">
        <v>37</v>
      </c>
      <c r="I148" s="15" t="s">
        <v>900</v>
      </c>
      <c r="J148" s="20">
        <v>88</v>
      </c>
    </row>
    <row r="149" spans="1:10" hidden="1" x14ac:dyDescent="0.3">
      <c r="A149" s="19" t="s">
        <v>929</v>
      </c>
      <c r="B149" s="15" t="s">
        <v>35</v>
      </c>
      <c r="C149" s="15" t="s">
        <v>30</v>
      </c>
      <c r="D149" s="15" t="s">
        <v>13</v>
      </c>
      <c r="E149" s="59">
        <v>15</v>
      </c>
      <c r="F149" s="15">
        <v>12</v>
      </c>
      <c r="G149" s="15" t="s">
        <v>32</v>
      </c>
      <c r="H149" s="15" t="s">
        <v>26</v>
      </c>
      <c r="I149" s="15" t="s">
        <v>262</v>
      </c>
      <c r="J149" s="20">
        <v>55</v>
      </c>
    </row>
    <row r="150" spans="1:10" hidden="1" x14ac:dyDescent="0.3">
      <c r="A150" s="19" t="s">
        <v>10</v>
      </c>
      <c r="B150" s="15" t="s">
        <v>11</v>
      </c>
      <c r="C150" s="15" t="s">
        <v>12</v>
      </c>
      <c r="D150" s="15" t="s">
        <v>13</v>
      </c>
      <c r="E150" s="59">
        <v>16</v>
      </c>
      <c r="F150" s="15">
        <v>10</v>
      </c>
      <c r="G150" s="15" t="s">
        <v>14</v>
      </c>
      <c r="H150" s="15" t="s">
        <v>15</v>
      </c>
      <c r="I150" s="15" t="s">
        <v>16</v>
      </c>
      <c r="J150" s="20">
        <v>37</v>
      </c>
    </row>
    <row r="151" spans="1:10" hidden="1" x14ac:dyDescent="0.3">
      <c r="A151" s="19" t="s">
        <v>63</v>
      </c>
      <c r="B151" s="15" t="s">
        <v>11</v>
      </c>
      <c r="C151" s="15" t="s">
        <v>55</v>
      </c>
      <c r="D151" s="15" t="s">
        <v>13</v>
      </c>
      <c r="E151" s="59">
        <v>16</v>
      </c>
      <c r="F151" s="15">
        <v>10</v>
      </c>
      <c r="G151" s="15" t="s">
        <v>25</v>
      </c>
      <c r="H151" s="15" t="s">
        <v>26</v>
      </c>
      <c r="I151" s="15" t="s">
        <v>64</v>
      </c>
      <c r="J151" s="20">
        <v>42</v>
      </c>
    </row>
    <row r="152" spans="1:10" hidden="1" x14ac:dyDescent="0.3">
      <c r="A152" s="19" t="s">
        <v>83</v>
      </c>
      <c r="B152" s="15" t="s">
        <v>84</v>
      </c>
      <c r="C152" s="15" t="s">
        <v>85</v>
      </c>
      <c r="D152" s="15" t="s">
        <v>31</v>
      </c>
      <c r="E152" s="59">
        <v>16</v>
      </c>
      <c r="F152" s="15">
        <v>9</v>
      </c>
      <c r="G152" s="15" t="s">
        <v>43</v>
      </c>
      <c r="H152" s="15" t="s">
        <v>37</v>
      </c>
      <c r="I152" s="15" t="s">
        <v>86</v>
      </c>
      <c r="J152" s="20">
        <v>52</v>
      </c>
    </row>
    <row r="153" spans="1:10" hidden="1" x14ac:dyDescent="0.3">
      <c r="A153" s="19" t="s">
        <v>89</v>
      </c>
      <c r="B153" s="15" t="s">
        <v>68</v>
      </c>
      <c r="C153" s="15" t="s">
        <v>85</v>
      </c>
      <c r="D153" s="15" t="s">
        <v>31</v>
      </c>
      <c r="E153" s="59">
        <v>16</v>
      </c>
      <c r="F153" s="15">
        <v>9</v>
      </c>
      <c r="G153" s="15" t="s">
        <v>43</v>
      </c>
      <c r="H153" s="15" t="s">
        <v>20</v>
      </c>
      <c r="I153" s="15" t="s">
        <v>90</v>
      </c>
      <c r="J153" s="20">
        <v>52</v>
      </c>
    </row>
    <row r="154" spans="1:10" hidden="1" x14ac:dyDescent="0.3">
      <c r="A154" s="19" t="s">
        <v>142</v>
      </c>
      <c r="B154" s="15" t="s">
        <v>29</v>
      </c>
      <c r="C154" s="15" t="s">
        <v>96</v>
      </c>
      <c r="D154" s="15" t="s">
        <v>31</v>
      </c>
      <c r="E154" s="59">
        <v>16</v>
      </c>
      <c r="F154" s="15">
        <v>12</v>
      </c>
      <c r="G154" s="15" t="s">
        <v>14</v>
      </c>
      <c r="H154" s="15" t="s">
        <v>37</v>
      </c>
      <c r="I154" s="15" t="s">
        <v>143</v>
      </c>
      <c r="J154" s="20">
        <v>85</v>
      </c>
    </row>
    <row r="155" spans="1:10" hidden="1" x14ac:dyDescent="0.3">
      <c r="A155" s="19" t="s">
        <v>158</v>
      </c>
      <c r="B155" s="15" t="s">
        <v>18</v>
      </c>
      <c r="C155" s="15" t="s">
        <v>19</v>
      </c>
      <c r="D155" s="15" t="s">
        <v>13</v>
      </c>
      <c r="E155" s="59">
        <v>16</v>
      </c>
      <c r="F155" s="15">
        <v>12</v>
      </c>
      <c r="G155" s="15" t="s">
        <v>43</v>
      </c>
      <c r="H155" s="15" t="s">
        <v>40</v>
      </c>
      <c r="I155" s="15" t="s">
        <v>159</v>
      </c>
      <c r="J155" s="20">
        <v>36</v>
      </c>
    </row>
    <row r="156" spans="1:10" hidden="1" x14ac:dyDescent="0.3">
      <c r="A156" s="19" t="s">
        <v>179</v>
      </c>
      <c r="B156" s="15" t="s">
        <v>29</v>
      </c>
      <c r="C156" s="15" t="s">
        <v>58</v>
      </c>
      <c r="D156" s="15" t="s">
        <v>31</v>
      </c>
      <c r="E156" s="59">
        <v>16</v>
      </c>
      <c r="F156" s="15">
        <v>11</v>
      </c>
      <c r="G156" s="15" t="s">
        <v>25</v>
      </c>
      <c r="H156" s="15" t="s">
        <v>26</v>
      </c>
      <c r="I156" s="15" t="s">
        <v>180</v>
      </c>
      <c r="J156" s="20">
        <v>75</v>
      </c>
    </row>
    <row r="157" spans="1:10" hidden="1" x14ac:dyDescent="0.3">
      <c r="A157" s="19" t="s">
        <v>211</v>
      </c>
      <c r="B157" s="15" t="s">
        <v>35</v>
      </c>
      <c r="C157" s="15" t="s">
        <v>19</v>
      </c>
      <c r="D157" s="15" t="s">
        <v>31</v>
      </c>
      <c r="E157" s="59">
        <v>16</v>
      </c>
      <c r="F157" s="15">
        <v>9</v>
      </c>
      <c r="G157" s="15" t="s">
        <v>14</v>
      </c>
      <c r="H157" s="15" t="s">
        <v>37</v>
      </c>
      <c r="I157" s="15" t="s">
        <v>212</v>
      </c>
      <c r="J157" s="20">
        <v>57</v>
      </c>
    </row>
    <row r="158" spans="1:10" hidden="1" x14ac:dyDescent="0.3">
      <c r="A158" s="19" t="s">
        <v>237</v>
      </c>
      <c r="B158" s="15" t="s">
        <v>23</v>
      </c>
      <c r="C158" s="15" t="s">
        <v>24</v>
      </c>
      <c r="D158" s="15" t="s">
        <v>31</v>
      </c>
      <c r="E158" s="59">
        <v>16</v>
      </c>
      <c r="F158" s="15">
        <v>10</v>
      </c>
      <c r="G158" s="15" t="s">
        <v>43</v>
      </c>
      <c r="H158" s="15" t="s">
        <v>20</v>
      </c>
      <c r="I158" s="15" t="s">
        <v>238</v>
      </c>
      <c r="J158" s="20">
        <v>71</v>
      </c>
    </row>
    <row r="159" spans="1:10" x14ac:dyDescent="0.3">
      <c r="A159" s="19" t="s">
        <v>249</v>
      </c>
      <c r="B159" s="15" t="s">
        <v>68</v>
      </c>
      <c r="C159" s="15" t="s">
        <v>30</v>
      </c>
      <c r="D159" s="15" t="s">
        <v>31</v>
      </c>
      <c r="E159" s="59">
        <v>16</v>
      </c>
      <c r="F159" s="15">
        <v>11</v>
      </c>
      <c r="G159" s="15" t="s">
        <v>32</v>
      </c>
      <c r="H159" s="15" t="s">
        <v>20</v>
      </c>
      <c r="I159" s="15" t="s">
        <v>250</v>
      </c>
      <c r="J159" s="20">
        <v>90</v>
      </c>
    </row>
    <row r="160" spans="1:10" x14ac:dyDescent="0.3">
      <c r="A160" s="19" t="s">
        <v>251</v>
      </c>
      <c r="B160" s="15" t="s">
        <v>23</v>
      </c>
      <c r="C160" s="15" t="s">
        <v>24</v>
      </c>
      <c r="D160" s="15" t="s">
        <v>13</v>
      </c>
      <c r="E160" s="59">
        <v>16</v>
      </c>
      <c r="F160" s="15">
        <v>12</v>
      </c>
      <c r="G160" s="15" t="s">
        <v>43</v>
      </c>
      <c r="H160" s="15" t="s">
        <v>40</v>
      </c>
      <c r="I160" s="15" t="s">
        <v>252</v>
      </c>
      <c r="J160" s="20">
        <v>50</v>
      </c>
    </row>
    <row r="161" spans="1:10" hidden="1" x14ac:dyDescent="0.3">
      <c r="A161" s="19" t="s">
        <v>268</v>
      </c>
      <c r="B161" s="15" t="s">
        <v>68</v>
      </c>
      <c r="C161" s="15" t="s">
        <v>24</v>
      </c>
      <c r="D161" s="15" t="s">
        <v>31</v>
      </c>
      <c r="E161" s="59">
        <v>16</v>
      </c>
      <c r="F161" s="15">
        <v>12</v>
      </c>
      <c r="G161" s="15" t="s">
        <v>43</v>
      </c>
      <c r="H161" s="15" t="s">
        <v>26</v>
      </c>
      <c r="I161" s="15" t="s">
        <v>269</v>
      </c>
      <c r="J161" s="20">
        <v>47</v>
      </c>
    </row>
    <row r="162" spans="1:10" hidden="1" x14ac:dyDescent="0.3">
      <c r="A162" s="19" t="s">
        <v>283</v>
      </c>
      <c r="B162" s="15" t="s">
        <v>68</v>
      </c>
      <c r="C162" s="15" t="s">
        <v>79</v>
      </c>
      <c r="D162" s="15" t="s">
        <v>31</v>
      </c>
      <c r="E162" s="59">
        <v>16</v>
      </c>
      <c r="F162" s="15">
        <v>11</v>
      </c>
      <c r="G162" s="15" t="s">
        <v>32</v>
      </c>
      <c r="H162" s="15" t="s">
        <v>40</v>
      </c>
      <c r="I162" s="15" t="s">
        <v>284</v>
      </c>
      <c r="J162" s="20">
        <v>95</v>
      </c>
    </row>
    <row r="163" spans="1:10" hidden="1" x14ac:dyDescent="0.3">
      <c r="A163" s="19" t="s">
        <v>291</v>
      </c>
      <c r="B163" s="15" t="s">
        <v>11</v>
      </c>
      <c r="C163" s="15" t="s">
        <v>30</v>
      </c>
      <c r="D163" s="15" t="s">
        <v>31</v>
      </c>
      <c r="E163" s="59">
        <v>16</v>
      </c>
      <c r="F163" s="15">
        <v>9</v>
      </c>
      <c r="G163" s="15" t="s">
        <v>25</v>
      </c>
      <c r="H163" s="15" t="s">
        <v>61</v>
      </c>
      <c r="I163" s="15" t="s">
        <v>292</v>
      </c>
      <c r="J163" s="20">
        <v>97</v>
      </c>
    </row>
    <row r="164" spans="1:10" hidden="1" x14ac:dyDescent="0.3">
      <c r="A164" s="19" t="s">
        <v>306</v>
      </c>
      <c r="B164" s="15" t="s">
        <v>23</v>
      </c>
      <c r="C164" s="15" t="s">
        <v>19</v>
      </c>
      <c r="D164" s="15" t="s">
        <v>31</v>
      </c>
      <c r="E164" s="59">
        <v>16</v>
      </c>
      <c r="F164" s="15">
        <v>10</v>
      </c>
      <c r="G164" s="15" t="s">
        <v>43</v>
      </c>
      <c r="H164" s="15" t="s">
        <v>61</v>
      </c>
      <c r="I164" s="15" t="s">
        <v>307</v>
      </c>
      <c r="J164" s="20">
        <v>47</v>
      </c>
    </row>
    <row r="165" spans="1:10" hidden="1" x14ac:dyDescent="0.3">
      <c r="A165" s="19" t="s">
        <v>310</v>
      </c>
      <c r="B165" s="15" t="s">
        <v>29</v>
      </c>
      <c r="C165" s="15" t="s">
        <v>96</v>
      </c>
      <c r="D165" s="15" t="s">
        <v>31</v>
      </c>
      <c r="E165" s="59">
        <v>16</v>
      </c>
      <c r="F165" s="15">
        <v>9</v>
      </c>
      <c r="G165" s="15" t="s">
        <v>32</v>
      </c>
      <c r="H165" s="15" t="s">
        <v>46</v>
      </c>
      <c r="I165" s="15" t="s">
        <v>311</v>
      </c>
      <c r="J165" s="20">
        <v>67</v>
      </c>
    </row>
    <row r="166" spans="1:10" hidden="1" x14ac:dyDescent="0.3">
      <c r="A166" s="19" t="s">
        <v>320</v>
      </c>
      <c r="B166" s="15" t="s">
        <v>84</v>
      </c>
      <c r="C166" s="15" t="s">
        <v>55</v>
      </c>
      <c r="D166" s="15" t="s">
        <v>31</v>
      </c>
      <c r="E166" s="59">
        <v>16</v>
      </c>
      <c r="F166" s="15">
        <v>12</v>
      </c>
      <c r="G166" s="15" t="s">
        <v>32</v>
      </c>
      <c r="H166" s="15" t="s">
        <v>76</v>
      </c>
      <c r="I166" s="15" t="s">
        <v>321</v>
      </c>
      <c r="J166" s="20">
        <v>66</v>
      </c>
    </row>
    <row r="167" spans="1:10" hidden="1" x14ac:dyDescent="0.3">
      <c r="A167" s="19" t="s">
        <v>324</v>
      </c>
      <c r="B167" s="15" t="s">
        <v>23</v>
      </c>
      <c r="C167" s="15" t="s">
        <v>85</v>
      </c>
      <c r="D167" s="15" t="s">
        <v>31</v>
      </c>
      <c r="E167" s="59">
        <v>16</v>
      </c>
      <c r="F167" s="15">
        <v>9</v>
      </c>
      <c r="G167" s="15" t="s">
        <v>32</v>
      </c>
      <c r="H167" s="15" t="s">
        <v>61</v>
      </c>
      <c r="I167" s="15" t="s">
        <v>325</v>
      </c>
      <c r="J167" s="20">
        <v>54</v>
      </c>
    </row>
    <row r="168" spans="1:10" hidden="1" x14ac:dyDescent="0.3">
      <c r="A168" s="19" t="s">
        <v>332</v>
      </c>
      <c r="B168" s="15" t="s">
        <v>29</v>
      </c>
      <c r="C168" s="15" t="s">
        <v>12</v>
      </c>
      <c r="D168" s="15" t="s">
        <v>31</v>
      </c>
      <c r="E168" s="59">
        <v>16</v>
      </c>
      <c r="F168" s="15">
        <v>11</v>
      </c>
      <c r="G168" s="15" t="s">
        <v>32</v>
      </c>
      <c r="H168" s="15" t="s">
        <v>76</v>
      </c>
      <c r="I168" s="15" t="s">
        <v>333</v>
      </c>
      <c r="J168" s="20">
        <v>42</v>
      </c>
    </row>
    <row r="169" spans="1:10" hidden="1" x14ac:dyDescent="0.3">
      <c r="A169" s="19" t="s">
        <v>357</v>
      </c>
      <c r="B169" s="15" t="s">
        <v>23</v>
      </c>
      <c r="C169" s="15" t="s">
        <v>24</v>
      </c>
      <c r="D169" s="15" t="s">
        <v>13</v>
      </c>
      <c r="E169" s="59">
        <v>16</v>
      </c>
      <c r="F169" s="15">
        <v>9</v>
      </c>
      <c r="G169" s="15" t="s">
        <v>25</v>
      </c>
      <c r="H169" s="15" t="s">
        <v>20</v>
      </c>
      <c r="I169" s="15" t="s">
        <v>358</v>
      </c>
      <c r="J169" s="20">
        <v>66</v>
      </c>
    </row>
    <row r="170" spans="1:10" hidden="1" x14ac:dyDescent="0.3">
      <c r="A170" s="19" t="s">
        <v>365</v>
      </c>
      <c r="B170" s="15" t="s">
        <v>11</v>
      </c>
      <c r="C170" s="15" t="s">
        <v>55</v>
      </c>
      <c r="D170" s="15" t="s">
        <v>13</v>
      </c>
      <c r="E170" s="59">
        <v>16</v>
      </c>
      <c r="F170" s="15">
        <v>10</v>
      </c>
      <c r="G170" s="15" t="s">
        <v>32</v>
      </c>
      <c r="H170" s="15" t="s">
        <v>15</v>
      </c>
      <c r="I170" s="15" t="s">
        <v>366</v>
      </c>
      <c r="J170" s="20">
        <v>72</v>
      </c>
    </row>
    <row r="171" spans="1:10" hidden="1" x14ac:dyDescent="0.3">
      <c r="A171" s="19" t="s">
        <v>382</v>
      </c>
      <c r="B171" s="15" t="s">
        <v>51</v>
      </c>
      <c r="C171" s="15" t="s">
        <v>85</v>
      </c>
      <c r="D171" s="15" t="s">
        <v>13</v>
      </c>
      <c r="E171" s="59">
        <v>16</v>
      </c>
      <c r="F171" s="15">
        <v>10</v>
      </c>
      <c r="G171" s="15" t="s">
        <v>43</v>
      </c>
      <c r="H171" s="15" t="s">
        <v>61</v>
      </c>
      <c r="I171" s="15" t="s">
        <v>383</v>
      </c>
      <c r="J171" s="20">
        <v>72</v>
      </c>
    </row>
    <row r="172" spans="1:10" hidden="1" x14ac:dyDescent="0.3">
      <c r="A172" s="19" t="s">
        <v>384</v>
      </c>
      <c r="B172" s="15" t="s">
        <v>54</v>
      </c>
      <c r="C172" s="15" t="s">
        <v>19</v>
      </c>
      <c r="D172" s="15" t="s">
        <v>31</v>
      </c>
      <c r="E172" s="59">
        <v>16</v>
      </c>
      <c r="F172" s="15">
        <v>12</v>
      </c>
      <c r="G172" s="15" t="s">
        <v>25</v>
      </c>
      <c r="H172" s="15" t="s">
        <v>20</v>
      </c>
      <c r="I172" s="15" t="s">
        <v>385</v>
      </c>
      <c r="J172" s="20">
        <v>39</v>
      </c>
    </row>
    <row r="173" spans="1:10" hidden="1" x14ac:dyDescent="0.3">
      <c r="A173" s="19" t="s">
        <v>407</v>
      </c>
      <c r="B173" s="15" t="s">
        <v>29</v>
      </c>
      <c r="C173" s="15" t="s">
        <v>12</v>
      </c>
      <c r="D173" s="15" t="s">
        <v>31</v>
      </c>
      <c r="E173" s="59">
        <v>16</v>
      </c>
      <c r="F173" s="15">
        <v>10</v>
      </c>
      <c r="G173" s="15" t="s">
        <v>14</v>
      </c>
      <c r="H173" s="15" t="s">
        <v>40</v>
      </c>
      <c r="I173" s="15" t="s">
        <v>71</v>
      </c>
      <c r="J173" s="20">
        <v>100</v>
      </c>
    </row>
    <row r="174" spans="1:10" hidden="1" x14ac:dyDescent="0.3">
      <c r="A174" s="19" t="s">
        <v>412</v>
      </c>
      <c r="B174" s="15" t="s">
        <v>73</v>
      </c>
      <c r="C174" s="15" t="s">
        <v>55</v>
      </c>
      <c r="D174" s="15" t="s">
        <v>13</v>
      </c>
      <c r="E174" s="59">
        <v>16</v>
      </c>
      <c r="F174" s="15">
        <v>12</v>
      </c>
      <c r="G174" s="15" t="s">
        <v>32</v>
      </c>
      <c r="H174" s="15" t="s">
        <v>46</v>
      </c>
      <c r="I174" s="15" t="s">
        <v>413</v>
      </c>
      <c r="J174" s="20">
        <v>85</v>
      </c>
    </row>
    <row r="175" spans="1:10" hidden="1" x14ac:dyDescent="0.3">
      <c r="A175" s="19" t="s">
        <v>414</v>
      </c>
      <c r="B175" s="15" t="s">
        <v>11</v>
      </c>
      <c r="C175" s="15" t="s">
        <v>55</v>
      </c>
      <c r="D175" s="15" t="s">
        <v>13</v>
      </c>
      <c r="E175" s="59">
        <v>16</v>
      </c>
      <c r="F175" s="15">
        <v>12</v>
      </c>
      <c r="G175" s="15" t="s">
        <v>32</v>
      </c>
      <c r="H175" s="15" t="s">
        <v>37</v>
      </c>
      <c r="I175" s="15" t="s">
        <v>415</v>
      </c>
      <c r="J175" s="20">
        <v>47</v>
      </c>
    </row>
    <row r="176" spans="1:10" x14ac:dyDescent="0.3">
      <c r="A176" s="19" t="s">
        <v>420</v>
      </c>
      <c r="B176" s="15" t="s">
        <v>73</v>
      </c>
      <c r="C176" s="15" t="s">
        <v>85</v>
      </c>
      <c r="D176" s="15" t="s">
        <v>13</v>
      </c>
      <c r="E176" s="59">
        <v>16</v>
      </c>
      <c r="F176" s="15">
        <v>11</v>
      </c>
      <c r="G176" s="15" t="s">
        <v>43</v>
      </c>
      <c r="H176" s="15" t="s">
        <v>46</v>
      </c>
      <c r="I176" s="15" t="s">
        <v>421</v>
      </c>
      <c r="J176" s="20">
        <v>55</v>
      </c>
    </row>
    <row r="177" spans="1:10" hidden="1" x14ac:dyDescent="0.3">
      <c r="A177" s="19" t="s">
        <v>424</v>
      </c>
      <c r="B177" s="15" t="s">
        <v>29</v>
      </c>
      <c r="C177" s="15" t="s">
        <v>36</v>
      </c>
      <c r="D177" s="15" t="s">
        <v>31</v>
      </c>
      <c r="E177" s="59">
        <v>16</v>
      </c>
      <c r="F177" s="15">
        <v>12</v>
      </c>
      <c r="G177" s="15" t="s">
        <v>32</v>
      </c>
      <c r="H177" s="15" t="s">
        <v>37</v>
      </c>
      <c r="I177" s="15" t="s">
        <v>180</v>
      </c>
      <c r="J177" s="20">
        <v>89</v>
      </c>
    </row>
    <row r="178" spans="1:10" hidden="1" x14ac:dyDescent="0.3">
      <c r="A178" s="19" t="s">
        <v>426</v>
      </c>
      <c r="B178" s="15" t="s">
        <v>54</v>
      </c>
      <c r="C178" s="15" t="s">
        <v>96</v>
      </c>
      <c r="D178" s="15" t="s">
        <v>31</v>
      </c>
      <c r="E178" s="59">
        <v>16</v>
      </c>
      <c r="F178" s="15">
        <v>12</v>
      </c>
      <c r="G178" s="15" t="s">
        <v>25</v>
      </c>
      <c r="H178" s="15" t="s">
        <v>20</v>
      </c>
      <c r="I178" s="15" t="s">
        <v>427</v>
      </c>
      <c r="J178" s="20">
        <v>82</v>
      </c>
    </row>
    <row r="179" spans="1:10" hidden="1" x14ac:dyDescent="0.3">
      <c r="A179" s="19" t="s">
        <v>428</v>
      </c>
      <c r="B179" s="15" t="s">
        <v>54</v>
      </c>
      <c r="C179" s="15" t="s">
        <v>55</v>
      </c>
      <c r="D179" s="15" t="s">
        <v>13</v>
      </c>
      <c r="E179" s="59">
        <v>16</v>
      </c>
      <c r="F179" s="15">
        <v>11</v>
      </c>
      <c r="G179" s="15" t="s">
        <v>25</v>
      </c>
      <c r="H179" s="15" t="s">
        <v>15</v>
      </c>
      <c r="I179" s="15" t="s">
        <v>429</v>
      </c>
      <c r="J179" s="20">
        <v>86</v>
      </c>
    </row>
    <row r="180" spans="1:10" hidden="1" x14ac:dyDescent="0.3">
      <c r="A180" s="19" t="s">
        <v>454</v>
      </c>
      <c r="B180" s="15" t="s">
        <v>29</v>
      </c>
      <c r="C180" s="15" t="s">
        <v>12</v>
      </c>
      <c r="D180" s="15" t="s">
        <v>31</v>
      </c>
      <c r="E180" s="59">
        <v>16</v>
      </c>
      <c r="F180" s="15">
        <v>11</v>
      </c>
      <c r="G180" s="15" t="s">
        <v>43</v>
      </c>
      <c r="H180" s="15" t="s">
        <v>61</v>
      </c>
      <c r="I180" s="15" t="s">
        <v>385</v>
      </c>
      <c r="J180" s="20">
        <v>40</v>
      </c>
    </row>
    <row r="181" spans="1:10" hidden="1" x14ac:dyDescent="0.3">
      <c r="A181" s="19" t="s">
        <v>455</v>
      </c>
      <c r="B181" s="15" t="s">
        <v>29</v>
      </c>
      <c r="C181" s="15" t="s">
        <v>30</v>
      </c>
      <c r="D181" s="15" t="s">
        <v>13</v>
      </c>
      <c r="E181" s="59">
        <v>16</v>
      </c>
      <c r="F181" s="15">
        <v>9</v>
      </c>
      <c r="G181" s="15" t="s">
        <v>14</v>
      </c>
      <c r="H181" s="15" t="s">
        <v>61</v>
      </c>
      <c r="I181" s="15" t="s">
        <v>447</v>
      </c>
      <c r="J181" s="20">
        <v>60</v>
      </c>
    </row>
    <row r="182" spans="1:10" hidden="1" x14ac:dyDescent="0.3">
      <c r="A182" s="19" t="s">
        <v>460</v>
      </c>
      <c r="B182" s="15" t="s">
        <v>51</v>
      </c>
      <c r="C182" s="15" t="s">
        <v>96</v>
      </c>
      <c r="D182" s="15" t="s">
        <v>31</v>
      </c>
      <c r="E182" s="59">
        <v>16</v>
      </c>
      <c r="F182" s="15">
        <v>12</v>
      </c>
      <c r="G182" s="15" t="s">
        <v>43</v>
      </c>
      <c r="H182" s="15" t="s">
        <v>15</v>
      </c>
      <c r="I182" s="15" t="s">
        <v>461</v>
      </c>
      <c r="J182" s="20">
        <v>65</v>
      </c>
    </row>
    <row r="183" spans="1:10" hidden="1" x14ac:dyDescent="0.3">
      <c r="A183" s="19" t="s">
        <v>464</v>
      </c>
      <c r="B183" s="15" t="s">
        <v>11</v>
      </c>
      <c r="C183" s="15" t="s">
        <v>36</v>
      </c>
      <c r="D183" s="15" t="s">
        <v>13</v>
      </c>
      <c r="E183" s="59">
        <v>16</v>
      </c>
      <c r="F183" s="15">
        <v>11</v>
      </c>
      <c r="G183" s="15" t="s">
        <v>25</v>
      </c>
      <c r="H183" s="15" t="s">
        <v>40</v>
      </c>
      <c r="I183" s="15" t="s">
        <v>465</v>
      </c>
      <c r="J183" s="20">
        <v>79</v>
      </c>
    </row>
    <row r="184" spans="1:10" hidden="1" x14ac:dyDescent="0.3">
      <c r="A184" s="19" t="s">
        <v>470</v>
      </c>
      <c r="B184" s="15" t="s">
        <v>35</v>
      </c>
      <c r="C184" s="15" t="s">
        <v>96</v>
      </c>
      <c r="D184" s="15" t="s">
        <v>31</v>
      </c>
      <c r="E184" s="59">
        <v>16</v>
      </c>
      <c r="F184" s="15">
        <v>11</v>
      </c>
      <c r="G184" s="15" t="s">
        <v>32</v>
      </c>
      <c r="H184" s="15" t="s">
        <v>61</v>
      </c>
      <c r="I184" s="15" t="s">
        <v>471</v>
      </c>
      <c r="J184" s="20">
        <v>65</v>
      </c>
    </row>
    <row r="185" spans="1:10" hidden="1" x14ac:dyDescent="0.3">
      <c r="A185" s="19" t="s">
        <v>473</v>
      </c>
      <c r="B185" s="15" t="s">
        <v>18</v>
      </c>
      <c r="C185" s="15" t="s">
        <v>19</v>
      </c>
      <c r="D185" s="15" t="s">
        <v>31</v>
      </c>
      <c r="E185" s="59">
        <v>16</v>
      </c>
      <c r="F185" s="15">
        <v>11</v>
      </c>
      <c r="G185" s="15" t="s">
        <v>14</v>
      </c>
      <c r="H185" s="15" t="s">
        <v>61</v>
      </c>
      <c r="I185" s="15" t="s">
        <v>474</v>
      </c>
      <c r="J185" s="20">
        <v>75</v>
      </c>
    </row>
    <row r="186" spans="1:10" hidden="1" x14ac:dyDescent="0.3">
      <c r="A186" s="19" t="s">
        <v>485</v>
      </c>
      <c r="B186" s="15" t="s">
        <v>18</v>
      </c>
      <c r="C186" s="15" t="s">
        <v>12</v>
      </c>
      <c r="D186" s="15" t="s">
        <v>31</v>
      </c>
      <c r="E186" s="59">
        <v>16</v>
      </c>
      <c r="F186" s="15">
        <v>12</v>
      </c>
      <c r="G186" s="15" t="s">
        <v>14</v>
      </c>
      <c r="H186" s="15" t="s">
        <v>76</v>
      </c>
      <c r="I186" s="15" t="s">
        <v>486</v>
      </c>
      <c r="J186" s="20">
        <v>70</v>
      </c>
    </row>
    <row r="187" spans="1:10" hidden="1" x14ac:dyDescent="0.3">
      <c r="A187" s="19" t="s">
        <v>487</v>
      </c>
      <c r="B187" s="15" t="s">
        <v>18</v>
      </c>
      <c r="C187" s="15" t="s">
        <v>79</v>
      </c>
      <c r="D187" s="15" t="s">
        <v>13</v>
      </c>
      <c r="E187" s="59">
        <v>16</v>
      </c>
      <c r="F187" s="15">
        <v>11</v>
      </c>
      <c r="G187" s="15" t="s">
        <v>43</v>
      </c>
      <c r="H187" s="15" t="s">
        <v>61</v>
      </c>
      <c r="I187" s="15" t="s">
        <v>488</v>
      </c>
      <c r="J187" s="20">
        <v>86</v>
      </c>
    </row>
    <row r="188" spans="1:10" hidden="1" x14ac:dyDescent="0.3">
      <c r="A188" s="19" t="s">
        <v>497</v>
      </c>
      <c r="B188" s="15" t="s">
        <v>51</v>
      </c>
      <c r="C188" s="15" t="s">
        <v>96</v>
      </c>
      <c r="D188" s="15" t="s">
        <v>13</v>
      </c>
      <c r="E188" s="59">
        <v>16</v>
      </c>
      <c r="F188" s="15">
        <v>9</v>
      </c>
      <c r="G188" s="15" t="s">
        <v>25</v>
      </c>
      <c r="H188" s="15" t="s">
        <v>26</v>
      </c>
      <c r="I188" s="15" t="s">
        <v>498</v>
      </c>
      <c r="J188" s="20">
        <v>42</v>
      </c>
    </row>
    <row r="189" spans="1:10" hidden="1" x14ac:dyDescent="0.3">
      <c r="A189" s="19" t="s">
        <v>507</v>
      </c>
      <c r="B189" s="15" t="s">
        <v>54</v>
      </c>
      <c r="C189" s="15" t="s">
        <v>12</v>
      </c>
      <c r="D189" s="15" t="s">
        <v>31</v>
      </c>
      <c r="E189" s="59">
        <v>16</v>
      </c>
      <c r="F189" s="15">
        <v>12</v>
      </c>
      <c r="G189" s="15" t="s">
        <v>43</v>
      </c>
      <c r="H189" s="15" t="s">
        <v>61</v>
      </c>
      <c r="I189" s="15" t="s">
        <v>483</v>
      </c>
      <c r="J189" s="20">
        <v>45</v>
      </c>
    </row>
    <row r="190" spans="1:10" hidden="1" x14ac:dyDescent="0.3">
      <c r="A190" s="19" t="s">
        <v>537</v>
      </c>
      <c r="B190" s="15" t="s">
        <v>68</v>
      </c>
      <c r="C190" s="15" t="s">
        <v>36</v>
      </c>
      <c r="D190" s="15" t="s">
        <v>31</v>
      </c>
      <c r="E190" s="59">
        <v>16</v>
      </c>
      <c r="F190" s="15">
        <v>12</v>
      </c>
      <c r="G190" s="15" t="s">
        <v>25</v>
      </c>
      <c r="H190" s="15" t="s">
        <v>26</v>
      </c>
      <c r="I190" s="15" t="s">
        <v>538</v>
      </c>
      <c r="J190" s="20">
        <v>42</v>
      </c>
    </row>
    <row r="191" spans="1:10" hidden="1" x14ac:dyDescent="0.3">
      <c r="A191" s="19" t="s">
        <v>544</v>
      </c>
      <c r="B191" s="15" t="s">
        <v>68</v>
      </c>
      <c r="C191" s="15" t="s">
        <v>19</v>
      </c>
      <c r="D191" s="15" t="s">
        <v>31</v>
      </c>
      <c r="E191" s="59">
        <v>16</v>
      </c>
      <c r="F191" s="15">
        <v>9</v>
      </c>
      <c r="G191" s="15" t="s">
        <v>14</v>
      </c>
      <c r="H191" s="15" t="s">
        <v>40</v>
      </c>
      <c r="I191" s="15" t="s">
        <v>545</v>
      </c>
      <c r="J191" s="20">
        <v>37</v>
      </c>
    </row>
    <row r="192" spans="1:10" hidden="1" x14ac:dyDescent="0.3">
      <c r="A192" s="19" t="s">
        <v>555</v>
      </c>
      <c r="B192" s="15" t="s">
        <v>73</v>
      </c>
      <c r="C192" s="15" t="s">
        <v>55</v>
      </c>
      <c r="D192" s="15" t="s">
        <v>31</v>
      </c>
      <c r="E192" s="59">
        <v>16</v>
      </c>
      <c r="F192" s="15">
        <v>9</v>
      </c>
      <c r="G192" s="15" t="s">
        <v>14</v>
      </c>
      <c r="H192" s="15" t="s">
        <v>76</v>
      </c>
      <c r="I192" s="15" t="s">
        <v>556</v>
      </c>
      <c r="J192" s="20">
        <v>93</v>
      </c>
    </row>
    <row r="193" spans="1:10" hidden="1" x14ac:dyDescent="0.3">
      <c r="A193" s="19" t="s">
        <v>571</v>
      </c>
      <c r="B193" s="15" t="s">
        <v>68</v>
      </c>
      <c r="C193" s="15" t="s">
        <v>12</v>
      </c>
      <c r="D193" s="15" t="s">
        <v>13</v>
      </c>
      <c r="E193" s="59">
        <v>16</v>
      </c>
      <c r="F193" s="15">
        <v>10</v>
      </c>
      <c r="G193" s="15" t="s">
        <v>25</v>
      </c>
      <c r="H193" s="15" t="s">
        <v>26</v>
      </c>
      <c r="I193" s="15" t="s">
        <v>434</v>
      </c>
      <c r="J193" s="20">
        <v>63</v>
      </c>
    </row>
    <row r="194" spans="1:10" hidden="1" x14ac:dyDescent="0.3">
      <c r="A194" s="19" t="s">
        <v>584</v>
      </c>
      <c r="B194" s="15" t="s">
        <v>68</v>
      </c>
      <c r="C194" s="15" t="s">
        <v>55</v>
      </c>
      <c r="D194" s="15" t="s">
        <v>31</v>
      </c>
      <c r="E194" s="59">
        <v>16</v>
      </c>
      <c r="F194" s="15">
        <v>9</v>
      </c>
      <c r="G194" s="15" t="s">
        <v>14</v>
      </c>
      <c r="H194" s="15" t="s">
        <v>61</v>
      </c>
      <c r="I194" s="15" t="s">
        <v>585</v>
      </c>
      <c r="J194" s="20">
        <v>59</v>
      </c>
    </row>
    <row r="195" spans="1:10" hidden="1" x14ac:dyDescent="0.3">
      <c r="A195" s="19" t="s">
        <v>627</v>
      </c>
      <c r="B195" s="15" t="s">
        <v>35</v>
      </c>
      <c r="C195" s="15" t="s">
        <v>85</v>
      </c>
      <c r="D195" s="15" t="s">
        <v>31</v>
      </c>
      <c r="E195" s="59">
        <v>16</v>
      </c>
      <c r="F195" s="15">
        <v>9</v>
      </c>
      <c r="G195" s="15" t="s">
        <v>43</v>
      </c>
      <c r="H195" s="15" t="s">
        <v>20</v>
      </c>
      <c r="I195" s="15" t="s">
        <v>628</v>
      </c>
      <c r="J195" s="20">
        <v>84</v>
      </c>
    </row>
    <row r="196" spans="1:10" hidden="1" x14ac:dyDescent="0.3">
      <c r="A196" s="19" t="s">
        <v>644</v>
      </c>
      <c r="B196" s="15" t="s">
        <v>51</v>
      </c>
      <c r="C196" s="15" t="s">
        <v>36</v>
      </c>
      <c r="D196" s="15" t="s">
        <v>31</v>
      </c>
      <c r="E196" s="59">
        <v>16</v>
      </c>
      <c r="F196" s="15">
        <v>11</v>
      </c>
      <c r="G196" s="15" t="s">
        <v>43</v>
      </c>
      <c r="H196" s="15" t="s">
        <v>20</v>
      </c>
      <c r="I196" s="15" t="s">
        <v>645</v>
      </c>
      <c r="J196" s="20">
        <v>81</v>
      </c>
    </row>
    <row r="197" spans="1:10" hidden="1" x14ac:dyDescent="0.3">
      <c r="A197" s="19" t="s">
        <v>652</v>
      </c>
      <c r="B197" s="15" t="s">
        <v>51</v>
      </c>
      <c r="C197" s="15" t="s">
        <v>55</v>
      </c>
      <c r="D197" s="15" t="s">
        <v>13</v>
      </c>
      <c r="E197" s="59">
        <v>16</v>
      </c>
      <c r="F197" s="15">
        <v>12</v>
      </c>
      <c r="G197" s="15" t="s">
        <v>32</v>
      </c>
      <c r="H197" s="15" t="s">
        <v>61</v>
      </c>
      <c r="I197" s="15" t="s">
        <v>653</v>
      </c>
      <c r="J197" s="20">
        <v>45</v>
      </c>
    </row>
    <row r="198" spans="1:10" hidden="1" x14ac:dyDescent="0.3">
      <c r="A198" s="19" t="s">
        <v>660</v>
      </c>
      <c r="B198" s="15" t="s">
        <v>23</v>
      </c>
      <c r="C198" s="15" t="s">
        <v>12</v>
      </c>
      <c r="D198" s="15" t="s">
        <v>13</v>
      </c>
      <c r="E198" s="59">
        <v>16</v>
      </c>
      <c r="F198" s="15">
        <v>11</v>
      </c>
      <c r="G198" s="15" t="s">
        <v>25</v>
      </c>
      <c r="H198" s="15" t="s">
        <v>40</v>
      </c>
      <c r="I198" s="15" t="s">
        <v>41</v>
      </c>
      <c r="J198" s="20">
        <v>86</v>
      </c>
    </row>
    <row r="199" spans="1:10" hidden="1" x14ac:dyDescent="0.3">
      <c r="A199" s="19" t="s">
        <v>683</v>
      </c>
      <c r="B199" s="15" t="s">
        <v>84</v>
      </c>
      <c r="C199" s="15" t="s">
        <v>55</v>
      </c>
      <c r="D199" s="15" t="s">
        <v>31</v>
      </c>
      <c r="E199" s="59">
        <v>16</v>
      </c>
      <c r="F199" s="15">
        <v>12</v>
      </c>
      <c r="G199" s="15" t="s">
        <v>14</v>
      </c>
      <c r="H199" s="15" t="s">
        <v>76</v>
      </c>
      <c r="I199" s="15" t="s">
        <v>125</v>
      </c>
      <c r="J199" s="20">
        <v>60</v>
      </c>
    </row>
    <row r="200" spans="1:10" hidden="1" x14ac:dyDescent="0.3">
      <c r="A200" s="19" t="s">
        <v>686</v>
      </c>
      <c r="B200" s="15" t="s">
        <v>23</v>
      </c>
      <c r="C200" s="15" t="s">
        <v>96</v>
      </c>
      <c r="D200" s="15" t="s">
        <v>31</v>
      </c>
      <c r="E200" s="59">
        <v>16</v>
      </c>
      <c r="F200" s="15">
        <v>9</v>
      </c>
      <c r="G200" s="15" t="s">
        <v>25</v>
      </c>
      <c r="H200" s="15" t="s">
        <v>20</v>
      </c>
      <c r="I200" s="15" t="s">
        <v>277</v>
      </c>
      <c r="J200" s="20">
        <v>71</v>
      </c>
    </row>
    <row r="201" spans="1:10" hidden="1" x14ac:dyDescent="0.3">
      <c r="A201" s="19" t="s">
        <v>687</v>
      </c>
      <c r="B201" s="15" t="s">
        <v>84</v>
      </c>
      <c r="C201" s="15" t="s">
        <v>19</v>
      </c>
      <c r="D201" s="15" t="s">
        <v>13</v>
      </c>
      <c r="E201" s="59">
        <v>16</v>
      </c>
      <c r="F201" s="15">
        <v>10</v>
      </c>
      <c r="G201" s="15" t="s">
        <v>25</v>
      </c>
      <c r="H201" s="15" t="s">
        <v>46</v>
      </c>
      <c r="I201" s="15" t="s">
        <v>564</v>
      </c>
      <c r="J201" s="20">
        <v>52</v>
      </c>
    </row>
    <row r="202" spans="1:10" hidden="1" x14ac:dyDescent="0.3">
      <c r="A202" s="19" t="s">
        <v>691</v>
      </c>
      <c r="B202" s="15" t="s">
        <v>84</v>
      </c>
      <c r="C202" s="15" t="s">
        <v>55</v>
      </c>
      <c r="D202" s="15" t="s">
        <v>13</v>
      </c>
      <c r="E202" s="59">
        <v>16</v>
      </c>
      <c r="F202" s="15">
        <v>10</v>
      </c>
      <c r="G202" s="15" t="s">
        <v>43</v>
      </c>
      <c r="H202" s="15" t="s">
        <v>46</v>
      </c>
      <c r="I202" s="15" t="s">
        <v>692</v>
      </c>
      <c r="J202" s="20">
        <v>91</v>
      </c>
    </row>
    <row r="203" spans="1:10" hidden="1" x14ac:dyDescent="0.3">
      <c r="A203" s="19" t="s">
        <v>693</v>
      </c>
      <c r="B203" s="15" t="s">
        <v>73</v>
      </c>
      <c r="C203" s="15" t="s">
        <v>58</v>
      </c>
      <c r="D203" s="15" t="s">
        <v>31</v>
      </c>
      <c r="E203" s="59">
        <v>16</v>
      </c>
      <c r="F203" s="15">
        <v>11</v>
      </c>
      <c r="G203" s="15" t="s">
        <v>25</v>
      </c>
      <c r="H203" s="15" t="s">
        <v>37</v>
      </c>
      <c r="I203" s="15" t="s">
        <v>694</v>
      </c>
      <c r="J203" s="20">
        <v>65</v>
      </c>
    </row>
    <row r="204" spans="1:10" hidden="1" x14ac:dyDescent="0.3">
      <c r="A204" s="19" t="s">
        <v>699</v>
      </c>
      <c r="B204" s="15" t="s">
        <v>11</v>
      </c>
      <c r="C204" s="15" t="s">
        <v>30</v>
      </c>
      <c r="D204" s="15" t="s">
        <v>31</v>
      </c>
      <c r="E204" s="59">
        <v>16</v>
      </c>
      <c r="F204" s="15">
        <v>11</v>
      </c>
      <c r="G204" s="15" t="s">
        <v>43</v>
      </c>
      <c r="H204" s="15" t="s">
        <v>40</v>
      </c>
      <c r="I204" s="15" t="s">
        <v>97</v>
      </c>
      <c r="J204" s="20">
        <v>72</v>
      </c>
    </row>
    <row r="205" spans="1:10" x14ac:dyDescent="0.3">
      <c r="A205" s="19" t="s">
        <v>713</v>
      </c>
      <c r="B205" s="15" t="s">
        <v>29</v>
      </c>
      <c r="C205" s="15" t="s">
        <v>24</v>
      </c>
      <c r="D205" s="15" t="s">
        <v>31</v>
      </c>
      <c r="E205" s="59">
        <v>16</v>
      </c>
      <c r="F205" s="15">
        <v>12</v>
      </c>
      <c r="G205" s="15" t="s">
        <v>32</v>
      </c>
      <c r="H205" s="15" t="s">
        <v>26</v>
      </c>
      <c r="I205" s="15" t="s">
        <v>714</v>
      </c>
      <c r="J205" s="20">
        <v>57</v>
      </c>
    </row>
    <row r="206" spans="1:10" hidden="1" x14ac:dyDescent="0.3">
      <c r="A206" s="19" t="s">
        <v>735</v>
      </c>
      <c r="B206" s="15" t="s">
        <v>68</v>
      </c>
      <c r="C206" s="15" t="s">
        <v>24</v>
      </c>
      <c r="D206" s="15" t="s">
        <v>31</v>
      </c>
      <c r="E206" s="59">
        <v>16</v>
      </c>
      <c r="F206" s="15">
        <v>12</v>
      </c>
      <c r="G206" s="15" t="s">
        <v>43</v>
      </c>
      <c r="H206" s="15" t="s">
        <v>26</v>
      </c>
      <c r="I206" s="15" t="s">
        <v>736</v>
      </c>
      <c r="J206" s="20">
        <v>85</v>
      </c>
    </row>
    <row r="207" spans="1:10" hidden="1" x14ac:dyDescent="0.3">
      <c r="A207" s="19" t="s">
        <v>745</v>
      </c>
      <c r="B207" s="15" t="s">
        <v>73</v>
      </c>
      <c r="C207" s="15" t="s">
        <v>36</v>
      </c>
      <c r="D207" s="15" t="s">
        <v>13</v>
      </c>
      <c r="E207" s="59">
        <v>16</v>
      </c>
      <c r="F207" s="15">
        <v>9</v>
      </c>
      <c r="G207" s="15" t="s">
        <v>32</v>
      </c>
      <c r="H207" s="15" t="s">
        <v>76</v>
      </c>
      <c r="I207" s="15" t="s">
        <v>746</v>
      </c>
      <c r="J207" s="20">
        <v>38</v>
      </c>
    </row>
    <row r="208" spans="1:10" x14ac:dyDescent="0.3">
      <c r="A208" s="19" t="s">
        <v>758</v>
      </c>
      <c r="B208" s="15" t="s">
        <v>73</v>
      </c>
      <c r="C208" s="15" t="s">
        <v>12</v>
      </c>
      <c r="D208" s="15" t="s">
        <v>31</v>
      </c>
      <c r="E208" s="59">
        <v>16</v>
      </c>
      <c r="F208" s="15">
        <v>11</v>
      </c>
      <c r="G208" s="15" t="s">
        <v>43</v>
      </c>
      <c r="H208" s="15" t="s">
        <v>40</v>
      </c>
      <c r="I208" s="15" t="s">
        <v>759</v>
      </c>
      <c r="J208" s="20">
        <v>70</v>
      </c>
    </row>
    <row r="209" spans="1:10" hidden="1" x14ac:dyDescent="0.3">
      <c r="A209" s="19" t="s">
        <v>760</v>
      </c>
      <c r="B209" s="15" t="s">
        <v>84</v>
      </c>
      <c r="C209" s="15" t="s">
        <v>96</v>
      </c>
      <c r="D209" s="15" t="s">
        <v>31</v>
      </c>
      <c r="E209" s="59">
        <v>16</v>
      </c>
      <c r="F209" s="15">
        <v>11</v>
      </c>
      <c r="G209" s="15" t="s">
        <v>32</v>
      </c>
      <c r="H209" s="15" t="s">
        <v>76</v>
      </c>
      <c r="I209" s="15" t="s">
        <v>761</v>
      </c>
      <c r="J209" s="20">
        <v>83</v>
      </c>
    </row>
    <row r="210" spans="1:10" hidden="1" x14ac:dyDescent="0.3">
      <c r="A210" s="19" t="s">
        <v>764</v>
      </c>
      <c r="B210" s="15" t="s">
        <v>18</v>
      </c>
      <c r="C210" s="15" t="s">
        <v>55</v>
      </c>
      <c r="D210" s="15" t="s">
        <v>13</v>
      </c>
      <c r="E210" s="59">
        <v>16</v>
      </c>
      <c r="F210" s="15">
        <v>12</v>
      </c>
      <c r="G210" s="15" t="s">
        <v>14</v>
      </c>
      <c r="H210" s="15" t="s">
        <v>40</v>
      </c>
      <c r="I210" s="15" t="s">
        <v>765</v>
      </c>
      <c r="J210" s="20">
        <v>61</v>
      </c>
    </row>
    <row r="211" spans="1:10" hidden="1" x14ac:dyDescent="0.3">
      <c r="A211" s="19" t="s">
        <v>769</v>
      </c>
      <c r="B211" s="15" t="s">
        <v>35</v>
      </c>
      <c r="C211" s="15" t="s">
        <v>30</v>
      </c>
      <c r="D211" s="15" t="s">
        <v>13</v>
      </c>
      <c r="E211" s="59">
        <v>16</v>
      </c>
      <c r="F211" s="15">
        <v>11</v>
      </c>
      <c r="G211" s="15" t="s">
        <v>32</v>
      </c>
      <c r="H211" s="15" t="s">
        <v>46</v>
      </c>
      <c r="I211" s="15" t="s">
        <v>770</v>
      </c>
      <c r="J211" s="20">
        <v>85</v>
      </c>
    </row>
    <row r="212" spans="1:10" hidden="1" x14ac:dyDescent="0.3">
      <c r="A212" s="19" t="s">
        <v>787</v>
      </c>
      <c r="B212" s="15" t="s">
        <v>18</v>
      </c>
      <c r="C212" s="15" t="s">
        <v>36</v>
      </c>
      <c r="D212" s="15" t="s">
        <v>31</v>
      </c>
      <c r="E212" s="59">
        <v>16</v>
      </c>
      <c r="F212" s="15">
        <v>9</v>
      </c>
      <c r="G212" s="15" t="s">
        <v>14</v>
      </c>
      <c r="H212" s="15" t="s">
        <v>76</v>
      </c>
      <c r="I212" s="15" t="s">
        <v>788</v>
      </c>
      <c r="J212" s="20">
        <v>88</v>
      </c>
    </row>
    <row r="213" spans="1:10" hidden="1" x14ac:dyDescent="0.3">
      <c r="A213" s="19" t="s">
        <v>807</v>
      </c>
      <c r="B213" s="15" t="s">
        <v>68</v>
      </c>
      <c r="C213" s="15" t="s">
        <v>79</v>
      </c>
      <c r="D213" s="15" t="s">
        <v>31</v>
      </c>
      <c r="E213" s="59">
        <v>16</v>
      </c>
      <c r="F213" s="15">
        <v>10</v>
      </c>
      <c r="G213" s="15" t="s">
        <v>43</v>
      </c>
      <c r="H213" s="15" t="s">
        <v>76</v>
      </c>
      <c r="I213" s="15" t="s">
        <v>305</v>
      </c>
      <c r="J213" s="20">
        <v>40</v>
      </c>
    </row>
    <row r="214" spans="1:10" hidden="1" x14ac:dyDescent="0.3">
      <c r="A214" s="19" t="s">
        <v>835</v>
      </c>
      <c r="B214" s="15" t="s">
        <v>18</v>
      </c>
      <c r="C214" s="15" t="s">
        <v>55</v>
      </c>
      <c r="D214" s="15" t="s">
        <v>31</v>
      </c>
      <c r="E214" s="59">
        <v>16</v>
      </c>
      <c r="F214" s="15">
        <v>10</v>
      </c>
      <c r="G214" s="15" t="s">
        <v>14</v>
      </c>
      <c r="H214" s="15" t="s">
        <v>61</v>
      </c>
      <c r="I214" s="15" t="s">
        <v>411</v>
      </c>
      <c r="J214" s="20">
        <v>52</v>
      </c>
    </row>
    <row r="215" spans="1:10" hidden="1" x14ac:dyDescent="0.3">
      <c r="A215" s="19" t="s">
        <v>836</v>
      </c>
      <c r="B215" s="15" t="s">
        <v>18</v>
      </c>
      <c r="C215" s="15" t="s">
        <v>58</v>
      </c>
      <c r="D215" s="15" t="s">
        <v>13</v>
      </c>
      <c r="E215" s="59">
        <v>16</v>
      </c>
      <c r="F215" s="15">
        <v>9</v>
      </c>
      <c r="G215" s="15" t="s">
        <v>14</v>
      </c>
      <c r="H215" s="15" t="s">
        <v>37</v>
      </c>
      <c r="I215" s="15" t="s">
        <v>837</v>
      </c>
      <c r="J215" s="20">
        <v>64</v>
      </c>
    </row>
    <row r="216" spans="1:10" hidden="1" x14ac:dyDescent="0.3">
      <c r="A216" s="19" t="s">
        <v>848</v>
      </c>
      <c r="B216" s="15" t="s">
        <v>18</v>
      </c>
      <c r="C216" s="15" t="s">
        <v>24</v>
      </c>
      <c r="D216" s="15" t="s">
        <v>31</v>
      </c>
      <c r="E216" s="59">
        <v>16</v>
      </c>
      <c r="F216" s="15">
        <v>10</v>
      </c>
      <c r="G216" s="15" t="s">
        <v>25</v>
      </c>
      <c r="H216" s="15" t="s">
        <v>61</v>
      </c>
      <c r="I216" s="15" t="s">
        <v>849</v>
      </c>
      <c r="J216" s="20">
        <v>78</v>
      </c>
    </row>
    <row r="217" spans="1:10" hidden="1" x14ac:dyDescent="0.3">
      <c r="A217" s="19" t="s">
        <v>856</v>
      </c>
      <c r="B217" s="15" t="s">
        <v>29</v>
      </c>
      <c r="C217" s="15" t="s">
        <v>85</v>
      </c>
      <c r="D217" s="15" t="s">
        <v>13</v>
      </c>
      <c r="E217" s="59">
        <v>16</v>
      </c>
      <c r="F217" s="15">
        <v>9</v>
      </c>
      <c r="G217" s="15" t="s">
        <v>14</v>
      </c>
      <c r="H217" s="15" t="s">
        <v>61</v>
      </c>
      <c r="I217" s="15" t="s">
        <v>262</v>
      </c>
      <c r="J217" s="20">
        <v>78</v>
      </c>
    </row>
    <row r="218" spans="1:10" hidden="1" x14ac:dyDescent="0.3">
      <c r="A218" s="19" t="s">
        <v>860</v>
      </c>
      <c r="B218" s="15" t="s">
        <v>68</v>
      </c>
      <c r="C218" s="15" t="s">
        <v>12</v>
      </c>
      <c r="D218" s="15" t="s">
        <v>13</v>
      </c>
      <c r="E218" s="59">
        <v>16</v>
      </c>
      <c r="F218" s="15">
        <v>12</v>
      </c>
      <c r="G218" s="15" t="s">
        <v>14</v>
      </c>
      <c r="H218" s="15" t="s">
        <v>37</v>
      </c>
      <c r="I218" s="15" t="s">
        <v>861</v>
      </c>
      <c r="J218" s="20">
        <v>84</v>
      </c>
    </row>
    <row r="219" spans="1:10" hidden="1" x14ac:dyDescent="0.3">
      <c r="A219" s="19" t="s">
        <v>874</v>
      </c>
      <c r="B219" s="15" t="s">
        <v>35</v>
      </c>
      <c r="C219" s="15" t="s">
        <v>36</v>
      </c>
      <c r="D219" s="15" t="s">
        <v>13</v>
      </c>
      <c r="E219" s="59">
        <v>16</v>
      </c>
      <c r="F219" s="15">
        <v>10</v>
      </c>
      <c r="G219" s="15" t="s">
        <v>14</v>
      </c>
      <c r="H219" s="15" t="s">
        <v>61</v>
      </c>
      <c r="I219" s="15" t="s">
        <v>875</v>
      </c>
      <c r="J219" s="20">
        <v>35</v>
      </c>
    </row>
    <row r="220" spans="1:10" hidden="1" x14ac:dyDescent="0.3">
      <c r="A220" s="19" t="s">
        <v>876</v>
      </c>
      <c r="B220" s="15" t="s">
        <v>18</v>
      </c>
      <c r="C220" s="15" t="s">
        <v>24</v>
      </c>
      <c r="D220" s="15" t="s">
        <v>31</v>
      </c>
      <c r="E220" s="59">
        <v>16</v>
      </c>
      <c r="F220" s="15">
        <v>9</v>
      </c>
      <c r="G220" s="15" t="s">
        <v>43</v>
      </c>
      <c r="H220" s="15" t="s">
        <v>26</v>
      </c>
      <c r="I220" s="15" t="s">
        <v>515</v>
      </c>
      <c r="J220" s="20">
        <v>48</v>
      </c>
    </row>
    <row r="221" spans="1:10" hidden="1" x14ac:dyDescent="0.3">
      <c r="A221" s="19" t="s">
        <v>885</v>
      </c>
      <c r="B221" s="15" t="s">
        <v>51</v>
      </c>
      <c r="C221" s="15" t="s">
        <v>55</v>
      </c>
      <c r="D221" s="15" t="s">
        <v>13</v>
      </c>
      <c r="E221" s="59">
        <v>16</v>
      </c>
      <c r="F221" s="15">
        <v>11</v>
      </c>
      <c r="G221" s="15" t="s">
        <v>32</v>
      </c>
      <c r="H221" s="15" t="s">
        <v>76</v>
      </c>
      <c r="I221" s="15" t="s">
        <v>886</v>
      </c>
      <c r="J221" s="20">
        <v>65</v>
      </c>
    </row>
    <row r="222" spans="1:10" hidden="1" x14ac:dyDescent="0.3">
      <c r="A222" s="19" t="s">
        <v>905</v>
      </c>
      <c r="B222" s="15" t="s">
        <v>54</v>
      </c>
      <c r="C222" s="15" t="s">
        <v>30</v>
      </c>
      <c r="D222" s="15" t="s">
        <v>13</v>
      </c>
      <c r="E222" s="59">
        <v>16</v>
      </c>
      <c r="F222" s="15">
        <v>12</v>
      </c>
      <c r="G222" s="15" t="s">
        <v>43</v>
      </c>
      <c r="H222" s="15" t="s">
        <v>40</v>
      </c>
      <c r="I222" s="15" t="s">
        <v>556</v>
      </c>
      <c r="J222" s="20">
        <v>81</v>
      </c>
    </row>
    <row r="223" spans="1:10" hidden="1" x14ac:dyDescent="0.3">
      <c r="A223" s="19" t="s">
        <v>923</v>
      </c>
      <c r="B223" s="15" t="s">
        <v>68</v>
      </c>
      <c r="C223" s="15" t="s">
        <v>55</v>
      </c>
      <c r="D223" s="15" t="s">
        <v>31</v>
      </c>
      <c r="E223" s="59">
        <v>16</v>
      </c>
      <c r="F223" s="15">
        <v>12</v>
      </c>
      <c r="G223" s="15" t="s">
        <v>43</v>
      </c>
      <c r="H223" s="15" t="s">
        <v>37</v>
      </c>
      <c r="I223" s="15" t="s">
        <v>924</v>
      </c>
      <c r="J223" s="20">
        <v>77</v>
      </c>
    </row>
    <row r="224" spans="1:10" hidden="1" x14ac:dyDescent="0.3">
      <c r="A224" s="19" t="s">
        <v>937</v>
      </c>
      <c r="B224" s="15" t="s">
        <v>73</v>
      </c>
      <c r="C224" s="15" t="s">
        <v>85</v>
      </c>
      <c r="D224" s="15" t="s">
        <v>31</v>
      </c>
      <c r="E224" s="59">
        <v>16</v>
      </c>
      <c r="F224" s="15">
        <v>10</v>
      </c>
      <c r="G224" s="15" t="s">
        <v>25</v>
      </c>
      <c r="H224" s="15" t="s">
        <v>76</v>
      </c>
      <c r="I224" s="15" t="s">
        <v>305</v>
      </c>
      <c r="J224" s="20">
        <v>90</v>
      </c>
    </row>
    <row r="225" spans="1:10" hidden="1" x14ac:dyDescent="0.3">
      <c r="A225" s="19" t="s">
        <v>938</v>
      </c>
      <c r="B225" s="15" t="s">
        <v>18</v>
      </c>
      <c r="C225" s="15" t="s">
        <v>58</v>
      </c>
      <c r="D225" s="15" t="s">
        <v>13</v>
      </c>
      <c r="E225" s="59">
        <v>16</v>
      </c>
      <c r="F225" s="15">
        <v>12</v>
      </c>
      <c r="G225" s="15" t="s">
        <v>25</v>
      </c>
      <c r="H225" s="15" t="s">
        <v>26</v>
      </c>
      <c r="I225" s="15" t="s">
        <v>939</v>
      </c>
      <c r="J225" s="20">
        <v>41</v>
      </c>
    </row>
    <row r="226" spans="1:10" hidden="1" x14ac:dyDescent="0.3">
      <c r="A226" s="19" t="s">
        <v>34</v>
      </c>
      <c r="B226" s="15" t="s">
        <v>35</v>
      </c>
      <c r="C226" s="15" t="s">
        <v>36</v>
      </c>
      <c r="D226" s="15" t="s">
        <v>31</v>
      </c>
      <c r="E226" s="59">
        <v>17</v>
      </c>
      <c r="F226" s="15">
        <v>10</v>
      </c>
      <c r="G226" s="15" t="s">
        <v>32</v>
      </c>
      <c r="H226" s="15" t="s">
        <v>37</v>
      </c>
      <c r="I226" s="15" t="s">
        <v>38</v>
      </c>
      <c r="J226" s="20">
        <v>45</v>
      </c>
    </row>
    <row r="227" spans="1:10" hidden="1" x14ac:dyDescent="0.3">
      <c r="A227" s="19" t="s">
        <v>75</v>
      </c>
      <c r="B227" s="15" t="s">
        <v>29</v>
      </c>
      <c r="C227" s="15" t="s">
        <v>58</v>
      </c>
      <c r="D227" s="15" t="s">
        <v>31</v>
      </c>
      <c r="E227" s="59">
        <v>17</v>
      </c>
      <c r="F227" s="15">
        <v>12</v>
      </c>
      <c r="G227" s="15" t="s">
        <v>32</v>
      </c>
      <c r="H227" s="15" t="s">
        <v>76</v>
      </c>
      <c r="I227" s="15" t="s">
        <v>77</v>
      </c>
      <c r="J227" s="20">
        <v>66</v>
      </c>
    </row>
    <row r="228" spans="1:10" hidden="1" x14ac:dyDescent="0.3">
      <c r="A228" s="19" t="s">
        <v>128</v>
      </c>
      <c r="B228" s="15" t="s">
        <v>11</v>
      </c>
      <c r="C228" s="15" t="s">
        <v>24</v>
      </c>
      <c r="D228" s="15" t="s">
        <v>31</v>
      </c>
      <c r="E228" s="59">
        <v>17</v>
      </c>
      <c r="F228" s="15">
        <v>12</v>
      </c>
      <c r="G228" s="15" t="s">
        <v>32</v>
      </c>
      <c r="H228" s="15" t="s">
        <v>15</v>
      </c>
      <c r="I228" s="15" t="s">
        <v>129</v>
      </c>
      <c r="J228" s="20">
        <v>68</v>
      </c>
    </row>
    <row r="229" spans="1:10" hidden="1" x14ac:dyDescent="0.3">
      <c r="A229" s="19" t="s">
        <v>130</v>
      </c>
      <c r="B229" s="15" t="s">
        <v>73</v>
      </c>
      <c r="C229" s="15" t="s">
        <v>30</v>
      </c>
      <c r="D229" s="15" t="s">
        <v>13</v>
      </c>
      <c r="E229" s="59">
        <v>17</v>
      </c>
      <c r="F229" s="15">
        <v>12</v>
      </c>
      <c r="G229" s="15" t="s">
        <v>25</v>
      </c>
      <c r="H229" s="15" t="s">
        <v>40</v>
      </c>
      <c r="I229" s="15" t="s">
        <v>131</v>
      </c>
      <c r="J229" s="20">
        <v>82</v>
      </c>
    </row>
    <row r="230" spans="1:10" hidden="1" x14ac:dyDescent="0.3">
      <c r="A230" s="19" t="s">
        <v>132</v>
      </c>
      <c r="B230" s="15" t="s">
        <v>29</v>
      </c>
      <c r="C230" s="15" t="s">
        <v>12</v>
      </c>
      <c r="D230" s="15" t="s">
        <v>13</v>
      </c>
      <c r="E230" s="59">
        <v>17</v>
      </c>
      <c r="F230" s="15">
        <v>10</v>
      </c>
      <c r="G230" s="15" t="s">
        <v>25</v>
      </c>
      <c r="H230" s="15" t="s">
        <v>37</v>
      </c>
      <c r="I230" s="15" t="s">
        <v>133</v>
      </c>
      <c r="J230" s="20">
        <v>88</v>
      </c>
    </row>
    <row r="231" spans="1:10" x14ac:dyDescent="0.3">
      <c r="A231" s="19" t="s">
        <v>150</v>
      </c>
      <c r="B231" s="15" t="s">
        <v>23</v>
      </c>
      <c r="C231" s="15" t="s">
        <v>55</v>
      </c>
      <c r="D231" s="15" t="s">
        <v>31</v>
      </c>
      <c r="E231" s="59">
        <v>17</v>
      </c>
      <c r="F231" s="15">
        <v>9</v>
      </c>
      <c r="G231" s="15" t="s">
        <v>25</v>
      </c>
      <c r="H231" s="15" t="s">
        <v>20</v>
      </c>
      <c r="I231" s="15" t="s">
        <v>151</v>
      </c>
      <c r="J231" s="20">
        <v>55</v>
      </c>
    </row>
    <row r="232" spans="1:10" hidden="1" x14ac:dyDescent="0.3">
      <c r="A232" s="19" t="s">
        <v>152</v>
      </c>
      <c r="B232" s="15" t="s">
        <v>23</v>
      </c>
      <c r="C232" s="15" t="s">
        <v>55</v>
      </c>
      <c r="D232" s="15" t="s">
        <v>13</v>
      </c>
      <c r="E232" s="59">
        <v>17</v>
      </c>
      <c r="F232" s="15">
        <v>12</v>
      </c>
      <c r="G232" s="15" t="s">
        <v>32</v>
      </c>
      <c r="H232" s="15" t="s">
        <v>46</v>
      </c>
      <c r="I232" s="15" t="s">
        <v>153</v>
      </c>
      <c r="J232" s="20">
        <v>39</v>
      </c>
    </row>
    <row r="233" spans="1:10" hidden="1" x14ac:dyDescent="0.3">
      <c r="A233" s="19" t="s">
        <v>160</v>
      </c>
      <c r="B233" s="15" t="s">
        <v>51</v>
      </c>
      <c r="C233" s="15" t="s">
        <v>85</v>
      </c>
      <c r="D233" s="15" t="s">
        <v>31</v>
      </c>
      <c r="E233" s="59">
        <v>17</v>
      </c>
      <c r="F233" s="15">
        <v>11</v>
      </c>
      <c r="G233" s="15" t="s">
        <v>43</v>
      </c>
      <c r="H233" s="15" t="s">
        <v>37</v>
      </c>
      <c r="I233" s="15" t="s">
        <v>161</v>
      </c>
      <c r="J233" s="20">
        <v>99</v>
      </c>
    </row>
    <row r="234" spans="1:10" hidden="1" x14ac:dyDescent="0.3">
      <c r="A234" s="19" t="s">
        <v>164</v>
      </c>
      <c r="B234" s="15" t="s">
        <v>23</v>
      </c>
      <c r="C234" s="15" t="s">
        <v>19</v>
      </c>
      <c r="D234" s="15" t="s">
        <v>31</v>
      </c>
      <c r="E234" s="59">
        <v>17</v>
      </c>
      <c r="F234" s="15">
        <v>9</v>
      </c>
      <c r="G234" s="15" t="s">
        <v>25</v>
      </c>
      <c r="H234" s="15" t="s">
        <v>15</v>
      </c>
      <c r="I234" s="15" t="s">
        <v>165</v>
      </c>
      <c r="J234" s="20">
        <v>64</v>
      </c>
    </row>
    <row r="235" spans="1:10" hidden="1" x14ac:dyDescent="0.3">
      <c r="A235" s="19" t="s">
        <v>168</v>
      </c>
      <c r="B235" s="15" t="s">
        <v>18</v>
      </c>
      <c r="C235" s="15" t="s">
        <v>79</v>
      </c>
      <c r="D235" s="15" t="s">
        <v>13</v>
      </c>
      <c r="E235" s="59">
        <v>17</v>
      </c>
      <c r="F235" s="15">
        <v>12</v>
      </c>
      <c r="G235" s="15" t="s">
        <v>25</v>
      </c>
      <c r="H235" s="15" t="s">
        <v>26</v>
      </c>
      <c r="I235" s="15" t="s">
        <v>137</v>
      </c>
      <c r="J235" s="20">
        <v>82</v>
      </c>
    </row>
    <row r="236" spans="1:10" hidden="1" x14ac:dyDescent="0.3">
      <c r="A236" s="19" t="s">
        <v>183</v>
      </c>
      <c r="B236" s="15" t="s">
        <v>11</v>
      </c>
      <c r="C236" s="15" t="s">
        <v>30</v>
      </c>
      <c r="D236" s="15" t="s">
        <v>31</v>
      </c>
      <c r="E236" s="59">
        <v>17</v>
      </c>
      <c r="F236" s="15">
        <v>12</v>
      </c>
      <c r="G236" s="15" t="s">
        <v>14</v>
      </c>
      <c r="H236" s="15" t="s">
        <v>37</v>
      </c>
      <c r="I236" s="15" t="s">
        <v>184</v>
      </c>
      <c r="J236" s="20">
        <v>49</v>
      </c>
    </row>
    <row r="237" spans="1:10" hidden="1" x14ac:dyDescent="0.3">
      <c r="A237" s="19" t="s">
        <v>187</v>
      </c>
      <c r="B237" s="15" t="s">
        <v>51</v>
      </c>
      <c r="C237" s="15" t="s">
        <v>12</v>
      </c>
      <c r="D237" s="15" t="s">
        <v>31</v>
      </c>
      <c r="E237" s="59">
        <v>17</v>
      </c>
      <c r="F237" s="15">
        <v>10</v>
      </c>
      <c r="G237" s="15" t="s">
        <v>43</v>
      </c>
      <c r="H237" s="15" t="s">
        <v>46</v>
      </c>
      <c r="I237" s="15" t="s">
        <v>101</v>
      </c>
      <c r="J237" s="20">
        <v>66</v>
      </c>
    </row>
    <row r="238" spans="1:10" hidden="1" x14ac:dyDescent="0.3">
      <c r="A238" s="19" t="s">
        <v>203</v>
      </c>
      <c r="B238" s="15" t="s">
        <v>35</v>
      </c>
      <c r="C238" s="15" t="s">
        <v>96</v>
      </c>
      <c r="D238" s="15" t="s">
        <v>13</v>
      </c>
      <c r="E238" s="59">
        <v>17</v>
      </c>
      <c r="F238" s="15">
        <v>12</v>
      </c>
      <c r="G238" s="15" t="s">
        <v>25</v>
      </c>
      <c r="H238" s="15" t="s">
        <v>20</v>
      </c>
      <c r="I238" s="15" t="s">
        <v>204</v>
      </c>
      <c r="J238" s="20">
        <v>90</v>
      </c>
    </row>
    <row r="239" spans="1:10" hidden="1" x14ac:dyDescent="0.3">
      <c r="A239" s="19" t="s">
        <v>205</v>
      </c>
      <c r="B239" s="15" t="s">
        <v>73</v>
      </c>
      <c r="C239" s="15" t="s">
        <v>24</v>
      </c>
      <c r="D239" s="15" t="s">
        <v>13</v>
      </c>
      <c r="E239" s="59">
        <v>17</v>
      </c>
      <c r="F239" s="15">
        <v>9</v>
      </c>
      <c r="G239" s="15" t="s">
        <v>14</v>
      </c>
      <c r="H239" s="15" t="s">
        <v>46</v>
      </c>
      <c r="I239" s="15" t="s">
        <v>206</v>
      </c>
      <c r="J239" s="20">
        <v>59</v>
      </c>
    </row>
    <row r="240" spans="1:10" hidden="1" x14ac:dyDescent="0.3">
      <c r="A240" s="19" t="s">
        <v>213</v>
      </c>
      <c r="B240" s="15" t="s">
        <v>29</v>
      </c>
      <c r="C240" s="15" t="s">
        <v>24</v>
      </c>
      <c r="D240" s="15" t="s">
        <v>31</v>
      </c>
      <c r="E240" s="59">
        <v>17</v>
      </c>
      <c r="F240" s="15">
        <v>11</v>
      </c>
      <c r="G240" s="15" t="s">
        <v>14</v>
      </c>
      <c r="H240" s="15" t="s">
        <v>76</v>
      </c>
      <c r="I240" s="15" t="s">
        <v>214</v>
      </c>
      <c r="J240" s="20">
        <v>74</v>
      </c>
    </row>
    <row r="241" spans="1:10" x14ac:dyDescent="0.3">
      <c r="A241" s="19" t="s">
        <v>217</v>
      </c>
      <c r="B241" s="15" t="s">
        <v>84</v>
      </c>
      <c r="C241" s="15" t="s">
        <v>96</v>
      </c>
      <c r="D241" s="15" t="s">
        <v>31</v>
      </c>
      <c r="E241" s="59">
        <v>17</v>
      </c>
      <c r="F241" s="15">
        <v>10</v>
      </c>
      <c r="G241" s="15" t="s">
        <v>43</v>
      </c>
      <c r="H241" s="15" t="s">
        <v>46</v>
      </c>
      <c r="I241" s="15" t="s">
        <v>218</v>
      </c>
      <c r="J241" s="20">
        <v>46</v>
      </c>
    </row>
    <row r="242" spans="1:10" hidden="1" x14ac:dyDescent="0.3">
      <c r="A242" s="19" t="s">
        <v>227</v>
      </c>
      <c r="B242" s="15" t="s">
        <v>68</v>
      </c>
      <c r="C242" s="15" t="s">
        <v>58</v>
      </c>
      <c r="D242" s="15" t="s">
        <v>13</v>
      </c>
      <c r="E242" s="59">
        <v>17</v>
      </c>
      <c r="F242" s="15">
        <v>12</v>
      </c>
      <c r="G242" s="15" t="s">
        <v>32</v>
      </c>
      <c r="H242" s="15" t="s">
        <v>26</v>
      </c>
      <c r="I242" s="15" t="s">
        <v>228</v>
      </c>
      <c r="J242" s="20">
        <v>37</v>
      </c>
    </row>
    <row r="243" spans="1:10" x14ac:dyDescent="0.3">
      <c r="A243" s="19" t="s">
        <v>229</v>
      </c>
      <c r="B243" s="15" t="s">
        <v>68</v>
      </c>
      <c r="C243" s="15" t="s">
        <v>24</v>
      </c>
      <c r="D243" s="15" t="s">
        <v>13</v>
      </c>
      <c r="E243" s="59">
        <v>17</v>
      </c>
      <c r="F243" s="15">
        <v>11</v>
      </c>
      <c r="G243" s="15" t="s">
        <v>43</v>
      </c>
      <c r="H243" s="15" t="s">
        <v>26</v>
      </c>
      <c r="I243" s="15" t="s">
        <v>230</v>
      </c>
      <c r="J243" s="20">
        <v>53</v>
      </c>
    </row>
    <row r="244" spans="1:10" hidden="1" x14ac:dyDescent="0.3">
      <c r="A244" s="19" t="s">
        <v>289</v>
      </c>
      <c r="B244" s="15" t="s">
        <v>23</v>
      </c>
      <c r="C244" s="15" t="s">
        <v>79</v>
      </c>
      <c r="D244" s="15" t="s">
        <v>31</v>
      </c>
      <c r="E244" s="59">
        <v>17</v>
      </c>
      <c r="F244" s="15">
        <v>9</v>
      </c>
      <c r="G244" s="15" t="s">
        <v>25</v>
      </c>
      <c r="H244" s="15" t="s">
        <v>37</v>
      </c>
      <c r="I244" s="15" t="s">
        <v>290</v>
      </c>
      <c r="J244" s="20">
        <v>62</v>
      </c>
    </row>
    <row r="245" spans="1:10" hidden="1" x14ac:dyDescent="0.3">
      <c r="A245" s="19" t="s">
        <v>369</v>
      </c>
      <c r="B245" s="15" t="s">
        <v>23</v>
      </c>
      <c r="C245" s="15" t="s">
        <v>24</v>
      </c>
      <c r="D245" s="15" t="s">
        <v>31</v>
      </c>
      <c r="E245" s="59">
        <v>17</v>
      </c>
      <c r="F245" s="15">
        <v>12</v>
      </c>
      <c r="G245" s="15" t="s">
        <v>43</v>
      </c>
      <c r="H245" s="15" t="s">
        <v>61</v>
      </c>
      <c r="I245" s="15" t="s">
        <v>370</v>
      </c>
      <c r="J245" s="20">
        <v>96</v>
      </c>
    </row>
    <row r="246" spans="1:10" hidden="1" x14ac:dyDescent="0.3">
      <c r="A246" s="19" t="s">
        <v>378</v>
      </c>
      <c r="B246" s="15" t="s">
        <v>18</v>
      </c>
      <c r="C246" s="15" t="s">
        <v>55</v>
      </c>
      <c r="D246" s="15" t="s">
        <v>31</v>
      </c>
      <c r="E246" s="59">
        <v>17</v>
      </c>
      <c r="F246" s="15">
        <v>9</v>
      </c>
      <c r="G246" s="15" t="s">
        <v>32</v>
      </c>
      <c r="H246" s="15" t="s">
        <v>26</v>
      </c>
      <c r="I246" s="15" t="s">
        <v>379</v>
      </c>
      <c r="J246" s="20">
        <v>66</v>
      </c>
    </row>
    <row r="247" spans="1:10" hidden="1" x14ac:dyDescent="0.3">
      <c r="A247" s="19" t="s">
        <v>399</v>
      </c>
      <c r="B247" s="15" t="s">
        <v>35</v>
      </c>
      <c r="C247" s="15" t="s">
        <v>79</v>
      </c>
      <c r="D247" s="15" t="s">
        <v>13</v>
      </c>
      <c r="E247" s="59">
        <v>17</v>
      </c>
      <c r="F247" s="15">
        <v>10</v>
      </c>
      <c r="G247" s="15" t="s">
        <v>43</v>
      </c>
      <c r="H247" s="15" t="s">
        <v>37</v>
      </c>
      <c r="I247" s="15" t="s">
        <v>400</v>
      </c>
      <c r="J247" s="20">
        <v>78</v>
      </c>
    </row>
    <row r="248" spans="1:10" hidden="1" x14ac:dyDescent="0.3">
      <c r="A248" s="19" t="s">
        <v>408</v>
      </c>
      <c r="B248" s="15" t="s">
        <v>51</v>
      </c>
      <c r="C248" s="15" t="s">
        <v>85</v>
      </c>
      <c r="D248" s="15" t="s">
        <v>13</v>
      </c>
      <c r="E248" s="59">
        <v>17</v>
      </c>
      <c r="F248" s="15">
        <v>11</v>
      </c>
      <c r="G248" s="15" t="s">
        <v>25</v>
      </c>
      <c r="H248" s="15" t="s">
        <v>46</v>
      </c>
      <c r="I248" s="15" t="s">
        <v>52</v>
      </c>
      <c r="J248" s="20">
        <v>42</v>
      </c>
    </row>
    <row r="249" spans="1:10" hidden="1" x14ac:dyDescent="0.3">
      <c r="A249" s="19" t="s">
        <v>432</v>
      </c>
      <c r="B249" s="15" t="s">
        <v>51</v>
      </c>
      <c r="C249" s="15" t="s">
        <v>24</v>
      </c>
      <c r="D249" s="15" t="s">
        <v>31</v>
      </c>
      <c r="E249" s="59">
        <v>17</v>
      </c>
      <c r="F249" s="15">
        <v>11</v>
      </c>
      <c r="G249" s="15" t="s">
        <v>43</v>
      </c>
      <c r="H249" s="15" t="s">
        <v>15</v>
      </c>
      <c r="I249" s="15" t="s">
        <v>400</v>
      </c>
      <c r="J249" s="20">
        <v>53</v>
      </c>
    </row>
    <row r="250" spans="1:10" hidden="1" x14ac:dyDescent="0.3">
      <c r="A250" s="19" t="s">
        <v>441</v>
      </c>
      <c r="B250" s="15" t="s">
        <v>35</v>
      </c>
      <c r="C250" s="15" t="s">
        <v>12</v>
      </c>
      <c r="D250" s="15" t="s">
        <v>13</v>
      </c>
      <c r="E250" s="59">
        <v>17</v>
      </c>
      <c r="F250" s="15">
        <v>10</v>
      </c>
      <c r="G250" s="15" t="s">
        <v>32</v>
      </c>
      <c r="H250" s="15" t="s">
        <v>15</v>
      </c>
      <c r="I250" s="15" t="s">
        <v>442</v>
      </c>
      <c r="J250" s="20">
        <v>91</v>
      </c>
    </row>
    <row r="251" spans="1:10" hidden="1" x14ac:dyDescent="0.3">
      <c r="A251" s="19" t="s">
        <v>443</v>
      </c>
      <c r="B251" s="15" t="s">
        <v>18</v>
      </c>
      <c r="C251" s="15" t="s">
        <v>96</v>
      </c>
      <c r="D251" s="15" t="s">
        <v>13</v>
      </c>
      <c r="E251" s="59">
        <v>17</v>
      </c>
      <c r="F251" s="15">
        <v>9</v>
      </c>
      <c r="G251" s="15" t="s">
        <v>43</v>
      </c>
      <c r="H251" s="15" t="s">
        <v>37</v>
      </c>
      <c r="I251" s="15" t="s">
        <v>444</v>
      </c>
      <c r="J251" s="20">
        <v>60</v>
      </c>
    </row>
    <row r="252" spans="1:10" hidden="1" x14ac:dyDescent="0.3">
      <c r="A252" s="19" t="s">
        <v>446</v>
      </c>
      <c r="B252" s="15" t="s">
        <v>73</v>
      </c>
      <c r="C252" s="15" t="s">
        <v>24</v>
      </c>
      <c r="D252" s="15" t="s">
        <v>13</v>
      </c>
      <c r="E252" s="59">
        <v>17</v>
      </c>
      <c r="F252" s="15">
        <v>10</v>
      </c>
      <c r="G252" s="15" t="s">
        <v>14</v>
      </c>
      <c r="H252" s="15" t="s">
        <v>20</v>
      </c>
      <c r="I252" s="15" t="s">
        <v>447</v>
      </c>
      <c r="J252" s="20">
        <v>58</v>
      </c>
    </row>
    <row r="253" spans="1:10" hidden="1" x14ac:dyDescent="0.3">
      <c r="A253" s="19" t="s">
        <v>468</v>
      </c>
      <c r="B253" s="15" t="s">
        <v>73</v>
      </c>
      <c r="C253" s="15" t="s">
        <v>12</v>
      </c>
      <c r="D253" s="15" t="s">
        <v>13</v>
      </c>
      <c r="E253" s="59">
        <v>17</v>
      </c>
      <c r="F253" s="15">
        <v>10</v>
      </c>
      <c r="G253" s="15" t="s">
        <v>43</v>
      </c>
      <c r="H253" s="15" t="s">
        <v>15</v>
      </c>
      <c r="I253" s="15" t="s">
        <v>469</v>
      </c>
      <c r="J253" s="20">
        <v>75</v>
      </c>
    </row>
    <row r="254" spans="1:10" hidden="1" x14ac:dyDescent="0.3">
      <c r="A254" s="19" t="s">
        <v>475</v>
      </c>
      <c r="B254" s="15" t="s">
        <v>35</v>
      </c>
      <c r="C254" s="15" t="s">
        <v>79</v>
      </c>
      <c r="D254" s="15" t="s">
        <v>13</v>
      </c>
      <c r="E254" s="59">
        <v>17</v>
      </c>
      <c r="F254" s="15">
        <v>9</v>
      </c>
      <c r="G254" s="15" t="s">
        <v>32</v>
      </c>
      <c r="H254" s="15" t="s">
        <v>15</v>
      </c>
      <c r="I254" s="15" t="s">
        <v>248</v>
      </c>
      <c r="J254" s="20">
        <v>50</v>
      </c>
    </row>
    <row r="255" spans="1:10" hidden="1" x14ac:dyDescent="0.3">
      <c r="A255" s="19" t="s">
        <v>478</v>
      </c>
      <c r="B255" s="15" t="s">
        <v>11</v>
      </c>
      <c r="C255" s="15" t="s">
        <v>36</v>
      </c>
      <c r="D255" s="15" t="s">
        <v>13</v>
      </c>
      <c r="E255" s="59">
        <v>17</v>
      </c>
      <c r="F255" s="15">
        <v>12</v>
      </c>
      <c r="G255" s="15" t="s">
        <v>14</v>
      </c>
      <c r="H255" s="15" t="s">
        <v>37</v>
      </c>
      <c r="I255" s="15" t="s">
        <v>479</v>
      </c>
      <c r="J255" s="20">
        <v>63</v>
      </c>
    </row>
    <row r="256" spans="1:10" x14ac:dyDescent="0.3">
      <c r="A256" s="19" t="s">
        <v>490</v>
      </c>
      <c r="B256" s="15" t="s">
        <v>73</v>
      </c>
      <c r="C256" s="15" t="s">
        <v>96</v>
      </c>
      <c r="D256" s="15" t="s">
        <v>13</v>
      </c>
      <c r="E256" s="59">
        <v>17</v>
      </c>
      <c r="F256" s="15">
        <v>10</v>
      </c>
      <c r="G256" s="15" t="s">
        <v>32</v>
      </c>
      <c r="H256" s="15" t="s">
        <v>61</v>
      </c>
      <c r="I256" s="15" t="s">
        <v>491</v>
      </c>
      <c r="J256" s="20">
        <v>60</v>
      </c>
    </row>
    <row r="257" spans="1:10" hidden="1" x14ac:dyDescent="0.3">
      <c r="A257" s="19" t="s">
        <v>518</v>
      </c>
      <c r="B257" s="15" t="s">
        <v>51</v>
      </c>
      <c r="C257" s="15" t="s">
        <v>96</v>
      </c>
      <c r="D257" s="15" t="s">
        <v>31</v>
      </c>
      <c r="E257" s="59">
        <v>17</v>
      </c>
      <c r="F257" s="15">
        <v>11</v>
      </c>
      <c r="G257" s="15" t="s">
        <v>25</v>
      </c>
      <c r="H257" s="15" t="s">
        <v>61</v>
      </c>
      <c r="I257" s="15" t="s">
        <v>519</v>
      </c>
      <c r="J257" s="20">
        <v>52</v>
      </c>
    </row>
    <row r="258" spans="1:10" hidden="1" x14ac:dyDescent="0.3">
      <c r="A258" s="19" t="s">
        <v>530</v>
      </c>
      <c r="B258" s="15" t="s">
        <v>54</v>
      </c>
      <c r="C258" s="15" t="s">
        <v>58</v>
      </c>
      <c r="D258" s="15" t="s">
        <v>13</v>
      </c>
      <c r="E258" s="59">
        <v>17</v>
      </c>
      <c r="F258" s="15">
        <v>10</v>
      </c>
      <c r="G258" s="15" t="s">
        <v>32</v>
      </c>
      <c r="H258" s="15" t="s">
        <v>15</v>
      </c>
      <c r="I258" s="15" t="s">
        <v>64</v>
      </c>
      <c r="J258" s="20">
        <v>46</v>
      </c>
    </row>
    <row r="259" spans="1:10" hidden="1" x14ac:dyDescent="0.3">
      <c r="A259" s="19" t="s">
        <v>569</v>
      </c>
      <c r="B259" s="15" t="s">
        <v>54</v>
      </c>
      <c r="C259" s="15" t="s">
        <v>12</v>
      </c>
      <c r="D259" s="15" t="s">
        <v>31</v>
      </c>
      <c r="E259" s="59">
        <v>17</v>
      </c>
      <c r="F259" s="15">
        <v>9</v>
      </c>
      <c r="G259" s="15" t="s">
        <v>25</v>
      </c>
      <c r="H259" s="15" t="s">
        <v>37</v>
      </c>
      <c r="I259" s="15" t="s">
        <v>570</v>
      </c>
      <c r="J259" s="20">
        <v>100</v>
      </c>
    </row>
    <row r="260" spans="1:10" hidden="1" x14ac:dyDescent="0.3">
      <c r="A260" s="19" t="s">
        <v>580</v>
      </c>
      <c r="B260" s="15" t="s">
        <v>29</v>
      </c>
      <c r="C260" s="15" t="s">
        <v>36</v>
      </c>
      <c r="D260" s="15" t="s">
        <v>13</v>
      </c>
      <c r="E260" s="59">
        <v>17</v>
      </c>
      <c r="F260" s="15">
        <v>10</v>
      </c>
      <c r="G260" s="15" t="s">
        <v>32</v>
      </c>
      <c r="H260" s="15" t="s">
        <v>15</v>
      </c>
      <c r="I260" s="15" t="s">
        <v>581</v>
      </c>
      <c r="J260" s="20">
        <v>37</v>
      </c>
    </row>
    <row r="261" spans="1:10" hidden="1" x14ac:dyDescent="0.3">
      <c r="A261" s="19" t="s">
        <v>586</v>
      </c>
      <c r="B261" s="15" t="s">
        <v>11</v>
      </c>
      <c r="C261" s="15" t="s">
        <v>24</v>
      </c>
      <c r="D261" s="15" t="s">
        <v>31</v>
      </c>
      <c r="E261" s="59">
        <v>17</v>
      </c>
      <c r="F261" s="15">
        <v>11</v>
      </c>
      <c r="G261" s="15" t="s">
        <v>43</v>
      </c>
      <c r="H261" s="15" t="s">
        <v>61</v>
      </c>
      <c r="I261" s="15" t="s">
        <v>587</v>
      </c>
      <c r="J261" s="20">
        <v>73</v>
      </c>
    </row>
    <row r="262" spans="1:10" hidden="1" x14ac:dyDescent="0.3">
      <c r="A262" s="19" t="s">
        <v>588</v>
      </c>
      <c r="B262" s="15" t="s">
        <v>68</v>
      </c>
      <c r="C262" s="15" t="s">
        <v>85</v>
      </c>
      <c r="D262" s="15" t="s">
        <v>31</v>
      </c>
      <c r="E262" s="59">
        <v>17</v>
      </c>
      <c r="F262" s="15">
        <v>9</v>
      </c>
      <c r="G262" s="15" t="s">
        <v>25</v>
      </c>
      <c r="H262" s="15" t="s">
        <v>61</v>
      </c>
      <c r="I262" s="15" t="s">
        <v>589</v>
      </c>
      <c r="J262" s="20">
        <v>45</v>
      </c>
    </row>
    <row r="263" spans="1:10" hidden="1" x14ac:dyDescent="0.3">
      <c r="A263" s="19" t="s">
        <v>599</v>
      </c>
      <c r="B263" s="15" t="s">
        <v>84</v>
      </c>
      <c r="C263" s="15" t="s">
        <v>30</v>
      </c>
      <c r="D263" s="15" t="s">
        <v>13</v>
      </c>
      <c r="E263" s="59">
        <v>17</v>
      </c>
      <c r="F263" s="15">
        <v>11</v>
      </c>
      <c r="G263" s="15" t="s">
        <v>43</v>
      </c>
      <c r="H263" s="15" t="s">
        <v>15</v>
      </c>
      <c r="I263" s="15" t="s">
        <v>600</v>
      </c>
      <c r="J263" s="20">
        <v>73</v>
      </c>
    </row>
    <row r="264" spans="1:10" hidden="1" x14ac:dyDescent="0.3">
      <c r="A264" s="19" t="s">
        <v>601</v>
      </c>
      <c r="B264" s="15" t="s">
        <v>73</v>
      </c>
      <c r="C264" s="15" t="s">
        <v>55</v>
      </c>
      <c r="D264" s="15" t="s">
        <v>31</v>
      </c>
      <c r="E264" s="59">
        <v>17</v>
      </c>
      <c r="F264" s="15">
        <v>11</v>
      </c>
      <c r="G264" s="15" t="s">
        <v>43</v>
      </c>
      <c r="H264" s="15" t="s">
        <v>61</v>
      </c>
      <c r="I264" s="15" t="s">
        <v>502</v>
      </c>
      <c r="J264" s="20">
        <v>76</v>
      </c>
    </row>
    <row r="265" spans="1:10" hidden="1" x14ac:dyDescent="0.3">
      <c r="A265" s="19" t="s">
        <v>615</v>
      </c>
      <c r="B265" s="15" t="s">
        <v>18</v>
      </c>
      <c r="C265" s="15" t="s">
        <v>12</v>
      </c>
      <c r="D265" s="15" t="s">
        <v>13</v>
      </c>
      <c r="E265" s="59">
        <v>17</v>
      </c>
      <c r="F265" s="15">
        <v>12</v>
      </c>
      <c r="G265" s="15" t="s">
        <v>14</v>
      </c>
      <c r="H265" s="15" t="s">
        <v>61</v>
      </c>
      <c r="I265" s="15" t="s">
        <v>616</v>
      </c>
      <c r="J265" s="20">
        <v>99</v>
      </c>
    </row>
    <row r="266" spans="1:10" hidden="1" x14ac:dyDescent="0.3">
      <c r="A266" s="19" t="s">
        <v>622</v>
      </c>
      <c r="B266" s="15" t="s">
        <v>23</v>
      </c>
      <c r="C266" s="15" t="s">
        <v>96</v>
      </c>
      <c r="D266" s="15" t="s">
        <v>31</v>
      </c>
      <c r="E266" s="59">
        <v>17</v>
      </c>
      <c r="F266" s="15">
        <v>12</v>
      </c>
      <c r="G266" s="15" t="s">
        <v>43</v>
      </c>
      <c r="H266" s="15" t="s">
        <v>46</v>
      </c>
      <c r="I266" s="15" t="s">
        <v>170</v>
      </c>
      <c r="J266" s="20">
        <v>62</v>
      </c>
    </row>
    <row r="267" spans="1:10" hidden="1" x14ac:dyDescent="0.3">
      <c r="A267" s="19" t="s">
        <v>646</v>
      </c>
      <c r="B267" s="15" t="s">
        <v>84</v>
      </c>
      <c r="C267" s="15" t="s">
        <v>12</v>
      </c>
      <c r="D267" s="15" t="s">
        <v>31</v>
      </c>
      <c r="E267" s="59">
        <v>17</v>
      </c>
      <c r="F267" s="15">
        <v>12</v>
      </c>
      <c r="G267" s="15" t="s">
        <v>25</v>
      </c>
      <c r="H267" s="15" t="s">
        <v>76</v>
      </c>
      <c r="I267" s="15" t="s">
        <v>647</v>
      </c>
      <c r="J267" s="20">
        <v>83</v>
      </c>
    </row>
    <row r="268" spans="1:10" x14ac:dyDescent="0.3">
      <c r="A268" s="19" t="s">
        <v>650</v>
      </c>
      <c r="B268" s="15" t="s">
        <v>23</v>
      </c>
      <c r="C268" s="15" t="s">
        <v>24</v>
      </c>
      <c r="D268" s="15" t="s">
        <v>13</v>
      </c>
      <c r="E268" s="59">
        <v>17</v>
      </c>
      <c r="F268" s="15">
        <v>12</v>
      </c>
      <c r="G268" s="15" t="s">
        <v>25</v>
      </c>
      <c r="H268" s="15" t="s">
        <v>46</v>
      </c>
      <c r="I268" s="15" t="s">
        <v>651</v>
      </c>
      <c r="J268" s="20">
        <v>45</v>
      </c>
    </row>
    <row r="269" spans="1:10" hidden="1" x14ac:dyDescent="0.3">
      <c r="A269" s="19" t="s">
        <v>673</v>
      </c>
      <c r="B269" s="15" t="s">
        <v>11</v>
      </c>
      <c r="C269" s="15" t="s">
        <v>19</v>
      </c>
      <c r="D269" s="15" t="s">
        <v>31</v>
      </c>
      <c r="E269" s="59">
        <v>17</v>
      </c>
      <c r="F269" s="15">
        <v>10</v>
      </c>
      <c r="G269" s="15" t="s">
        <v>32</v>
      </c>
      <c r="H269" s="15" t="s">
        <v>46</v>
      </c>
      <c r="I269" s="15" t="s">
        <v>674</v>
      </c>
      <c r="J269" s="20">
        <v>85</v>
      </c>
    </row>
    <row r="270" spans="1:10" hidden="1" x14ac:dyDescent="0.3">
      <c r="A270" s="19" t="s">
        <v>684</v>
      </c>
      <c r="B270" s="15" t="s">
        <v>54</v>
      </c>
      <c r="C270" s="15" t="s">
        <v>24</v>
      </c>
      <c r="D270" s="15" t="s">
        <v>31</v>
      </c>
      <c r="E270" s="59">
        <v>17</v>
      </c>
      <c r="F270" s="15">
        <v>10</v>
      </c>
      <c r="G270" s="15" t="s">
        <v>43</v>
      </c>
      <c r="H270" s="15" t="s">
        <v>46</v>
      </c>
      <c r="I270" s="15" t="s">
        <v>685</v>
      </c>
      <c r="J270" s="20">
        <v>74</v>
      </c>
    </row>
    <row r="271" spans="1:10" hidden="1" x14ac:dyDescent="0.3">
      <c r="A271" s="19" t="s">
        <v>695</v>
      </c>
      <c r="B271" s="15" t="s">
        <v>51</v>
      </c>
      <c r="C271" s="15" t="s">
        <v>24</v>
      </c>
      <c r="D271" s="15" t="s">
        <v>13</v>
      </c>
      <c r="E271" s="59">
        <v>17</v>
      </c>
      <c r="F271" s="15">
        <v>9</v>
      </c>
      <c r="G271" s="15" t="s">
        <v>32</v>
      </c>
      <c r="H271" s="15" t="s">
        <v>15</v>
      </c>
      <c r="I271" s="15" t="s">
        <v>696</v>
      </c>
      <c r="J271" s="20">
        <v>69</v>
      </c>
    </row>
    <row r="272" spans="1:10" hidden="1" x14ac:dyDescent="0.3">
      <c r="A272" s="19" t="s">
        <v>703</v>
      </c>
      <c r="B272" s="15" t="s">
        <v>73</v>
      </c>
      <c r="C272" s="15" t="s">
        <v>30</v>
      </c>
      <c r="D272" s="15" t="s">
        <v>31</v>
      </c>
      <c r="E272" s="59">
        <v>17</v>
      </c>
      <c r="F272" s="15">
        <v>12</v>
      </c>
      <c r="G272" s="15" t="s">
        <v>32</v>
      </c>
      <c r="H272" s="15" t="s">
        <v>40</v>
      </c>
      <c r="I272" s="15" t="s">
        <v>704</v>
      </c>
      <c r="J272" s="20">
        <v>93</v>
      </c>
    </row>
    <row r="273" spans="1:10" hidden="1" x14ac:dyDescent="0.3">
      <c r="A273" s="19" t="s">
        <v>716</v>
      </c>
      <c r="B273" s="15" t="s">
        <v>23</v>
      </c>
      <c r="C273" s="15" t="s">
        <v>58</v>
      </c>
      <c r="D273" s="15" t="s">
        <v>31</v>
      </c>
      <c r="E273" s="59">
        <v>17</v>
      </c>
      <c r="F273" s="15">
        <v>9</v>
      </c>
      <c r="G273" s="15" t="s">
        <v>25</v>
      </c>
      <c r="H273" s="15" t="s">
        <v>15</v>
      </c>
      <c r="I273" s="15" t="s">
        <v>717</v>
      </c>
      <c r="J273" s="20">
        <v>51</v>
      </c>
    </row>
    <row r="274" spans="1:10" hidden="1" x14ac:dyDescent="0.3">
      <c r="A274" s="19" t="s">
        <v>731</v>
      </c>
      <c r="B274" s="15" t="s">
        <v>84</v>
      </c>
      <c r="C274" s="15" t="s">
        <v>85</v>
      </c>
      <c r="D274" s="15" t="s">
        <v>31</v>
      </c>
      <c r="E274" s="59">
        <v>17</v>
      </c>
      <c r="F274" s="15">
        <v>9</v>
      </c>
      <c r="G274" s="15" t="s">
        <v>43</v>
      </c>
      <c r="H274" s="15" t="s">
        <v>76</v>
      </c>
      <c r="I274" s="15" t="s">
        <v>732</v>
      </c>
      <c r="J274" s="20">
        <v>97</v>
      </c>
    </row>
    <row r="275" spans="1:10" x14ac:dyDescent="0.3">
      <c r="A275" s="19" t="s">
        <v>733</v>
      </c>
      <c r="B275" s="15" t="s">
        <v>84</v>
      </c>
      <c r="C275" s="15" t="s">
        <v>85</v>
      </c>
      <c r="D275" s="15" t="s">
        <v>31</v>
      </c>
      <c r="E275" s="59">
        <v>17</v>
      </c>
      <c r="F275" s="15">
        <v>12</v>
      </c>
      <c r="G275" s="15" t="s">
        <v>43</v>
      </c>
      <c r="H275" s="15" t="s">
        <v>15</v>
      </c>
      <c r="I275" s="15" t="s">
        <v>734</v>
      </c>
      <c r="J275" s="20">
        <v>77</v>
      </c>
    </row>
    <row r="276" spans="1:10" hidden="1" x14ac:dyDescent="0.3">
      <c r="A276" s="19" t="s">
        <v>747</v>
      </c>
      <c r="B276" s="15" t="s">
        <v>51</v>
      </c>
      <c r="C276" s="15" t="s">
        <v>96</v>
      </c>
      <c r="D276" s="15" t="s">
        <v>13</v>
      </c>
      <c r="E276" s="59">
        <v>17</v>
      </c>
      <c r="F276" s="15">
        <v>12</v>
      </c>
      <c r="G276" s="15" t="s">
        <v>14</v>
      </c>
      <c r="H276" s="15" t="s">
        <v>26</v>
      </c>
      <c r="I276" s="15" t="s">
        <v>748</v>
      </c>
      <c r="J276" s="20">
        <v>67</v>
      </c>
    </row>
    <row r="277" spans="1:10" hidden="1" x14ac:dyDescent="0.3">
      <c r="A277" s="19" t="s">
        <v>768</v>
      </c>
      <c r="B277" s="15" t="s">
        <v>23</v>
      </c>
      <c r="C277" s="15" t="s">
        <v>24</v>
      </c>
      <c r="D277" s="15" t="s">
        <v>13</v>
      </c>
      <c r="E277" s="59">
        <v>17</v>
      </c>
      <c r="F277" s="15">
        <v>11</v>
      </c>
      <c r="G277" s="15" t="s">
        <v>25</v>
      </c>
      <c r="H277" s="15" t="s">
        <v>40</v>
      </c>
      <c r="I277" s="15" t="s">
        <v>258</v>
      </c>
      <c r="J277" s="20">
        <v>61</v>
      </c>
    </row>
    <row r="278" spans="1:10" hidden="1" x14ac:dyDescent="0.3">
      <c r="A278" s="19" t="s">
        <v>778</v>
      </c>
      <c r="B278" s="15" t="s">
        <v>73</v>
      </c>
      <c r="C278" s="15" t="s">
        <v>19</v>
      </c>
      <c r="D278" s="15" t="s">
        <v>13</v>
      </c>
      <c r="E278" s="59">
        <v>17</v>
      </c>
      <c r="F278" s="15">
        <v>12</v>
      </c>
      <c r="G278" s="15" t="s">
        <v>14</v>
      </c>
      <c r="H278" s="15" t="s">
        <v>37</v>
      </c>
      <c r="I278" s="15" t="s">
        <v>779</v>
      </c>
      <c r="J278" s="20">
        <v>76</v>
      </c>
    </row>
    <row r="279" spans="1:10" hidden="1" x14ac:dyDescent="0.3">
      <c r="A279" s="19" t="s">
        <v>784</v>
      </c>
      <c r="B279" s="15" t="s">
        <v>84</v>
      </c>
      <c r="C279" s="15" t="s">
        <v>12</v>
      </c>
      <c r="D279" s="15" t="s">
        <v>13</v>
      </c>
      <c r="E279" s="59">
        <v>17</v>
      </c>
      <c r="F279" s="15">
        <v>9</v>
      </c>
      <c r="G279" s="15" t="s">
        <v>43</v>
      </c>
      <c r="H279" s="15" t="s">
        <v>76</v>
      </c>
      <c r="I279" s="15" t="s">
        <v>685</v>
      </c>
      <c r="J279" s="20">
        <v>89</v>
      </c>
    </row>
    <row r="280" spans="1:10" hidden="1" x14ac:dyDescent="0.3">
      <c r="A280" s="19" t="s">
        <v>797</v>
      </c>
      <c r="B280" s="15" t="s">
        <v>23</v>
      </c>
      <c r="C280" s="15" t="s">
        <v>85</v>
      </c>
      <c r="D280" s="15" t="s">
        <v>13</v>
      </c>
      <c r="E280" s="59">
        <v>17</v>
      </c>
      <c r="F280" s="15">
        <v>12</v>
      </c>
      <c r="G280" s="15" t="s">
        <v>14</v>
      </c>
      <c r="H280" s="15" t="s">
        <v>76</v>
      </c>
      <c r="I280" s="15" t="s">
        <v>71</v>
      </c>
      <c r="J280" s="20">
        <v>77</v>
      </c>
    </row>
    <row r="281" spans="1:10" x14ac:dyDescent="0.3">
      <c r="A281" s="19" t="s">
        <v>798</v>
      </c>
      <c r="B281" s="15" t="s">
        <v>23</v>
      </c>
      <c r="C281" s="15" t="s">
        <v>19</v>
      </c>
      <c r="D281" s="15" t="s">
        <v>13</v>
      </c>
      <c r="E281" s="59">
        <v>17</v>
      </c>
      <c r="F281" s="15">
        <v>12</v>
      </c>
      <c r="G281" s="15" t="s">
        <v>14</v>
      </c>
      <c r="H281" s="15" t="s">
        <v>40</v>
      </c>
      <c r="I281" s="15" t="s">
        <v>159</v>
      </c>
      <c r="J281" s="20">
        <v>95</v>
      </c>
    </row>
    <row r="282" spans="1:10" hidden="1" x14ac:dyDescent="0.3">
      <c r="A282" s="19" t="s">
        <v>799</v>
      </c>
      <c r="B282" s="15" t="s">
        <v>54</v>
      </c>
      <c r="C282" s="15" t="s">
        <v>36</v>
      </c>
      <c r="D282" s="15" t="s">
        <v>31</v>
      </c>
      <c r="E282" s="59">
        <v>17</v>
      </c>
      <c r="F282" s="15">
        <v>12</v>
      </c>
      <c r="G282" s="15" t="s">
        <v>14</v>
      </c>
      <c r="H282" s="15" t="s">
        <v>46</v>
      </c>
      <c r="I282" s="15" t="s">
        <v>533</v>
      </c>
      <c r="J282" s="20">
        <v>59</v>
      </c>
    </row>
    <row r="283" spans="1:10" hidden="1" x14ac:dyDescent="0.3">
      <c r="A283" s="19" t="s">
        <v>805</v>
      </c>
      <c r="B283" s="15" t="s">
        <v>29</v>
      </c>
      <c r="C283" s="15" t="s">
        <v>36</v>
      </c>
      <c r="D283" s="15" t="s">
        <v>31</v>
      </c>
      <c r="E283" s="59">
        <v>17</v>
      </c>
      <c r="F283" s="15">
        <v>10</v>
      </c>
      <c r="G283" s="15" t="s">
        <v>25</v>
      </c>
      <c r="H283" s="15" t="s">
        <v>15</v>
      </c>
      <c r="I283" s="15" t="s">
        <v>806</v>
      </c>
      <c r="J283" s="20">
        <v>59</v>
      </c>
    </row>
    <row r="284" spans="1:10" hidden="1" x14ac:dyDescent="0.3">
      <c r="A284" s="19" t="s">
        <v>813</v>
      </c>
      <c r="B284" s="15" t="s">
        <v>73</v>
      </c>
      <c r="C284" s="15" t="s">
        <v>58</v>
      </c>
      <c r="D284" s="15" t="s">
        <v>13</v>
      </c>
      <c r="E284" s="59">
        <v>17</v>
      </c>
      <c r="F284" s="15">
        <v>12</v>
      </c>
      <c r="G284" s="15" t="s">
        <v>32</v>
      </c>
      <c r="H284" s="15" t="s">
        <v>46</v>
      </c>
      <c r="I284" s="15" t="s">
        <v>346</v>
      </c>
      <c r="J284" s="20">
        <v>60</v>
      </c>
    </row>
    <row r="285" spans="1:10" x14ac:dyDescent="0.3">
      <c r="A285" s="19" t="s">
        <v>814</v>
      </c>
      <c r="B285" s="15" t="s">
        <v>18</v>
      </c>
      <c r="C285" s="15" t="s">
        <v>24</v>
      </c>
      <c r="D285" s="15" t="s">
        <v>31</v>
      </c>
      <c r="E285" s="59">
        <v>17</v>
      </c>
      <c r="F285" s="15">
        <v>10</v>
      </c>
      <c r="G285" s="15" t="s">
        <v>14</v>
      </c>
      <c r="H285" s="15" t="s">
        <v>76</v>
      </c>
      <c r="I285" s="15" t="s">
        <v>815</v>
      </c>
      <c r="J285" s="20">
        <v>47</v>
      </c>
    </row>
    <row r="286" spans="1:10" hidden="1" x14ac:dyDescent="0.3">
      <c r="A286" s="19" t="s">
        <v>830</v>
      </c>
      <c r="B286" s="15" t="s">
        <v>23</v>
      </c>
      <c r="C286" s="15" t="s">
        <v>58</v>
      </c>
      <c r="D286" s="15" t="s">
        <v>31</v>
      </c>
      <c r="E286" s="59">
        <v>17</v>
      </c>
      <c r="F286" s="15">
        <v>9</v>
      </c>
      <c r="G286" s="15" t="s">
        <v>43</v>
      </c>
      <c r="H286" s="15" t="s">
        <v>61</v>
      </c>
      <c r="I286" s="15" t="s">
        <v>820</v>
      </c>
      <c r="J286" s="20">
        <v>59</v>
      </c>
    </row>
    <row r="287" spans="1:10" x14ac:dyDescent="0.3">
      <c r="A287" s="19" t="s">
        <v>838</v>
      </c>
      <c r="B287" s="15" t="s">
        <v>29</v>
      </c>
      <c r="C287" s="15" t="s">
        <v>36</v>
      </c>
      <c r="D287" s="15" t="s">
        <v>31</v>
      </c>
      <c r="E287" s="59">
        <v>17</v>
      </c>
      <c r="F287" s="15">
        <v>10</v>
      </c>
      <c r="G287" s="15" t="s">
        <v>25</v>
      </c>
      <c r="H287" s="15" t="s">
        <v>15</v>
      </c>
      <c r="I287" s="15" t="s">
        <v>839</v>
      </c>
      <c r="J287" s="20">
        <v>35</v>
      </c>
    </row>
    <row r="288" spans="1:10" hidden="1" x14ac:dyDescent="0.3">
      <c r="A288" s="19" t="s">
        <v>843</v>
      </c>
      <c r="B288" s="15" t="s">
        <v>54</v>
      </c>
      <c r="C288" s="15" t="s">
        <v>12</v>
      </c>
      <c r="D288" s="15" t="s">
        <v>31</v>
      </c>
      <c r="E288" s="59">
        <v>17</v>
      </c>
      <c r="F288" s="15">
        <v>10</v>
      </c>
      <c r="G288" s="15" t="s">
        <v>25</v>
      </c>
      <c r="H288" s="15" t="s">
        <v>40</v>
      </c>
      <c r="I288" s="15" t="s">
        <v>844</v>
      </c>
      <c r="J288" s="20">
        <v>43</v>
      </c>
    </row>
    <row r="289" spans="1:10" hidden="1" x14ac:dyDescent="0.3">
      <c r="A289" s="19" t="s">
        <v>846</v>
      </c>
      <c r="B289" s="15" t="s">
        <v>35</v>
      </c>
      <c r="C289" s="15" t="s">
        <v>79</v>
      </c>
      <c r="D289" s="15" t="s">
        <v>13</v>
      </c>
      <c r="E289" s="59">
        <v>17</v>
      </c>
      <c r="F289" s="15">
        <v>12</v>
      </c>
      <c r="G289" s="15" t="s">
        <v>25</v>
      </c>
      <c r="H289" s="15" t="s">
        <v>46</v>
      </c>
      <c r="I289" s="15" t="s">
        <v>847</v>
      </c>
      <c r="J289" s="20">
        <v>41</v>
      </c>
    </row>
    <row r="290" spans="1:10" hidden="1" x14ac:dyDescent="0.3">
      <c r="A290" s="19" t="s">
        <v>862</v>
      </c>
      <c r="B290" s="15" t="s">
        <v>51</v>
      </c>
      <c r="C290" s="15" t="s">
        <v>24</v>
      </c>
      <c r="D290" s="15" t="s">
        <v>13</v>
      </c>
      <c r="E290" s="59">
        <v>17</v>
      </c>
      <c r="F290" s="15">
        <v>9</v>
      </c>
      <c r="G290" s="15" t="s">
        <v>43</v>
      </c>
      <c r="H290" s="15" t="s">
        <v>15</v>
      </c>
      <c r="I290" s="15" t="s">
        <v>863</v>
      </c>
      <c r="J290" s="20">
        <v>86</v>
      </c>
    </row>
    <row r="291" spans="1:10" hidden="1" x14ac:dyDescent="0.3">
      <c r="A291" s="19" t="s">
        <v>864</v>
      </c>
      <c r="B291" s="15" t="s">
        <v>35</v>
      </c>
      <c r="C291" s="15" t="s">
        <v>58</v>
      </c>
      <c r="D291" s="15" t="s">
        <v>13</v>
      </c>
      <c r="E291" s="59">
        <v>17</v>
      </c>
      <c r="F291" s="15">
        <v>10</v>
      </c>
      <c r="G291" s="15" t="s">
        <v>14</v>
      </c>
      <c r="H291" s="15" t="s">
        <v>20</v>
      </c>
      <c r="I291" s="15" t="s">
        <v>865</v>
      </c>
      <c r="J291" s="20">
        <v>92</v>
      </c>
    </row>
    <row r="292" spans="1:10" x14ac:dyDescent="0.3">
      <c r="A292" s="19" t="s">
        <v>869</v>
      </c>
      <c r="B292" s="15" t="s">
        <v>73</v>
      </c>
      <c r="C292" s="15" t="s">
        <v>96</v>
      </c>
      <c r="D292" s="15" t="s">
        <v>31</v>
      </c>
      <c r="E292" s="59">
        <v>17</v>
      </c>
      <c r="F292" s="15">
        <v>9</v>
      </c>
      <c r="G292" s="15" t="s">
        <v>43</v>
      </c>
      <c r="H292" s="15" t="s">
        <v>26</v>
      </c>
      <c r="I292" s="15" t="s">
        <v>870</v>
      </c>
      <c r="J292" s="20">
        <v>53</v>
      </c>
    </row>
    <row r="293" spans="1:10" hidden="1" x14ac:dyDescent="0.3">
      <c r="A293" s="19" t="s">
        <v>887</v>
      </c>
      <c r="B293" s="15" t="s">
        <v>11</v>
      </c>
      <c r="C293" s="15" t="s">
        <v>30</v>
      </c>
      <c r="D293" s="15" t="s">
        <v>31</v>
      </c>
      <c r="E293" s="59">
        <v>17</v>
      </c>
      <c r="F293" s="15">
        <v>9</v>
      </c>
      <c r="G293" s="15" t="s">
        <v>14</v>
      </c>
      <c r="H293" s="15" t="s">
        <v>76</v>
      </c>
      <c r="I293" s="15" t="s">
        <v>653</v>
      </c>
      <c r="J293" s="20">
        <v>53</v>
      </c>
    </row>
    <row r="294" spans="1:10" hidden="1" x14ac:dyDescent="0.3">
      <c r="A294" s="19" t="s">
        <v>891</v>
      </c>
      <c r="B294" s="15" t="s">
        <v>68</v>
      </c>
      <c r="C294" s="15" t="s">
        <v>79</v>
      </c>
      <c r="D294" s="15" t="s">
        <v>31</v>
      </c>
      <c r="E294" s="59">
        <v>17</v>
      </c>
      <c r="F294" s="15">
        <v>10</v>
      </c>
      <c r="G294" s="15" t="s">
        <v>32</v>
      </c>
      <c r="H294" s="15" t="s">
        <v>61</v>
      </c>
      <c r="I294" s="15" t="s">
        <v>892</v>
      </c>
      <c r="J294" s="20">
        <v>56</v>
      </c>
    </row>
    <row r="295" spans="1:10" hidden="1" x14ac:dyDescent="0.3">
      <c r="A295" s="19" t="s">
        <v>893</v>
      </c>
      <c r="B295" s="15" t="s">
        <v>29</v>
      </c>
      <c r="C295" s="15" t="s">
        <v>30</v>
      </c>
      <c r="D295" s="15" t="s">
        <v>13</v>
      </c>
      <c r="E295" s="59">
        <v>17</v>
      </c>
      <c r="F295" s="15">
        <v>9</v>
      </c>
      <c r="G295" s="15" t="s">
        <v>14</v>
      </c>
      <c r="H295" s="15" t="s">
        <v>46</v>
      </c>
      <c r="I295" s="15" t="s">
        <v>423</v>
      </c>
      <c r="J295" s="20">
        <v>46</v>
      </c>
    </row>
    <row r="296" spans="1:10" hidden="1" x14ac:dyDescent="0.3">
      <c r="A296" s="19" t="s">
        <v>898</v>
      </c>
      <c r="B296" s="15" t="s">
        <v>18</v>
      </c>
      <c r="C296" s="15" t="s">
        <v>19</v>
      </c>
      <c r="D296" s="15" t="s">
        <v>13</v>
      </c>
      <c r="E296" s="59">
        <v>17</v>
      </c>
      <c r="F296" s="15">
        <v>10</v>
      </c>
      <c r="G296" s="15" t="s">
        <v>25</v>
      </c>
      <c r="H296" s="15" t="s">
        <v>61</v>
      </c>
      <c r="I296" s="15" t="s">
        <v>471</v>
      </c>
      <c r="J296" s="20">
        <v>58</v>
      </c>
    </row>
    <row r="297" spans="1:10" hidden="1" x14ac:dyDescent="0.3">
      <c r="A297" s="19" t="s">
        <v>906</v>
      </c>
      <c r="B297" s="15" t="s">
        <v>73</v>
      </c>
      <c r="C297" s="15" t="s">
        <v>36</v>
      </c>
      <c r="D297" s="15" t="s">
        <v>13</v>
      </c>
      <c r="E297" s="59">
        <v>17</v>
      </c>
      <c r="F297" s="15">
        <v>12</v>
      </c>
      <c r="G297" s="15" t="s">
        <v>25</v>
      </c>
      <c r="H297" s="15" t="s">
        <v>76</v>
      </c>
      <c r="I297" s="15" t="s">
        <v>907</v>
      </c>
      <c r="J297" s="20">
        <v>75</v>
      </c>
    </row>
    <row r="298" spans="1:10" hidden="1" x14ac:dyDescent="0.3">
      <c r="A298" s="19" t="s">
        <v>912</v>
      </c>
      <c r="B298" s="15" t="s">
        <v>23</v>
      </c>
      <c r="C298" s="15" t="s">
        <v>79</v>
      </c>
      <c r="D298" s="15" t="s">
        <v>31</v>
      </c>
      <c r="E298" s="59">
        <v>17</v>
      </c>
      <c r="F298" s="15">
        <v>12</v>
      </c>
      <c r="G298" s="15" t="s">
        <v>32</v>
      </c>
      <c r="H298" s="15" t="s">
        <v>46</v>
      </c>
      <c r="I298" s="15" t="s">
        <v>400</v>
      </c>
      <c r="J298" s="20">
        <v>70</v>
      </c>
    </row>
    <row r="299" spans="1:10" hidden="1" x14ac:dyDescent="0.3">
      <c r="A299" s="19" t="s">
        <v>915</v>
      </c>
      <c r="B299" s="15" t="s">
        <v>23</v>
      </c>
      <c r="C299" s="15" t="s">
        <v>58</v>
      </c>
      <c r="D299" s="15" t="s">
        <v>31</v>
      </c>
      <c r="E299" s="59">
        <v>17</v>
      </c>
      <c r="F299" s="15">
        <v>9</v>
      </c>
      <c r="G299" s="15" t="s">
        <v>25</v>
      </c>
      <c r="H299" s="15" t="s">
        <v>46</v>
      </c>
      <c r="I299" s="15" t="s">
        <v>916</v>
      </c>
      <c r="J299" s="20">
        <v>85</v>
      </c>
    </row>
    <row r="300" spans="1:10" hidden="1" x14ac:dyDescent="0.3">
      <c r="A300" s="19" t="s">
        <v>104</v>
      </c>
      <c r="B300" s="15" t="s">
        <v>29</v>
      </c>
      <c r="C300" s="15" t="s">
        <v>79</v>
      </c>
      <c r="D300" s="15" t="s">
        <v>31</v>
      </c>
      <c r="E300" s="59">
        <v>18</v>
      </c>
      <c r="F300" s="15">
        <v>10</v>
      </c>
      <c r="G300" s="15" t="s">
        <v>25</v>
      </c>
      <c r="H300" s="15" t="s">
        <v>61</v>
      </c>
      <c r="I300" s="15" t="s">
        <v>105</v>
      </c>
      <c r="J300" s="20">
        <v>57</v>
      </c>
    </row>
    <row r="301" spans="1:10" hidden="1" x14ac:dyDescent="0.3">
      <c r="A301" s="19" t="s">
        <v>124</v>
      </c>
      <c r="B301" s="15" t="s">
        <v>68</v>
      </c>
      <c r="C301" s="15" t="s">
        <v>36</v>
      </c>
      <c r="D301" s="15" t="s">
        <v>13</v>
      </c>
      <c r="E301" s="59">
        <v>18</v>
      </c>
      <c r="F301" s="15">
        <v>10</v>
      </c>
      <c r="G301" s="15" t="s">
        <v>43</v>
      </c>
      <c r="H301" s="15" t="s">
        <v>20</v>
      </c>
      <c r="I301" s="15" t="s">
        <v>125</v>
      </c>
      <c r="J301" s="20">
        <v>66</v>
      </c>
    </row>
    <row r="302" spans="1:10" hidden="1" x14ac:dyDescent="0.3">
      <c r="A302" s="19" t="s">
        <v>138</v>
      </c>
      <c r="B302" s="15" t="s">
        <v>51</v>
      </c>
      <c r="C302" s="15" t="s">
        <v>85</v>
      </c>
      <c r="D302" s="15" t="s">
        <v>13</v>
      </c>
      <c r="E302" s="59">
        <v>18</v>
      </c>
      <c r="F302" s="15">
        <v>11</v>
      </c>
      <c r="G302" s="15" t="s">
        <v>43</v>
      </c>
      <c r="H302" s="15" t="s">
        <v>61</v>
      </c>
      <c r="I302" s="15" t="s">
        <v>139</v>
      </c>
      <c r="J302" s="20">
        <v>100</v>
      </c>
    </row>
    <row r="303" spans="1:10" hidden="1" x14ac:dyDescent="0.3">
      <c r="A303" s="19" t="s">
        <v>154</v>
      </c>
      <c r="B303" s="15" t="s">
        <v>51</v>
      </c>
      <c r="C303" s="15" t="s">
        <v>36</v>
      </c>
      <c r="D303" s="15" t="s">
        <v>31</v>
      </c>
      <c r="E303" s="59">
        <v>18</v>
      </c>
      <c r="F303" s="15">
        <v>12</v>
      </c>
      <c r="G303" s="15" t="s">
        <v>43</v>
      </c>
      <c r="H303" s="15" t="s">
        <v>76</v>
      </c>
      <c r="I303" s="15" t="s">
        <v>155</v>
      </c>
      <c r="J303" s="20">
        <v>77</v>
      </c>
    </row>
    <row r="304" spans="1:10" hidden="1" x14ac:dyDescent="0.3">
      <c r="A304" s="19" t="s">
        <v>169</v>
      </c>
      <c r="B304" s="15" t="s">
        <v>11</v>
      </c>
      <c r="C304" s="15" t="s">
        <v>30</v>
      </c>
      <c r="D304" s="15" t="s">
        <v>31</v>
      </c>
      <c r="E304" s="59">
        <v>18</v>
      </c>
      <c r="F304" s="15">
        <v>9</v>
      </c>
      <c r="G304" s="15" t="s">
        <v>25</v>
      </c>
      <c r="H304" s="15" t="s">
        <v>46</v>
      </c>
      <c r="I304" s="15" t="s">
        <v>170</v>
      </c>
      <c r="J304" s="20">
        <v>60</v>
      </c>
    </row>
    <row r="305" spans="1:10" hidden="1" x14ac:dyDescent="0.3">
      <c r="A305" s="19" t="s">
        <v>173</v>
      </c>
      <c r="B305" s="15" t="s">
        <v>54</v>
      </c>
      <c r="C305" s="15" t="s">
        <v>30</v>
      </c>
      <c r="D305" s="15" t="s">
        <v>31</v>
      </c>
      <c r="E305" s="59">
        <v>18</v>
      </c>
      <c r="F305" s="15">
        <v>9</v>
      </c>
      <c r="G305" s="15" t="s">
        <v>32</v>
      </c>
      <c r="H305" s="15" t="s">
        <v>40</v>
      </c>
      <c r="I305" s="15" t="s">
        <v>174</v>
      </c>
      <c r="J305" s="20">
        <v>54</v>
      </c>
    </row>
    <row r="306" spans="1:10" x14ac:dyDescent="0.3">
      <c r="A306" s="19" t="s">
        <v>181</v>
      </c>
      <c r="B306" s="15" t="s">
        <v>11</v>
      </c>
      <c r="C306" s="15" t="s">
        <v>55</v>
      </c>
      <c r="D306" s="15" t="s">
        <v>31</v>
      </c>
      <c r="E306" s="59">
        <v>18</v>
      </c>
      <c r="F306" s="15">
        <v>10</v>
      </c>
      <c r="G306" s="15" t="s">
        <v>25</v>
      </c>
      <c r="H306" s="15" t="s">
        <v>46</v>
      </c>
      <c r="I306" s="15" t="s">
        <v>182</v>
      </c>
      <c r="J306" s="20">
        <v>98</v>
      </c>
    </row>
    <row r="307" spans="1:10" hidden="1" x14ac:dyDescent="0.3">
      <c r="A307" s="19" t="s">
        <v>196</v>
      </c>
      <c r="B307" s="15" t="s">
        <v>23</v>
      </c>
      <c r="C307" s="15" t="s">
        <v>79</v>
      </c>
      <c r="D307" s="15" t="s">
        <v>13</v>
      </c>
      <c r="E307" s="59">
        <v>18</v>
      </c>
      <c r="F307" s="15">
        <v>12</v>
      </c>
      <c r="G307" s="15" t="s">
        <v>43</v>
      </c>
      <c r="H307" s="15" t="s">
        <v>76</v>
      </c>
      <c r="I307" s="15" t="s">
        <v>197</v>
      </c>
      <c r="J307" s="20">
        <v>67</v>
      </c>
    </row>
    <row r="308" spans="1:10" hidden="1" x14ac:dyDescent="0.3">
      <c r="A308" s="19" t="s">
        <v>200</v>
      </c>
      <c r="B308" s="15" t="s">
        <v>29</v>
      </c>
      <c r="C308" s="15" t="s">
        <v>12</v>
      </c>
      <c r="D308" s="15" t="s">
        <v>13</v>
      </c>
      <c r="E308" s="59">
        <v>18</v>
      </c>
      <c r="F308" s="15">
        <v>12</v>
      </c>
      <c r="G308" s="15" t="s">
        <v>25</v>
      </c>
      <c r="H308" s="15" t="s">
        <v>26</v>
      </c>
      <c r="I308" s="15" t="s">
        <v>201</v>
      </c>
      <c r="J308" s="20">
        <v>89</v>
      </c>
    </row>
    <row r="309" spans="1:10" hidden="1" x14ac:dyDescent="0.3">
      <c r="A309" s="19" t="s">
        <v>209</v>
      </c>
      <c r="B309" s="15" t="s">
        <v>29</v>
      </c>
      <c r="C309" s="15" t="s">
        <v>30</v>
      </c>
      <c r="D309" s="15" t="s">
        <v>31</v>
      </c>
      <c r="E309" s="59">
        <v>18</v>
      </c>
      <c r="F309" s="15">
        <v>11</v>
      </c>
      <c r="G309" s="15" t="s">
        <v>43</v>
      </c>
      <c r="H309" s="15" t="s">
        <v>20</v>
      </c>
      <c r="I309" s="15" t="s">
        <v>210</v>
      </c>
      <c r="J309" s="20">
        <v>78</v>
      </c>
    </row>
    <row r="310" spans="1:10" x14ac:dyDescent="0.3">
      <c r="A310" s="19" t="s">
        <v>223</v>
      </c>
      <c r="B310" s="15" t="s">
        <v>68</v>
      </c>
      <c r="C310" s="15" t="s">
        <v>24</v>
      </c>
      <c r="D310" s="15" t="s">
        <v>13</v>
      </c>
      <c r="E310" s="59">
        <v>18</v>
      </c>
      <c r="F310" s="15">
        <v>11</v>
      </c>
      <c r="G310" s="15" t="s">
        <v>32</v>
      </c>
      <c r="H310" s="15" t="s">
        <v>40</v>
      </c>
      <c r="I310" s="15" t="s">
        <v>224</v>
      </c>
      <c r="J310" s="20">
        <v>87</v>
      </c>
    </row>
    <row r="311" spans="1:10" hidden="1" x14ac:dyDescent="0.3">
      <c r="A311" s="19" t="s">
        <v>231</v>
      </c>
      <c r="B311" s="15" t="s">
        <v>23</v>
      </c>
      <c r="C311" s="15" t="s">
        <v>24</v>
      </c>
      <c r="D311" s="15" t="s">
        <v>31</v>
      </c>
      <c r="E311" s="59">
        <v>18</v>
      </c>
      <c r="F311" s="15">
        <v>9</v>
      </c>
      <c r="G311" s="15" t="s">
        <v>25</v>
      </c>
      <c r="H311" s="15" t="s">
        <v>61</v>
      </c>
      <c r="I311" s="15" t="s">
        <v>232</v>
      </c>
      <c r="J311" s="20">
        <v>88</v>
      </c>
    </row>
    <row r="312" spans="1:10" hidden="1" x14ac:dyDescent="0.3">
      <c r="A312" s="19" t="s">
        <v>239</v>
      </c>
      <c r="B312" s="15" t="s">
        <v>68</v>
      </c>
      <c r="C312" s="15" t="s">
        <v>58</v>
      </c>
      <c r="D312" s="15" t="s">
        <v>13</v>
      </c>
      <c r="E312" s="59">
        <v>18</v>
      </c>
      <c r="F312" s="15">
        <v>11</v>
      </c>
      <c r="G312" s="15" t="s">
        <v>25</v>
      </c>
      <c r="H312" s="15" t="s">
        <v>15</v>
      </c>
      <c r="I312" s="15" t="s">
        <v>240</v>
      </c>
      <c r="J312" s="20">
        <v>48</v>
      </c>
    </row>
    <row r="313" spans="1:10" hidden="1" x14ac:dyDescent="0.3">
      <c r="A313" s="19" t="s">
        <v>245</v>
      </c>
      <c r="B313" s="15" t="s">
        <v>54</v>
      </c>
      <c r="C313" s="15" t="s">
        <v>19</v>
      </c>
      <c r="D313" s="15" t="s">
        <v>31</v>
      </c>
      <c r="E313" s="59">
        <v>18</v>
      </c>
      <c r="F313" s="15">
        <v>12</v>
      </c>
      <c r="G313" s="15" t="s">
        <v>32</v>
      </c>
      <c r="H313" s="15" t="s">
        <v>26</v>
      </c>
      <c r="I313" s="15" t="s">
        <v>246</v>
      </c>
      <c r="J313" s="20">
        <v>74</v>
      </c>
    </row>
    <row r="314" spans="1:10" hidden="1" x14ac:dyDescent="0.3">
      <c r="A314" s="19" t="s">
        <v>280</v>
      </c>
      <c r="B314" s="15" t="s">
        <v>84</v>
      </c>
      <c r="C314" s="15" t="s">
        <v>58</v>
      </c>
      <c r="D314" s="15" t="s">
        <v>13</v>
      </c>
      <c r="E314" s="59">
        <v>18</v>
      </c>
      <c r="F314" s="15">
        <v>12</v>
      </c>
      <c r="G314" s="15" t="s">
        <v>32</v>
      </c>
      <c r="H314" s="15" t="s">
        <v>76</v>
      </c>
      <c r="I314" s="15" t="s">
        <v>159</v>
      </c>
      <c r="J314" s="20">
        <v>98</v>
      </c>
    </row>
    <row r="315" spans="1:10" hidden="1" x14ac:dyDescent="0.3">
      <c r="A315" s="19" t="s">
        <v>300</v>
      </c>
      <c r="B315" s="15" t="s">
        <v>11</v>
      </c>
      <c r="C315" s="15" t="s">
        <v>79</v>
      </c>
      <c r="D315" s="15" t="s">
        <v>31</v>
      </c>
      <c r="E315" s="59">
        <v>18</v>
      </c>
      <c r="F315" s="15">
        <v>9</v>
      </c>
      <c r="G315" s="15" t="s">
        <v>14</v>
      </c>
      <c r="H315" s="15" t="s">
        <v>20</v>
      </c>
      <c r="I315" s="15" t="s">
        <v>301</v>
      </c>
      <c r="J315" s="20">
        <v>66</v>
      </c>
    </row>
    <row r="316" spans="1:10" hidden="1" x14ac:dyDescent="0.3">
      <c r="A316" s="19" t="s">
        <v>308</v>
      </c>
      <c r="B316" s="15" t="s">
        <v>23</v>
      </c>
      <c r="C316" s="15" t="s">
        <v>36</v>
      </c>
      <c r="D316" s="15" t="s">
        <v>13</v>
      </c>
      <c r="E316" s="59">
        <v>18</v>
      </c>
      <c r="F316" s="15">
        <v>10</v>
      </c>
      <c r="G316" s="15" t="s">
        <v>43</v>
      </c>
      <c r="H316" s="15" t="s">
        <v>40</v>
      </c>
      <c r="I316" s="15" t="s">
        <v>309</v>
      </c>
      <c r="J316" s="20">
        <v>57</v>
      </c>
    </row>
    <row r="317" spans="1:10" hidden="1" x14ac:dyDescent="0.3">
      <c r="A317" s="19" t="s">
        <v>318</v>
      </c>
      <c r="B317" s="15" t="s">
        <v>54</v>
      </c>
      <c r="C317" s="15" t="s">
        <v>96</v>
      </c>
      <c r="D317" s="15" t="s">
        <v>13</v>
      </c>
      <c r="E317" s="59">
        <v>18</v>
      </c>
      <c r="F317" s="15">
        <v>9</v>
      </c>
      <c r="G317" s="15" t="s">
        <v>32</v>
      </c>
      <c r="H317" s="15" t="s">
        <v>76</v>
      </c>
      <c r="I317" s="15" t="s">
        <v>319</v>
      </c>
      <c r="J317" s="20">
        <v>86</v>
      </c>
    </row>
    <row r="318" spans="1:10" hidden="1" x14ac:dyDescent="0.3">
      <c r="A318" s="19" t="s">
        <v>334</v>
      </c>
      <c r="B318" s="15" t="s">
        <v>73</v>
      </c>
      <c r="C318" s="15" t="s">
        <v>12</v>
      </c>
      <c r="D318" s="15" t="s">
        <v>31</v>
      </c>
      <c r="E318" s="59">
        <v>18</v>
      </c>
      <c r="F318" s="15">
        <v>11</v>
      </c>
      <c r="G318" s="15" t="s">
        <v>32</v>
      </c>
      <c r="H318" s="15" t="s">
        <v>76</v>
      </c>
      <c r="I318" s="15" t="s">
        <v>335</v>
      </c>
      <c r="J318" s="20">
        <v>97</v>
      </c>
    </row>
    <row r="319" spans="1:10" hidden="1" x14ac:dyDescent="0.3">
      <c r="A319" s="19" t="s">
        <v>339</v>
      </c>
      <c r="B319" s="15" t="s">
        <v>23</v>
      </c>
      <c r="C319" s="15" t="s">
        <v>36</v>
      </c>
      <c r="D319" s="15" t="s">
        <v>13</v>
      </c>
      <c r="E319" s="59">
        <v>18</v>
      </c>
      <c r="F319" s="15">
        <v>9</v>
      </c>
      <c r="G319" s="15" t="s">
        <v>32</v>
      </c>
      <c r="H319" s="15" t="s">
        <v>37</v>
      </c>
      <c r="I319" s="15" t="s">
        <v>340</v>
      </c>
      <c r="J319" s="20">
        <v>64</v>
      </c>
    </row>
    <row r="320" spans="1:10" hidden="1" x14ac:dyDescent="0.3">
      <c r="A320" s="19" t="s">
        <v>349</v>
      </c>
      <c r="B320" s="15" t="s">
        <v>35</v>
      </c>
      <c r="C320" s="15" t="s">
        <v>30</v>
      </c>
      <c r="D320" s="15" t="s">
        <v>31</v>
      </c>
      <c r="E320" s="59">
        <v>18</v>
      </c>
      <c r="F320" s="15">
        <v>12</v>
      </c>
      <c r="G320" s="15" t="s">
        <v>43</v>
      </c>
      <c r="H320" s="15" t="s">
        <v>37</v>
      </c>
      <c r="I320" s="15" t="s">
        <v>350</v>
      </c>
      <c r="J320" s="20">
        <v>53</v>
      </c>
    </row>
    <row r="321" spans="1:10" hidden="1" x14ac:dyDescent="0.3">
      <c r="A321" s="19" t="s">
        <v>375</v>
      </c>
      <c r="B321" s="15" t="s">
        <v>35</v>
      </c>
      <c r="C321" s="15" t="s">
        <v>36</v>
      </c>
      <c r="D321" s="15" t="s">
        <v>13</v>
      </c>
      <c r="E321" s="59">
        <v>18</v>
      </c>
      <c r="F321" s="15">
        <v>11</v>
      </c>
      <c r="G321" s="15" t="s">
        <v>25</v>
      </c>
      <c r="H321" s="15" t="s">
        <v>40</v>
      </c>
      <c r="I321" s="15" t="s">
        <v>376</v>
      </c>
      <c r="J321" s="20">
        <v>62</v>
      </c>
    </row>
    <row r="322" spans="1:10" hidden="1" x14ac:dyDescent="0.3">
      <c r="A322" s="19" t="s">
        <v>380</v>
      </c>
      <c r="B322" s="15" t="s">
        <v>11</v>
      </c>
      <c r="C322" s="15" t="s">
        <v>24</v>
      </c>
      <c r="D322" s="15" t="s">
        <v>31</v>
      </c>
      <c r="E322" s="59">
        <v>18</v>
      </c>
      <c r="F322" s="15">
        <v>11</v>
      </c>
      <c r="G322" s="15" t="s">
        <v>32</v>
      </c>
      <c r="H322" s="15" t="s">
        <v>61</v>
      </c>
      <c r="I322" s="15" t="s">
        <v>381</v>
      </c>
      <c r="J322" s="20">
        <v>67</v>
      </c>
    </row>
    <row r="323" spans="1:10" hidden="1" x14ac:dyDescent="0.3">
      <c r="A323" s="19" t="s">
        <v>386</v>
      </c>
      <c r="B323" s="15" t="s">
        <v>68</v>
      </c>
      <c r="C323" s="15" t="s">
        <v>96</v>
      </c>
      <c r="D323" s="15" t="s">
        <v>13</v>
      </c>
      <c r="E323" s="59">
        <v>18</v>
      </c>
      <c r="F323" s="15">
        <v>9</v>
      </c>
      <c r="G323" s="15" t="s">
        <v>25</v>
      </c>
      <c r="H323" s="15" t="s">
        <v>46</v>
      </c>
      <c r="I323" s="15" t="s">
        <v>387</v>
      </c>
      <c r="J323" s="20">
        <v>74</v>
      </c>
    </row>
    <row r="324" spans="1:10" hidden="1" x14ac:dyDescent="0.3">
      <c r="A324" s="19" t="s">
        <v>395</v>
      </c>
      <c r="B324" s="15" t="s">
        <v>11</v>
      </c>
      <c r="C324" s="15" t="s">
        <v>96</v>
      </c>
      <c r="D324" s="15" t="s">
        <v>13</v>
      </c>
      <c r="E324" s="59">
        <v>18</v>
      </c>
      <c r="F324" s="15">
        <v>11</v>
      </c>
      <c r="G324" s="15" t="s">
        <v>25</v>
      </c>
      <c r="H324" s="15" t="s">
        <v>37</v>
      </c>
      <c r="I324" s="15" t="s">
        <v>396</v>
      </c>
      <c r="J324" s="20">
        <v>65</v>
      </c>
    </row>
    <row r="325" spans="1:10" hidden="1" x14ac:dyDescent="0.3">
      <c r="A325" s="19" t="s">
        <v>405</v>
      </c>
      <c r="B325" s="15" t="s">
        <v>18</v>
      </c>
      <c r="C325" s="15" t="s">
        <v>19</v>
      </c>
      <c r="D325" s="15" t="s">
        <v>31</v>
      </c>
      <c r="E325" s="59">
        <v>18</v>
      </c>
      <c r="F325" s="15">
        <v>12</v>
      </c>
      <c r="G325" s="15" t="s">
        <v>25</v>
      </c>
      <c r="H325" s="15" t="s">
        <v>37</v>
      </c>
      <c r="I325" s="15" t="s">
        <v>406</v>
      </c>
      <c r="J325" s="20">
        <v>70</v>
      </c>
    </row>
    <row r="326" spans="1:10" hidden="1" x14ac:dyDescent="0.3">
      <c r="A326" s="19" t="s">
        <v>430</v>
      </c>
      <c r="B326" s="15" t="s">
        <v>54</v>
      </c>
      <c r="C326" s="15" t="s">
        <v>30</v>
      </c>
      <c r="D326" s="15" t="s">
        <v>13</v>
      </c>
      <c r="E326" s="59">
        <v>18</v>
      </c>
      <c r="F326" s="15">
        <v>11</v>
      </c>
      <c r="G326" s="15" t="s">
        <v>25</v>
      </c>
      <c r="H326" s="15" t="s">
        <v>26</v>
      </c>
      <c r="I326" s="15" t="s">
        <v>431</v>
      </c>
      <c r="J326" s="20">
        <v>91</v>
      </c>
    </row>
    <row r="327" spans="1:10" hidden="1" x14ac:dyDescent="0.3">
      <c r="A327" s="19" t="s">
        <v>452</v>
      </c>
      <c r="B327" s="15" t="s">
        <v>51</v>
      </c>
      <c r="C327" s="15" t="s">
        <v>12</v>
      </c>
      <c r="D327" s="15" t="s">
        <v>13</v>
      </c>
      <c r="E327" s="59">
        <v>18</v>
      </c>
      <c r="F327" s="15">
        <v>9</v>
      </c>
      <c r="G327" s="15" t="s">
        <v>32</v>
      </c>
      <c r="H327" s="15" t="s">
        <v>76</v>
      </c>
      <c r="I327" s="15" t="s">
        <v>453</v>
      </c>
      <c r="J327" s="20">
        <v>35</v>
      </c>
    </row>
    <row r="328" spans="1:10" hidden="1" x14ac:dyDescent="0.3">
      <c r="A328" s="19" t="s">
        <v>480</v>
      </c>
      <c r="B328" s="15" t="s">
        <v>35</v>
      </c>
      <c r="C328" s="15" t="s">
        <v>12</v>
      </c>
      <c r="D328" s="15" t="s">
        <v>31</v>
      </c>
      <c r="E328" s="59">
        <v>18</v>
      </c>
      <c r="F328" s="15">
        <v>10</v>
      </c>
      <c r="G328" s="15" t="s">
        <v>14</v>
      </c>
      <c r="H328" s="15" t="s">
        <v>37</v>
      </c>
      <c r="I328" s="15" t="s">
        <v>481</v>
      </c>
      <c r="J328" s="20">
        <v>36</v>
      </c>
    </row>
    <row r="329" spans="1:10" hidden="1" x14ac:dyDescent="0.3">
      <c r="A329" s="19" t="s">
        <v>482</v>
      </c>
      <c r="B329" s="15" t="s">
        <v>35</v>
      </c>
      <c r="C329" s="15" t="s">
        <v>24</v>
      </c>
      <c r="D329" s="15" t="s">
        <v>13</v>
      </c>
      <c r="E329" s="59">
        <v>18</v>
      </c>
      <c r="F329" s="15">
        <v>11</v>
      </c>
      <c r="G329" s="15" t="s">
        <v>14</v>
      </c>
      <c r="H329" s="15" t="s">
        <v>61</v>
      </c>
      <c r="I329" s="15" t="s">
        <v>483</v>
      </c>
      <c r="J329" s="20">
        <v>86</v>
      </c>
    </row>
    <row r="330" spans="1:10" hidden="1" x14ac:dyDescent="0.3">
      <c r="A330" s="19" t="s">
        <v>501</v>
      </c>
      <c r="B330" s="15" t="s">
        <v>84</v>
      </c>
      <c r="C330" s="15" t="s">
        <v>19</v>
      </c>
      <c r="D330" s="15" t="s">
        <v>13</v>
      </c>
      <c r="E330" s="59">
        <v>18</v>
      </c>
      <c r="F330" s="15">
        <v>10</v>
      </c>
      <c r="G330" s="15" t="s">
        <v>14</v>
      </c>
      <c r="H330" s="15" t="s">
        <v>61</v>
      </c>
      <c r="I330" s="15" t="s">
        <v>502</v>
      </c>
      <c r="J330" s="20">
        <v>76</v>
      </c>
    </row>
    <row r="331" spans="1:10" hidden="1" x14ac:dyDescent="0.3">
      <c r="A331" s="19" t="s">
        <v>522</v>
      </c>
      <c r="B331" s="15" t="s">
        <v>54</v>
      </c>
      <c r="C331" s="15" t="s">
        <v>79</v>
      </c>
      <c r="D331" s="15" t="s">
        <v>31</v>
      </c>
      <c r="E331" s="59">
        <v>18</v>
      </c>
      <c r="F331" s="15">
        <v>10</v>
      </c>
      <c r="G331" s="15" t="s">
        <v>14</v>
      </c>
      <c r="H331" s="15" t="s">
        <v>61</v>
      </c>
      <c r="I331" s="15" t="s">
        <v>523</v>
      </c>
      <c r="J331" s="20">
        <v>82</v>
      </c>
    </row>
    <row r="332" spans="1:10" hidden="1" x14ac:dyDescent="0.3">
      <c r="A332" s="19" t="s">
        <v>526</v>
      </c>
      <c r="B332" s="15" t="s">
        <v>18</v>
      </c>
      <c r="C332" s="15" t="s">
        <v>12</v>
      </c>
      <c r="D332" s="15" t="s">
        <v>31</v>
      </c>
      <c r="E332" s="59">
        <v>18</v>
      </c>
      <c r="F332" s="15">
        <v>9</v>
      </c>
      <c r="G332" s="15" t="s">
        <v>14</v>
      </c>
      <c r="H332" s="15" t="s">
        <v>15</v>
      </c>
      <c r="I332" s="15" t="s">
        <v>346</v>
      </c>
      <c r="J332" s="20">
        <v>59</v>
      </c>
    </row>
    <row r="333" spans="1:10" hidden="1" x14ac:dyDescent="0.3">
      <c r="A333" s="19" t="s">
        <v>540</v>
      </c>
      <c r="B333" s="15" t="s">
        <v>51</v>
      </c>
      <c r="C333" s="15" t="s">
        <v>85</v>
      </c>
      <c r="D333" s="15" t="s">
        <v>13</v>
      </c>
      <c r="E333" s="59">
        <v>18</v>
      </c>
      <c r="F333" s="15">
        <v>10</v>
      </c>
      <c r="G333" s="15" t="s">
        <v>14</v>
      </c>
      <c r="H333" s="15" t="s">
        <v>46</v>
      </c>
      <c r="I333" s="15" t="s">
        <v>541</v>
      </c>
      <c r="J333" s="20">
        <v>63</v>
      </c>
    </row>
    <row r="334" spans="1:10" hidden="1" x14ac:dyDescent="0.3">
      <c r="A334" s="19" t="s">
        <v>542</v>
      </c>
      <c r="B334" s="15" t="s">
        <v>84</v>
      </c>
      <c r="C334" s="15" t="s">
        <v>55</v>
      </c>
      <c r="D334" s="15" t="s">
        <v>31</v>
      </c>
      <c r="E334" s="59">
        <v>18</v>
      </c>
      <c r="F334" s="15">
        <v>12</v>
      </c>
      <c r="G334" s="15" t="s">
        <v>32</v>
      </c>
      <c r="H334" s="15" t="s">
        <v>40</v>
      </c>
      <c r="I334" s="15" t="s">
        <v>543</v>
      </c>
      <c r="J334" s="20">
        <v>51</v>
      </c>
    </row>
    <row r="335" spans="1:10" hidden="1" x14ac:dyDescent="0.3">
      <c r="A335" s="19" t="s">
        <v>557</v>
      </c>
      <c r="B335" s="15" t="s">
        <v>23</v>
      </c>
      <c r="C335" s="15" t="s">
        <v>96</v>
      </c>
      <c r="D335" s="15" t="s">
        <v>13</v>
      </c>
      <c r="E335" s="59">
        <v>18</v>
      </c>
      <c r="F335" s="15">
        <v>11</v>
      </c>
      <c r="G335" s="15" t="s">
        <v>25</v>
      </c>
      <c r="H335" s="15" t="s">
        <v>76</v>
      </c>
      <c r="I335" s="15" t="s">
        <v>182</v>
      </c>
      <c r="J335" s="20">
        <v>77</v>
      </c>
    </row>
    <row r="336" spans="1:10" hidden="1" x14ac:dyDescent="0.3">
      <c r="A336" s="19" t="s">
        <v>567</v>
      </c>
      <c r="B336" s="15" t="s">
        <v>54</v>
      </c>
      <c r="C336" s="15" t="s">
        <v>12</v>
      </c>
      <c r="D336" s="15" t="s">
        <v>31</v>
      </c>
      <c r="E336" s="59">
        <v>18</v>
      </c>
      <c r="F336" s="15">
        <v>12</v>
      </c>
      <c r="G336" s="15" t="s">
        <v>25</v>
      </c>
      <c r="H336" s="15" t="s">
        <v>26</v>
      </c>
      <c r="I336" s="15" t="s">
        <v>568</v>
      </c>
      <c r="J336" s="20">
        <v>96</v>
      </c>
    </row>
    <row r="337" spans="1:10" hidden="1" x14ac:dyDescent="0.3">
      <c r="A337" s="19" t="s">
        <v>592</v>
      </c>
      <c r="B337" s="15" t="s">
        <v>51</v>
      </c>
      <c r="C337" s="15" t="s">
        <v>19</v>
      </c>
      <c r="D337" s="15" t="s">
        <v>31</v>
      </c>
      <c r="E337" s="59">
        <v>18</v>
      </c>
      <c r="F337" s="15">
        <v>10</v>
      </c>
      <c r="G337" s="15" t="s">
        <v>43</v>
      </c>
      <c r="H337" s="15" t="s">
        <v>76</v>
      </c>
      <c r="I337" s="15" t="s">
        <v>593</v>
      </c>
      <c r="J337" s="20">
        <v>98</v>
      </c>
    </row>
    <row r="338" spans="1:10" hidden="1" x14ac:dyDescent="0.3">
      <c r="A338" s="19" t="s">
        <v>597</v>
      </c>
      <c r="B338" s="15" t="s">
        <v>18</v>
      </c>
      <c r="C338" s="15" t="s">
        <v>85</v>
      </c>
      <c r="D338" s="15" t="s">
        <v>31</v>
      </c>
      <c r="E338" s="59">
        <v>18</v>
      </c>
      <c r="F338" s="15">
        <v>11</v>
      </c>
      <c r="G338" s="15" t="s">
        <v>43</v>
      </c>
      <c r="H338" s="15" t="s">
        <v>40</v>
      </c>
      <c r="I338" s="15" t="s">
        <v>598</v>
      </c>
      <c r="J338" s="20">
        <v>55</v>
      </c>
    </row>
    <row r="339" spans="1:10" hidden="1" x14ac:dyDescent="0.3">
      <c r="A339" s="19" t="s">
        <v>629</v>
      </c>
      <c r="B339" s="15" t="s">
        <v>35</v>
      </c>
      <c r="C339" s="15" t="s">
        <v>58</v>
      </c>
      <c r="D339" s="15" t="s">
        <v>13</v>
      </c>
      <c r="E339" s="59">
        <v>18</v>
      </c>
      <c r="F339" s="15">
        <v>9</v>
      </c>
      <c r="G339" s="15" t="s">
        <v>25</v>
      </c>
      <c r="H339" s="15" t="s">
        <v>76</v>
      </c>
      <c r="I339" s="15" t="s">
        <v>105</v>
      </c>
      <c r="J339" s="20">
        <v>82</v>
      </c>
    </row>
    <row r="340" spans="1:10" hidden="1" x14ac:dyDescent="0.3">
      <c r="A340" s="19" t="s">
        <v>709</v>
      </c>
      <c r="B340" s="15" t="s">
        <v>54</v>
      </c>
      <c r="C340" s="15" t="s">
        <v>19</v>
      </c>
      <c r="D340" s="15" t="s">
        <v>31</v>
      </c>
      <c r="E340" s="59">
        <v>18</v>
      </c>
      <c r="F340" s="15">
        <v>10</v>
      </c>
      <c r="G340" s="15" t="s">
        <v>43</v>
      </c>
      <c r="H340" s="15" t="s">
        <v>37</v>
      </c>
      <c r="I340" s="15" t="s">
        <v>710</v>
      </c>
      <c r="J340" s="20">
        <v>89</v>
      </c>
    </row>
    <row r="341" spans="1:10" hidden="1" x14ac:dyDescent="0.3">
      <c r="A341" s="19" t="s">
        <v>719</v>
      </c>
      <c r="B341" s="15" t="s">
        <v>18</v>
      </c>
      <c r="C341" s="15" t="s">
        <v>24</v>
      </c>
      <c r="D341" s="15" t="s">
        <v>31</v>
      </c>
      <c r="E341" s="59">
        <v>18</v>
      </c>
      <c r="F341" s="15">
        <v>11</v>
      </c>
      <c r="G341" s="15" t="s">
        <v>43</v>
      </c>
      <c r="H341" s="15" t="s">
        <v>40</v>
      </c>
      <c r="I341" s="15" t="s">
        <v>720</v>
      </c>
      <c r="J341" s="20">
        <v>83</v>
      </c>
    </row>
    <row r="342" spans="1:10" hidden="1" x14ac:dyDescent="0.3">
      <c r="A342" s="19" t="s">
        <v>721</v>
      </c>
      <c r="B342" s="15" t="s">
        <v>23</v>
      </c>
      <c r="C342" s="15" t="s">
        <v>19</v>
      </c>
      <c r="D342" s="15" t="s">
        <v>31</v>
      </c>
      <c r="E342" s="59">
        <v>18</v>
      </c>
      <c r="F342" s="15">
        <v>10</v>
      </c>
      <c r="G342" s="15" t="s">
        <v>14</v>
      </c>
      <c r="H342" s="15" t="s">
        <v>26</v>
      </c>
      <c r="I342" s="15" t="s">
        <v>722</v>
      </c>
      <c r="J342" s="20">
        <v>43</v>
      </c>
    </row>
    <row r="343" spans="1:10" hidden="1" x14ac:dyDescent="0.3">
      <c r="A343" s="19" t="s">
        <v>753</v>
      </c>
      <c r="B343" s="15" t="s">
        <v>73</v>
      </c>
      <c r="C343" s="15" t="s">
        <v>24</v>
      </c>
      <c r="D343" s="15" t="s">
        <v>13</v>
      </c>
      <c r="E343" s="59">
        <v>18</v>
      </c>
      <c r="F343" s="15">
        <v>11</v>
      </c>
      <c r="G343" s="15" t="s">
        <v>32</v>
      </c>
      <c r="H343" s="15" t="s">
        <v>40</v>
      </c>
      <c r="I343" s="15" t="s">
        <v>313</v>
      </c>
      <c r="J343" s="20">
        <v>58</v>
      </c>
    </row>
    <row r="344" spans="1:10" hidden="1" x14ac:dyDescent="0.3">
      <c r="A344" s="19" t="s">
        <v>771</v>
      </c>
      <c r="B344" s="15" t="s">
        <v>23</v>
      </c>
      <c r="C344" s="15" t="s">
        <v>24</v>
      </c>
      <c r="D344" s="15" t="s">
        <v>31</v>
      </c>
      <c r="E344" s="59">
        <v>18</v>
      </c>
      <c r="F344" s="15">
        <v>11</v>
      </c>
      <c r="G344" s="15" t="s">
        <v>25</v>
      </c>
      <c r="H344" s="15" t="s">
        <v>46</v>
      </c>
      <c r="I344" s="15" t="s">
        <v>772</v>
      </c>
      <c r="J344" s="20">
        <v>89</v>
      </c>
    </row>
    <row r="345" spans="1:10" hidden="1" x14ac:dyDescent="0.3">
      <c r="A345" s="19" t="s">
        <v>785</v>
      </c>
      <c r="B345" s="15" t="s">
        <v>35</v>
      </c>
      <c r="C345" s="15" t="s">
        <v>58</v>
      </c>
      <c r="D345" s="15" t="s">
        <v>13</v>
      </c>
      <c r="E345" s="59">
        <v>18</v>
      </c>
      <c r="F345" s="15">
        <v>12</v>
      </c>
      <c r="G345" s="15" t="s">
        <v>43</v>
      </c>
      <c r="H345" s="15" t="s">
        <v>20</v>
      </c>
      <c r="I345" s="15" t="s">
        <v>786</v>
      </c>
      <c r="J345" s="20">
        <v>93</v>
      </c>
    </row>
    <row r="346" spans="1:10" hidden="1" x14ac:dyDescent="0.3">
      <c r="A346" s="19" t="s">
        <v>789</v>
      </c>
      <c r="B346" s="15" t="s">
        <v>54</v>
      </c>
      <c r="C346" s="15" t="s">
        <v>12</v>
      </c>
      <c r="D346" s="15" t="s">
        <v>31</v>
      </c>
      <c r="E346" s="59">
        <v>18</v>
      </c>
      <c r="F346" s="15">
        <v>10</v>
      </c>
      <c r="G346" s="15" t="s">
        <v>25</v>
      </c>
      <c r="H346" s="15" t="s">
        <v>15</v>
      </c>
      <c r="I346" s="15" t="s">
        <v>790</v>
      </c>
      <c r="J346" s="20">
        <v>95</v>
      </c>
    </row>
    <row r="347" spans="1:10" hidden="1" x14ac:dyDescent="0.3">
      <c r="A347" s="19" t="s">
        <v>795</v>
      </c>
      <c r="B347" s="15" t="s">
        <v>54</v>
      </c>
      <c r="C347" s="15" t="s">
        <v>30</v>
      </c>
      <c r="D347" s="15" t="s">
        <v>13</v>
      </c>
      <c r="E347" s="59">
        <v>18</v>
      </c>
      <c r="F347" s="15">
        <v>12</v>
      </c>
      <c r="G347" s="15" t="s">
        <v>32</v>
      </c>
      <c r="H347" s="15" t="s">
        <v>20</v>
      </c>
      <c r="I347" s="15" t="s">
        <v>796</v>
      </c>
      <c r="J347" s="20">
        <v>55</v>
      </c>
    </row>
    <row r="348" spans="1:10" hidden="1" x14ac:dyDescent="0.3">
      <c r="A348" s="19" t="s">
        <v>800</v>
      </c>
      <c r="B348" s="15" t="s">
        <v>23</v>
      </c>
      <c r="C348" s="15" t="s">
        <v>79</v>
      </c>
      <c r="D348" s="15" t="s">
        <v>31</v>
      </c>
      <c r="E348" s="59">
        <v>18</v>
      </c>
      <c r="F348" s="15">
        <v>11</v>
      </c>
      <c r="G348" s="15" t="s">
        <v>32</v>
      </c>
      <c r="H348" s="15" t="s">
        <v>76</v>
      </c>
      <c r="I348" s="15" t="s">
        <v>801</v>
      </c>
      <c r="J348" s="20">
        <v>97</v>
      </c>
    </row>
    <row r="349" spans="1:10" hidden="1" x14ac:dyDescent="0.3">
      <c r="A349" s="19" t="s">
        <v>823</v>
      </c>
      <c r="B349" s="15" t="s">
        <v>11</v>
      </c>
      <c r="C349" s="15" t="s">
        <v>79</v>
      </c>
      <c r="D349" s="15" t="s">
        <v>31</v>
      </c>
      <c r="E349" s="59">
        <v>18</v>
      </c>
      <c r="F349" s="15">
        <v>12</v>
      </c>
      <c r="G349" s="15" t="s">
        <v>43</v>
      </c>
      <c r="H349" s="15" t="s">
        <v>37</v>
      </c>
      <c r="I349" s="15" t="s">
        <v>292</v>
      </c>
      <c r="J349" s="20">
        <v>94</v>
      </c>
    </row>
    <row r="350" spans="1:10" hidden="1" x14ac:dyDescent="0.3">
      <c r="A350" s="19" t="s">
        <v>888</v>
      </c>
      <c r="B350" s="15" t="s">
        <v>23</v>
      </c>
      <c r="C350" s="15" t="s">
        <v>58</v>
      </c>
      <c r="D350" s="15" t="s">
        <v>31</v>
      </c>
      <c r="E350" s="59">
        <v>18</v>
      </c>
      <c r="F350" s="15">
        <v>10</v>
      </c>
      <c r="G350" s="15" t="s">
        <v>14</v>
      </c>
      <c r="H350" s="15" t="s">
        <v>20</v>
      </c>
      <c r="I350" s="15" t="s">
        <v>153</v>
      </c>
      <c r="J350" s="20">
        <v>92</v>
      </c>
    </row>
    <row r="351" spans="1:10" hidden="1" x14ac:dyDescent="0.3">
      <c r="A351" s="19" t="s">
        <v>889</v>
      </c>
      <c r="B351" s="15" t="s">
        <v>68</v>
      </c>
      <c r="C351" s="15" t="s">
        <v>19</v>
      </c>
      <c r="D351" s="15" t="s">
        <v>31</v>
      </c>
      <c r="E351" s="59">
        <v>18</v>
      </c>
      <c r="F351" s="15">
        <v>12</v>
      </c>
      <c r="G351" s="15" t="s">
        <v>32</v>
      </c>
      <c r="H351" s="15" t="s">
        <v>46</v>
      </c>
      <c r="I351" s="15" t="s">
        <v>890</v>
      </c>
      <c r="J351" s="20">
        <v>88</v>
      </c>
    </row>
    <row r="352" spans="1:10" hidden="1" x14ac:dyDescent="0.3">
      <c r="A352" s="19" t="s">
        <v>901</v>
      </c>
      <c r="B352" s="15" t="s">
        <v>68</v>
      </c>
      <c r="C352" s="15" t="s">
        <v>19</v>
      </c>
      <c r="D352" s="15" t="s">
        <v>31</v>
      </c>
      <c r="E352" s="59">
        <v>18</v>
      </c>
      <c r="F352" s="15">
        <v>11</v>
      </c>
      <c r="G352" s="15" t="s">
        <v>14</v>
      </c>
      <c r="H352" s="15" t="s">
        <v>40</v>
      </c>
      <c r="I352" s="15" t="s">
        <v>139</v>
      </c>
      <c r="J352" s="20">
        <v>75</v>
      </c>
    </row>
    <row r="353" spans="1:10" hidden="1" x14ac:dyDescent="0.3">
      <c r="A353" s="19" t="s">
        <v>910</v>
      </c>
      <c r="B353" s="15" t="s">
        <v>84</v>
      </c>
      <c r="C353" s="15" t="s">
        <v>12</v>
      </c>
      <c r="D353" s="15" t="s">
        <v>31</v>
      </c>
      <c r="E353" s="59">
        <v>18</v>
      </c>
      <c r="F353" s="15">
        <v>11</v>
      </c>
      <c r="G353" s="15" t="s">
        <v>25</v>
      </c>
      <c r="H353" s="15" t="s">
        <v>15</v>
      </c>
      <c r="I353" s="15" t="s">
        <v>911</v>
      </c>
      <c r="J353" s="20">
        <v>87</v>
      </c>
    </row>
    <row r="354" spans="1:10" hidden="1" x14ac:dyDescent="0.3">
      <c r="A354" s="19" t="s">
        <v>925</v>
      </c>
      <c r="B354" s="15" t="s">
        <v>68</v>
      </c>
      <c r="C354" s="15" t="s">
        <v>30</v>
      </c>
      <c r="D354" s="15" t="s">
        <v>31</v>
      </c>
      <c r="E354" s="59">
        <v>18</v>
      </c>
      <c r="F354" s="15">
        <v>9</v>
      </c>
      <c r="G354" s="15" t="s">
        <v>32</v>
      </c>
      <c r="H354" s="15" t="s">
        <v>20</v>
      </c>
      <c r="I354" s="15" t="s">
        <v>732</v>
      </c>
      <c r="J354" s="20">
        <v>86</v>
      </c>
    </row>
    <row r="355" spans="1:10" hidden="1" x14ac:dyDescent="0.3">
      <c r="A355" s="19" t="s">
        <v>934</v>
      </c>
      <c r="B355" s="15" t="s">
        <v>51</v>
      </c>
      <c r="C355" s="15" t="s">
        <v>58</v>
      </c>
      <c r="D355" s="15" t="s">
        <v>31</v>
      </c>
      <c r="E355" s="59">
        <v>18</v>
      </c>
      <c r="F355" s="15">
        <v>11</v>
      </c>
      <c r="G355" s="15" t="s">
        <v>14</v>
      </c>
      <c r="H355" s="15" t="s">
        <v>37</v>
      </c>
      <c r="I355" s="15" t="s">
        <v>806</v>
      </c>
      <c r="J355" s="20">
        <v>88</v>
      </c>
    </row>
    <row r="356" spans="1:10" hidden="1" x14ac:dyDescent="0.3">
      <c r="A356" s="19" t="s">
        <v>940</v>
      </c>
      <c r="B356" s="15" t="s">
        <v>51</v>
      </c>
      <c r="C356" s="15" t="s">
        <v>96</v>
      </c>
      <c r="D356" s="15" t="s">
        <v>31</v>
      </c>
      <c r="E356" s="59">
        <v>18</v>
      </c>
      <c r="F356" s="15">
        <v>9</v>
      </c>
      <c r="G356" s="15" t="s">
        <v>43</v>
      </c>
      <c r="H356" s="15" t="s">
        <v>76</v>
      </c>
      <c r="I356" s="15" t="s">
        <v>506</v>
      </c>
      <c r="J356" s="20">
        <v>36</v>
      </c>
    </row>
    <row r="357" spans="1:10" hidden="1" x14ac:dyDescent="0.3">
      <c r="A357" s="19" t="s">
        <v>39</v>
      </c>
      <c r="B357" s="15" t="s">
        <v>11</v>
      </c>
      <c r="C357" s="15" t="s">
        <v>12</v>
      </c>
      <c r="D357" s="15" t="s">
        <v>31</v>
      </c>
      <c r="E357" s="59">
        <v>19</v>
      </c>
      <c r="F357" s="15">
        <v>10</v>
      </c>
      <c r="G357" s="15" t="s">
        <v>14</v>
      </c>
      <c r="H357" s="15" t="s">
        <v>40</v>
      </c>
      <c r="I357" s="15" t="s">
        <v>41</v>
      </c>
      <c r="J357" s="20">
        <v>36</v>
      </c>
    </row>
    <row r="358" spans="1:10" hidden="1" x14ac:dyDescent="0.3">
      <c r="A358" s="19" t="s">
        <v>45</v>
      </c>
      <c r="B358" s="15" t="s">
        <v>35</v>
      </c>
      <c r="C358" s="15" t="s">
        <v>12</v>
      </c>
      <c r="D358" s="15" t="s">
        <v>13</v>
      </c>
      <c r="E358" s="59">
        <v>19</v>
      </c>
      <c r="F358" s="15">
        <v>12</v>
      </c>
      <c r="G358" s="15" t="s">
        <v>32</v>
      </c>
      <c r="H358" s="15" t="s">
        <v>46</v>
      </c>
      <c r="I358" s="15" t="s">
        <v>47</v>
      </c>
      <c r="J358" s="20">
        <v>60</v>
      </c>
    </row>
    <row r="359" spans="1:10" hidden="1" x14ac:dyDescent="0.3">
      <c r="A359" s="19" t="s">
        <v>48</v>
      </c>
      <c r="B359" s="15" t="s">
        <v>18</v>
      </c>
      <c r="C359" s="15" t="s">
        <v>30</v>
      </c>
      <c r="D359" s="15" t="s">
        <v>31</v>
      </c>
      <c r="E359" s="59">
        <v>19</v>
      </c>
      <c r="F359" s="15">
        <v>12</v>
      </c>
      <c r="G359" s="15" t="s">
        <v>14</v>
      </c>
      <c r="H359" s="15" t="s">
        <v>46</v>
      </c>
      <c r="I359" s="15" t="s">
        <v>49</v>
      </c>
      <c r="J359" s="20">
        <v>92</v>
      </c>
    </row>
    <row r="360" spans="1:10" hidden="1" x14ac:dyDescent="0.3">
      <c r="A360" s="19" t="s">
        <v>72</v>
      </c>
      <c r="B360" s="15" t="s">
        <v>73</v>
      </c>
      <c r="C360" s="15" t="s">
        <v>58</v>
      </c>
      <c r="D360" s="15" t="s">
        <v>31</v>
      </c>
      <c r="E360" s="59">
        <v>19</v>
      </c>
      <c r="F360" s="15">
        <v>9</v>
      </c>
      <c r="G360" s="15" t="s">
        <v>32</v>
      </c>
      <c r="H360" s="15" t="s">
        <v>46</v>
      </c>
      <c r="I360" s="15" t="s">
        <v>74</v>
      </c>
      <c r="J360" s="20">
        <v>76</v>
      </c>
    </row>
    <row r="361" spans="1:10" hidden="1" x14ac:dyDescent="0.3">
      <c r="A361" s="19" t="s">
        <v>81</v>
      </c>
      <c r="B361" s="15" t="s">
        <v>29</v>
      </c>
      <c r="C361" s="15" t="s">
        <v>58</v>
      </c>
      <c r="D361" s="15" t="s">
        <v>31</v>
      </c>
      <c r="E361" s="59">
        <v>19</v>
      </c>
      <c r="F361" s="15">
        <v>9</v>
      </c>
      <c r="G361" s="15" t="s">
        <v>14</v>
      </c>
      <c r="H361" s="15" t="s">
        <v>61</v>
      </c>
      <c r="I361" s="15" t="s">
        <v>82</v>
      </c>
      <c r="J361" s="20">
        <v>50</v>
      </c>
    </row>
    <row r="362" spans="1:10" hidden="1" x14ac:dyDescent="0.3">
      <c r="A362" s="19" t="s">
        <v>95</v>
      </c>
      <c r="B362" s="15" t="s">
        <v>18</v>
      </c>
      <c r="C362" s="15" t="s">
        <v>96</v>
      </c>
      <c r="D362" s="15" t="s">
        <v>13</v>
      </c>
      <c r="E362" s="59">
        <v>19</v>
      </c>
      <c r="F362" s="15">
        <v>12</v>
      </c>
      <c r="G362" s="15" t="s">
        <v>14</v>
      </c>
      <c r="H362" s="15" t="s">
        <v>15</v>
      </c>
      <c r="I362" s="15" t="s">
        <v>97</v>
      </c>
      <c r="J362" s="20">
        <v>56</v>
      </c>
    </row>
    <row r="363" spans="1:10" hidden="1" x14ac:dyDescent="0.3">
      <c r="A363" s="19" t="s">
        <v>98</v>
      </c>
      <c r="B363" s="15" t="s">
        <v>68</v>
      </c>
      <c r="C363" s="15" t="s">
        <v>55</v>
      </c>
      <c r="D363" s="15" t="s">
        <v>13</v>
      </c>
      <c r="E363" s="59">
        <v>19</v>
      </c>
      <c r="F363" s="15">
        <v>11</v>
      </c>
      <c r="G363" s="15" t="s">
        <v>43</v>
      </c>
      <c r="H363" s="15" t="s">
        <v>15</v>
      </c>
      <c r="I363" s="15" t="s">
        <v>99</v>
      </c>
      <c r="J363" s="20">
        <v>56</v>
      </c>
    </row>
    <row r="364" spans="1:10" hidden="1" x14ac:dyDescent="0.3">
      <c r="A364" s="19" t="s">
        <v>100</v>
      </c>
      <c r="B364" s="15" t="s">
        <v>35</v>
      </c>
      <c r="C364" s="15" t="s">
        <v>12</v>
      </c>
      <c r="D364" s="15" t="s">
        <v>31</v>
      </c>
      <c r="E364" s="59">
        <v>19</v>
      </c>
      <c r="F364" s="15">
        <v>12</v>
      </c>
      <c r="G364" s="15" t="s">
        <v>25</v>
      </c>
      <c r="H364" s="15" t="s">
        <v>76</v>
      </c>
      <c r="I364" s="15" t="s">
        <v>101</v>
      </c>
      <c r="J364" s="20">
        <v>54</v>
      </c>
    </row>
    <row r="365" spans="1:10" hidden="1" x14ac:dyDescent="0.3">
      <c r="A365" s="19" t="s">
        <v>116</v>
      </c>
      <c r="B365" s="15" t="s">
        <v>84</v>
      </c>
      <c r="C365" s="15" t="s">
        <v>19</v>
      </c>
      <c r="D365" s="15" t="s">
        <v>13</v>
      </c>
      <c r="E365" s="59">
        <v>19</v>
      </c>
      <c r="F365" s="15">
        <v>12</v>
      </c>
      <c r="G365" s="15" t="s">
        <v>14</v>
      </c>
      <c r="H365" s="15" t="s">
        <v>20</v>
      </c>
      <c r="I365" s="15" t="s">
        <v>117</v>
      </c>
      <c r="J365" s="20">
        <v>56</v>
      </c>
    </row>
    <row r="366" spans="1:10" hidden="1" x14ac:dyDescent="0.3">
      <c r="A366" s="19" t="s">
        <v>140</v>
      </c>
      <c r="B366" s="15" t="s">
        <v>35</v>
      </c>
      <c r="C366" s="15" t="s">
        <v>30</v>
      </c>
      <c r="D366" s="15" t="s">
        <v>31</v>
      </c>
      <c r="E366" s="59">
        <v>19</v>
      </c>
      <c r="F366" s="15">
        <v>10</v>
      </c>
      <c r="G366" s="15" t="s">
        <v>32</v>
      </c>
      <c r="H366" s="15" t="s">
        <v>76</v>
      </c>
      <c r="I366" s="15" t="s">
        <v>141</v>
      </c>
      <c r="J366" s="20">
        <v>93</v>
      </c>
    </row>
    <row r="367" spans="1:10" x14ac:dyDescent="0.3">
      <c r="A367" s="19" t="s">
        <v>148</v>
      </c>
      <c r="B367" s="15" t="s">
        <v>51</v>
      </c>
      <c r="C367" s="15" t="s">
        <v>96</v>
      </c>
      <c r="D367" s="15" t="s">
        <v>13</v>
      </c>
      <c r="E367" s="59">
        <v>19</v>
      </c>
      <c r="F367" s="15">
        <v>11</v>
      </c>
      <c r="G367" s="15" t="s">
        <v>14</v>
      </c>
      <c r="H367" s="15" t="s">
        <v>76</v>
      </c>
      <c r="I367" s="15" t="s">
        <v>149</v>
      </c>
      <c r="J367" s="20">
        <v>83</v>
      </c>
    </row>
    <row r="368" spans="1:10" hidden="1" x14ac:dyDescent="0.3">
      <c r="A368" s="19" t="s">
        <v>156</v>
      </c>
      <c r="B368" s="15" t="s">
        <v>35</v>
      </c>
      <c r="C368" s="15" t="s">
        <v>55</v>
      </c>
      <c r="D368" s="15" t="s">
        <v>13</v>
      </c>
      <c r="E368" s="59">
        <v>19</v>
      </c>
      <c r="F368" s="15">
        <v>11</v>
      </c>
      <c r="G368" s="15" t="s">
        <v>14</v>
      </c>
      <c r="H368" s="15" t="s">
        <v>40</v>
      </c>
      <c r="I368" s="15" t="s">
        <v>157</v>
      </c>
      <c r="J368" s="20">
        <v>63</v>
      </c>
    </row>
    <row r="369" spans="1:10" hidden="1" x14ac:dyDescent="0.3">
      <c r="A369" s="19" t="s">
        <v>177</v>
      </c>
      <c r="B369" s="15" t="s">
        <v>29</v>
      </c>
      <c r="C369" s="15" t="s">
        <v>58</v>
      </c>
      <c r="D369" s="15" t="s">
        <v>31</v>
      </c>
      <c r="E369" s="59">
        <v>19</v>
      </c>
      <c r="F369" s="15">
        <v>12</v>
      </c>
      <c r="G369" s="15" t="s">
        <v>43</v>
      </c>
      <c r="H369" s="15" t="s">
        <v>61</v>
      </c>
      <c r="I369" s="15" t="s">
        <v>178</v>
      </c>
      <c r="J369" s="20">
        <v>99</v>
      </c>
    </row>
    <row r="370" spans="1:10" hidden="1" x14ac:dyDescent="0.3">
      <c r="A370" s="19" t="s">
        <v>192</v>
      </c>
      <c r="B370" s="15" t="s">
        <v>68</v>
      </c>
      <c r="C370" s="15" t="s">
        <v>85</v>
      </c>
      <c r="D370" s="15" t="s">
        <v>13</v>
      </c>
      <c r="E370" s="59">
        <v>19</v>
      </c>
      <c r="F370" s="15">
        <v>11</v>
      </c>
      <c r="G370" s="15" t="s">
        <v>43</v>
      </c>
      <c r="H370" s="15" t="s">
        <v>61</v>
      </c>
      <c r="I370" s="15" t="s">
        <v>193</v>
      </c>
      <c r="J370" s="20">
        <v>78</v>
      </c>
    </row>
    <row r="371" spans="1:10" hidden="1" x14ac:dyDescent="0.3">
      <c r="A371" s="19" t="s">
        <v>207</v>
      </c>
      <c r="B371" s="15" t="s">
        <v>54</v>
      </c>
      <c r="C371" s="15" t="s">
        <v>19</v>
      </c>
      <c r="D371" s="15" t="s">
        <v>31</v>
      </c>
      <c r="E371" s="59">
        <v>19</v>
      </c>
      <c r="F371" s="15">
        <v>9</v>
      </c>
      <c r="G371" s="15" t="s">
        <v>14</v>
      </c>
      <c r="H371" s="15" t="s">
        <v>61</v>
      </c>
      <c r="I371" s="15" t="s">
        <v>208</v>
      </c>
      <c r="J371" s="20">
        <v>76</v>
      </c>
    </row>
    <row r="372" spans="1:10" x14ac:dyDescent="0.3">
      <c r="A372" s="19" t="s">
        <v>215</v>
      </c>
      <c r="B372" s="15" t="s">
        <v>84</v>
      </c>
      <c r="C372" s="15" t="s">
        <v>36</v>
      </c>
      <c r="D372" s="15" t="s">
        <v>31</v>
      </c>
      <c r="E372" s="59">
        <v>19</v>
      </c>
      <c r="F372" s="15">
        <v>12</v>
      </c>
      <c r="G372" s="15" t="s">
        <v>14</v>
      </c>
      <c r="H372" s="15" t="s">
        <v>37</v>
      </c>
      <c r="I372" s="15" t="s">
        <v>216</v>
      </c>
      <c r="J372" s="20">
        <v>84</v>
      </c>
    </row>
    <row r="373" spans="1:10" hidden="1" x14ac:dyDescent="0.3">
      <c r="A373" s="19" t="s">
        <v>219</v>
      </c>
      <c r="B373" s="15" t="s">
        <v>68</v>
      </c>
      <c r="C373" s="15" t="s">
        <v>19</v>
      </c>
      <c r="D373" s="15" t="s">
        <v>13</v>
      </c>
      <c r="E373" s="59">
        <v>19</v>
      </c>
      <c r="F373" s="15">
        <v>9</v>
      </c>
      <c r="G373" s="15" t="s">
        <v>14</v>
      </c>
      <c r="H373" s="15" t="s">
        <v>40</v>
      </c>
      <c r="I373" s="15" t="s">
        <v>220</v>
      </c>
      <c r="J373" s="20">
        <v>63</v>
      </c>
    </row>
    <row r="374" spans="1:10" hidden="1" x14ac:dyDescent="0.3">
      <c r="A374" s="19" t="s">
        <v>266</v>
      </c>
      <c r="B374" s="15" t="s">
        <v>54</v>
      </c>
      <c r="C374" s="15" t="s">
        <v>58</v>
      </c>
      <c r="D374" s="15" t="s">
        <v>13</v>
      </c>
      <c r="E374" s="59">
        <v>19</v>
      </c>
      <c r="F374" s="15">
        <v>11</v>
      </c>
      <c r="G374" s="15" t="s">
        <v>14</v>
      </c>
      <c r="H374" s="15" t="s">
        <v>40</v>
      </c>
      <c r="I374" s="15" t="s">
        <v>267</v>
      </c>
      <c r="J374" s="20">
        <v>41</v>
      </c>
    </row>
    <row r="375" spans="1:10" hidden="1" x14ac:dyDescent="0.3">
      <c r="A375" s="19" t="s">
        <v>274</v>
      </c>
      <c r="B375" s="15" t="s">
        <v>35</v>
      </c>
      <c r="C375" s="15" t="s">
        <v>36</v>
      </c>
      <c r="D375" s="15" t="s">
        <v>13</v>
      </c>
      <c r="E375" s="59">
        <v>19</v>
      </c>
      <c r="F375" s="15">
        <v>9</v>
      </c>
      <c r="G375" s="15" t="s">
        <v>32</v>
      </c>
      <c r="H375" s="15" t="s">
        <v>61</v>
      </c>
      <c r="I375" s="15" t="s">
        <v>275</v>
      </c>
      <c r="J375" s="20">
        <v>63</v>
      </c>
    </row>
    <row r="376" spans="1:10" hidden="1" x14ac:dyDescent="0.3">
      <c r="A376" s="19" t="s">
        <v>331</v>
      </c>
      <c r="B376" s="15" t="s">
        <v>73</v>
      </c>
      <c r="C376" s="15" t="s">
        <v>30</v>
      </c>
      <c r="D376" s="15" t="s">
        <v>31</v>
      </c>
      <c r="E376" s="59">
        <v>19</v>
      </c>
      <c r="F376" s="15">
        <v>10</v>
      </c>
      <c r="G376" s="15" t="s">
        <v>43</v>
      </c>
      <c r="H376" s="15" t="s">
        <v>20</v>
      </c>
      <c r="I376" s="15" t="s">
        <v>191</v>
      </c>
      <c r="J376" s="20">
        <v>93</v>
      </c>
    </row>
    <row r="377" spans="1:10" hidden="1" x14ac:dyDescent="0.3">
      <c r="A377" s="19" t="s">
        <v>336</v>
      </c>
      <c r="B377" s="15" t="s">
        <v>11</v>
      </c>
      <c r="C377" s="15" t="s">
        <v>58</v>
      </c>
      <c r="D377" s="15" t="s">
        <v>31</v>
      </c>
      <c r="E377" s="59">
        <v>19</v>
      </c>
      <c r="F377" s="15">
        <v>12</v>
      </c>
      <c r="G377" s="15" t="s">
        <v>25</v>
      </c>
      <c r="H377" s="15" t="s">
        <v>61</v>
      </c>
      <c r="I377" s="15" t="s">
        <v>218</v>
      </c>
      <c r="J377" s="20">
        <v>68</v>
      </c>
    </row>
    <row r="378" spans="1:10" hidden="1" x14ac:dyDescent="0.3">
      <c r="A378" s="19" t="s">
        <v>337</v>
      </c>
      <c r="B378" s="15" t="s">
        <v>23</v>
      </c>
      <c r="C378" s="15" t="s">
        <v>30</v>
      </c>
      <c r="D378" s="15" t="s">
        <v>31</v>
      </c>
      <c r="E378" s="59">
        <v>19</v>
      </c>
      <c r="F378" s="15">
        <v>9</v>
      </c>
      <c r="G378" s="15" t="s">
        <v>32</v>
      </c>
      <c r="H378" s="15" t="s">
        <v>61</v>
      </c>
      <c r="I378" s="15" t="s">
        <v>338</v>
      </c>
      <c r="J378" s="20">
        <v>51</v>
      </c>
    </row>
    <row r="379" spans="1:10" x14ac:dyDescent="0.3">
      <c r="A379" s="19" t="s">
        <v>343</v>
      </c>
      <c r="B379" s="15" t="s">
        <v>68</v>
      </c>
      <c r="C379" s="15" t="s">
        <v>79</v>
      </c>
      <c r="D379" s="15" t="s">
        <v>13</v>
      </c>
      <c r="E379" s="59">
        <v>19</v>
      </c>
      <c r="F379" s="15">
        <v>11</v>
      </c>
      <c r="G379" s="15" t="s">
        <v>14</v>
      </c>
      <c r="H379" s="15" t="s">
        <v>40</v>
      </c>
      <c r="I379" s="15" t="s">
        <v>344</v>
      </c>
      <c r="J379" s="20">
        <v>35</v>
      </c>
    </row>
    <row r="380" spans="1:10" hidden="1" x14ac:dyDescent="0.3">
      <c r="A380" s="19" t="s">
        <v>359</v>
      </c>
      <c r="B380" s="15" t="s">
        <v>68</v>
      </c>
      <c r="C380" s="15" t="s">
        <v>85</v>
      </c>
      <c r="D380" s="15" t="s">
        <v>13</v>
      </c>
      <c r="E380" s="59">
        <v>19</v>
      </c>
      <c r="F380" s="15">
        <v>11</v>
      </c>
      <c r="G380" s="15" t="s">
        <v>43</v>
      </c>
      <c r="H380" s="15" t="s">
        <v>76</v>
      </c>
      <c r="I380" s="15" t="s">
        <v>360</v>
      </c>
      <c r="J380" s="20">
        <v>64</v>
      </c>
    </row>
    <row r="381" spans="1:10" hidden="1" x14ac:dyDescent="0.3">
      <c r="A381" s="19" t="s">
        <v>371</v>
      </c>
      <c r="B381" s="15" t="s">
        <v>35</v>
      </c>
      <c r="C381" s="15" t="s">
        <v>58</v>
      </c>
      <c r="D381" s="15" t="s">
        <v>31</v>
      </c>
      <c r="E381" s="59">
        <v>19</v>
      </c>
      <c r="F381" s="15">
        <v>9</v>
      </c>
      <c r="G381" s="15" t="s">
        <v>14</v>
      </c>
      <c r="H381" s="15" t="s">
        <v>20</v>
      </c>
      <c r="I381" s="15" t="s">
        <v>372</v>
      </c>
      <c r="J381" s="20">
        <v>87</v>
      </c>
    </row>
    <row r="382" spans="1:10" hidden="1" x14ac:dyDescent="0.3">
      <c r="A382" s="19" t="s">
        <v>388</v>
      </c>
      <c r="B382" s="15" t="s">
        <v>73</v>
      </c>
      <c r="C382" s="15" t="s">
        <v>12</v>
      </c>
      <c r="D382" s="15" t="s">
        <v>31</v>
      </c>
      <c r="E382" s="59">
        <v>19</v>
      </c>
      <c r="F382" s="15">
        <v>11</v>
      </c>
      <c r="G382" s="15" t="s">
        <v>43</v>
      </c>
      <c r="H382" s="15" t="s">
        <v>61</v>
      </c>
      <c r="I382" s="15" t="s">
        <v>214</v>
      </c>
      <c r="J382" s="20">
        <v>88</v>
      </c>
    </row>
    <row r="383" spans="1:10" x14ac:dyDescent="0.3">
      <c r="A383" s="19" t="s">
        <v>391</v>
      </c>
      <c r="B383" s="15" t="s">
        <v>68</v>
      </c>
      <c r="C383" s="15" t="s">
        <v>19</v>
      </c>
      <c r="D383" s="15" t="s">
        <v>13</v>
      </c>
      <c r="E383" s="59">
        <v>19</v>
      </c>
      <c r="F383" s="15">
        <v>12</v>
      </c>
      <c r="G383" s="15" t="s">
        <v>25</v>
      </c>
      <c r="H383" s="15" t="s">
        <v>46</v>
      </c>
      <c r="I383" s="15" t="s">
        <v>392</v>
      </c>
      <c r="J383" s="20">
        <v>46</v>
      </c>
    </row>
    <row r="384" spans="1:10" hidden="1" x14ac:dyDescent="0.3">
      <c r="A384" s="19" t="s">
        <v>403</v>
      </c>
      <c r="B384" s="15" t="s">
        <v>11</v>
      </c>
      <c r="C384" s="15" t="s">
        <v>12</v>
      </c>
      <c r="D384" s="15" t="s">
        <v>31</v>
      </c>
      <c r="E384" s="59">
        <v>19</v>
      </c>
      <c r="F384" s="15">
        <v>9</v>
      </c>
      <c r="G384" s="15" t="s">
        <v>43</v>
      </c>
      <c r="H384" s="15" t="s">
        <v>46</v>
      </c>
      <c r="I384" s="15" t="s">
        <v>404</v>
      </c>
      <c r="J384" s="20">
        <v>37</v>
      </c>
    </row>
    <row r="385" spans="1:10" x14ac:dyDescent="0.3">
      <c r="A385" s="19" t="s">
        <v>448</v>
      </c>
      <c r="B385" s="15" t="s">
        <v>73</v>
      </c>
      <c r="C385" s="15" t="s">
        <v>36</v>
      </c>
      <c r="D385" s="15" t="s">
        <v>31</v>
      </c>
      <c r="E385" s="59">
        <v>19</v>
      </c>
      <c r="F385" s="15">
        <v>12</v>
      </c>
      <c r="G385" s="15" t="s">
        <v>14</v>
      </c>
      <c r="H385" s="15" t="s">
        <v>37</v>
      </c>
      <c r="I385" s="15" t="s">
        <v>449</v>
      </c>
      <c r="J385" s="20">
        <v>65</v>
      </c>
    </row>
    <row r="386" spans="1:10" hidden="1" x14ac:dyDescent="0.3">
      <c r="A386" s="19" t="s">
        <v>450</v>
      </c>
      <c r="B386" s="15" t="s">
        <v>54</v>
      </c>
      <c r="C386" s="15" t="s">
        <v>55</v>
      </c>
      <c r="D386" s="15" t="s">
        <v>31</v>
      </c>
      <c r="E386" s="59">
        <v>19</v>
      </c>
      <c r="F386" s="15">
        <v>12</v>
      </c>
      <c r="G386" s="15" t="s">
        <v>43</v>
      </c>
      <c r="H386" s="15" t="s">
        <v>20</v>
      </c>
      <c r="I386" s="15" t="s">
        <v>451</v>
      </c>
      <c r="J386" s="20">
        <v>58</v>
      </c>
    </row>
    <row r="387" spans="1:10" hidden="1" x14ac:dyDescent="0.3">
      <c r="A387" s="19" t="s">
        <v>458</v>
      </c>
      <c r="B387" s="15" t="s">
        <v>11</v>
      </c>
      <c r="C387" s="15" t="s">
        <v>55</v>
      </c>
      <c r="D387" s="15" t="s">
        <v>13</v>
      </c>
      <c r="E387" s="59">
        <v>19</v>
      </c>
      <c r="F387" s="15">
        <v>11</v>
      </c>
      <c r="G387" s="15" t="s">
        <v>14</v>
      </c>
      <c r="H387" s="15" t="s">
        <v>46</v>
      </c>
      <c r="I387" s="15" t="s">
        <v>459</v>
      </c>
      <c r="J387" s="20">
        <v>81</v>
      </c>
    </row>
    <row r="388" spans="1:10" hidden="1" x14ac:dyDescent="0.3">
      <c r="A388" s="19" t="s">
        <v>462</v>
      </c>
      <c r="B388" s="15" t="s">
        <v>11</v>
      </c>
      <c r="C388" s="15" t="s">
        <v>24</v>
      </c>
      <c r="D388" s="15" t="s">
        <v>31</v>
      </c>
      <c r="E388" s="59">
        <v>19</v>
      </c>
      <c r="F388" s="15">
        <v>12</v>
      </c>
      <c r="G388" s="15" t="s">
        <v>43</v>
      </c>
      <c r="H388" s="15" t="s">
        <v>37</v>
      </c>
      <c r="I388" s="15" t="s">
        <v>463</v>
      </c>
      <c r="J388" s="20">
        <v>45</v>
      </c>
    </row>
    <row r="389" spans="1:10" hidden="1" x14ac:dyDescent="0.3">
      <c r="A389" s="19" t="s">
        <v>476</v>
      </c>
      <c r="B389" s="15" t="s">
        <v>29</v>
      </c>
      <c r="C389" s="15" t="s">
        <v>55</v>
      </c>
      <c r="D389" s="15" t="s">
        <v>13</v>
      </c>
      <c r="E389" s="59">
        <v>19</v>
      </c>
      <c r="F389" s="15">
        <v>10</v>
      </c>
      <c r="G389" s="15" t="s">
        <v>43</v>
      </c>
      <c r="H389" s="15" t="s">
        <v>26</v>
      </c>
      <c r="I389" s="15" t="s">
        <v>477</v>
      </c>
      <c r="J389" s="20">
        <v>88</v>
      </c>
    </row>
    <row r="390" spans="1:10" hidden="1" x14ac:dyDescent="0.3">
      <c r="A390" s="19" t="s">
        <v>492</v>
      </c>
      <c r="B390" s="15" t="s">
        <v>18</v>
      </c>
      <c r="C390" s="15" t="s">
        <v>85</v>
      </c>
      <c r="D390" s="15" t="s">
        <v>31</v>
      </c>
      <c r="E390" s="59">
        <v>19</v>
      </c>
      <c r="F390" s="15">
        <v>11</v>
      </c>
      <c r="G390" s="15" t="s">
        <v>43</v>
      </c>
      <c r="H390" s="15" t="s">
        <v>15</v>
      </c>
      <c r="I390" s="15" t="s">
        <v>394</v>
      </c>
      <c r="J390" s="20">
        <v>50</v>
      </c>
    </row>
    <row r="391" spans="1:10" hidden="1" x14ac:dyDescent="0.3">
      <c r="A391" s="19" t="s">
        <v>505</v>
      </c>
      <c r="B391" s="15" t="s">
        <v>11</v>
      </c>
      <c r="C391" s="15" t="s">
        <v>12</v>
      </c>
      <c r="D391" s="15" t="s">
        <v>31</v>
      </c>
      <c r="E391" s="59">
        <v>19</v>
      </c>
      <c r="F391" s="15">
        <v>10</v>
      </c>
      <c r="G391" s="15" t="s">
        <v>14</v>
      </c>
      <c r="H391" s="15" t="s">
        <v>40</v>
      </c>
      <c r="I391" s="15" t="s">
        <v>506</v>
      </c>
      <c r="J391" s="20">
        <v>77</v>
      </c>
    </row>
    <row r="392" spans="1:10" hidden="1" x14ac:dyDescent="0.3">
      <c r="A392" s="19" t="s">
        <v>528</v>
      </c>
      <c r="B392" s="15" t="s">
        <v>51</v>
      </c>
      <c r="C392" s="15" t="s">
        <v>19</v>
      </c>
      <c r="D392" s="15" t="s">
        <v>13</v>
      </c>
      <c r="E392" s="59">
        <v>19</v>
      </c>
      <c r="F392" s="15">
        <v>9</v>
      </c>
      <c r="G392" s="15" t="s">
        <v>43</v>
      </c>
      <c r="H392" s="15" t="s">
        <v>46</v>
      </c>
      <c r="I392" s="15" t="s">
        <v>222</v>
      </c>
      <c r="J392" s="20">
        <v>46</v>
      </c>
    </row>
    <row r="393" spans="1:10" hidden="1" x14ac:dyDescent="0.3">
      <c r="A393" s="19" t="s">
        <v>552</v>
      </c>
      <c r="B393" s="15" t="s">
        <v>35</v>
      </c>
      <c r="C393" s="15" t="s">
        <v>30</v>
      </c>
      <c r="D393" s="15" t="s">
        <v>13</v>
      </c>
      <c r="E393" s="59">
        <v>19</v>
      </c>
      <c r="F393" s="15">
        <v>11</v>
      </c>
      <c r="G393" s="15" t="s">
        <v>14</v>
      </c>
      <c r="H393" s="15" t="s">
        <v>76</v>
      </c>
      <c r="I393" s="15" t="s">
        <v>553</v>
      </c>
      <c r="J393" s="20">
        <v>81</v>
      </c>
    </row>
    <row r="394" spans="1:10" hidden="1" x14ac:dyDescent="0.3">
      <c r="A394" s="19" t="s">
        <v>558</v>
      </c>
      <c r="B394" s="15" t="s">
        <v>54</v>
      </c>
      <c r="C394" s="15" t="s">
        <v>30</v>
      </c>
      <c r="D394" s="15" t="s">
        <v>31</v>
      </c>
      <c r="E394" s="59">
        <v>19</v>
      </c>
      <c r="F394" s="15">
        <v>10</v>
      </c>
      <c r="G394" s="15" t="s">
        <v>43</v>
      </c>
      <c r="H394" s="15" t="s">
        <v>76</v>
      </c>
      <c r="I394" s="15" t="s">
        <v>559</v>
      </c>
      <c r="J394" s="20">
        <v>40</v>
      </c>
    </row>
    <row r="395" spans="1:10" hidden="1" x14ac:dyDescent="0.3">
      <c r="A395" s="19" t="s">
        <v>563</v>
      </c>
      <c r="B395" s="15" t="s">
        <v>35</v>
      </c>
      <c r="C395" s="15" t="s">
        <v>55</v>
      </c>
      <c r="D395" s="15" t="s">
        <v>31</v>
      </c>
      <c r="E395" s="59">
        <v>19</v>
      </c>
      <c r="F395" s="15">
        <v>10</v>
      </c>
      <c r="G395" s="15" t="s">
        <v>43</v>
      </c>
      <c r="H395" s="15" t="s">
        <v>46</v>
      </c>
      <c r="I395" s="15" t="s">
        <v>564</v>
      </c>
      <c r="J395" s="20">
        <v>72</v>
      </c>
    </row>
    <row r="396" spans="1:10" hidden="1" x14ac:dyDescent="0.3">
      <c r="A396" s="19" t="s">
        <v>572</v>
      </c>
      <c r="B396" s="15" t="s">
        <v>23</v>
      </c>
      <c r="C396" s="15" t="s">
        <v>19</v>
      </c>
      <c r="D396" s="15" t="s">
        <v>31</v>
      </c>
      <c r="E396" s="59">
        <v>19</v>
      </c>
      <c r="F396" s="15">
        <v>10</v>
      </c>
      <c r="G396" s="15" t="s">
        <v>32</v>
      </c>
      <c r="H396" s="15" t="s">
        <v>20</v>
      </c>
      <c r="I396" s="15" t="s">
        <v>400</v>
      </c>
      <c r="J396" s="20">
        <v>53</v>
      </c>
    </row>
    <row r="397" spans="1:10" hidden="1" x14ac:dyDescent="0.3">
      <c r="A397" s="19" t="s">
        <v>573</v>
      </c>
      <c r="B397" s="15" t="s">
        <v>54</v>
      </c>
      <c r="C397" s="15" t="s">
        <v>24</v>
      </c>
      <c r="D397" s="15" t="s">
        <v>13</v>
      </c>
      <c r="E397" s="59">
        <v>19</v>
      </c>
      <c r="F397" s="15">
        <v>9</v>
      </c>
      <c r="G397" s="15" t="s">
        <v>43</v>
      </c>
      <c r="H397" s="15" t="s">
        <v>46</v>
      </c>
      <c r="I397" s="15" t="s">
        <v>574</v>
      </c>
      <c r="J397" s="20">
        <v>94</v>
      </c>
    </row>
    <row r="398" spans="1:10" hidden="1" x14ac:dyDescent="0.3">
      <c r="A398" s="19" t="s">
        <v>607</v>
      </c>
      <c r="B398" s="15" t="s">
        <v>68</v>
      </c>
      <c r="C398" s="15" t="s">
        <v>55</v>
      </c>
      <c r="D398" s="15" t="s">
        <v>13</v>
      </c>
      <c r="E398" s="59">
        <v>19</v>
      </c>
      <c r="F398" s="15">
        <v>11</v>
      </c>
      <c r="G398" s="15" t="s">
        <v>25</v>
      </c>
      <c r="H398" s="15" t="s">
        <v>20</v>
      </c>
      <c r="I398" s="15" t="s">
        <v>608</v>
      </c>
      <c r="J398" s="20">
        <v>43</v>
      </c>
    </row>
    <row r="399" spans="1:10" hidden="1" x14ac:dyDescent="0.3">
      <c r="A399" s="19" t="s">
        <v>611</v>
      </c>
      <c r="B399" s="15" t="s">
        <v>18</v>
      </c>
      <c r="C399" s="15" t="s">
        <v>24</v>
      </c>
      <c r="D399" s="15" t="s">
        <v>31</v>
      </c>
      <c r="E399" s="59">
        <v>19</v>
      </c>
      <c r="F399" s="15">
        <v>12</v>
      </c>
      <c r="G399" s="15" t="s">
        <v>43</v>
      </c>
      <c r="H399" s="15" t="s">
        <v>26</v>
      </c>
      <c r="I399" s="15" t="s">
        <v>612</v>
      </c>
      <c r="J399" s="20">
        <v>82</v>
      </c>
    </row>
    <row r="400" spans="1:10" hidden="1" x14ac:dyDescent="0.3">
      <c r="A400" s="19" t="s">
        <v>620</v>
      </c>
      <c r="B400" s="15" t="s">
        <v>84</v>
      </c>
      <c r="C400" s="15" t="s">
        <v>24</v>
      </c>
      <c r="D400" s="15" t="s">
        <v>31</v>
      </c>
      <c r="E400" s="59">
        <v>19</v>
      </c>
      <c r="F400" s="15">
        <v>12</v>
      </c>
      <c r="G400" s="15" t="s">
        <v>14</v>
      </c>
      <c r="H400" s="15" t="s">
        <v>61</v>
      </c>
      <c r="I400" s="15" t="s">
        <v>621</v>
      </c>
      <c r="J400" s="20">
        <v>77</v>
      </c>
    </row>
    <row r="401" spans="1:10" hidden="1" x14ac:dyDescent="0.3">
      <c r="A401" s="19" t="s">
        <v>623</v>
      </c>
      <c r="B401" s="15" t="s">
        <v>29</v>
      </c>
      <c r="C401" s="15" t="s">
        <v>12</v>
      </c>
      <c r="D401" s="15" t="s">
        <v>31</v>
      </c>
      <c r="E401" s="59">
        <v>19</v>
      </c>
      <c r="F401" s="15">
        <v>11</v>
      </c>
      <c r="G401" s="15" t="s">
        <v>25</v>
      </c>
      <c r="H401" s="15" t="s">
        <v>76</v>
      </c>
      <c r="I401" s="15" t="s">
        <v>624</v>
      </c>
      <c r="J401" s="20">
        <v>49</v>
      </c>
    </row>
    <row r="402" spans="1:10" hidden="1" x14ac:dyDescent="0.3">
      <c r="A402" s="19" t="s">
        <v>625</v>
      </c>
      <c r="B402" s="15" t="s">
        <v>68</v>
      </c>
      <c r="C402" s="15" t="s">
        <v>96</v>
      </c>
      <c r="D402" s="15" t="s">
        <v>31</v>
      </c>
      <c r="E402" s="59">
        <v>19</v>
      </c>
      <c r="F402" s="15">
        <v>12</v>
      </c>
      <c r="G402" s="15" t="s">
        <v>32</v>
      </c>
      <c r="H402" s="15" t="s">
        <v>15</v>
      </c>
      <c r="I402" s="15" t="s">
        <v>626</v>
      </c>
      <c r="J402" s="20">
        <v>86</v>
      </c>
    </row>
    <row r="403" spans="1:10" hidden="1" x14ac:dyDescent="0.3">
      <c r="A403" s="19" t="s">
        <v>630</v>
      </c>
      <c r="B403" s="15" t="s">
        <v>84</v>
      </c>
      <c r="C403" s="15" t="s">
        <v>96</v>
      </c>
      <c r="D403" s="15" t="s">
        <v>31</v>
      </c>
      <c r="E403" s="59">
        <v>19</v>
      </c>
      <c r="F403" s="15">
        <v>10</v>
      </c>
      <c r="G403" s="15" t="s">
        <v>43</v>
      </c>
      <c r="H403" s="15" t="s">
        <v>20</v>
      </c>
      <c r="I403" s="15" t="s">
        <v>631</v>
      </c>
      <c r="J403" s="20">
        <v>63</v>
      </c>
    </row>
    <row r="404" spans="1:10" hidden="1" x14ac:dyDescent="0.3">
      <c r="A404" s="19" t="s">
        <v>632</v>
      </c>
      <c r="B404" s="15" t="s">
        <v>54</v>
      </c>
      <c r="C404" s="15" t="s">
        <v>55</v>
      </c>
      <c r="D404" s="15" t="s">
        <v>31</v>
      </c>
      <c r="E404" s="59">
        <v>19</v>
      </c>
      <c r="F404" s="15">
        <v>11</v>
      </c>
      <c r="G404" s="15" t="s">
        <v>25</v>
      </c>
      <c r="H404" s="15" t="s">
        <v>61</v>
      </c>
      <c r="I404" s="15" t="s">
        <v>633</v>
      </c>
      <c r="J404" s="20">
        <v>82</v>
      </c>
    </row>
    <row r="405" spans="1:10" hidden="1" x14ac:dyDescent="0.3">
      <c r="A405" s="19" t="s">
        <v>636</v>
      </c>
      <c r="B405" s="15" t="s">
        <v>11</v>
      </c>
      <c r="C405" s="15" t="s">
        <v>79</v>
      </c>
      <c r="D405" s="15" t="s">
        <v>13</v>
      </c>
      <c r="E405" s="59">
        <v>19</v>
      </c>
      <c r="F405" s="15">
        <v>9</v>
      </c>
      <c r="G405" s="15" t="s">
        <v>32</v>
      </c>
      <c r="H405" s="15" t="s">
        <v>76</v>
      </c>
      <c r="I405" s="15" t="s">
        <v>637</v>
      </c>
      <c r="J405" s="20">
        <v>97</v>
      </c>
    </row>
    <row r="406" spans="1:10" hidden="1" x14ac:dyDescent="0.3">
      <c r="A406" s="19" t="s">
        <v>656</v>
      </c>
      <c r="B406" s="15" t="s">
        <v>29</v>
      </c>
      <c r="C406" s="15" t="s">
        <v>30</v>
      </c>
      <c r="D406" s="15" t="s">
        <v>13</v>
      </c>
      <c r="E406" s="59">
        <v>19</v>
      </c>
      <c r="F406" s="15">
        <v>10</v>
      </c>
      <c r="G406" s="15" t="s">
        <v>43</v>
      </c>
      <c r="H406" s="15" t="s">
        <v>15</v>
      </c>
      <c r="I406" s="15" t="s">
        <v>657</v>
      </c>
      <c r="J406" s="20">
        <v>85</v>
      </c>
    </row>
    <row r="407" spans="1:10" hidden="1" x14ac:dyDescent="0.3">
      <c r="A407" s="19" t="s">
        <v>661</v>
      </c>
      <c r="B407" s="15" t="s">
        <v>54</v>
      </c>
      <c r="C407" s="15" t="s">
        <v>12</v>
      </c>
      <c r="D407" s="15" t="s">
        <v>31</v>
      </c>
      <c r="E407" s="59">
        <v>19</v>
      </c>
      <c r="F407" s="15">
        <v>10</v>
      </c>
      <c r="G407" s="15" t="s">
        <v>14</v>
      </c>
      <c r="H407" s="15" t="s">
        <v>76</v>
      </c>
      <c r="I407" s="15" t="s">
        <v>662</v>
      </c>
      <c r="J407" s="20">
        <v>54</v>
      </c>
    </row>
    <row r="408" spans="1:10" hidden="1" x14ac:dyDescent="0.3">
      <c r="A408" s="19" t="s">
        <v>669</v>
      </c>
      <c r="B408" s="15" t="s">
        <v>11</v>
      </c>
      <c r="C408" s="15" t="s">
        <v>24</v>
      </c>
      <c r="D408" s="15" t="s">
        <v>13</v>
      </c>
      <c r="E408" s="59">
        <v>19</v>
      </c>
      <c r="F408" s="15">
        <v>9</v>
      </c>
      <c r="G408" s="15" t="s">
        <v>32</v>
      </c>
      <c r="H408" s="15" t="s">
        <v>40</v>
      </c>
      <c r="I408" s="15" t="s">
        <v>670</v>
      </c>
      <c r="J408" s="20">
        <v>51</v>
      </c>
    </row>
    <row r="409" spans="1:10" hidden="1" x14ac:dyDescent="0.3">
      <c r="A409" s="19" t="s">
        <v>675</v>
      </c>
      <c r="B409" s="15" t="s">
        <v>73</v>
      </c>
      <c r="C409" s="15" t="s">
        <v>24</v>
      </c>
      <c r="D409" s="15" t="s">
        <v>13</v>
      </c>
      <c r="E409" s="59">
        <v>19</v>
      </c>
      <c r="F409" s="15">
        <v>11</v>
      </c>
      <c r="G409" s="15" t="s">
        <v>14</v>
      </c>
      <c r="H409" s="15" t="s">
        <v>37</v>
      </c>
      <c r="I409" s="15" t="s">
        <v>676</v>
      </c>
      <c r="J409" s="20">
        <v>51</v>
      </c>
    </row>
    <row r="410" spans="1:10" hidden="1" x14ac:dyDescent="0.3">
      <c r="A410" s="19" t="s">
        <v>688</v>
      </c>
      <c r="B410" s="15" t="s">
        <v>23</v>
      </c>
      <c r="C410" s="15" t="s">
        <v>96</v>
      </c>
      <c r="D410" s="15" t="s">
        <v>31</v>
      </c>
      <c r="E410" s="59">
        <v>19</v>
      </c>
      <c r="F410" s="15">
        <v>10</v>
      </c>
      <c r="G410" s="15" t="s">
        <v>25</v>
      </c>
      <c r="H410" s="15" t="s">
        <v>40</v>
      </c>
      <c r="I410" s="15" t="s">
        <v>195</v>
      </c>
      <c r="J410" s="20">
        <v>55</v>
      </c>
    </row>
    <row r="411" spans="1:10" hidden="1" x14ac:dyDescent="0.3">
      <c r="A411" s="19" t="s">
        <v>690</v>
      </c>
      <c r="B411" s="15" t="s">
        <v>23</v>
      </c>
      <c r="C411" s="15" t="s">
        <v>85</v>
      </c>
      <c r="D411" s="15" t="s">
        <v>13</v>
      </c>
      <c r="E411" s="59">
        <v>19</v>
      </c>
      <c r="F411" s="15">
        <v>9</v>
      </c>
      <c r="G411" s="15" t="s">
        <v>14</v>
      </c>
      <c r="H411" s="15" t="s">
        <v>76</v>
      </c>
      <c r="I411" s="15" t="s">
        <v>635</v>
      </c>
      <c r="J411" s="20">
        <v>91</v>
      </c>
    </row>
    <row r="412" spans="1:10" hidden="1" x14ac:dyDescent="0.3">
      <c r="A412" s="19" t="s">
        <v>697</v>
      </c>
      <c r="B412" s="15" t="s">
        <v>29</v>
      </c>
      <c r="C412" s="15" t="s">
        <v>30</v>
      </c>
      <c r="D412" s="15" t="s">
        <v>31</v>
      </c>
      <c r="E412" s="59">
        <v>19</v>
      </c>
      <c r="F412" s="15">
        <v>10</v>
      </c>
      <c r="G412" s="15" t="s">
        <v>25</v>
      </c>
      <c r="H412" s="15" t="s">
        <v>61</v>
      </c>
      <c r="I412" s="15" t="s">
        <v>698</v>
      </c>
      <c r="J412" s="20">
        <v>75</v>
      </c>
    </row>
    <row r="413" spans="1:10" hidden="1" x14ac:dyDescent="0.3">
      <c r="A413" s="19" t="s">
        <v>715</v>
      </c>
      <c r="B413" s="15" t="s">
        <v>51</v>
      </c>
      <c r="C413" s="15" t="s">
        <v>79</v>
      </c>
      <c r="D413" s="15" t="s">
        <v>13</v>
      </c>
      <c r="E413" s="59">
        <v>19</v>
      </c>
      <c r="F413" s="15">
        <v>10</v>
      </c>
      <c r="G413" s="15" t="s">
        <v>32</v>
      </c>
      <c r="H413" s="15" t="s">
        <v>40</v>
      </c>
      <c r="I413" s="15" t="s">
        <v>702</v>
      </c>
      <c r="J413" s="20">
        <v>84</v>
      </c>
    </row>
    <row r="414" spans="1:10" hidden="1" x14ac:dyDescent="0.3">
      <c r="A414" s="19" t="s">
        <v>723</v>
      </c>
      <c r="B414" s="15" t="s">
        <v>68</v>
      </c>
      <c r="C414" s="15" t="s">
        <v>79</v>
      </c>
      <c r="D414" s="15" t="s">
        <v>31</v>
      </c>
      <c r="E414" s="59">
        <v>19</v>
      </c>
      <c r="F414" s="15">
        <v>12</v>
      </c>
      <c r="G414" s="15" t="s">
        <v>25</v>
      </c>
      <c r="H414" s="15" t="s">
        <v>40</v>
      </c>
      <c r="I414" s="15" t="s">
        <v>724</v>
      </c>
      <c r="J414" s="20">
        <v>65</v>
      </c>
    </row>
    <row r="415" spans="1:10" hidden="1" x14ac:dyDescent="0.3">
      <c r="A415" s="19" t="s">
        <v>737</v>
      </c>
      <c r="B415" s="15" t="s">
        <v>54</v>
      </c>
      <c r="C415" s="15" t="s">
        <v>96</v>
      </c>
      <c r="D415" s="15" t="s">
        <v>13</v>
      </c>
      <c r="E415" s="59">
        <v>19</v>
      </c>
      <c r="F415" s="15">
        <v>12</v>
      </c>
      <c r="G415" s="15" t="s">
        <v>25</v>
      </c>
      <c r="H415" s="15" t="s">
        <v>20</v>
      </c>
      <c r="I415" s="15" t="s">
        <v>738</v>
      </c>
      <c r="J415" s="20">
        <v>85</v>
      </c>
    </row>
    <row r="416" spans="1:10" hidden="1" x14ac:dyDescent="0.3">
      <c r="A416" s="19" t="s">
        <v>804</v>
      </c>
      <c r="B416" s="15" t="s">
        <v>54</v>
      </c>
      <c r="C416" s="15" t="s">
        <v>79</v>
      </c>
      <c r="D416" s="15" t="s">
        <v>13</v>
      </c>
      <c r="E416" s="59">
        <v>19</v>
      </c>
      <c r="F416" s="15">
        <v>9</v>
      </c>
      <c r="G416" s="15" t="s">
        <v>25</v>
      </c>
      <c r="H416" s="15" t="s">
        <v>61</v>
      </c>
      <c r="I416" s="15" t="s">
        <v>56</v>
      </c>
      <c r="J416" s="20">
        <v>43</v>
      </c>
    </row>
    <row r="417" spans="1:10" hidden="1" x14ac:dyDescent="0.3">
      <c r="A417" s="19" t="s">
        <v>817</v>
      </c>
      <c r="B417" s="15" t="s">
        <v>51</v>
      </c>
      <c r="C417" s="15" t="s">
        <v>55</v>
      </c>
      <c r="D417" s="15" t="s">
        <v>31</v>
      </c>
      <c r="E417" s="59">
        <v>19</v>
      </c>
      <c r="F417" s="15">
        <v>11</v>
      </c>
      <c r="G417" s="15" t="s">
        <v>14</v>
      </c>
      <c r="H417" s="15" t="s">
        <v>26</v>
      </c>
      <c r="I417" s="15" t="s">
        <v>818</v>
      </c>
      <c r="J417" s="20">
        <v>56</v>
      </c>
    </row>
    <row r="418" spans="1:10" hidden="1" x14ac:dyDescent="0.3">
      <c r="A418" s="19" t="s">
        <v>831</v>
      </c>
      <c r="B418" s="15" t="s">
        <v>54</v>
      </c>
      <c r="C418" s="15" t="s">
        <v>36</v>
      </c>
      <c r="D418" s="15" t="s">
        <v>31</v>
      </c>
      <c r="E418" s="59">
        <v>19</v>
      </c>
      <c r="F418" s="15">
        <v>9</v>
      </c>
      <c r="G418" s="15" t="s">
        <v>32</v>
      </c>
      <c r="H418" s="15" t="s">
        <v>15</v>
      </c>
      <c r="I418" s="15" t="s">
        <v>832</v>
      </c>
      <c r="J418" s="20">
        <v>35</v>
      </c>
    </row>
    <row r="419" spans="1:10" hidden="1" x14ac:dyDescent="0.3">
      <c r="A419" s="19" t="s">
        <v>845</v>
      </c>
      <c r="B419" s="15" t="s">
        <v>11</v>
      </c>
      <c r="C419" s="15" t="s">
        <v>19</v>
      </c>
      <c r="D419" s="15" t="s">
        <v>31</v>
      </c>
      <c r="E419" s="59">
        <v>19</v>
      </c>
      <c r="F419" s="15">
        <v>11</v>
      </c>
      <c r="G419" s="15" t="s">
        <v>43</v>
      </c>
      <c r="H419" s="15" t="s">
        <v>76</v>
      </c>
      <c r="I419" s="15" t="s">
        <v>282</v>
      </c>
      <c r="J419" s="20">
        <v>44</v>
      </c>
    </row>
    <row r="420" spans="1:10" hidden="1" x14ac:dyDescent="0.3">
      <c r="A420" s="19" t="s">
        <v>858</v>
      </c>
      <c r="B420" s="15" t="s">
        <v>35</v>
      </c>
      <c r="C420" s="15" t="s">
        <v>12</v>
      </c>
      <c r="D420" s="15" t="s">
        <v>31</v>
      </c>
      <c r="E420" s="59">
        <v>19</v>
      </c>
      <c r="F420" s="15">
        <v>9</v>
      </c>
      <c r="G420" s="15" t="s">
        <v>43</v>
      </c>
      <c r="H420" s="15" t="s">
        <v>26</v>
      </c>
      <c r="I420" s="15" t="s">
        <v>859</v>
      </c>
      <c r="J420" s="20">
        <v>88</v>
      </c>
    </row>
    <row r="421" spans="1:10" hidden="1" x14ac:dyDescent="0.3">
      <c r="A421" s="19" t="s">
        <v>873</v>
      </c>
      <c r="B421" s="15" t="s">
        <v>18</v>
      </c>
      <c r="C421" s="15" t="s">
        <v>79</v>
      </c>
      <c r="D421" s="15" t="s">
        <v>31</v>
      </c>
      <c r="E421" s="59">
        <v>19</v>
      </c>
      <c r="F421" s="15">
        <v>12</v>
      </c>
      <c r="G421" s="15" t="s">
        <v>32</v>
      </c>
      <c r="H421" s="15" t="s">
        <v>76</v>
      </c>
      <c r="I421" s="15" t="s">
        <v>742</v>
      </c>
      <c r="J421" s="20">
        <v>83</v>
      </c>
    </row>
    <row r="422" spans="1:10" hidden="1" x14ac:dyDescent="0.3">
      <c r="A422" s="19" t="s">
        <v>877</v>
      </c>
      <c r="B422" s="15" t="s">
        <v>73</v>
      </c>
      <c r="C422" s="15" t="s">
        <v>85</v>
      </c>
      <c r="D422" s="15" t="s">
        <v>13</v>
      </c>
      <c r="E422" s="59">
        <v>19</v>
      </c>
      <c r="F422" s="15">
        <v>10</v>
      </c>
      <c r="G422" s="15" t="s">
        <v>25</v>
      </c>
      <c r="H422" s="15" t="s">
        <v>26</v>
      </c>
      <c r="I422" s="15" t="s">
        <v>878</v>
      </c>
      <c r="J422" s="20">
        <v>81</v>
      </c>
    </row>
    <row r="423" spans="1:10" hidden="1" x14ac:dyDescent="0.3">
      <c r="A423" s="19" t="s">
        <v>883</v>
      </c>
      <c r="B423" s="15" t="s">
        <v>23</v>
      </c>
      <c r="C423" s="15" t="s">
        <v>85</v>
      </c>
      <c r="D423" s="15" t="s">
        <v>13</v>
      </c>
      <c r="E423" s="59">
        <v>19</v>
      </c>
      <c r="F423" s="15">
        <v>9</v>
      </c>
      <c r="G423" s="15" t="s">
        <v>43</v>
      </c>
      <c r="H423" s="15" t="s">
        <v>20</v>
      </c>
      <c r="I423" s="15" t="s">
        <v>884</v>
      </c>
      <c r="J423" s="20">
        <v>69</v>
      </c>
    </row>
    <row r="424" spans="1:10" hidden="1" x14ac:dyDescent="0.3">
      <c r="A424" s="19" t="s">
        <v>917</v>
      </c>
      <c r="B424" s="15" t="s">
        <v>11</v>
      </c>
      <c r="C424" s="15" t="s">
        <v>96</v>
      </c>
      <c r="D424" s="15" t="s">
        <v>31</v>
      </c>
      <c r="E424" s="59">
        <v>19</v>
      </c>
      <c r="F424" s="15">
        <v>11</v>
      </c>
      <c r="G424" s="15" t="s">
        <v>43</v>
      </c>
      <c r="H424" s="15" t="s">
        <v>26</v>
      </c>
      <c r="I424" s="15" t="s">
        <v>918</v>
      </c>
      <c r="J424" s="20">
        <v>87</v>
      </c>
    </row>
    <row r="425" spans="1:10" hidden="1" x14ac:dyDescent="0.3">
      <c r="A425" s="19" t="s">
        <v>921</v>
      </c>
      <c r="B425" s="15" t="s">
        <v>18</v>
      </c>
      <c r="C425" s="15" t="s">
        <v>24</v>
      </c>
      <c r="D425" s="15" t="s">
        <v>13</v>
      </c>
      <c r="E425" s="59">
        <v>19</v>
      </c>
      <c r="F425" s="15">
        <v>10</v>
      </c>
      <c r="G425" s="15" t="s">
        <v>14</v>
      </c>
      <c r="H425" s="15" t="s">
        <v>20</v>
      </c>
      <c r="I425" s="15" t="s">
        <v>922</v>
      </c>
      <c r="J425" s="20">
        <v>58</v>
      </c>
    </row>
    <row r="426" spans="1:10" hidden="1" x14ac:dyDescent="0.3">
      <c r="A426" s="19" t="s">
        <v>28</v>
      </c>
      <c r="B426" s="15" t="s">
        <v>29</v>
      </c>
      <c r="C426" s="15" t="s">
        <v>30</v>
      </c>
      <c r="D426" s="15" t="s">
        <v>31</v>
      </c>
      <c r="E426" s="59">
        <v>20</v>
      </c>
      <c r="F426" s="15">
        <v>9</v>
      </c>
      <c r="G426" s="15" t="s">
        <v>32</v>
      </c>
      <c r="H426" s="15" t="s">
        <v>26</v>
      </c>
      <c r="I426" s="15" t="s">
        <v>33</v>
      </c>
      <c r="J426" s="20">
        <v>84</v>
      </c>
    </row>
    <row r="427" spans="1:10" hidden="1" x14ac:dyDescent="0.3">
      <c r="A427" s="19" t="s">
        <v>42</v>
      </c>
      <c r="B427" s="15" t="s">
        <v>29</v>
      </c>
      <c r="C427" s="15" t="s">
        <v>24</v>
      </c>
      <c r="D427" s="15" t="s">
        <v>31</v>
      </c>
      <c r="E427" s="59">
        <v>20</v>
      </c>
      <c r="F427" s="15">
        <v>9</v>
      </c>
      <c r="G427" s="15" t="s">
        <v>43</v>
      </c>
      <c r="H427" s="15" t="s">
        <v>40</v>
      </c>
      <c r="I427" s="15" t="s">
        <v>44</v>
      </c>
      <c r="J427" s="20">
        <v>88</v>
      </c>
    </row>
    <row r="428" spans="1:10" x14ac:dyDescent="0.3">
      <c r="A428" s="19" t="s">
        <v>53</v>
      </c>
      <c r="B428" s="15" t="s">
        <v>54</v>
      </c>
      <c r="C428" s="15" t="s">
        <v>55</v>
      </c>
      <c r="D428" s="15" t="s">
        <v>31</v>
      </c>
      <c r="E428" s="59">
        <v>20</v>
      </c>
      <c r="F428" s="15">
        <v>10</v>
      </c>
      <c r="G428" s="15" t="s">
        <v>25</v>
      </c>
      <c r="H428" s="15" t="s">
        <v>40</v>
      </c>
      <c r="I428" s="15" t="s">
        <v>56</v>
      </c>
      <c r="J428" s="20">
        <v>59</v>
      </c>
    </row>
    <row r="429" spans="1:10" hidden="1" x14ac:dyDescent="0.3">
      <c r="A429" s="19" t="s">
        <v>65</v>
      </c>
      <c r="B429" s="15" t="s">
        <v>23</v>
      </c>
      <c r="C429" s="15" t="s">
        <v>30</v>
      </c>
      <c r="D429" s="15" t="s">
        <v>13</v>
      </c>
      <c r="E429" s="59">
        <v>20</v>
      </c>
      <c r="F429" s="15">
        <v>12</v>
      </c>
      <c r="G429" s="15" t="s">
        <v>14</v>
      </c>
      <c r="H429" s="15" t="s">
        <v>40</v>
      </c>
      <c r="I429" s="15" t="s">
        <v>66</v>
      </c>
      <c r="J429" s="20">
        <v>62</v>
      </c>
    </row>
    <row r="430" spans="1:10" x14ac:dyDescent="0.3">
      <c r="A430" s="19" t="s">
        <v>67</v>
      </c>
      <c r="B430" s="15" t="s">
        <v>68</v>
      </c>
      <c r="C430" s="15" t="s">
        <v>19</v>
      </c>
      <c r="D430" s="15" t="s">
        <v>13</v>
      </c>
      <c r="E430" s="59">
        <v>20</v>
      </c>
      <c r="F430" s="15">
        <v>9</v>
      </c>
      <c r="G430" s="15" t="s">
        <v>14</v>
      </c>
      <c r="H430" s="15" t="s">
        <v>20</v>
      </c>
      <c r="I430" s="15" t="s">
        <v>69</v>
      </c>
      <c r="J430" s="20">
        <v>55</v>
      </c>
    </row>
    <row r="431" spans="1:10" hidden="1" x14ac:dyDescent="0.3">
      <c r="A431" s="19" t="s">
        <v>87</v>
      </c>
      <c r="B431" s="15" t="s">
        <v>18</v>
      </c>
      <c r="C431" s="15" t="s">
        <v>12</v>
      </c>
      <c r="D431" s="15" t="s">
        <v>13</v>
      </c>
      <c r="E431" s="59">
        <v>20</v>
      </c>
      <c r="F431" s="15">
        <v>12</v>
      </c>
      <c r="G431" s="15" t="s">
        <v>32</v>
      </c>
      <c r="H431" s="15" t="s">
        <v>26</v>
      </c>
      <c r="I431" s="15" t="s">
        <v>88</v>
      </c>
      <c r="J431" s="20">
        <v>86</v>
      </c>
    </row>
    <row r="432" spans="1:10" hidden="1" x14ac:dyDescent="0.3">
      <c r="A432" s="19" t="s">
        <v>91</v>
      </c>
      <c r="B432" s="15" t="s">
        <v>73</v>
      </c>
      <c r="C432" s="15" t="s">
        <v>12</v>
      </c>
      <c r="D432" s="15" t="s">
        <v>13</v>
      </c>
      <c r="E432" s="59">
        <v>20</v>
      </c>
      <c r="F432" s="15">
        <v>10</v>
      </c>
      <c r="G432" s="15" t="s">
        <v>43</v>
      </c>
      <c r="H432" s="15" t="s">
        <v>46</v>
      </c>
      <c r="I432" s="15" t="s">
        <v>92</v>
      </c>
      <c r="J432" s="20">
        <v>82</v>
      </c>
    </row>
    <row r="433" spans="1:10" hidden="1" x14ac:dyDescent="0.3">
      <c r="A433" s="19" t="s">
        <v>102</v>
      </c>
      <c r="B433" s="15" t="s">
        <v>35</v>
      </c>
      <c r="C433" s="15" t="s">
        <v>12</v>
      </c>
      <c r="D433" s="15" t="s">
        <v>13</v>
      </c>
      <c r="E433" s="59">
        <v>20</v>
      </c>
      <c r="F433" s="15">
        <v>11</v>
      </c>
      <c r="G433" s="15" t="s">
        <v>14</v>
      </c>
      <c r="H433" s="15" t="s">
        <v>26</v>
      </c>
      <c r="I433" s="15" t="s">
        <v>103</v>
      </c>
      <c r="J433" s="20">
        <v>70</v>
      </c>
    </row>
    <row r="434" spans="1:10" hidden="1" x14ac:dyDescent="0.3">
      <c r="A434" s="19" t="s">
        <v>106</v>
      </c>
      <c r="B434" s="15" t="s">
        <v>51</v>
      </c>
      <c r="C434" s="15" t="s">
        <v>55</v>
      </c>
      <c r="D434" s="15" t="s">
        <v>13</v>
      </c>
      <c r="E434" s="59">
        <v>20</v>
      </c>
      <c r="F434" s="15">
        <v>9</v>
      </c>
      <c r="G434" s="15" t="s">
        <v>32</v>
      </c>
      <c r="H434" s="15" t="s">
        <v>26</v>
      </c>
      <c r="I434" s="15" t="s">
        <v>107</v>
      </c>
      <c r="J434" s="20">
        <v>91</v>
      </c>
    </row>
    <row r="435" spans="1:10" hidden="1" x14ac:dyDescent="0.3">
      <c r="A435" s="19" t="s">
        <v>114</v>
      </c>
      <c r="B435" s="15" t="s">
        <v>73</v>
      </c>
      <c r="C435" s="15" t="s">
        <v>58</v>
      </c>
      <c r="D435" s="15" t="s">
        <v>13</v>
      </c>
      <c r="E435" s="59">
        <v>20</v>
      </c>
      <c r="F435" s="15">
        <v>9</v>
      </c>
      <c r="G435" s="15" t="s">
        <v>25</v>
      </c>
      <c r="H435" s="15" t="s">
        <v>46</v>
      </c>
      <c r="I435" s="15" t="s">
        <v>115</v>
      </c>
      <c r="J435" s="20">
        <v>40</v>
      </c>
    </row>
    <row r="436" spans="1:10" hidden="1" x14ac:dyDescent="0.3">
      <c r="A436" s="19" t="s">
        <v>118</v>
      </c>
      <c r="B436" s="15" t="s">
        <v>84</v>
      </c>
      <c r="C436" s="15" t="s">
        <v>58</v>
      </c>
      <c r="D436" s="15" t="s">
        <v>31</v>
      </c>
      <c r="E436" s="59">
        <v>20</v>
      </c>
      <c r="F436" s="15">
        <v>10</v>
      </c>
      <c r="G436" s="15" t="s">
        <v>32</v>
      </c>
      <c r="H436" s="15" t="s">
        <v>26</v>
      </c>
      <c r="I436" s="15" t="s">
        <v>119</v>
      </c>
      <c r="J436" s="20">
        <v>52</v>
      </c>
    </row>
    <row r="437" spans="1:10" hidden="1" x14ac:dyDescent="0.3">
      <c r="A437" s="19" t="s">
        <v>120</v>
      </c>
      <c r="B437" s="15" t="s">
        <v>35</v>
      </c>
      <c r="C437" s="15" t="s">
        <v>36</v>
      </c>
      <c r="D437" s="15" t="s">
        <v>31</v>
      </c>
      <c r="E437" s="59">
        <v>20</v>
      </c>
      <c r="F437" s="15">
        <v>10</v>
      </c>
      <c r="G437" s="15" t="s">
        <v>43</v>
      </c>
      <c r="H437" s="15" t="s">
        <v>61</v>
      </c>
      <c r="I437" s="15" t="s">
        <v>121</v>
      </c>
      <c r="J437" s="20">
        <v>37</v>
      </c>
    </row>
    <row r="438" spans="1:10" hidden="1" x14ac:dyDescent="0.3">
      <c r="A438" s="19" t="s">
        <v>134</v>
      </c>
      <c r="B438" s="15" t="s">
        <v>23</v>
      </c>
      <c r="C438" s="15" t="s">
        <v>30</v>
      </c>
      <c r="D438" s="15" t="s">
        <v>31</v>
      </c>
      <c r="E438" s="59">
        <v>20</v>
      </c>
      <c r="F438" s="15">
        <v>9</v>
      </c>
      <c r="G438" s="15" t="s">
        <v>14</v>
      </c>
      <c r="H438" s="15" t="s">
        <v>15</v>
      </c>
      <c r="I438" s="15" t="s">
        <v>135</v>
      </c>
      <c r="J438" s="20">
        <v>50</v>
      </c>
    </row>
    <row r="439" spans="1:10" hidden="1" x14ac:dyDescent="0.3">
      <c r="A439" s="19" t="s">
        <v>144</v>
      </c>
      <c r="B439" s="15" t="s">
        <v>73</v>
      </c>
      <c r="C439" s="15" t="s">
        <v>12</v>
      </c>
      <c r="D439" s="15" t="s">
        <v>31</v>
      </c>
      <c r="E439" s="59">
        <v>20</v>
      </c>
      <c r="F439" s="15">
        <v>10</v>
      </c>
      <c r="G439" s="15" t="s">
        <v>14</v>
      </c>
      <c r="H439" s="15" t="s">
        <v>26</v>
      </c>
      <c r="I439" s="15" t="s">
        <v>145</v>
      </c>
      <c r="J439" s="20">
        <v>71</v>
      </c>
    </row>
    <row r="440" spans="1:10" hidden="1" x14ac:dyDescent="0.3">
      <c r="A440" s="19" t="s">
        <v>146</v>
      </c>
      <c r="B440" s="15" t="s">
        <v>35</v>
      </c>
      <c r="C440" s="15" t="s">
        <v>30</v>
      </c>
      <c r="D440" s="15" t="s">
        <v>31</v>
      </c>
      <c r="E440" s="59">
        <v>20</v>
      </c>
      <c r="F440" s="15">
        <v>9</v>
      </c>
      <c r="G440" s="15" t="s">
        <v>43</v>
      </c>
      <c r="H440" s="15" t="s">
        <v>15</v>
      </c>
      <c r="I440" s="15" t="s">
        <v>147</v>
      </c>
      <c r="J440" s="20">
        <v>40</v>
      </c>
    </row>
    <row r="441" spans="1:10" hidden="1" x14ac:dyDescent="0.3">
      <c r="A441" s="19" t="s">
        <v>162</v>
      </c>
      <c r="B441" s="15" t="s">
        <v>73</v>
      </c>
      <c r="C441" s="15" t="s">
        <v>36</v>
      </c>
      <c r="D441" s="15" t="s">
        <v>31</v>
      </c>
      <c r="E441" s="59">
        <v>20</v>
      </c>
      <c r="F441" s="15">
        <v>9</v>
      </c>
      <c r="G441" s="15" t="s">
        <v>32</v>
      </c>
      <c r="H441" s="15" t="s">
        <v>20</v>
      </c>
      <c r="I441" s="15" t="s">
        <v>163</v>
      </c>
      <c r="J441" s="20">
        <v>49</v>
      </c>
    </row>
    <row r="442" spans="1:10" hidden="1" x14ac:dyDescent="0.3">
      <c r="A442" s="19" t="s">
        <v>175</v>
      </c>
      <c r="B442" s="15" t="s">
        <v>35</v>
      </c>
      <c r="C442" s="15" t="s">
        <v>30</v>
      </c>
      <c r="D442" s="15" t="s">
        <v>31</v>
      </c>
      <c r="E442" s="59">
        <v>20</v>
      </c>
      <c r="F442" s="15">
        <v>9</v>
      </c>
      <c r="G442" s="15" t="s">
        <v>14</v>
      </c>
      <c r="H442" s="15" t="s">
        <v>61</v>
      </c>
      <c r="I442" s="15" t="s">
        <v>176</v>
      </c>
      <c r="J442" s="20">
        <v>76</v>
      </c>
    </row>
    <row r="443" spans="1:10" hidden="1" x14ac:dyDescent="0.3">
      <c r="A443" s="19" t="s">
        <v>194</v>
      </c>
      <c r="B443" s="15" t="s">
        <v>23</v>
      </c>
      <c r="C443" s="15" t="s">
        <v>19</v>
      </c>
      <c r="D443" s="15" t="s">
        <v>31</v>
      </c>
      <c r="E443" s="59">
        <v>20</v>
      </c>
      <c r="F443" s="15">
        <v>9</v>
      </c>
      <c r="G443" s="15" t="s">
        <v>25</v>
      </c>
      <c r="H443" s="15" t="s">
        <v>76</v>
      </c>
      <c r="I443" s="15" t="s">
        <v>195</v>
      </c>
      <c r="J443" s="20">
        <v>76</v>
      </c>
    </row>
    <row r="444" spans="1:10" hidden="1" x14ac:dyDescent="0.3">
      <c r="A444" s="19" t="s">
        <v>225</v>
      </c>
      <c r="B444" s="15" t="s">
        <v>35</v>
      </c>
      <c r="C444" s="15" t="s">
        <v>85</v>
      </c>
      <c r="D444" s="15" t="s">
        <v>13</v>
      </c>
      <c r="E444" s="59">
        <v>20</v>
      </c>
      <c r="F444" s="15">
        <v>9</v>
      </c>
      <c r="G444" s="15" t="s">
        <v>14</v>
      </c>
      <c r="H444" s="15" t="s">
        <v>40</v>
      </c>
      <c r="I444" s="15" t="s">
        <v>226</v>
      </c>
      <c r="J444" s="20">
        <v>55</v>
      </c>
    </row>
    <row r="445" spans="1:10" hidden="1" x14ac:dyDescent="0.3">
      <c r="A445" s="19" t="s">
        <v>255</v>
      </c>
      <c r="B445" s="15" t="s">
        <v>51</v>
      </c>
      <c r="C445" s="15" t="s">
        <v>79</v>
      </c>
      <c r="D445" s="15" t="s">
        <v>31</v>
      </c>
      <c r="E445" s="59">
        <v>20</v>
      </c>
      <c r="F445" s="15">
        <v>12</v>
      </c>
      <c r="G445" s="15" t="s">
        <v>43</v>
      </c>
      <c r="H445" s="15" t="s">
        <v>40</v>
      </c>
      <c r="I445" s="15" t="s">
        <v>256</v>
      </c>
      <c r="J445" s="20">
        <v>48</v>
      </c>
    </row>
    <row r="446" spans="1:10" hidden="1" x14ac:dyDescent="0.3">
      <c r="A446" s="19" t="s">
        <v>257</v>
      </c>
      <c r="B446" s="15" t="s">
        <v>68</v>
      </c>
      <c r="C446" s="15" t="s">
        <v>79</v>
      </c>
      <c r="D446" s="15" t="s">
        <v>31</v>
      </c>
      <c r="E446" s="59">
        <v>20</v>
      </c>
      <c r="F446" s="15">
        <v>11</v>
      </c>
      <c r="G446" s="15" t="s">
        <v>43</v>
      </c>
      <c r="H446" s="15" t="s">
        <v>46</v>
      </c>
      <c r="I446" s="15" t="s">
        <v>258</v>
      </c>
      <c r="J446" s="20">
        <v>52</v>
      </c>
    </row>
    <row r="447" spans="1:10" hidden="1" x14ac:dyDescent="0.3">
      <c r="A447" s="19" t="s">
        <v>293</v>
      </c>
      <c r="B447" s="15" t="s">
        <v>73</v>
      </c>
      <c r="C447" s="15" t="s">
        <v>96</v>
      </c>
      <c r="D447" s="15" t="s">
        <v>31</v>
      </c>
      <c r="E447" s="59">
        <v>20</v>
      </c>
      <c r="F447" s="15">
        <v>9</v>
      </c>
      <c r="G447" s="15" t="s">
        <v>43</v>
      </c>
      <c r="H447" s="15" t="s">
        <v>26</v>
      </c>
      <c r="I447" s="15" t="s">
        <v>74</v>
      </c>
      <c r="J447" s="20">
        <v>100</v>
      </c>
    </row>
    <row r="448" spans="1:10" x14ac:dyDescent="0.3">
      <c r="A448" s="19" t="s">
        <v>294</v>
      </c>
      <c r="B448" s="15" t="s">
        <v>35</v>
      </c>
      <c r="C448" s="15" t="s">
        <v>55</v>
      </c>
      <c r="D448" s="15" t="s">
        <v>13</v>
      </c>
      <c r="E448" s="59">
        <v>20</v>
      </c>
      <c r="F448" s="15">
        <v>9</v>
      </c>
      <c r="G448" s="15" t="s">
        <v>25</v>
      </c>
      <c r="H448" s="15" t="s">
        <v>46</v>
      </c>
      <c r="I448" s="15" t="s">
        <v>295</v>
      </c>
      <c r="J448" s="20">
        <v>99</v>
      </c>
    </row>
    <row r="449" spans="1:10" hidden="1" x14ac:dyDescent="0.3">
      <c r="A449" s="19" t="s">
        <v>296</v>
      </c>
      <c r="B449" s="15" t="s">
        <v>84</v>
      </c>
      <c r="C449" s="15" t="s">
        <v>19</v>
      </c>
      <c r="D449" s="15" t="s">
        <v>31</v>
      </c>
      <c r="E449" s="59">
        <v>20</v>
      </c>
      <c r="F449" s="15">
        <v>10</v>
      </c>
      <c r="G449" s="15" t="s">
        <v>43</v>
      </c>
      <c r="H449" s="15" t="s">
        <v>20</v>
      </c>
      <c r="I449" s="15" t="s">
        <v>297</v>
      </c>
      <c r="J449" s="20">
        <v>100</v>
      </c>
    </row>
    <row r="450" spans="1:10" hidden="1" x14ac:dyDescent="0.3">
      <c r="A450" s="19" t="s">
        <v>298</v>
      </c>
      <c r="B450" s="15" t="s">
        <v>29</v>
      </c>
      <c r="C450" s="15" t="s">
        <v>96</v>
      </c>
      <c r="D450" s="15" t="s">
        <v>31</v>
      </c>
      <c r="E450" s="59">
        <v>20</v>
      </c>
      <c r="F450" s="15">
        <v>10</v>
      </c>
      <c r="G450" s="15" t="s">
        <v>32</v>
      </c>
      <c r="H450" s="15" t="s">
        <v>26</v>
      </c>
      <c r="I450" s="15" t="s">
        <v>299</v>
      </c>
      <c r="J450" s="20">
        <v>56</v>
      </c>
    </row>
    <row r="451" spans="1:10" hidden="1" x14ac:dyDescent="0.3">
      <c r="A451" s="19" t="s">
        <v>316</v>
      </c>
      <c r="B451" s="15" t="s">
        <v>23</v>
      </c>
      <c r="C451" s="15" t="s">
        <v>36</v>
      </c>
      <c r="D451" s="15" t="s">
        <v>31</v>
      </c>
      <c r="E451" s="59">
        <v>20</v>
      </c>
      <c r="F451" s="15">
        <v>11</v>
      </c>
      <c r="G451" s="15" t="s">
        <v>14</v>
      </c>
      <c r="H451" s="15" t="s">
        <v>37</v>
      </c>
      <c r="I451" s="15" t="s">
        <v>317</v>
      </c>
      <c r="J451" s="20">
        <v>52</v>
      </c>
    </row>
    <row r="452" spans="1:10" hidden="1" x14ac:dyDescent="0.3">
      <c r="A452" s="19" t="s">
        <v>326</v>
      </c>
      <c r="B452" s="15" t="s">
        <v>54</v>
      </c>
      <c r="C452" s="15" t="s">
        <v>55</v>
      </c>
      <c r="D452" s="15" t="s">
        <v>13</v>
      </c>
      <c r="E452" s="59">
        <v>20</v>
      </c>
      <c r="F452" s="15">
        <v>9</v>
      </c>
      <c r="G452" s="15" t="s">
        <v>32</v>
      </c>
      <c r="H452" s="15" t="s">
        <v>15</v>
      </c>
      <c r="I452" s="15" t="s">
        <v>77</v>
      </c>
      <c r="J452" s="20">
        <v>75</v>
      </c>
    </row>
    <row r="453" spans="1:10" x14ac:dyDescent="0.3">
      <c r="A453" s="19" t="s">
        <v>327</v>
      </c>
      <c r="B453" s="15" t="s">
        <v>73</v>
      </c>
      <c r="C453" s="15" t="s">
        <v>96</v>
      </c>
      <c r="D453" s="15" t="s">
        <v>13</v>
      </c>
      <c r="E453" s="59">
        <v>20</v>
      </c>
      <c r="F453" s="15">
        <v>9</v>
      </c>
      <c r="G453" s="15" t="s">
        <v>32</v>
      </c>
      <c r="H453" s="15" t="s">
        <v>61</v>
      </c>
      <c r="I453" s="15" t="s">
        <v>328</v>
      </c>
      <c r="J453" s="20">
        <v>40</v>
      </c>
    </row>
    <row r="454" spans="1:10" hidden="1" x14ac:dyDescent="0.3">
      <c r="A454" s="19" t="s">
        <v>353</v>
      </c>
      <c r="B454" s="15" t="s">
        <v>51</v>
      </c>
      <c r="C454" s="15" t="s">
        <v>55</v>
      </c>
      <c r="D454" s="15" t="s">
        <v>31</v>
      </c>
      <c r="E454" s="59">
        <v>20</v>
      </c>
      <c r="F454" s="15">
        <v>9</v>
      </c>
      <c r="G454" s="15" t="s">
        <v>25</v>
      </c>
      <c r="H454" s="15" t="s">
        <v>46</v>
      </c>
      <c r="I454" s="15" t="s">
        <v>354</v>
      </c>
      <c r="J454" s="20">
        <v>53</v>
      </c>
    </row>
    <row r="455" spans="1:10" hidden="1" x14ac:dyDescent="0.3">
      <c r="A455" s="19" t="s">
        <v>361</v>
      </c>
      <c r="B455" s="15" t="s">
        <v>11</v>
      </c>
      <c r="C455" s="15" t="s">
        <v>30</v>
      </c>
      <c r="D455" s="15" t="s">
        <v>13</v>
      </c>
      <c r="E455" s="59">
        <v>20</v>
      </c>
      <c r="F455" s="15">
        <v>10</v>
      </c>
      <c r="G455" s="15" t="s">
        <v>32</v>
      </c>
      <c r="H455" s="15" t="s">
        <v>15</v>
      </c>
      <c r="I455" s="15" t="s">
        <v>362</v>
      </c>
      <c r="J455" s="20">
        <v>49</v>
      </c>
    </row>
    <row r="456" spans="1:10" hidden="1" x14ac:dyDescent="0.3">
      <c r="A456" s="19" t="s">
        <v>377</v>
      </c>
      <c r="B456" s="15" t="s">
        <v>35</v>
      </c>
      <c r="C456" s="15" t="s">
        <v>30</v>
      </c>
      <c r="D456" s="15" t="s">
        <v>13</v>
      </c>
      <c r="E456" s="59">
        <v>20</v>
      </c>
      <c r="F456" s="15">
        <v>11</v>
      </c>
      <c r="G456" s="15" t="s">
        <v>32</v>
      </c>
      <c r="H456" s="15" t="s">
        <v>37</v>
      </c>
      <c r="I456" s="15" t="s">
        <v>189</v>
      </c>
      <c r="J456" s="20">
        <v>79</v>
      </c>
    </row>
    <row r="457" spans="1:10" hidden="1" x14ac:dyDescent="0.3">
      <c r="A457" s="19" t="s">
        <v>397</v>
      </c>
      <c r="B457" s="15" t="s">
        <v>23</v>
      </c>
      <c r="C457" s="15" t="s">
        <v>12</v>
      </c>
      <c r="D457" s="15" t="s">
        <v>13</v>
      </c>
      <c r="E457" s="59">
        <v>20</v>
      </c>
      <c r="F457" s="15">
        <v>9</v>
      </c>
      <c r="G457" s="15" t="s">
        <v>25</v>
      </c>
      <c r="H457" s="15" t="s">
        <v>46</v>
      </c>
      <c r="I457" s="15" t="s">
        <v>398</v>
      </c>
      <c r="J457" s="20">
        <v>91</v>
      </c>
    </row>
    <row r="458" spans="1:10" hidden="1" x14ac:dyDescent="0.3">
      <c r="A458" s="19" t="s">
        <v>409</v>
      </c>
      <c r="B458" s="15" t="s">
        <v>84</v>
      </c>
      <c r="C458" s="15" t="s">
        <v>24</v>
      </c>
      <c r="D458" s="15" t="s">
        <v>13</v>
      </c>
      <c r="E458" s="59">
        <v>20</v>
      </c>
      <c r="F458" s="15">
        <v>9</v>
      </c>
      <c r="G458" s="15" t="s">
        <v>25</v>
      </c>
      <c r="H458" s="15" t="s">
        <v>46</v>
      </c>
      <c r="I458" s="15" t="s">
        <v>290</v>
      </c>
      <c r="J458" s="20">
        <v>68</v>
      </c>
    </row>
    <row r="459" spans="1:10" x14ac:dyDescent="0.3">
      <c r="A459" s="19" t="s">
        <v>410</v>
      </c>
      <c r="B459" s="15" t="s">
        <v>18</v>
      </c>
      <c r="C459" s="15" t="s">
        <v>55</v>
      </c>
      <c r="D459" s="15" t="s">
        <v>31</v>
      </c>
      <c r="E459" s="59">
        <v>20</v>
      </c>
      <c r="F459" s="15">
        <v>10</v>
      </c>
      <c r="G459" s="15" t="s">
        <v>43</v>
      </c>
      <c r="H459" s="15" t="s">
        <v>40</v>
      </c>
      <c r="I459" s="15" t="s">
        <v>411</v>
      </c>
      <c r="J459" s="20">
        <v>59</v>
      </c>
    </row>
    <row r="460" spans="1:10" hidden="1" x14ac:dyDescent="0.3">
      <c r="A460" s="19" t="s">
        <v>416</v>
      </c>
      <c r="B460" s="15" t="s">
        <v>18</v>
      </c>
      <c r="C460" s="15" t="s">
        <v>79</v>
      </c>
      <c r="D460" s="15" t="s">
        <v>31</v>
      </c>
      <c r="E460" s="59">
        <v>20</v>
      </c>
      <c r="F460" s="15">
        <v>9</v>
      </c>
      <c r="G460" s="15" t="s">
        <v>25</v>
      </c>
      <c r="H460" s="15" t="s">
        <v>37</v>
      </c>
      <c r="I460" s="15" t="s">
        <v>417</v>
      </c>
      <c r="J460" s="20">
        <v>53</v>
      </c>
    </row>
    <row r="461" spans="1:10" hidden="1" x14ac:dyDescent="0.3">
      <c r="A461" s="19" t="s">
        <v>435</v>
      </c>
      <c r="B461" s="15" t="s">
        <v>29</v>
      </c>
      <c r="C461" s="15" t="s">
        <v>30</v>
      </c>
      <c r="D461" s="15" t="s">
        <v>31</v>
      </c>
      <c r="E461" s="59">
        <v>20</v>
      </c>
      <c r="F461" s="15">
        <v>12</v>
      </c>
      <c r="G461" s="15" t="s">
        <v>43</v>
      </c>
      <c r="H461" s="15" t="s">
        <v>26</v>
      </c>
      <c r="I461" s="15" t="s">
        <v>436</v>
      </c>
      <c r="J461" s="20">
        <v>36</v>
      </c>
    </row>
    <row r="462" spans="1:10" hidden="1" x14ac:dyDescent="0.3">
      <c r="A462" s="19" t="s">
        <v>445</v>
      </c>
      <c r="B462" s="15" t="s">
        <v>54</v>
      </c>
      <c r="C462" s="15" t="s">
        <v>96</v>
      </c>
      <c r="D462" s="15" t="s">
        <v>13</v>
      </c>
      <c r="E462" s="59">
        <v>20</v>
      </c>
      <c r="F462" s="15">
        <v>10</v>
      </c>
      <c r="G462" s="15" t="s">
        <v>32</v>
      </c>
      <c r="H462" s="15" t="s">
        <v>46</v>
      </c>
      <c r="I462" s="15" t="s">
        <v>182</v>
      </c>
      <c r="J462" s="20">
        <v>85</v>
      </c>
    </row>
    <row r="463" spans="1:10" x14ac:dyDescent="0.3">
      <c r="A463" s="19" t="s">
        <v>466</v>
      </c>
      <c r="B463" s="15" t="s">
        <v>11</v>
      </c>
      <c r="C463" s="15" t="s">
        <v>55</v>
      </c>
      <c r="D463" s="15" t="s">
        <v>31</v>
      </c>
      <c r="E463" s="59">
        <v>20</v>
      </c>
      <c r="F463" s="15">
        <v>11</v>
      </c>
      <c r="G463" s="15" t="s">
        <v>32</v>
      </c>
      <c r="H463" s="15" t="s">
        <v>40</v>
      </c>
      <c r="I463" s="15" t="s">
        <v>467</v>
      </c>
      <c r="J463" s="20">
        <v>46</v>
      </c>
    </row>
    <row r="464" spans="1:10" x14ac:dyDescent="0.3">
      <c r="A464" s="19" t="s">
        <v>489</v>
      </c>
      <c r="B464" s="15" t="s">
        <v>68</v>
      </c>
      <c r="C464" s="15" t="s">
        <v>58</v>
      </c>
      <c r="D464" s="15" t="s">
        <v>31</v>
      </c>
      <c r="E464" s="59">
        <v>20</v>
      </c>
      <c r="F464" s="15">
        <v>10</v>
      </c>
      <c r="G464" s="15" t="s">
        <v>32</v>
      </c>
      <c r="H464" s="15" t="s">
        <v>20</v>
      </c>
      <c r="I464" s="15" t="s">
        <v>370</v>
      </c>
      <c r="J464" s="20">
        <v>93</v>
      </c>
    </row>
    <row r="465" spans="1:10" hidden="1" x14ac:dyDescent="0.3">
      <c r="A465" s="19" t="s">
        <v>499</v>
      </c>
      <c r="B465" s="15" t="s">
        <v>54</v>
      </c>
      <c r="C465" s="15" t="s">
        <v>19</v>
      </c>
      <c r="D465" s="15" t="s">
        <v>31</v>
      </c>
      <c r="E465" s="59">
        <v>20</v>
      </c>
      <c r="F465" s="15">
        <v>9</v>
      </c>
      <c r="G465" s="15" t="s">
        <v>32</v>
      </c>
      <c r="H465" s="15" t="s">
        <v>46</v>
      </c>
      <c r="I465" s="15" t="s">
        <v>500</v>
      </c>
      <c r="J465" s="20">
        <v>42</v>
      </c>
    </row>
    <row r="466" spans="1:10" hidden="1" x14ac:dyDescent="0.3">
      <c r="A466" s="19" t="s">
        <v>520</v>
      </c>
      <c r="B466" s="15" t="s">
        <v>68</v>
      </c>
      <c r="C466" s="15" t="s">
        <v>12</v>
      </c>
      <c r="D466" s="15" t="s">
        <v>31</v>
      </c>
      <c r="E466" s="59">
        <v>20</v>
      </c>
      <c r="F466" s="15">
        <v>10</v>
      </c>
      <c r="G466" s="15" t="s">
        <v>32</v>
      </c>
      <c r="H466" s="15" t="s">
        <v>26</v>
      </c>
      <c r="I466" s="15" t="s">
        <v>521</v>
      </c>
      <c r="J466" s="20">
        <v>42</v>
      </c>
    </row>
    <row r="467" spans="1:10" hidden="1" x14ac:dyDescent="0.3">
      <c r="A467" s="19" t="s">
        <v>524</v>
      </c>
      <c r="B467" s="15" t="s">
        <v>35</v>
      </c>
      <c r="C467" s="15" t="s">
        <v>85</v>
      </c>
      <c r="D467" s="15" t="s">
        <v>13</v>
      </c>
      <c r="E467" s="59">
        <v>20</v>
      </c>
      <c r="F467" s="15">
        <v>10</v>
      </c>
      <c r="G467" s="15" t="s">
        <v>14</v>
      </c>
      <c r="H467" s="15" t="s">
        <v>40</v>
      </c>
      <c r="I467" s="15" t="s">
        <v>525</v>
      </c>
      <c r="J467" s="20">
        <v>92</v>
      </c>
    </row>
    <row r="468" spans="1:10" hidden="1" x14ac:dyDescent="0.3">
      <c r="A468" s="19" t="s">
        <v>527</v>
      </c>
      <c r="B468" s="15" t="s">
        <v>11</v>
      </c>
      <c r="C468" s="15" t="s">
        <v>85</v>
      </c>
      <c r="D468" s="15" t="s">
        <v>13</v>
      </c>
      <c r="E468" s="59">
        <v>20</v>
      </c>
      <c r="F468" s="15">
        <v>12</v>
      </c>
      <c r="G468" s="15" t="s">
        <v>25</v>
      </c>
      <c r="H468" s="15" t="s">
        <v>46</v>
      </c>
      <c r="I468" s="15" t="s">
        <v>451</v>
      </c>
      <c r="J468" s="20">
        <v>86</v>
      </c>
    </row>
    <row r="469" spans="1:10" hidden="1" x14ac:dyDescent="0.3">
      <c r="A469" s="19" t="s">
        <v>529</v>
      </c>
      <c r="B469" s="15" t="s">
        <v>84</v>
      </c>
      <c r="C469" s="15" t="s">
        <v>24</v>
      </c>
      <c r="D469" s="15" t="s">
        <v>31</v>
      </c>
      <c r="E469" s="59">
        <v>20</v>
      </c>
      <c r="F469" s="15">
        <v>12</v>
      </c>
      <c r="G469" s="15" t="s">
        <v>25</v>
      </c>
      <c r="H469" s="15" t="s">
        <v>76</v>
      </c>
      <c r="I469" s="15" t="s">
        <v>186</v>
      </c>
      <c r="J469" s="20">
        <v>51</v>
      </c>
    </row>
    <row r="470" spans="1:10" hidden="1" x14ac:dyDescent="0.3">
      <c r="A470" s="19" t="s">
        <v>531</v>
      </c>
      <c r="B470" s="15" t="s">
        <v>23</v>
      </c>
      <c r="C470" s="15" t="s">
        <v>36</v>
      </c>
      <c r="D470" s="15" t="s">
        <v>13</v>
      </c>
      <c r="E470" s="59">
        <v>20</v>
      </c>
      <c r="F470" s="15">
        <v>11</v>
      </c>
      <c r="G470" s="15" t="s">
        <v>43</v>
      </c>
      <c r="H470" s="15" t="s">
        <v>20</v>
      </c>
      <c r="I470" s="15" t="s">
        <v>178</v>
      </c>
      <c r="J470" s="20">
        <v>44</v>
      </c>
    </row>
    <row r="471" spans="1:10" hidden="1" x14ac:dyDescent="0.3">
      <c r="A471" s="19" t="s">
        <v>534</v>
      </c>
      <c r="B471" s="15" t="s">
        <v>23</v>
      </c>
      <c r="C471" s="15" t="s">
        <v>19</v>
      </c>
      <c r="D471" s="15" t="s">
        <v>13</v>
      </c>
      <c r="E471" s="59">
        <v>20</v>
      </c>
      <c r="F471" s="15">
        <v>11</v>
      </c>
      <c r="G471" s="15" t="s">
        <v>32</v>
      </c>
      <c r="H471" s="15" t="s">
        <v>76</v>
      </c>
      <c r="I471" s="15" t="s">
        <v>358</v>
      </c>
      <c r="J471" s="20">
        <v>41</v>
      </c>
    </row>
    <row r="472" spans="1:10" hidden="1" x14ac:dyDescent="0.3">
      <c r="A472" s="19" t="s">
        <v>535</v>
      </c>
      <c r="B472" s="15" t="s">
        <v>84</v>
      </c>
      <c r="C472" s="15" t="s">
        <v>58</v>
      </c>
      <c r="D472" s="15" t="s">
        <v>13</v>
      </c>
      <c r="E472" s="59">
        <v>20</v>
      </c>
      <c r="F472" s="15">
        <v>9</v>
      </c>
      <c r="G472" s="15" t="s">
        <v>25</v>
      </c>
      <c r="H472" s="15" t="s">
        <v>46</v>
      </c>
      <c r="I472" s="15" t="s">
        <v>536</v>
      </c>
      <c r="J472" s="20">
        <v>58</v>
      </c>
    </row>
    <row r="473" spans="1:10" hidden="1" x14ac:dyDescent="0.3">
      <c r="A473" s="19" t="s">
        <v>565</v>
      </c>
      <c r="B473" s="15" t="s">
        <v>54</v>
      </c>
      <c r="C473" s="15" t="s">
        <v>79</v>
      </c>
      <c r="D473" s="15" t="s">
        <v>31</v>
      </c>
      <c r="E473" s="59">
        <v>20</v>
      </c>
      <c r="F473" s="15">
        <v>9</v>
      </c>
      <c r="G473" s="15" t="s">
        <v>43</v>
      </c>
      <c r="H473" s="15" t="s">
        <v>20</v>
      </c>
      <c r="I473" s="15" t="s">
        <v>566</v>
      </c>
      <c r="J473" s="20">
        <v>67</v>
      </c>
    </row>
    <row r="474" spans="1:10" x14ac:dyDescent="0.3">
      <c r="A474" s="19" t="s">
        <v>579</v>
      </c>
      <c r="B474" s="15" t="s">
        <v>51</v>
      </c>
      <c r="C474" s="15" t="s">
        <v>55</v>
      </c>
      <c r="D474" s="15" t="s">
        <v>31</v>
      </c>
      <c r="E474" s="59">
        <v>20</v>
      </c>
      <c r="F474" s="15">
        <v>9</v>
      </c>
      <c r="G474" s="15" t="s">
        <v>25</v>
      </c>
      <c r="H474" s="15" t="s">
        <v>26</v>
      </c>
      <c r="I474" s="15" t="s">
        <v>212</v>
      </c>
      <c r="J474" s="20">
        <v>35</v>
      </c>
    </row>
    <row r="475" spans="1:10" x14ac:dyDescent="0.3">
      <c r="A475" s="19" t="s">
        <v>594</v>
      </c>
      <c r="B475" s="15" t="s">
        <v>54</v>
      </c>
      <c r="C475" s="15" t="s">
        <v>55</v>
      </c>
      <c r="D475" s="15" t="s">
        <v>13</v>
      </c>
      <c r="E475" s="59">
        <v>20</v>
      </c>
      <c r="F475" s="15">
        <v>11</v>
      </c>
      <c r="G475" s="15" t="s">
        <v>43</v>
      </c>
      <c r="H475" s="15" t="s">
        <v>40</v>
      </c>
      <c r="I475" s="15" t="s">
        <v>595</v>
      </c>
      <c r="J475" s="20">
        <v>84</v>
      </c>
    </row>
    <row r="476" spans="1:10" hidden="1" x14ac:dyDescent="0.3">
      <c r="A476" s="19" t="s">
        <v>604</v>
      </c>
      <c r="B476" s="15" t="s">
        <v>51</v>
      </c>
      <c r="C476" s="15" t="s">
        <v>85</v>
      </c>
      <c r="D476" s="15" t="s">
        <v>31</v>
      </c>
      <c r="E476" s="59">
        <v>20</v>
      </c>
      <c r="F476" s="15">
        <v>12</v>
      </c>
      <c r="G476" s="15" t="s">
        <v>25</v>
      </c>
      <c r="H476" s="15" t="s">
        <v>26</v>
      </c>
      <c r="I476" s="15" t="s">
        <v>299</v>
      </c>
      <c r="J476" s="20">
        <v>69</v>
      </c>
    </row>
    <row r="477" spans="1:10" hidden="1" x14ac:dyDescent="0.3">
      <c r="A477" s="19" t="s">
        <v>605</v>
      </c>
      <c r="B477" s="15" t="s">
        <v>54</v>
      </c>
      <c r="C477" s="15" t="s">
        <v>19</v>
      </c>
      <c r="D477" s="15" t="s">
        <v>31</v>
      </c>
      <c r="E477" s="59">
        <v>20</v>
      </c>
      <c r="F477" s="15">
        <v>10</v>
      </c>
      <c r="G477" s="15" t="s">
        <v>43</v>
      </c>
      <c r="H477" s="15" t="s">
        <v>37</v>
      </c>
      <c r="I477" s="15" t="s">
        <v>606</v>
      </c>
      <c r="J477" s="20">
        <v>99</v>
      </c>
    </row>
    <row r="478" spans="1:10" hidden="1" x14ac:dyDescent="0.3">
      <c r="A478" s="19" t="s">
        <v>658</v>
      </c>
      <c r="B478" s="15" t="s">
        <v>11</v>
      </c>
      <c r="C478" s="15" t="s">
        <v>96</v>
      </c>
      <c r="D478" s="15" t="s">
        <v>31</v>
      </c>
      <c r="E478" s="59">
        <v>20</v>
      </c>
      <c r="F478" s="15">
        <v>10</v>
      </c>
      <c r="G478" s="15" t="s">
        <v>43</v>
      </c>
      <c r="H478" s="15" t="s">
        <v>37</v>
      </c>
      <c r="I478" s="15" t="s">
        <v>659</v>
      </c>
      <c r="J478" s="20">
        <v>62</v>
      </c>
    </row>
    <row r="479" spans="1:10" hidden="1" x14ac:dyDescent="0.3">
      <c r="A479" s="19" t="s">
        <v>663</v>
      </c>
      <c r="B479" s="15" t="s">
        <v>73</v>
      </c>
      <c r="C479" s="15" t="s">
        <v>36</v>
      </c>
      <c r="D479" s="15" t="s">
        <v>13</v>
      </c>
      <c r="E479" s="59">
        <v>20</v>
      </c>
      <c r="F479" s="15">
        <v>12</v>
      </c>
      <c r="G479" s="15" t="s">
        <v>25</v>
      </c>
      <c r="H479" s="15" t="s">
        <v>40</v>
      </c>
      <c r="I479" s="15" t="s">
        <v>664</v>
      </c>
      <c r="J479" s="20">
        <v>50</v>
      </c>
    </row>
    <row r="480" spans="1:10" hidden="1" x14ac:dyDescent="0.3">
      <c r="A480" s="19" t="s">
        <v>677</v>
      </c>
      <c r="B480" s="15" t="s">
        <v>23</v>
      </c>
      <c r="C480" s="15" t="s">
        <v>85</v>
      </c>
      <c r="D480" s="15" t="s">
        <v>13</v>
      </c>
      <c r="E480" s="59">
        <v>20</v>
      </c>
      <c r="F480" s="15">
        <v>10</v>
      </c>
      <c r="G480" s="15" t="s">
        <v>32</v>
      </c>
      <c r="H480" s="15" t="s">
        <v>40</v>
      </c>
      <c r="I480" s="15" t="s">
        <v>678</v>
      </c>
      <c r="J480" s="20">
        <v>56</v>
      </c>
    </row>
    <row r="481" spans="1:10" hidden="1" x14ac:dyDescent="0.3">
      <c r="A481" s="19" t="s">
        <v>689</v>
      </c>
      <c r="B481" s="15" t="s">
        <v>68</v>
      </c>
      <c r="C481" s="15" t="s">
        <v>96</v>
      </c>
      <c r="D481" s="15" t="s">
        <v>13</v>
      </c>
      <c r="E481" s="59">
        <v>20</v>
      </c>
      <c r="F481" s="15">
        <v>12</v>
      </c>
      <c r="G481" s="15" t="s">
        <v>43</v>
      </c>
      <c r="H481" s="15" t="s">
        <v>20</v>
      </c>
      <c r="I481" s="15" t="s">
        <v>626</v>
      </c>
      <c r="J481" s="20">
        <v>48</v>
      </c>
    </row>
    <row r="482" spans="1:10" hidden="1" x14ac:dyDescent="0.3">
      <c r="A482" s="19" t="s">
        <v>700</v>
      </c>
      <c r="B482" s="15" t="s">
        <v>23</v>
      </c>
      <c r="C482" s="15" t="s">
        <v>55</v>
      </c>
      <c r="D482" s="15" t="s">
        <v>31</v>
      </c>
      <c r="E482" s="59">
        <v>20</v>
      </c>
      <c r="F482" s="15">
        <v>10</v>
      </c>
      <c r="G482" s="15" t="s">
        <v>14</v>
      </c>
      <c r="H482" s="15" t="s">
        <v>15</v>
      </c>
      <c r="I482" s="15" t="s">
        <v>678</v>
      </c>
      <c r="J482" s="20">
        <v>59</v>
      </c>
    </row>
    <row r="483" spans="1:10" hidden="1" x14ac:dyDescent="0.3">
      <c r="A483" s="19" t="s">
        <v>707</v>
      </c>
      <c r="B483" s="15" t="s">
        <v>68</v>
      </c>
      <c r="C483" s="15" t="s">
        <v>96</v>
      </c>
      <c r="D483" s="15" t="s">
        <v>31</v>
      </c>
      <c r="E483" s="59">
        <v>20</v>
      </c>
      <c r="F483" s="15">
        <v>12</v>
      </c>
      <c r="G483" s="15" t="s">
        <v>43</v>
      </c>
      <c r="H483" s="15" t="s">
        <v>37</v>
      </c>
      <c r="I483" s="15" t="s">
        <v>708</v>
      </c>
      <c r="J483" s="20">
        <v>35</v>
      </c>
    </row>
    <row r="484" spans="1:10" hidden="1" x14ac:dyDescent="0.3">
      <c r="A484" s="19" t="s">
        <v>718</v>
      </c>
      <c r="B484" s="15" t="s">
        <v>84</v>
      </c>
      <c r="C484" s="15" t="s">
        <v>12</v>
      </c>
      <c r="D484" s="15" t="s">
        <v>31</v>
      </c>
      <c r="E484" s="59">
        <v>20</v>
      </c>
      <c r="F484" s="15">
        <v>10</v>
      </c>
      <c r="G484" s="15" t="s">
        <v>25</v>
      </c>
      <c r="H484" s="15" t="s">
        <v>61</v>
      </c>
      <c r="I484" s="15" t="s">
        <v>639</v>
      </c>
      <c r="J484" s="20">
        <v>35</v>
      </c>
    </row>
    <row r="485" spans="1:10" hidden="1" x14ac:dyDescent="0.3">
      <c r="A485" s="19" t="s">
        <v>751</v>
      </c>
      <c r="B485" s="15" t="s">
        <v>73</v>
      </c>
      <c r="C485" s="15" t="s">
        <v>79</v>
      </c>
      <c r="D485" s="15" t="s">
        <v>31</v>
      </c>
      <c r="E485" s="59">
        <v>20</v>
      </c>
      <c r="F485" s="15">
        <v>12</v>
      </c>
      <c r="G485" s="15" t="s">
        <v>25</v>
      </c>
      <c r="H485" s="15" t="s">
        <v>76</v>
      </c>
      <c r="I485" s="15" t="s">
        <v>752</v>
      </c>
      <c r="J485" s="20">
        <v>91</v>
      </c>
    </row>
    <row r="486" spans="1:10" hidden="1" x14ac:dyDescent="0.3">
      <c r="A486" s="19" t="s">
        <v>762</v>
      </c>
      <c r="B486" s="15" t="s">
        <v>68</v>
      </c>
      <c r="C486" s="15" t="s">
        <v>85</v>
      </c>
      <c r="D486" s="15" t="s">
        <v>31</v>
      </c>
      <c r="E486" s="59">
        <v>20</v>
      </c>
      <c r="F486" s="15">
        <v>12</v>
      </c>
      <c r="G486" s="15" t="s">
        <v>43</v>
      </c>
      <c r="H486" s="15" t="s">
        <v>20</v>
      </c>
      <c r="I486" s="15" t="s">
        <v>763</v>
      </c>
      <c r="J486" s="20">
        <v>82</v>
      </c>
    </row>
    <row r="487" spans="1:10" hidden="1" x14ac:dyDescent="0.3">
      <c r="A487" s="19" t="s">
        <v>766</v>
      </c>
      <c r="B487" s="15" t="s">
        <v>35</v>
      </c>
      <c r="C487" s="15" t="s">
        <v>58</v>
      </c>
      <c r="D487" s="15" t="s">
        <v>13</v>
      </c>
      <c r="E487" s="59">
        <v>20</v>
      </c>
      <c r="F487" s="15">
        <v>11</v>
      </c>
      <c r="G487" s="15" t="s">
        <v>32</v>
      </c>
      <c r="H487" s="15" t="s">
        <v>46</v>
      </c>
      <c r="I487" s="15" t="s">
        <v>767</v>
      </c>
      <c r="J487" s="20">
        <v>54</v>
      </c>
    </row>
    <row r="488" spans="1:10" x14ac:dyDescent="0.3">
      <c r="A488" s="19" t="s">
        <v>775</v>
      </c>
      <c r="B488" s="15" t="s">
        <v>29</v>
      </c>
      <c r="C488" s="15" t="s">
        <v>85</v>
      </c>
      <c r="D488" s="15" t="s">
        <v>31</v>
      </c>
      <c r="E488" s="59">
        <v>20</v>
      </c>
      <c r="F488" s="15">
        <v>10</v>
      </c>
      <c r="G488" s="15" t="s">
        <v>14</v>
      </c>
      <c r="H488" s="15" t="s">
        <v>46</v>
      </c>
      <c r="I488" s="15" t="s">
        <v>366</v>
      </c>
      <c r="J488" s="20">
        <v>100</v>
      </c>
    </row>
    <row r="489" spans="1:10" hidden="1" x14ac:dyDescent="0.3">
      <c r="A489" s="19" t="s">
        <v>776</v>
      </c>
      <c r="B489" s="15" t="s">
        <v>11</v>
      </c>
      <c r="C489" s="15" t="s">
        <v>12</v>
      </c>
      <c r="D489" s="15" t="s">
        <v>31</v>
      </c>
      <c r="E489" s="59">
        <v>20</v>
      </c>
      <c r="F489" s="15">
        <v>9</v>
      </c>
      <c r="G489" s="15" t="s">
        <v>14</v>
      </c>
      <c r="H489" s="15" t="s">
        <v>76</v>
      </c>
      <c r="I489" s="15" t="s">
        <v>777</v>
      </c>
      <c r="J489" s="20">
        <v>84</v>
      </c>
    </row>
    <row r="490" spans="1:10" hidden="1" x14ac:dyDescent="0.3">
      <c r="A490" s="19" t="s">
        <v>793</v>
      </c>
      <c r="B490" s="15" t="s">
        <v>35</v>
      </c>
      <c r="C490" s="15" t="s">
        <v>19</v>
      </c>
      <c r="D490" s="15" t="s">
        <v>31</v>
      </c>
      <c r="E490" s="59">
        <v>20</v>
      </c>
      <c r="F490" s="15">
        <v>11</v>
      </c>
      <c r="G490" s="15" t="s">
        <v>32</v>
      </c>
      <c r="H490" s="15" t="s">
        <v>20</v>
      </c>
      <c r="I490" s="15" t="s">
        <v>794</v>
      </c>
      <c r="J490" s="20">
        <v>74</v>
      </c>
    </row>
    <row r="491" spans="1:10" hidden="1" x14ac:dyDescent="0.3">
      <c r="A491" s="19" t="s">
        <v>811</v>
      </c>
      <c r="B491" s="15" t="s">
        <v>29</v>
      </c>
      <c r="C491" s="15" t="s">
        <v>58</v>
      </c>
      <c r="D491" s="15" t="s">
        <v>13</v>
      </c>
      <c r="E491" s="59">
        <v>20</v>
      </c>
      <c r="F491" s="15">
        <v>11</v>
      </c>
      <c r="G491" s="15" t="s">
        <v>14</v>
      </c>
      <c r="H491" s="15" t="s">
        <v>61</v>
      </c>
      <c r="I491" s="15" t="s">
        <v>358</v>
      </c>
      <c r="J491" s="20">
        <v>44</v>
      </c>
    </row>
    <row r="492" spans="1:10" hidden="1" x14ac:dyDescent="0.3">
      <c r="A492" s="19" t="s">
        <v>821</v>
      </c>
      <c r="B492" s="15" t="s">
        <v>18</v>
      </c>
      <c r="C492" s="15" t="s">
        <v>79</v>
      </c>
      <c r="D492" s="15" t="s">
        <v>13</v>
      </c>
      <c r="E492" s="59">
        <v>20</v>
      </c>
      <c r="F492" s="15">
        <v>12</v>
      </c>
      <c r="G492" s="15" t="s">
        <v>32</v>
      </c>
      <c r="H492" s="15" t="s">
        <v>26</v>
      </c>
      <c r="I492" s="15" t="s">
        <v>822</v>
      </c>
      <c r="J492" s="20">
        <v>52</v>
      </c>
    </row>
    <row r="493" spans="1:10" hidden="1" x14ac:dyDescent="0.3">
      <c r="A493" s="19" t="s">
        <v>824</v>
      </c>
      <c r="B493" s="15" t="s">
        <v>54</v>
      </c>
      <c r="C493" s="15" t="s">
        <v>19</v>
      </c>
      <c r="D493" s="15" t="s">
        <v>31</v>
      </c>
      <c r="E493" s="59">
        <v>20</v>
      </c>
      <c r="F493" s="15">
        <v>9</v>
      </c>
      <c r="G493" s="15" t="s">
        <v>14</v>
      </c>
      <c r="H493" s="15" t="s">
        <v>37</v>
      </c>
      <c r="I493" s="15" t="s">
        <v>825</v>
      </c>
      <c r="J493" s="20">
        <v>43</v>
      </c>
    </row>
    <row r="494" spans="1:10" hidden="1" x14ac:dyDescent="0.3">
      <c r="A494" s="19" t="s">
        <v>840</v>
      </c>
      <c r="B494" s="15" t="s">
        <v>29</v>
      </c>
      <c r="C494" s="15" t="s">
        <v>12</v>
      </c>
      <c r="D494" s="15" t="s">
        <v>31</v>
      </c>
      <c r="E494" s="59">
        <v>20</v>
      </c>
      <c r="F494" s="15">
        <v>10</v>
      </c>
      <c r="G494" s="15" t="s">
        <v>43</v>
      </c>
      <c r="H494" s="15" t="s">
        <v>15</v>
      </c>
      <c r="I494" s="15" t="s">
        <v>841</v>
      </c>
      <c r="J494" s="20">
        <v>37</v>
      </c>
    </row>
    <row r="495" spans="1:10" x14ac:dyDescent="0.3">
      <c r="A495" s="19" t="s">
        <v>857</v>
      </c>
      <c r="B495" s="15" t="s">
        <v>18</v>
      </c>
      <c r="C495" s="15" t="s">
        <v>96</v>
      </c>
      <c r="D495" s="15" t="s">
        <v>13</v>
      </c>
      <c r="E495" s="59">
        <v>20</v>
      </c>
      <c r="F495" s="15">
        <v>11</v>
      </c>
      <c r="G495" s="15" t="s">
        <v>32</v>
      </c>
      <c r="H495" s="15" t="s">
        <v>61</v>
      </c>
      <c r="I495" s="15" t="s">
        <v>570</v>
      </c>
      <c r="J495" s="20">
        <v>94</v>
      </c>
    </row>
    <row r="496" spans="1:10" hidden="1" x14ac:dyDescent="0.3">
      <c r="A496" s="19" t="s">
        <v>871</v>
      </c>
      <c r="B496" s="15" t="s">
        <v>11</v>
      </c>
      <c r="C496" s="15" t="s">
        <v>12</v>
      </c>
      <c r="D496" s="15" t="s">
        <v>13</v>
      </c>
      <c r="E496" s="59">
        <v>20</v>
      </c>
      <c r="F496" s="15">
        <v>10</v>
      </c>
      <c r="G496" s="15" t="s">
        <v>25</v>
      </c>
      <c r="H496" s="15" t="s">
        <v>76</v>
      </c>
      <c r="I496" s="15" t="s">
        <v>872</v>
      </c>
      <c r="J496" s="20">
        <v>66</v>
      </c>
    </row>
    <row r="497" spans="1:10" hidden="1" x14ac:dyDescent="0.3">
      <c r="A497" s="19" t="s">
        <v>894</v>
      </c>
      <c r="B497" s="15" t="s">
        <v>23</v>
      </c>
      <c r="C497" s="15" t="s">
        <v>79</v>
      </c>
      <c r="D497" s="15" t="s">
        <v>31</v>
      </c>
      <c r="E497" s="59">
        <v>20</v>
      </c>
      <c r="F497" s="15">
        <v>9</v>
      </c>
      <c r="G497" s="15" t="s">
        <v>14</v>
      </c>
      <c r="H497" s="15" t="s">
        <v>26</v>
      </c>
      <c r="I497" s="15" t="s">
        <v>895</v>
      </c>
      <c r="J497" s="20">
        <v>36</v>
      </c>
    </row>
    <row r="498" spans="1:10" hidden="1" x14ac:dyDescent="0.3">
      <c r="A498" s="19" t="s">
        <v>903</v>
      </c>
      <c r="B498" s="15" t="s">
        <v>54</v>
      </c>
      <c r="C498" s="15" t="s">
        <v>30</v>
      </c>
      <c r="D498" s="15" t="s">
        <v>31</v>
      </c>
      <c r="E498" s="59">
        <v>20</v>
      </c>
      <c r="F498" s="15">
        <v>12</v>
      </c>
      <c r="G498" s="15" t="s">
        <v>43</v>
      </c>
      <c r="H498" s="15" t="s">
        <v>40</v>
      </c>
      <c r="I498" s="15" t="s">
        <v>904</v>
      </c>
      <c r="J498" s="20">
        <v>55</v>
      </c>
    </row>
    <row r="499" spans="1:10" hidden="1" x14ac:dyDescent="0.3">
      <c r="A499" s="19" t="s">
        <v>928</v>
      </c>
      <c r="B499" s="15" t="s">
        <v>23</v>
      </c>
      <c r="C499" s="15" t="s">
        <v>55</v>
      </c>
      <c r="D499" s="15" t="s">
        <v>13</v>
      </c>
      <c r="E499" s="59">
        <v>20</v>
      </c>
      <c r="F499" s="15">
        <v>11</v>
      </c>
      <c r="G499" s="15" t="s">
        <v>14</v>
      </c>
      <c r="H499" s="15" t="s">
        <v>15</v>
      </c>
      <c r="I499" s="15" t="s">
        <v>608</v>
      </c>
      <c r="J499" s="20">
        <v>49</v>
      </c>
    </row>
    <row r="500" spans="1:10" hidden="1" x14ac:dyDescent="0.3">
      <c r="A500" s="19" t="s">
        <v>930</v>
      </c>
      <c r="B500" s="15" t="s">
        <v>35</v>
      </c>
      <c r="C500" s="15" t="s">
        <v>96</v>
      </c>
      <c r="D500" s="15" t="s">
        <v>31</v>
      </c>
      <c r="E500" s="59">
        <v>20</v>
      </c>
      <c r="F500" s="15">
        <v>9</v>
      </c>
      <c r="G500" s="15" t="s">
        <v>25</v>
      </c>
      <c r="H500" s="15" t="s">
        <v>61</v>
      </c>
      <c r="I500" s="15" t="s">
        <v>342</v>
      </c>
      <c r="J500" s="20">
        <v>62</v>
      </c>
    </row>
    <row r="501" spans="1:10" hidden="1" x14ac:dyDescent="0.3">
      <c r="A501" s="19" t="s">
        <v>931</v>
      </c>
      <c r="B501" s="15" t="s">
        <v>23</v>
      </c>
      <c r="C501" s="15" t="s">
        <v>36</v>
      </c>
      <c r="D501" s="15" t="s">
        <v>13</v>
      </c>
      <c r="E501" s="59">
        <v>20</v>
      </c>
      <c r="F501" s="15">
        <v>9</v>
      </c>
      <c r="G501" s="15" t="s">
        <v>43</v>
      </c>
      <c r="H501" s="15" t="s">
        <v>40</v>
      </c>
      <c r="I501" s="15" t="s">
        <v>932</v>
      </c>
      <c r="J501" s="20">
        <v>85</v>
      </c>
    </row>
    <row r="502" spans="1:10" x14ac:dyDescent="0.3">
      <c r="A502" s="19" t="s">
        <v>933</v>
      </c>
      <c r="B502" s="15" t="s">
        <v>51</v>
      </c>
      <c r="C502" s="15" t="s">
        <v>96</v>
      </c>
      <c r="D502" s="15" t="s">
        <v>13</v>
      </c>
      <c r="E502" s="59">
        <v>20</v>
      </c>
      <c r="F502" s="15">
        <v>11</v>
      </c>
      <c r="G502" s="15" t="s">
        <v>25</v>
      </c>
      <c r="H502" s="15" t="s">
        <v>15</v>
      </c>
      <c r="I502" s="15" t="s">
        <v>494</v>
      </c>
      <c r="J502" s="20">
        <v>42</v>
      </c>
    </row>
    <row r="503" spans="1:10" hidden="1" x14ac:dyDescent="0.3">
      <c r="A503" s="21" t="s">
        <v>935</v>
      </c>
      <c r="B503" s="22" t="s">
        <v>18</v>
      </c>
      <c r="C503" s="22" t="s">
        <v>12</v>
      </c>
      <c r="D503" s="22" t="s">
        <v>13</v>
      </c>
      <c r="E503" s="60">
        <v>20</v>
      </c>
      <c r="F503" s="22">
        <v>11</v>
      </c>
      <c r="G503" s="22" t="s">
        <v>43</v>
      </c>
      <c r="H503" s="22" t="s">
        <v>46</v>
      </c>
      <c r="I503" s="22" t="s">
        <v>936</v>
      </c>
      <c r="J503" s="23">
        <v>94</v>
      </c>
    </row>
  </sheetData>
  <mergeCells count="1">
    <mergeCell ref="B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5F06-946B-43D4-BE10-0A0004B72FE8}">
  <sheetPr filterMode="1"/>
  <dimension ref="A1:L503"/>
  <sheetViews>
    <sheetView workbookViewId="0">
      <selection activeCell="O35" sqref="O35"/>
    </sheetView>
  </sheetViews>
  <sheetFormatPr defaultRowHeight="14.4" x14ac:dyDescent="0.3"/>
  <cols>
    <col min="1" max="2" width="10.44140625" bestFit="1" customWidth="1"/>
    <col min="3" max="3" width="10.33203125" bestFit="1" customWidth="1"/>
    <col min="4" max="4" width="7.109375" bestFit="1" customWidth="1"/>
    <col min="5" max="5" width="4.21875" bestFit="1" customWidth="1"/>
    <col min="6" max="6" width="5.109375" bestFit="1" customWidth="1"/>
    <col min="7" max="7" width="7.21875" bestFit="1" customWidth="1"/>
    <col min="8" max="8" width="9.77734375" bestFit="1" customWidth="1"/>
    <col min="9" max="9" width="14.6640625" bestFit="1" customWidth="1"/>
    <col min="10" max="10" width="6.21875" bestFit="1" customWidth="1"/>
    <col min="12" max="12" width="7.109375" bestFit="1" customWidth="1"/>
  </cols>
  <sheetData>
    <row r="1" spans="1:12" ht="18" x14ac:dyDescent="0.35">
      <c r="A1" s="16">
        <v>9</v>
      </c>
      <c r="B1" s="29" t="s">
        <v>982</v>
      </c>
      <c r="C1" s="29"/>
      <c r="D1" s="29"/>
      <c r="E1" s="29"/>
      <c r="F1" s="29"/>
      <c r="G1" s="29"/>
      <c r="H1" s="29"/>
      <c r="I1" s="29"/>
      <c r="J1" s="29"/>
      <c r="L1" s="26" t="s">
        <v>7</v>
      </c>
    </row>
    <row r="2" spans="1:12" x14ac:dyDescent="0.3">
      <c r="L2" s="26" t="s">
        <v>26</v>
      </c>
    </row>
    <row r="3" spans="1:12" x14ac:dyDescent="0.3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</row>
    <row r="4" spans="1:12" hidden="1" x14ac:dyDescent="0.3">
      <c r="A4" s="4" t="s">
        <v>10</v>
      </c>
      <c r="B4" s="2" t="s">
        <v>11</v>
      </c>
      <c r="C4" s="2" t="s">
        <v>12</v>
      </c>
      <c r="D4" s="2" t="s">
        <v>13</v>
      </c>
      <c r="E4" s="2">
        <v>16</v>
      </c>
      <c r="F4" s="2">
        <v>10</v>
      </c>
      <c r="G4" s="2" t="s">
        <v>14</v>
      </c>
      <c r="H4" s="2" t="s">
        <v>15</v>
      </c>
      <c r="I4" s="2" t="s">
        <v>16</v>
      </c>
      <c r="J4" s="5">
        <v>37</v>
      </c>
    </row>
    <row r="5" spans="1:12" hidden="1" x14ac:dyDescent="0.3">
      <c r="A5" s="4" t="s">
        <v>17</v>
      </c>
      <c r="B5" s="2" t="s">
        <v>18</v>
      </c>
      <c r="C5" s="2" t="s">
        <v>19</v>
      </c>
      <c r="D5" s="2" t="s">
        <v>13</v>
      </c>
      <c r="E5" s="2">
        <v>15</v>
      </c>
      <c r="F5" s="2">
        <v>12</v>
      </c>
      <c r="G5" s="2" t="s">
        <v>14</v>
      </c>
      <c r="H5" s="2" t="s">
        <v>20</v>
      </c>
      <c r="I5" s="2" t="s">
        <v>21</v>
      </c>
      <c r="J5" s="5">
        <v>98</v>
      </c>
    </row>
    <row r="6" spans="1:12" x14ac:dyDescent="0.3">
      <c r="A6" s="19" t="s">
        <v>22</v>
      </c>
      <c r="B6" s="15" t="s">
        <v>23</v>
      </c>
      <c r="C6" s="15" t="s">
        <v>24</v>
      </c>
      <c r="D6" s="15" t="s">
        <v>13</v>
      </c>
      <c r="E6" s="15">
        <v>14</v>
      </c>
      <c r="F6" s="15">
        <v>12</v>
      </c>
      <c r="G6" s="15" t="s">
        <v>25</v>
      </c>
      <c r="H6" s="59" t="s">
        <v>26</v>
      </c>
      <c r="I6" s="15" t="s">
        <v>27</v>
      </c>
      <c r="J6" s="20">
        <v>38</v>
      </c>
    </row>
    <row r="7" spans="1:12" x14ac:dyDescent="0.3">
      <c r="A7" s="19" t="s">
        <v>28</v>
      </c>
      <c r="B7" s="15" t="s">
        <v>29</v>
      </c>
      <c r="C7" s="15" t="s">
        <v>30</v>
      </c>
      <c r="D7" s="15" t="s">
        <v>31</v>
      </c>
      <c r="E7" s="15">
        <v>20</v>
      </c>
      <c r="F7" s="15">
        <v>9</v>
      </c>
      <c r="G7" s="15" t="s">
        <v>32</v>
      </c>
      <c r="H7" s="59" t="s">
        <v>26</v>
      </c>
      <c r="I7" s="15" t="s">
        <v>33</v>
      </c>
      <c r="J7" s="20">
        <v>84</v>
      </c>
    </row>
    <row r="8" spans="1:12" hidden="1" x14ac:dyDescent="0.3">
      <c r="A8" s="4" t="s">
        <v>34</v>
      </c>
      <c r="B8" s="2" t="s">
        <v>35</v>
      </c>
      <c r="C8" s="2" t="s">
        <v>36</v>
      </c>
      <c r="D8" s="2" t="s">
        <v>31</v>
      </c>
      <c r="E8" s="2">
        <v>17</v>
      </c>
      <c r="F8" s="2">
        <v>10</v>
      </c>
      <c r="G8" s="2" t="s">
        <v>32</v>
      </c>
      <c r="H8" s="2" t="s">
        <v>37</v>
      </c>
      <c r="I8" s="2" t="s">
        <v>38</v>
      </c>
      <c r="J8" s="5">
        <v>45</v>
      </c>
    </row>
    <row r="9" spans="1:12" hidden="1" x14ac:dyDescent="0.3">
      <c r="A9" s="4" t="s">
        <v>39</v>
      </c>
      <c r="B9" s="2" t="s">
        <v>11</v>
      </c>
      <c r="C9" s="2" t="s">
        <v>12</v>
      </c>
      <c r="D9" s="2" t="s">
        <v>31</v>
      </c>
      <c r="E9" s="2">
        <v>19</v>
      </c>
      <c r="F9" s="2">
        <v>10</v>
      </c>
      <c r="G9" s="2" t="s">
        <v>14</v>
      </c>
      <c r="H9" s="2" t="s">
        <v>40</v>
      </c>
      <c r="I9" s="2" t="s">
        <v>41</v>
      </c>
      <c r="J9" s="5">
        <v>36</v>
      </c>
    </row>
    <row r="10" spans="1:12" hidden="1" x14ac:dyDescent="0.3">
      <c r="A10" s="4" t="s">
        <v>42</v>
      </c>
      <c r="B10" s="2" t="s">
        <v>29</v>
      </c>
      <c r="C10" s="2" t="s">
        <v>24</v>
      </c>
      <c r="D10" s="2" t="s">
        <v>31</v>
      </c>
      <c r="E10" s="2">
        <v>20</v>
      </c>
      <c r="F10" s="2">
        <v>9</v>
      </c>
      <c r="G10" s="2" t="s">
        <v>43</v>
      </c>
      <c r="H10" s="2" t="s">
        <v>40</v>
      </c>
      <c r="I10" s="2" t="s">
        <v>44</v>
      </c>
      <c r="J10" s="5">
        <v>88</v>
      </c>
    </row>
    <row r="11" spans="1:12" hidden="1" x14ac:dyDescent="0.3">
      <c r="A11" s="4" t="s">
        <v>45</v>
      </c>
      <c r="B11" s="2" t="s">
        <v>35</v>
      </c>
      <c r="C11" s="2" t="s">
        <v>12</v>
      </c>
      <c r="D11" s="2" t="s">
        <v>13</v>
      </c>
      <c r="E11" s="2">
        <v>19</v>
      </c>
      <c r="F11" s="2">
        <v>12</v>
      </c>
      <c r="G11" s="2" t="s">
        <v>32</v>
      </c>
      <c r="H11" s="2" t="s">
        <v>46</v>
      </c>
      <c r="I11" s="2" t="s">
        <v>47</v>
      </c>
      <c r="J11" s="5">
        <v>60</v>
      </c>
    </row>
    <row r="12" spans="1:12" hidden="1" x14ac:dyDescent="0.3">
      <c r="A12" s="4" t="s">
        <v>48</v>
      </c>
      <c r="B12" s="2" t="s">
        <v>18</v>
      </c>
      <c r="C12" s="2" t="s">
        <v>30</v>
      </c>
      <c r="D12" s="2" t="s">
        <v>31</v>
      </c>
      <c r="E12" s="2">
        <v>19</v>
      </c>
      <c r="F12" s="2">
        <v>12</v>
      </c>
      <c r="G12" s="2" t="s">
        <v>14</v>
      </c>
      <c r="H12" s="2" t="s">
        <v>46</v>
      </c>
      <c r="I12" s="2" t="s">
        <v>49</v>
      </c>
      <c r="J12" s="5">
        <v>92</v>
      </c>
    </row>
    <row r="13" spans="1:12" hidden="1" x14ac:dyDescent="0.3">
      <c r="A13" s="4" t="s">
        <v>50</v>
      </c>
      <c r="B13" s="2" t="s">
        <v>51</v>
      </c>
      <c r="C13" s="2" t="s">
        <v>24</v>
      </c>
      <c r="D13" s="2" t="s">
        <v>31</v>
      </c>
      <c r="E13" s="2">
        <v>15</v>
      </c>
      <c r="F13" s="2">
        <v>9</v>
      </c>
      <c r="G13" s="2" t="s">
        <v>43</v>
      </c>
      <c r="H13" s="2" t="s">
        <v>15</v>
      </c>
      <c r="I13" s="2" t="s">
        <v>52</v>
      </c>
      <c r="J13" s="5">
        <v>90</v>
      </c>
    </row>
    <row r="14" spans="1:12" hidden="1" x14ac:dyDescent="0.3">
      <c r="A14" s="4" t="s">
        <v>53</v>
      </c>
      <c r="B14" s="2" t="s">
        <v>54</v>
      </c>
      <c r="C14" s="2" t="s">
        <v>55</v>
      </c>
      <c r="D14" s="2" t="s">
        <v>31</v>
      </c>
      <c r="E14" s="2">
        <v>20</v>
      </c>
      <c r="F14" s="2">
        <v>10</v>
      </c>
      <c r="G14" s="2" t="s">
        <v>25</v>
      </c>
      <c r="H14" s="2" t="s">
        <v>40</v>
      </c>
      <c r="I14" s="2" t="s">
        <v>56</v>
      </c>
      <c r="J14" s="5">
        <v>59</v>
      </c>
    </row>
    <row r="15" spans="1:12" hidden="1" x14ac:dyDescent="0.3">
      <c r="A15" s="4" t="s">
        <v>57</v>
      </c>
      <c r="B15" s="2" t="s">
        <v>51</v>
      </c>
      <c r="C15" s="2" t="s">
        <v>58</v>
      </c>
      <c r="D15" s="2" t="s">
        <v>13</v>
      </c>
      <c r="E15" s="2">
        <v>14</v>
      </c>
      <c r="F15" s="2">
        <v>12</v>
      </c>
      <c r="G15" s="2" t="s">
        <v>32</v>
      </c>
      <c r="H15" s="2" t="s">
        <v>40</v>
      </c>
      <c r="I15" s="2" t="s">
        <v>59</v>
      </c>
      <c r="J15" s="5">
        <v>43</v>
      </c>
    </row>
    <row r="16" spans="1:12" hidden="1" x14ac:dyDescent="0.3">
      <c r="A16" s="4" t="s">
        <v>60</v>
      </c>
      <c r="B16" s="2" t="s">
        <v>35</v>
      </c>
      <c r="C16" s="2" t="s">
        <v>55</v>
      </c>
      <c r="D16" s="2" t="s">
        <v>13</v>
      </c>
      <c r="E16" s="2">
        <v>15</v>
      </c>
      <c r="F16" s="2">
        <v>12</v>
      </c>
      <c r="G16" s="2" t="s">
        <v>14</v>
      </c>
      <c r="H16" s="2" t="s">
        <v>61</v>
      </c>
      <c r="I16" s="2" t="s">
        <v>62</v>
      </c>
      <c r="J16" s="5">
        <v>51</v>
      </c>
    </row>
    <row r="17" spans="1:10" x14ac:dyDescent="0.3">
      <c r="A17" s="19" t="s">
        <v>63</v>
      </c>
      <c r="B17" s="15" t="s">
        <v>11</v>
      </c>
      <c r="C17" s="15" t="s">
        <v>55</v>
      </c>
      <c r="D17" s="15" t="s">
        <v>13</v>
      </c>
      <c r="E17" s="15">
        <v>16</v>
      </c>
      <c r="F17" s="15">
        <v>10</v>
      </c>
      <c r="G17" s="15" t="s">
        <v>25</v>
      </c>
      <c r="H17" s="59" t="s">
        <v>26</v>
      </c>
      <c r="I17" s="15" t="s">
        <v>64</v>
      </c>
      <c r="J17" s="20">
        <v>42</v>
      </c>
    </row>
    <row r="18" spans="1:10" hidden="1" x14ac:dyDescent="0.3">
      <c r="A18" s="4" t="s">
        <v>65</v>
      </c>
      <c r="B18" s="2" t="s">
        <v>23</v>
      </c>
      <c r="C18" s="2" t="s">
        <v>30</v>
      </c>
      <c r="D18" s="2" t="s">
        <v>13</v>
      </c>
      <c r="E18" s="2">
        <v>20</v>
      </c>
      <c r="F18" s="2">
        <v>12</v>
      </c>
      <c r="G18" s="2" t="s">
        <v>14</v>
      </c>
      <c r="H18" s="2" t="s">
        <v>40</v>
      </c>
      <c r="I18" s="2" t="s">
        <v>66</v>
      </c>
      <c r="J18" s="5">
        <v>62</v>
      </c>
    </row>
    <row r="19" spans="1:10" hidden="1" x14ac:dyDescent="0.3">
      <c r="A19" s="4" t="s">
        <v>67</v>
      </c>
      <c r="B19" s="2" t="s">
        <v>68</v>
      </c>
      <c r="C19" s="2" t="s">
        <v>19</v>
      </c>
      <c r="D19" s="2" t="s">
        <v>13</v>
      </c>
      <c r="E19" s="2">
        <v>20</v>
      </c>
      <c r="F19" s="2">
        <v>9</v>
      </c>
      <c r="G19" s="2" t="s">
        <v>14</v>
      </c>
      <c r="H19" s="2" t="s">
        <v>20</v>
      </c>
      <c r="I19" s="2" t="s">
        <v>69</v>
      </c>
      <c r="J19" s="5">
        <v>55</v>
      </c>
    </row>
    <row r="20" spans="1:10" hidden="1" x14ac:dyDescent="0.3">
      <c r="A20" s="4" t="s">
        <v>70</v>
      </c>
      <c r="B20" s="2" t="s">
        <v>51</v>
      </c>
      <c r="C20" s="2" t="s">
        <v>36</v>
      </c>
      <c r="D20" s="2" t="s">
        <v>13</v>
      </c>
      <c r="E20" s="2">
        <v>14</v>
      </c>
      <c r="F20" s="2">
        <v>12</v>
      </c>
      <c r="G20" s="2" t="s">
        <v>25</v>
      </c>
      <c r="H20" s="2" t="s">
        <v>37</v>
      </c>
      <c r="I20" s="2" t="s">
        <v>71</v>
      </c>
      <c r="J20" s="5">
        <v>42</v>
      </c>
    </row>
    <row r="21" spans="1:10" hidden="1" x14ac:dyDescent="0.3">
      <c r="A21" s="4" t="s">
        <v>72</v>
      </c>
      <c r="B21" s="2" t="s">
        <v>73</v>
      </c>
      <c r="C21" s="2" t="s">
        <v>58</v>
      </c>
      <c r="D21" s="2" t="s">
        <v>31</v>
      </c>
      <c r="E21" s="2">
        <v>19</v>
      </c>
      <c r="F21" s="2">
        <v>9</v>
      </c>
      <c r="G21" s="2" t="s">
        <v>32</v>
      </c>
      <c r="H21" s="2" t="s">
        <v>46</v>
      </c>
      <c r="I21" s="2" t="s">
        <v>74</v>
      </c>
      <c r="J21" s="5">
        <v>76</v>
      </c>
    </row>
    <row r="22" spans="1:10" hidden="1" x14ac:dyDescent="0.3">
      <c r="A22" s="4" t="s">
        <v>75</v>
      </c>
      <c r="B22" s="2" t="s">
        <v>29</v>
      </c>
      <c r="C22" s="2" t="s">
        <v>58</v>
      </c>
      <c r="D22" s="2" t="s">
        <v>31</v>
      </c>
      <c r="E22" s="2">
        <v>17</v>
      </c>
      <c r="F22" s="2">
        <v>12</v>
      </c>
      <c r="G22" s="2" t="s">
        <v>32</v>
      </c>
      <c r="H22" s="2" t="s">
        <v>76</v>
      </c>
      <c r="I22" s="2" t="s">
        <v>77</v>
      </c>
      <c r="J22" s="5">
        <v>66</v>
      </c>
    </row>
    <row r="23" spans="1:10" hidden="1" x14ac:dyDescent="0.3">
      <c r="A23" s="4" t="s">
        <v>78</v>
      </c>
      <c r="B23" s="2" t="s">
        <v>68</v>
      </c>
      <c r="C23" s="2" t="s">
        <v>79</v>
      </c>
      <c r="D23" s="2" t="s">
        <v>31</v>
      </c>
      <c r="E23" s="2">
        <v>15</v>
      </c>
      <c r="F23" s="2">
        <v>10</v>
      </c>
      <c r="G23" s="2" t="s">
        <v>14</v>
      </c>
      <c r="H23" s="2" t="s">
        <v>20</v>
      </c>
      <c r="I23" s="2" t="s">
        <v>80</v>
      </c>
      <c r="J23" s="5">
        <v>59</v>
      </c>
    </row>
    <row r="24" spans="1:10" hidden="1" x14ac:dyDescent="0.3">
      <c r="A24" s="4" t="s">
        <v>81</v>
      </c>
      <c r="B24" s="2" t="s">
        <v>29</v>
      </c>
      <c r="C24" s="2" t="s">
        <v>58</v>
      </c>
      <c r="D24" s="2" t="s">
        <v>31</v>
      </c>
      <c r="E24" s="2">
        <v>19</v>
      </c>
      <c r="F24" s="2">
        <v>9</v>
      </c>
      <c r="G24" s="2" t="s">
        <v>14</v>
      </c>
      <c r="H24" s="2" t="s">
        <v>61</v>
      </c>
      <c r="I24" s="2" t="s">
        <v>82</v>
      </c>
      <c r="J24" s="5">
        <v>50</v>
      </c>
    </row>
    <row r="25" spans="1:10" hidden="1" x14ac:dyDescent="0.3">
      <c r="A25" s="4" t="s">
        <v>83</v>
      </c>
      <c r="B25" s="2" t="s">
        <v>84</v>
      </c>
      <c r="C25" s="2" t="s">
        <v>85</v>
      </c>
      <c r="D25" s="2" t="s">
        <v>31</v>
      </c>
      <c r="E25" s="2">
        <v>16</v>
      </c>
      <c r="F25" s="2">
        <v>9</v>
      </c>
      <c r="G25" s="2" t="s">
        <v>43</v>
      </c>
      <c r="H25" s="2" t="s">
        <v>37</v>
      </c>
      <c r="I25" s="2" t="s">
        <v>86</v>
      </c>
      <c r="J25" s="5">
        <v>52</v>
      </c>
    </row>
    <row r="26" spans="1:10" x14ac:dyDescent="0.3">
      <c r="A26" s="19" t="s">
        <v>87</v>
      </c>
      <c r="B26" s="15" t="s">
        <v>18</v>
      </c>
      <c r="C26" s="15" t="s">
        <v>12</v>
      </c>
      <c r="D26" s="15" t="s">
        <v>13</v>
      </c>
      <c r="E26" s="15">
        <v>20</v>
      </c>
      <c r="F26" s="15">
        <v>12</v>
      </c>
      <c r="G26" s="15" t="s">
        <v>32</v>
      </c>
      <c r="H26" s="59" t="s">
        <v>26</v>
      </c>
      <c r="I26" s="15" t="s">
        <v>88</v>
      </c>
      <c r="J26" s="20">
        <v>86</v>
      </c>
    </row>
    <row r="27" spans="1:10" hidden="1" x14ac:dyDescent="0.3">
      <c r="A27" s="4" t="s">
        <v>89</v>
      </c>
      <c r="B27" s="2" t="s">
        <v>68</v>
      </c>
      <c r="C27" s="2" t="s">
        <v>85</v>
      </c>
      <c r="D27" s="2" t="s">
        <v>31</v>
      </c>
      <c r="E27" s="2">
        <v>16</v>
      </c>
      <c r="F27" s="2">
        <v>9</v>
      </c>
      <c r="G27" s="2" t="s">
        <v>43</v>
      </c>
      <c r="H27" s="2" t="s">
        <v>20</v>
      </c>
      <c r="I27" s="2" t="s">
        <v>90</v>
      </c>
      <c r="J27" s="5">
        <v>52</v>
      </c>
    </row>
    <row r="28" spans="1:10" hidden="1" x14ac:dyDescent="0.3">
      <c r="A28" s="4" t="s">
        <v>91</v>
      </c>
      <c r="B28" s="2" t="s">
        <v>73</v>
      </c>
      <c r="C28" s="2" t="s">
        <v>12</v>
      </c>
      <c r="D28" s="2" t="s">
        <v>13</v>
      </c>
      <c r="E28" s="2">
        <v>20</v>
      </c>
      <c r="F28" s="2">
        <v>10</v>
      </c>
      <c r="G28" s="2" t="s">
        <v>43</v>
      </c>
      <c r="H28" s="2" t="s">
        <v>46</v>
      </c>
      <c r="I28" s="2" t="s">
        <v>92</v>
      </c>
      <c r="J28" s="5">
        <v>82</v>
      </c>
    </row>
    <row r="29" spans="1:10" hidden="1" x14ac:dyDescent="0.3">
      <c r="A29" s="4" t="s">
        <v>93</v>
      </c>
      <c r="B29" s="2" t="s">
        <v>29</v>
      </c>
      <c r="C29" s="2" t="s">
        <v>24</v>
      </c>
      <c r="D29" s="2" t="s">
        <v>31</v>
      </c>
      <c r="E29" s="2">
        <v>14</v>
      </c>
      <c r="F29" s="2">
        <v>12</v>
      </c>
      <c r="G29" s="2" t="s">
        <v>32</v>
      </c>
      <c r="H29" s="2" t="s">
        <v>61</v>
      </c>
      <c r="I29" s="2" t="s">
        <v>94</v>
      </c>
      <c r="J29" s="5">
        <v>72</v>
      </c>
    </row>
    <row r="30" spans="1:10" hidden="1" x14ac:dyDescent="0.3">
      <c r="A30" s="4" t="s">
        <v>95</v>
      </c>
      <c r="B30" s="2" t="s">
        <v>18</v>
      </c>
      <c r="C30" s="2" t="s">
        <v>96</v>
      </c>
      <c r="D30" s="2" t="s">
        <v>13</v>
      </c>
      <c r="E30" s="2">
        <v>19</v>
      </c>
      <c r="F30" s="2">
        <v>12</v>
      </c>
      <c r="G30" s="2" t="s">
        <v>14</v>
      </c>
      <c r="H30" s="2" t="s">
        <v>15</v>
      </c>
      <c r="I30" s="2" t="s">
        <v>97</v>
      </c>
      <c r="J30" s="5">
        <v>56</v>
      </c>
    </row>
    <row r="31" spans="1:10" hidden="1" x14ac:dyDescent="0.3">
      <c r="A31" s="4" t="s">
        <v>98</v>
      </c>
      <c r="B31" s="2" t="s">
        <v>68</v>
      </c>
      <c r="C31" s="2" t="s">
        <v>55</v>
      </c>
      <c r="D31" s="2" t="s">
        <v>13</v>
      </c>
      <c r="E31" s="2">
        <v>19</v>
      </c>
      <c r="F31" s="2">
        <v>11</v>
      </c>
      <c r="G31" s="2" t="s">
        <v>43</v>
      </c>
      <c r="H31" s="2" t="s">
        <v>15</v>
      </c>
      <c r="I31" s="2" t="s">
        <v>99</v>
      </c>
      <c r="J31" s="5">
        <v>56</v>
      </c>
    </row>
    <row r="32" spans="1:10" hidden="1" x14ac:dyDescent="0.3">
      <c r="A32" s="4" t="s">
        <v>100</v>
      </c>
      <c r="B32" s="2" t="s">
        <v>35</v>
      </c>
      <c r="C32" s="2" t="s">
        <v>12</v>
      </c>
      <c r="D32" s="2" t="s">
        <v>31</v>
      </c>
      <c r="E32" s="2">
        <v>19</v>
      </c>
      <c r="F32" s="2">
        <v>12</v>
      </c>
      <c r="G32" s="2" t="s">
        <v>25</v>
      </c>
      <c r="H32" s="2" t="s">
        <v>76</v>
      </c>
      <c r="I32" s="2" t="s">
        <v>101</v>
      </c>
      <c r="J32" s="5">
        <v>54</v>
      </c>
    </row>
    <row r="33" spans="1:10" x14ac:dyDescent="0.3">
      <c r="A33" s="19" t="s">
        <v>102</v>
      </c>
      <c r="B33" s="15" t="s">
        <v>35</v>
      </c>
      <c r="C33" s="15" t="s">
        <v>12</v>
      </c>
      <c r="D33" s="15" t="s">
        <v>13</v>
      </c>
      <c r="E33" s="15">
        <v>20</v>
      </c>
      <c r="F33" s="15">
        <v>11</v>
      </c>
      <c r="G33" s="15" t="s">
        <v>14</v>
      </c>
      <c r="H33" s="59" t="s">
        <v>26</v>
      </c>
      <c r="I33" s="15" t="s">
        <v>103</v>
      </c>
      <c r="J33" s="20">
        <v>70</v>
      </c>
    </row>
    <row r="34" spans="1:10" hidden="1" x14ac:dyDescent="0.3">
      <c r="A34" s="4" t="s">
        <v>104</v>
      </c>
      <c r="B34" s="2" t="s">
        <v>29</v>
      </c>
      <c r="C34" s="2" t="s">
        <v>79</v>
      </c>
      <c r="D34" s="2" t="s">
        <v>31</v>
      </c>
      <c r="E34" s="2">
        <v>18</v>
      </c>
      <c r="F34" s="2">
        <v>10</v>
      </c>
      <c r="G34" s="2" t="s">
        <v>25</v>
      </c>
      <c r="H34" s="2" t="s">
        <v>61</v>
      </c>
      <c r="I34" s="2" t="s">
        <v>105</v>
      </c>
      <c r="J34" s="5">
        <v>57</v>
      </c>
    </row>
    <row r="35" spans="1:10" x14ac:dyDescent="0.3">
      <c r="A35" s="19" t="s">
        <v>106</v>
      </c>
      <c r="B35" s="15" t="s">
        <v>51</v>
      </c>
      <c r="C35" s="15" t="s">
        <v>55</v>
      </c>
      <c r="D35" s="15" t="s">
        <v>13</v>
      </c>
      <c r="E35" s="15">
        <v>20</v>
      </c>
      <c r="F35" s="15">
        <v>9</v>
      </c>
      <c r="G35" s="15" t="s">
        <v>32</v>
      </c>
      <c r="H35" s="59" t="s">
        <v>26</v>
      </c>
      <c r="I35" s="15" t="s">
        <v>107</v>
      </c>
      <c r="J35" s="20">
        <v>91</v>
      </c>
    </row>
    <row r="36" spans="1:10" x14ac:dyDescent="0.3">
      <c r="A36" s="19" t="s">
        <v>108</v>
      </c>
      <c r="B36" s="15" t="s">
        <v>29</v>
      </c>
      <c r="C36" s="15" t="s">
        <v>96</v>
      </c>
      <c r="D36" s="15" t="s">
        <v>31</v>
      </c>
      <c r="E36" s="15">
        <v>15</v>
      </c>
      <c r="F36" s="15">
        <v>11</v>
      </c>
      <c r="G36" s="15" t="s">
        <v>43</v>
      </c>
      <c r="H36" s="59" t="s">
        <v>26</v>
      </c>
      <c r="I36" s="15" t="s">
        <v>109</v>
      </c>
      <c r="J36" s="20">
        <v>77</v>
      </c>
    </row>
    <row r="37" spans="1:10" hidden="1" x14ac:dyDescent="0.3">
      <c r="A37" s="4" t="s">
        <v>110</v>
      </c>
      <c r="B37" s="2" t="s">
        <v>51</v>
      </c>
      <c r="C37" s="2" t="s">
        <v>58</v>
      </c>
      <c r="D37" s="2" t="s">
        <v>31</v>
      </c>
      <c r="E37" s="2">
        <v>14</v>
      </c>
      <c r="F37" s="2">
        <v>10</v>
      </c>
      <c r="G37" s="2" t="s">
        <v>32</v>
      </c>
      <c r="H37" s="2" t="s">
        <v>76</v>
      </c>
      <c r="I37" s="2" t="s">
        <v>111</v>
      </c>
      <c r="J37" s="5">
        <v>60</v>
      </c>
    </row>
    <row r="38" spans="1:10" x14ac:dyDescent="0.3">
      <c r="A38" s="19" t="s">
        <v>112</v>
      </c>
      <c r="B38" s="15" t="s">
        <v>73</v>
      </c>
      <c r="C38" s="15" t="s">
        <v>30</v>
      </c>
      <c r="D38" s="15" t="s">
        <v>13</v>
      </c>
      <c r="E38" s="15">
        <v>15</v>
      </c>
      <c r="F38" s="15">
        <v>9</v>
      </c>
      <c r="G38" s="15" t="s">
        <v>14</v>
      </c>
      <c r="H38" s="59" t="s">
        <v>26</v>
      </c>
      <c r="I38" s="15" t="s">
        <v>113</v>
      </c>
      <c r="J38" s="20">
        <v>58</v>
      </c>
    </row>
    <row r="39" spans="1:10" hidden="1" x14ac:dyDescent="0.3">
      <c r="A39" s="4" t="s">
        <v>114</v>
      </c>
      <c r="B39" s="2" t="s">
        <v>73</v>
      </c>
      <c r="C39" s="2" t="s">
        <v>58</v>
      </c>
      <c r="D39" s="2" t="s">
        <v>13</v>
      </c>
      <c r="E39" s="2">
        <v>20</v>
      </c>
      <c r="F39" s="2">
        <v>9</v>
      </c>
      <c r="G39" s="2" t="s">
        <v>25</v>
      </c>
      <c r="H39" s="2" t="s">
        <v>46</v>
      </c>
      <c r="I39" s="2" t="s">
        <v>115</v>
      </c>
      <c r="J39" s="5">
        <v>40</v>
      </c>
    </row>
    <row r="40" spans="1:10" hidden="1" x14ac:dyDescent="0.3">
      <c r="A40" s="4" t="s">
        <v>116</v>
      </c>
      <c r="B40" s="2" t="s">
        <v>84</v>
      </c>
      <c r="C40" s="2" t="s">
        <v>19</v>
      </c>
      <c r="D40" s="2" t="s">
        <v>13</v>
      </c>
      <c r="E40" s="2">
        <v>19</v>
      </c>
      <c r="F40" s="2">
        <v>12</v>
      </c>
      <c r="G40" s="2" t="s">
        <v>14</v>
      </c>
      <c r="H40" s="2" t="s">
        <v>20</v>
      </c>
      <c r="I40" s="2" t="s">
        <v>117</v>
      </c>
      <c r="J40" s="5">
        <v>56</v>
      </c>
    </row>
    <row r="41" spans="1:10" x14ac:dyDescent="0.3">
      <c r="A41" s="19" t="s">
        <v>118</v>
      </c>
      <c r="B41" s="15" t="s">
        <v>84</v>
      </c>
      <c r="C41" s="15" t="s">
        <v>58</v>
      </c>
      <c r="D41" s="15" t="s">
        <v>31</v>
      </c>
      <c r="E41" s="15">
        <v>20</v>
      </c>
      <c r="F41" s="15">
        <v>10</v>
      </c>
      <c r="G41" s="15" t="s">
        <v>32</v>
      </c>
      <c r="H41" s="59" t="s">
        <v>26</v>
      </c>
      <c r="I41" s="15" t="s">
        <v>119</v>
      </c>
      <c r="J41" s="20">
        <v>52</v>
      </c>
    </row>
    <row r="42" spans="1:10" hidden="1" x14ac:dyDescent="0.3">
      <c r="A42" s="4" t="s">
        <v>120</v>
      </c>
      <c r="B42" s="2" t="s">
        <v>35</v>
      </c>
      <c r="C42" s="2" t="s">
        <v>36</v>
      </c>
      <c r="D42" s="2" t="s">
        <v>31</v>
      </c>
      <c r="E42" s="2">
        <v>20</v>
      </c>
      <c r="F42" s="2">
        <v>10</v>
      </c>
      <c r="G42" s="2" t="s">
        <v>43</v>
      </c>
      <c r="H42" s="2" t="s">
        <v>61</v>
      </c>
      <c r="I42" s="2" t="s">
        <v>121</v>
      </c>
      <c r="J42" s="5">
        <v>37</v>
      </c>
    </row>
    <row r="43" spans="1:10" hidden="1" x14ac:dyDescent="0.3">
      <c r="A43" s="4" t="s">
        <v>122</v>
      </c>
      <c r="B43" s="2" t="s">
        <v>18</v>
      </c>
      <c r="C43" s="2" t="s">
        <v>19</v>
      </c>
      <c r="D43" s="2" t="s">
        <v>13</v>
      </c>
      <c r="E43" s="2">
        <v>15</v>
      </c>
      <c r="F43" s="2">
        <v>10</v>
      </c>
      <c r="G43" s="2" t="s">
        <v>32</v>
      </c>
      <c r="H43" s="2" t="s">
        <v>20</v>
      </c>
      <c r="I43" s="2" t="s">
        <v>123</v>
      </c>
      <c r="J43" s="5">
        <v>51</v>
      </c>
    </row>
    <row r="44" spans="1:10" hidden="1" x14ac:dyDescent="0.3">
      <c r="A44" s="4" t="s">
        <v>124</v>
      </c>
      <c r="B44" s="2" t="s">
        <v>68</v>
      </c>
      <c r="C44" s="2" t="s">
        <v>36</v>
      </c>
      <c r="D44" s="2" t="s">
        <v>13</v>
      </c>
      <c r="E44" s="2">
        <v>18</v>
      </c>
      <c r="F44" s="2">
        <v>10</v>
      </c>
      <c r="G44" s="2" t="s">
        <v>43</v>
      </c>
      <c r="H44" s="2" t="s">
        <v>20</v>
      </c>
      <c r="I44" s="2" t="s">
        <v>125</v>
      </c>
      <c r="J44" s="5">
        <v>66</v>
      </c>
    </row>
    <row r="45" spans="1:10" hidden="1" x14ac:dyDescent="0.3">
      <c r="A45" s="4" t="s">
        <v>126</v>
      </c>
      <c r="B45" s="2" t="s">
        <v>18</v>
      </c>
      <c r="C45" s="2" t="s">
        <v>24</v>
      </c>
      <c r="D45" s="2" t="s">
        <v>13</v>
      </c>
      <c r="E45" s="2">
        <v>15</v>
      </c>
      <c r="F45" s="2">
        <v>9</v>
      </c>
      <c r="G45" s="2" t="s">
        <v>25</v>
      </c>
      <c r="H45" s="2" t="s">
        <v>76</v>
      </c>
      <c r="I45" s="2" t="s">
        <v>127</v>
      </c>
      <c r="J45" s="5">
        <v>59</v>
      </c>
    </row>
    <row r="46" spans="1:10" hidden="1" x14ac:dyDescent="0.3">
      <c r="A46" s="4" t="s">
        <v>128</v>
      </c>
      <c r="B46" s="2" t="s">
        <v>11</v>
      </c>
      <c r="C46" s="2" t="s">
        <v>24</v>
      </c>
      <c r="D46" s="2" t="s">
        <v>31</v>
      </c>
      <c r="E46" s="2">
        <v>17</v>
      </c>
      <c r="F46" s="2">
        <v>12</v>
      </c>
      <c r="G46" s="2" t="s">
        <v>32</v>
      </c>
      <c r="H46" s="2" t="s">
        <v>15</v>
      </c>
      <c r="I46" s="2" t="s">
        <v>129</v>
      </c>
      <c r="J46" s="5">
        <v>68</v>
      </c>
    </row>
    <row r="47" spans="1:10" hidden="1" x14ac:dyDescent="0.3">
      <c r="A47" s="4" t="s">
        <v>130</v>
      </c>
      <c r="B47" s="2" t="s">
        <v>73</v>
      </c>
      <c r="C47" s="2" t="s">
        <v>30</v>
      </c>
      <c r="D47" s="2" t="s">
        <v>13</v>
      </c>
      <c r="E47" s="2">
        <v>17</v>
      </c>
      <c r="F47" s="2">
        <v>12</v>
      </c>
      <c r="G47" s="2" t="s">
        <v>25</v>
      </c>
      <c r="H47" s="2" t="s">
        <v>40</v>
      </c>
      <c r="I47" s="2" t="s">
        <v>131</v>
      </c>
      <c r="J47" s="5">
        <v>82</v>
      </c>
    </row>
    <row r="48" spans="1:10" hidden="1" x14ac:dyDescent="0.3">
      <c r="A48" s="4" t="s">
        <v>132</v>
      </c>
      <c r="B48" s="2" t="s">
        <v>29</v>
      </c>
      <c r="C48" s="2" t="s">
        <v>12</v>
      </c>
      <c r="D48" s="2" t="s">
        <v>13</v>
      </c>
      <c r="E48" s="2">
        <v>17</v>
      </c>
      <c r="F48" s="2">
        <v>10</v>
      </c>
      <c r="G48" s="2" t="s">
        <v>25</v>
      </c>
      <c r="H48" s="2" t="s">
        <v>37</v>
      </c>
      <c r="I48" s="2" t="s">
        <v>133</v>
      </c>
      <c r="J48" s="5">
        <v>88</v>
      </c>
    </row>
    <row r="49" spans="1:10" hidden="1" x14ac:dyDescent="0.3">
      <c r="A49" s="4" t="s">
        <v>134</v>
      </c>
      <c r="B49" s="2" t="s">
        <v>23</v>
      </c>
      <c r="C49" s="2" t="s">
        <v>30</v>
      </c>
      <c r="D49" s="2" t="s">
        <v>31</v>
      </c>
      <c r="E49" s="2">
        <v>20</v>
      </c>
      <c r="F49" s="2">
        <v>9</v>
      </c>
      <c r="G49" s="2" t="s">
        <v>14</v>
      </c>
      <c r="H49" s="2" t="s">
        <v>15</v>
      </c>
      <c r="I49" s="2" t="s">
        <v>135</v>
      </c>
      <c r="J49" s="5">
        <v>50</v>
      </c>
    </row>
    <row r="50" spans="1:10" hidden="1" x14ac:dyDescent="0.3">
      <c r="A50" s="4" t="s">
        <v>136</v>
      </c>
      <c r="B50" s="2" t="s">
        <v>11</v>
      </c>
      <c r="C50" s="2" t="s">
        <v>79</v>
      </c>
      <c r="D50" s="2" t="s">
        <v>13</v>
      </c>
      <c r="E50" s="2">
        <v>14</v>
      </c>
      <c r="F50" s="2">
        <v>10</v>
      </c>
      <c r="G50" s="2" t="s">
        <v>43</v>
      </c>
      <c r="H50" s="2" t="s">
        <v>61</v>
      </c>
      <c r="I50" s="2" t="s">
        <v>137</v>
      </c>
      <c r="J50" s="5">
        <v>65</v>
      </c>
    </row>
    <row r="51" spans="1:10" hidden="1" x14ac:dyDescent="0.3">
      <c r="A51" s="4" t="s">
        <v>138</v>
      </c>
      <c r="B51" s="2" t="s">
        <v>51</v>
      </c>
      <c r="C51" s="2" t="s">
        <v>85</v>
      </c>
      <c r="D51" s="2" t="s">
        <v>13</v>
      </c>
      <c r="E51" s="2">
        <v>18</v>
      </c>
      <c r="F51" s="2">
        <v>11</v>
      </c>
      <c r="G51" s="2" t="s">
        <v>43</v>
      </c>
      <c r="H51" s="2" t="s">
        <v>61</v>
      </c>
      <c r="I51" s="2" t="s">
        <v>139</v>
      </c>
      <c r="J51" s="5">
        <v>100</v>
      </c>
    </row>
    <row r="52" spans="1:10" hidden="1" x14ac:dyDescent="0.3">
      <c r="A52" s="4" t="s">
        <v>140</v>
      </c>
      <c r="B52" s="2" t="s">
        <v>35</v>
      </c>
      <c r="C52" s="2" t="s">
        <v>30</v>
      </c>
      <c r="D52" s="2" t="s">
        <v>31</v>
      </c>
      <c r="E52" s="2">
        <v>19</v>
      </c>
      <c r="F52" s="2">
        <v>10</v>
      </c>
      <c r="G52" s="2" t="s">
        <v>32</v>
      </c>
      <c r="H52" s="2" t="s">
        <v>76</v>
      </c>
      <c r="I52" s="2" t="s">
        <v>141</v>
      </c>
      <c r="J52" s="5">
        <v>93</v>
      </c>
    </row>
    <row r="53" spans="1:10" hidden="1" x14ac:dyDescent="0.3">
      <c r="A53" s="4" t="s">
        <v>142</v>
      </c>
      <c r="B53" s="2" t="s">
        <v>29</v>
      </c>
      <c r="C53" s="2" t="s">
        <v>96</v>
      </c>
      <c r="D53" s="2" t="s">
        <v>31</v>
      </c>
      <c r="E53" s="2">
        <v>16</v>
      </c>
      <c r="F53" s="2">
        <v>12</v>
      </c>
      <c r="G53" s="2" t="s">
        <v>14</v>
      </c>
      <c r="H53" s="2" t="s">
        <v>37</v>
      </c>
      <c r="I53" s="2" t="s">
        <v>143</v>
      </c>
      <c r="J53" s="5">
        <v>85</v>
      </c>
    </row>
    <row r="54" spans="1:10" x14ac:dyDescent="0.3">
      <c r="A54" s="19" t="s">
        <v>144</v>
      </c>
      <c r="B54" s="15" t="s">
        <v>73</v>
      </c>
      <c r="C54" s="15" t="s">
        <v>12</v>
      </c>
      <c r="D54" s="15" t="s">
        <v>31</v>
      </c>
      <c r="E54" s="15">
        <v>20</v>
      </c>
      <c r="F54" s="15">
        <v>10</v>
      </c>
      <c r="G54" s="15" t="s">
        <v>14</v>
      </c>
      <c r="H54" s="59" t="s">
        <v>26</v>
      </c>
      <c r="I54" s="15" t="s">
        <v>145</v>
      </c>
      <c r="J54" s="20">
        <v>71</v>
      </c>
    </row>
    <row r="55" spans="1:10" hidden="1" x14ac:dyDescent="0.3">
      <c r="A55" s="4" t="s">
        <v>146</v>
      </c>
      <c r="B55" s="2" t="s">
        <v>35</v>
      </c>
      <c r="C55" s="2" t="s">
        <v>30</v>
      </c>
      <c r="D55" s="2" t="s">
        <v>31</v>
      </c>
      <c r="E55" s="2">
        <v>20</v>
      </c>
      <c r="F55" s="2">
        <v>9</v>
      </c>
      <c r="G55" s="2" t="s">
        <v>43</v>
      </c>
      <c r="H55" s="2" t="s">
        <v>15</v>
      </c>
      <c r="I55" s="2" t="s">
        <v>147</v>
      </c>
      <c r="J55" s="5">
        <v>40</v>
      </c>
    </row>
    <row r="56" spans="1:10" hidden="1" x14ac:dyDescent="0.3">
      <c r="A56" s="4" t="s">
        <v>148</v>
      </c>
      <c r="B56" s="2" t="s">
        <v>51</v>
      </c>
      <c r="C56" s="2" t="s">
        <v>96</v>
      </c>
      <c r="D56" s="2" t="s">
        <v>13</v>
      </c>
      <c r="E56" s="2">
        <v>19</v>
      </c>
      <c r="F56" s="2">
        <v>11</v>
      </c>
      <c r="G56" s="2" t="s">
        <v>14</v>
      </c>
      <c r="H56" s="2" t="s">
        <v>76</v>
      </c>
      <c r="I56" s="2" t="s">
        <v>149</v>
      </c>
      <c r="J56" s="5">
        <v>83</v>
      </c>
    </row>
    <row r="57" spans="1:10" hidden="1" x14ac:dyDescent="0.3">
      <c r="A57" s="4" t="s">
        <v>150</v>
      </c>
      <c r="B57" s="2" t="s">
        <v>23</v>
      </c>
      <c r="C57" s="2" t="s">
        <v>55</v>
      </c>
      <c r="D57" s="2" t="s">
        <v>31</v>
      </c>
      <c r="E57" s="2">
        <v>17</v>
      </c>
      <c r="F57" s="2">
        <v>9</v>
      </c>
      <c r="G57" s="2" t="s">
        <v>25</v>
      </c>
      <c r="H57" s="2" t="s">
        <v>20</v>
      </c>
      <c r="I57" s="2" t="s">
        <v>151</v>
      </c>
      <c r="J57" s="5">
        <v>55</v>
      </c>
    </row>
    <row r="58" spans="1:10" hidden="1" x14ac:dyDescent="0.3">
      <c r="A58" s="4" t="s">
        <v>152</v>
      </c>
      <c r="B58" s="2" t="s">
        <v>23</v>
      </c>
      <c r="C58" s="2" t="s">
        <v>55</v>
      </c>
      <c r="D58" s="2" t="s">
        <v>13</v>
      </c>
      <c r="E58" s="2">
        <v>17</v>
      </c>
      <c r="F58" s="2">
        <v>12</v>
      </c>
      <c r="G58" s="2" t="s">
        <v>32</v>
      </c>
      <c r="H58" s="2" t="s">
        <v>46</v>
      </c>
      <c r="I58" s="2" t="s">
        <v>153</v>
      </c>
      <c r="J58" s="5">
        <v>39</v>
      </c>
    </row>
    <row r="59" spans="1:10" hidden="1" x14ac:dyDescent="0.3">
      <c r="A59" s="4" t="s">
        <v>154</v>
      </c>
      <c r="B59" s="2" t="s">
        <v>51</v>
      </c>
      <c r="C59" s="2" t="s">
        <v>36</v>
      </c>
      <c r="D59" s="2" t="s">
        <v>31</v>
      </c>
      <c r="E59" s="2">
        <v>18</v>
      </c>
      <c r="F59" s="2">
        <v>12</v>
      </c>
      <c r="G59" s="2" t="s">
        <v>43</v>
      </c>
      <c r="H59" s="2" t="s">
        <v>76</v>
      </c>
      <c r="I59" s="2" t="s">
        <v>155</v>
      </c>
      <c r="J59" s="5">
        <v>77</v>
      </c>
    </row>
    <row r="60" spans="1:10" hidden="1" x14ac:dyDescent="0.3">
      <c r="A60" s="4" t="s">
        <v>156</v>
      </c>
      <c r="B60" s="2" t="s">
        <v>35</v>
      </c>
      <c r="C60" s="2" t="s">
        <v>55</v>
      </c>
      <c r="D60" s="2" t="s">
        <v>13</v>
      </c>
      <c r="E60" s="2">
        <v>19</v>
      </c>
      <c r="F60" s="2">
        <v>11</v>
      </c>
      <c r="G60" s="2" t="s">
        <v>14</v>
      </c>
      <c r="H60" s="2" t="s">
        <v>40</v>
      </c>
      <c r="I60" s="2" t="s">
        <v>157</v>
      </c>
      <c r="J60" s="5">
        <v>63</v>
      </c>
    </row>
    <row r="61" spans="1:10" hidden="1" x14ac:dyDescent="0.3">
      <c r="A61" s="4" t="s">
        <v>158</v>
      </c>
      <c r="B61" s="2" t="s">
        <v>18</v>
      </c>
      <c r="C61" s="2" t="s">
        <v>19</v>
      </c>
      <c r="D61" s="2" t="s">
        <v>13</v>
      </c>
      <c r="E61" s="2">
        <v>16</v>
      </c>
      <c r="F61" s="2">
        <v>12</v>
      </c>
      <c r="G61" s="2" t="s">
        <v>43</v>
      </c>
      <c r="H61" s="2" t="s">
        <v>40</v>
      </c>
      <c r="I61" s="2" t="s">
        <v>159</v>
      </c>
      <c r="J61" s="5">
        <v>36</v>
      </c>
    </row>
    <row r="62" spans="1:10" hidden="1" x14ac:dyDescent="0.3">
      <c r="A62" s="4" t="s">
        <v>160</v>
      </c>
      <c r="B62" s="2" t="s">
        <v>51</v>
      </c>
      <c r="C62" s="2" t="s">
        <v>85</v>
      </c>
      <c r="D62" s="2" t="s">
        <v>31</v>
      </c>
      <c r="E62" s="2">
        <v>17</v>
      </c>
      <c r="F62" s="2">
        <v>11</v>
      </c>
      <c r="G62" s="2" t="s">
        <v>43</v>
      </c>
      <c r="H62" s="2" t="s">
        <v>37</v>
      </c>
      <c r="I62" s="2" t="s">
        <v>161</v>
      </c>
      <c r="J62" s="5">
        <v>99</v>
      </c>
    </row>
    <row r="63" spans="1:10" hidden="1" x14ac:dyDescent="0.3">
      <c r="A63" s="4" t="s">
        <v>162</v>
      </c>
      <c r="B63" s="2" t="s">
        <v>73</v>
      </c>
      <c r="C63" s="2" t="s">
        <v>36</v>
      </c>
      <c r="D63" s="2" t="s">
        <v>31</v>
      </c>
      <c r="E63" s="2">
        <v>20</v>
      </c>
      <c r="F63" s="2">
        <v>9</v>
      </c>
      <c r="G63" s="2" t="s">
        <v>32</v>
      </c>
      <c r="H63" s="2" t="s">
        <v>20</v>
      </c>
      <c r="I63" s="2" t="s">
        <v>163</v>
      </c>
      <c r="J63" s="5">
        <v>49</v>
      </c>
    </row>
    <row r="64" spans="1:10" hidden="1" x14ac:dyDescent="0.3">
      <c r="A64" s="4" t="s">
        <v>164</v>
      </c>
      <c r="B64" s="2" t="s">
        <v>23</v>
      </c>
      <c r="C64" s="2" t="s">
        <v>19</v>
      </c>
      <c r="D64" s="2" t="s">
        <v>31</v>
      </c>
      <c r="E64" s="2">
        <v>17</v>
      </c>
      <c r="F64" s="2">
        <v>9</v>
      </c>
      <c r="G64" s="2" t="s">
        <v>25</v>
      </c>
      <c r="H64" s="2" t="s">
        <v>15</v>
      </c>
      <c r="I64" s="2" t="s">
        <v>165</v>
      </c>
      <c r="J64" s="5">
        <v>64</v>
      </c>
    </row>
    <row r="65" spans="1:10" hidden="1" x14ac:dyDescent="0.3">
      <c r="A65" s="4" t="s">
        <v>166</v>
      </c>
      <c r="B65" s="2" t="s">
        <v>84</v>
      </c>
      <c r="C65" s="2" t="s">
        <v>24</v>
      </c>
      <c r="D65" s="2" t="s">
        <v>13</v>
      </c>
      <c r="E65" s="2">
        <v>14</v>
      </c>
      <c r="F65" s="2">
        <v>10</v>
      </c>
      <c r="G65" s="2" t="s">
        <v>43</v>
      </c>
      <c r="H65" s="2" t="s">
        <v>15</v>
      </c>
      <c r="I65" s="2" t="s">
        <v>167</v>
      </c>
      <c r="J65" s="5">
        <v>45</v>
      </c>
    </row>
    <row r="66" spans="1:10" x14ac:dyDescent="0.3">
      <c r="A66" s="19" t="s">
        <v>168</v>
      </c>
      <c r="B66" s="15" t="s">
        <v>18</v>
      </c>
      <c r="C66" s="15" t="s">
        <v>79</v>
      </c>
      <c r="D66" s="15" t="s">
        <v>13</v>
      </c>
      <c r="E66" s="15">
        <v>17</v>
      </c>
      <c r="F66" s="15">
        <v>12</v>
      </c>
      <c r="G66" s="15" t="s">
        <v>25</v>
      </c>
      <c r="H66" s="59" t="s">
        <v>26</v>
      </c>
      <c r="I66" s="15" t="s">
        <v>137</v>
      </c>
      <c r="J66" s="20">
        <v>82</v>
      </c>
    </row>
    <row r="67" spans="1:10" hidden="1" x14ac:dyDescent="0.3">
      <c r="A67" s="4" t="s">
        <v>169</v>
      </c>
      <c r="B67" s="2" t="s">
        <v>11</v>
      </c>
      <c r="C67" s="2" t="s">
        <v>30</v>
      </c>
      <c r="D67" s="2" t="s">
        <v>31</v>
      </c>
      <c r="E67" s="2">
        <v>18</v>
      </c>
      <c r="F67" s="2">
        <v>9</v>
      </c>
      <c r="G67" s="2" t="s">
        <v>25</v>
      </c>
      <c r="H67" s="2" t="s">
        <v>46</v>
      </c>
      <c r="I67" s="2" t="s">
        <v>170</v>
      </c>
      <c r="J67" s="5">
        <v>60</v>
      </c>
    </row>
    <row r="68" spans="1:10" hidden="1" x14ac:dyDescent="0.3">
      <c r="A68" s="4" t="s">
        <v>171</v>
      </c>
      <c r="B68" s="2" t="s">
        <v>29</v>
      </c>
      <c r="C68" s="2" t="s">
        <v>85</v>
      </c>
      <c r="D68" s="2" t="s">
        <v>13</v>
      </c>
      <c r="E68" s="2">
        <v>14</v>
      </c>
      <c r="F68" s="2">
        <v>10</v>
      </c>
      <c r="G68" s="2" t="s">
        <v>32</v>
      </c>
      <c r="H68" s="2" t="s">
        <v>61</v>
      </c>
      <c r="I68" s="2" t="s">
        <v>172</v>
      </c>
      <c r="J68" s="5">
        <v>51</v>
      </c>
    </row>
    <row r="69" spans="1:10" hidden="1" x14ac:dyDescent="0.3">
      <c r="A69" s="4" t="s">
        <v>173</v>
      </c>
      <c r="B69" s="2" t="s">
        <v>54</v>
      </c>
      <c r="C69" s="2" t="s">
        <v>30</v>
      </c>
      <c r="D69" s="2" t="s">
        <v>31</v>
      </c>
      <c r="E69" s="2">
        <v>18</v>
      </c>
      <c r="F69" s="2">
        <v>9</v>
      </c>
      <c r="G69" s="2" t="s">
        <v>32</v>
      </c>
      <c r="H69" s="2" t="s">
        <v>40</v>
      </c>
      <c r="I69" s="2" t="s">
        <v>174</v>
      </c>
      <c r="J69" s="5">
        <v>54</v>
      </c>
    </row>
    <row r="70" spans="1:10" hidden="1" x14ac:dyDescent="0.3">
      <c r="A70" s="4" t="s">
        <v>175</v>
      </c>
      <c r="B70" s="2" t="s">
        <v>35</v>
      </c>
      <c r="C70" s="2" t="s">
        <v>30</v>
      </c>
      <c r="D70" s="2" t="s">
        <v>31</v>
      </c>
      <c r="E70" s="2">
        <v>20</v>
      </c>
      <c r="F70" s="2">
        <v>9</v>
      </c>
      <c r="G70" s="2" t="s">
        <v>14</v>
      </c>
      <c r="H70" s="2" t="s">
        <v>61</v>
      </c>
      <c r="I70" s="2" t="s">
        <v>176</v>
      </c>
      <c r="J70" s="5">
        <v>76</v>
      </c>
    </row>
    <row r="71" spans="1:10" hidden="1" x14ac:dyDescent="0.3">
      <c r="A71" s="4" t="s">
        <v>177</v>
      </c>
      <c r="B71" s="2" t="s">
        <v>29</v>
      </c>
      <c r="C71" s="2" t="s">
        <v>58</v>
      </c>
      <c r="D71" s="2" t="s">
        <v>31</v>
      </c>
      <c r="E71" s="2">
        <v>19</v>
      </c>
      <c r="F71" s="2">
        <v>12</v>
      </c>
      <c r="G71" s="2" t="s">
        <v>43</v>
      </c>
      <c r="H71" s="2" t="s">
        <v>61</v>
      </c>
      <c r="I71" s="2" t="s">
        <v>178</v>
      </c>
      <c r="J71" s="5">
        <v>99</v>
      </c>
    </row>
    <row r="72" spans="1:10" x14ac:dyDescent="0.3">
      <c r="A72" s="19" t="s">
        <v>179</v>
      </c>
      <c r="B72" s="15" t="s">
        <v>29</v>
      </c>
      <c r="C72" s="15" t="s">
        <v>58</v>
      </c>
      <c r="D72" s="15" t="s">
        <v>31</v>
      </c>
      <c r="E72" s="15">
        <v>16</v>
      </c>
      <c r="F72" s="15">
        <v>11</v>
      </c>
      <c r="G72" s="15" t="s">
        <v>25</v>
      </c>
      <c r="H72" s="59" t="s">
        <v>26</v>
      </c>
      <c r="I72" s="15" t="s">
        <v>180</v>
      </c>
      <c r="J72" s="20">
        <v>75</v>
      </c>
    </row>
    <row r="73" spans="1:10" hidden="1" x14ac:dyDescent="0.3">
      <c r="A73" s="4" t="s">
        <v>181</v>
      </c>
      <c r="B73" s="2" t="s">
        <v>11</v>
      </c>
      <c r="C73" s="2" t="s">
        <v>55</v>
      </c>
      <c r="D73" s="2" t="s">
        <v>31</v>
      </c>
      <c r="E73" s="2">
        <v>18</v>
      </c>
      <c r="F73" s="2">
        <v>10</v>
      </c>
      <c r="G73" s="2" t="s">
        <v>25</v>
      </c>
      <c r="H73" s="2" t="s">
        <v>46</v>
      </c>
      <c r="I73" s="2" t="s">
        <v>182</v>
      </c>
      <c r="J73" s="5">
        <v>98</v>
      </c>
    </row>
    <row r="74" spans="1:10" hidden="1" x14ac:dyDescent="0.3">
      <c r="A74" s="4" t="s">
        <v>183</v>
      </c>
      <c r="B74" s="2" t="s">
        <v>11</v>
      </c>
      <c r="C74" s="2" t="s">
        <v>30</v>
      </c>
      <c r="D74" s="2" t="s">
        <v>31</v>
      </c>
      <c r="E74" s="2">
        <v>17</v>
      </c>
      <c r="F74" s="2">
        <v>12</v>
      </c>
      <c r="G74" s="2" t="s">
        <v>14</v>
      </c>
      <c r="H74" s="2" t="s">
        <v>37</v>
      </c>
      <c r="I74" s="2" t="s">
        <v>184</v>
      </c>
      <c r="J74" s="5">
        <v>49</v>
      </c>
    </row>
    <row r="75" spans="1:10" hidden="1" x14ac:dyDescent="0.3">
      <c r="A75" s="4" t="s">
        <v>185</v>
      </c>
      <c r="B75" s="2" t="s">
        <v>35</v>
      </c>
      <c r="C75" s="2" t="s">
        <v>30</v>
      </c>
      <c r="D75" s="2" t="s">
        <v>31</v>
      </c>
      <c r="E75" s="2">
        <v>14</v>
      </c>
      <c r="F75" s="2">
        <v>12</v>
      </c>
      <c r="G75" s="2" t="s">
        <v>43</v>
      </c>
      <c r="H75" s="2" t="s">
        <v>61</v>
      </c>
      <c r="I75" s="2" t="s">
        <v>186</v>
      </c>
      <c r="J75" s="5">
        <v>45</v>
      </c>
    </row>
    <row r="76" spans="1:10" hidden="1" x14ac:dyDescent="0.3">
      <c r="A76" s="4" t="s">
        <v>187</v>
      </c>
      <c r="B76" s="2" t="s">
        <v>51</v>
      </c>
      <c r="C76" s="2" t="s">
        <v>12</v>
      </c>
      <c r="D76" s="2" t="s">
        <v>31</v>
      </c>
      <c r="E76" s="2">
        <v>17</v>
      </c>
      <c r="F76" s="2">
        <v>10</v>
      </c>
      <c r="G76" s="2" t="s">
        <v>43</v>
      </c>
      <c r="H76" s="2" t="s">
        <v>46</v>
      </c>
      <c r="I76" s="2" t="s">
        <v>101</v>
      </c>
      <c r="J76" s="5">
        <v>66</v>
      </c>
    </row>
    <row r="77" spans="1:10" hidden="1" x14ac:dyDescent="0.3">
      <c r="A77" s="4" t="s">
        <v>188</v>
      </c>
      <c r="B77" s="2" t="s">
        <v>23</v>
      </c>
      <c r="C77" s="2" t="s">
        <v>55</v>
      </c>
      <c r="D77" s="2" t="s">
        <v>31</v>
      </c>
      <c r="E77" s="2">
        <v>15</v>
      </c>
      <c r="F77" s="2">
        <v>9</v>
      </c>
      <c r="G77" s="2" t="s">
        <v>43</v>
      </c>
      <c r="H77" s="2" t="s">
        <v>20</v>
      </c>
      <c r="I77" s="2" t="s">
        <v>189</v>
      </c>
      <c r="J77" s="5">
        <v>88</v>
      </c>
    </row>
    <row r="78" spans="1:10" hidden="1" x14ac:dyDescent="0.3">
      <c r="A78" s="4" t="s">
        <v>190</v>
      </c>
      <c r="B78" s="2" t="s">
        <v>18</v>
      </c>
      <c r="C78" s="2" t="s">
        <v>19</v>
      </c>
      <c r="D78" s="2" t="s">
        <v>31</v>
      </c>
      <c r="E78" s="2">
        <v>14</v>
      </c>
      <c r="F78" s="2">
        <v>12</v>
      </c>
      <c r="G78" s="2" t="s">
        <v>32</v>
      </c>
      <c r="H78" s="2" t="s">
        <v>37</v>
      </c>
      <c r="I78" s="2" t="s">
        <v>191</v>
      </c>
      <c r="J78" s="5">
        <v>63</v>
      </c>
    </row>
    <row r="79" spans="1:10" hidden="1" x14ac:dyDescent="0.3">
      <c r="A79" s="4" t="s">
        <v>192</v>
      </c>
      <c r="B79" s="2" t="s">
        <v>68</v>
      </c>
      <c r="C79" s="2" t="s">
        <v>85</v>
      </c>
      <c r="D79" s="2" t="s">
        <v>13</v>
      </c>
      <c r="E79" s="2">
        <v>19</v>
      </c>
      <c r="F79" s="2">
        <v>11</v>
      </c>
      <c r="G79" s="2" t="s">
        <v>43</v>
      </c>
      <c r="H79" s="2" t="s">
        <v>61</v>
      </c>
      <c r="I79" s="2" t="s">
        <v>193</v>
      </c>
      <c r="J79" s="5">
        <v>78</v>
      </c>
    </row>
    <row r="80" spans="1:10" hidden="1" x14ac:dyDescent="0.3">
      <c r="A80" s="4" t="s">
        <v>194</v>
      </c>
      <c r="B80" s="2" t="s">
        <v>23</v>
      </c>
      <c r="C80" s="2" t="s">
        <v>19</v>
      </c>
      <c r="D80" s="2" t="s">
        <v>31</v>
      </c>
      <c r="E80" s="2">
        <v>20</v>
      </c>
      <c r="F80" s="2">
        <v>9</v>
      </c>
      <c r="G80" s="2" t="s">
        <v>25</v>
      </c>
      <c r="H80" s="2" t="s">
        <v>76</v>
      </c>
      <c r="I80" s="2" t="s">
        <v>195</v>
      </c>
      <c r="J80" s="5">
        <v>76</v>
      </c>
    </row>
    <row r="81" spans="1:10" hidden="1" x14ac:dyDescent="0.3">
      <c r="A81" s="4" t="s">
        <v>196</v>
      </c>
      <c r="B81" s="2" t="s">
        <v>23</v>
      </c>
      <c r="C81" s="2" t="s">
        <v>79</v>
      </c>
      <c r="D81" s="2" t="s">
        <v>13</v>
      </c>
      <c r="E81" s="2">
        <v>18</v>
      </c>
      <c r="F81" s="2">
        <v>12</v>
      </c>
      <c r="G81" s="2" t="s">
        <v>43</v>
      </c>
      <c r="H81" s="2" t="s">
        <v>76</v>
      </c>
      <c r="I81" s="2" t="s">
        <v>197</v>
      </c>
      <c r="J81" s="5">
        <v>67</v>
      </c>
    </row>
    <row r="82" spans="1:10" hidden="1" x14ac:dyDescent="0.3">
      <c r="A82" s="4" t="s">
        <v>198</v>
      </c>
      <c r="B82" s="2" t="s">
        <v>11</v>
      </c>
      <c r="C82" s="2" t="s">
        <v>85</v>
      </c>
      <c r="D82" s="2" t="s">
        <v>31</v>
      </c>
      <c r="E82" s="2">
        <v>14</v>
      </c>
      <c r="F82" s="2">
        <v>10</v>
      </c>
      <c r="G82" s="2" t="s">
        <v>25</v>
      </c>
      <c r="H82" s="2" t="s">
        <v>61</v>
      </c>
      <c r="I82" s="2" t="s">
        <v>199</v>
      </c>
      <c r="J82" s="5">
        <v>97</v>
      </c>
    </row>
    <row r="83" spans="1:10" x14ac:dyDescent="0.3">
      <c r="A83" s="19" t="s">
        <v>200</v>
      </c>
      <c r="B83" s="15" t="s">
        <v>29</v>
      </c>
      <c r="C83" s="15" t="s">
        <v>12</v>
      </c>
      <c r="D83" s="15" t="s">
        <v>13</v>
      </c>
      <c r="E83" s="15">
        <v>18</v>
      </c>
      <c r="F83" s="15">
        <v>12</v>
      </c>
      <c r="G83" s="15" t="s">
        <v>25</v>
      </c>
      <c r="H83" s="59" t="s">
        <v>26</v>
      </c>
      <c r="I83" s="15" t="s">
        <v>201</v>
      </c>
      <c r="J83" s="20">
        <v>89</v>
      </c>
    </row>
    <row r="84" spans="1:10" hidden="1" x14ac:dyDescent="0.3">
      <c r="A84" s="4" t="s">
        <v>202</v>
      </c>
      <c r="B84" s="2" t="s">
        <v>51</v>
      </c>
      <c r="C84" s="2" t="s">
        <v>55</v>
      </c>
      <c r="D84" s="2" t="s">
        <v>31</v>
      </c>
      <c r="E84" s="2">
        <v>15</v>
      </c>
      <c r="F84" s="2">
        <v>9</v>
      </c>
      <c r="G84" s="2" t="s">
        <v>14</v>
      </c>
      <c r="H84" s="2" t="s">
        <v>40</v>
      </c>
      <c r="I84" s="2" t="s">
        <v>111</v>
      </c>
      <c r="J84" s="5">
        <v>70</v>
      </c>
    </row>
    <row r="85" spans="1:10" hidden="1" x14ac:dyDescent="0.3">
      <c r="A85" s="4" t="s">
        <v>203</v>
      </c>
      <c r="B85" s="2" t="s">
        <v>35</v>
      </c>
      <c r="C85" s="2" t="s">
        <v>96</v>
      </c>
      <c r="D85" s="2" t="s">
        <v>13</v>
      </c>
      <c r="E85" s="2">
        <v>17</v>
      </c>
      <c r="F85" s="2">
        <v>12</v>
      </c>
      <c r="G85" s="2" t="s">
        <v>25</v>
      </c>
      <c r="H85" s="2" t="s">
        <v>20</v>
      </c>
      <c r="I85" s="2" t="s">
        <v>204</v>
      </c>
      <c r="J85" s="5">
        <v>90</v>
      </c>
    </row>
    <row r="86" spans="1:10" hidden="1" x14ac:dyDescent="0.3">
      <c r="A86" s="4" t="s">
        <v>205</v>
      </c>
      <c r="B86" s="2" t="s">
        <v>73</v>
      </c>
      <c r="C86" s="2" t="s">
        <v>24</v>
      </c>
      <c r="D86" s="2" t="s">
        <v>13</v>
      </c>
      <c r="E86" s="2">
        <v>17</v>
      </c>
      <c r="F86" s="2">
        <v>9</v>
      </c>
      <c r="G86" s="2" t="s">
        <v>14</v>
      </c>
      <c r="H86" s="2" t="s">
        <v>46</v>
      </c>
      <c r="I86" s="2" t="s">
        <v>206</v>
      </c>
      <c r="J86" s="5">
        <v>59</v>
      </c>
    </row>
    <row r="87" spans="1:10" hidden="1" x14ac:dyDescent="0.3">
      <c r="A87" s="4" t="s">
        <v>207</v>
      </c>
      <c r="B87" s="2" t="s">
        <v>54</v>
      </c>
      <c r="C87" s="2" t="s">
        <v>19</v>
      </c>
      <c r="D87" s="2" t="s">
        <v>31</v>
      </c>
      <c r="E87" s="2">
        <v>19</v>
      </c>
      <c r="F87" s="2">
        <v>9</v>
      </c>
      <c r="G87" s="2" t="s">
        <v>14</v>
      </c>
      <c r="H87" s="2" t="s">
        <v>61</v>
      </c>
      <c r="I87" s="2" t="s">
        <v>208</v>
      </c>
      <c r="J87" s="5">
        <v>76</v>
      </c>
    </row>
    <row r="88" spans="1:10" hidden="1" x14ac:dyDescent="0.3">
      <c r="A88" s="4" t="s">
        <v>209</v>
      </c>
      <c r="B88" s="2" t="s">
        <v>29</v>
      </c>
      <c r="C88" s="2" t="s">
        <v>30</v>
      </c>
      <c r="D88" s="2" t="s">
        <v>31</v>
      </c>
      <c r="E88" s="2">
        <v>18</v>
      </c>
      <c r="F88" s="2">
        <v>11</v>
      </c>
      <c r="G88" s="2" t="s">
        <v>43</v>
      </c>
      <c r="H88" s="2" t="s">
        <v>20</v>
      </c>
      <c r="I88" s="2" t="s">
        <v>210</v>
      </c>
      <c r="J88" s="5">
        <v>78</v>
      </c>
    </row>
    <row r="89" spans="1:10" hidden="1" x14ac:dyDescent="0.3">
      <c r="A89" s="4" t="s">
        <v>211</v>
      </c>
      <c r="B89" s="2" t="s">
        <v>35</v>
      </c>
      <c r="C89" s="2" t="s">
        <v>19</v>
      </c>
      <c r="D89" s="2" t="s">
        <v>31</v>
      </c>
      <c r="E89" s="2">
        <v>16</v>
      </c>
      <c r="F89" s="2">
        <v>9</v>
      </c>
      <c r="G89" s="2" t="s">
        <v>14</v>
      </c>
      <c r="H89" s="2" t="s">
        <v>37</v>
      </c>
      <c r="I89" s="2" t="s">
        <v>212</v>
      </c>
      <c r="J89" s="5">
        <v>57</v>
      </c>
    </row>
    <row r="90" spans="1:10" hidden="1" x14ac:dyDescent="0.3">
      <c r="A90" s="4" t="s">
        <v>213</v>
      </c>
      <c r="B90" s="2" t="s">
        <v>29</v>
      </c>
      <c r="C90" s="2" t="s">
        <v>24</v>
      </c>
      <c r="D90" s="2" t="s">
        <v>31</v>
      </c>
      <c r="E90" s="2">
        <v>17</v>
      </c>
      <c r="F90" s="2">
        <v>11</v>
      </c>
      <c r="G90" s="2" t="s">
        <v>14</v>
      </c>
      <c r="H90" s="2" t="s">
        <v>76</v>
      </c>
      <c r="I90" s="2" t="s">
        <v>214</v>
      </c>
      <c r="J90" s="5">
        <v>74</v>
      </c>
    </row>
    <row r="91" spans="1:10" hidden="1" x14ac:dyDescent="0.3">
      <c r="A91" s="4" t="s">
        <v>215</v>
      </c>
      <c r="B91" s="2" t="s">
        <v>84</v>
      </c>
      <c r="C91" s="2" t="s">
        <v>36</v>
      </c>
      <c r="D91" s="2" t="s">
        <v>31</v>
      </c>
      <c r="E91" s="2">
        <v>19</v>
      </c>
      <c r="F91" s="2">
        <v>12</v>
      </c>
      <c r="G91" s="2" t="s">
        <v>14</v>
      </c>
      <c r="H91" s="2" t="s">
        <v>37</v>
      </c>
      <c r="I91" s="2" t="s">
        <v>216</v>
      </c>
      <c r="J91" s="5">
        <v>84</v>
      </c>
    </row>
    <row r="92" spans="1:10" hidden="1" x14ac:dyDescent="0.3">
      <c r="A92" s="4" t="s">
        <v>217</v>
      </c>
      <c r="B92" s="2" t="s">
        <v>84</v>
      </c>
      <c r="C92" s="2" t="s">
        <v>96</v>
      </c>
      <c r="D92" s="2" t="s">
        <v>31</v>
      </c>
      <c r="E92" s="2">
        <v>17</v>
      </c>
      <c r="F92" s="2">
        <v>10</v>
      </c>
      <c r="G92" s="2" t="s">
        <v>43</v>
      </c>
      <c r="H92" s="2" t="s">
        <v>46</v>
      </c>
      <c r="I92" s="2" t="s">
        <v>218</v>
      </c>
      <c r="J92" s="5">
        <v>46</v>
      </c>
    </row>
    <row r="93" spans="1:10" hidden="1" x14ac:dyDescent="0.3">
      <c r="A93" s="4" t="s">
        <v>219</v>
      </c>
      <c r="B93" s="2" t="s">
        <v>68</v>
      </c>
      <c r="C93" s="2" t="s">
        <v>19</v>
      </c>
      <c r="D93" s="2" t="s">
        <v>13</v>
      </c>
      <c r="E93" s="2">
        <v>19</v>
      </c>
      <c r="F93" s="2">
        <v>9</v>
      </c>
      <c r="G93" s="2" t="s">
        <v>14</v>
      </c>
      <c r="H93" s="2" t="s">
        <v>40</v>
      </c>
      <c r="I93" s="2" t="s">
        <v>220</v>
      </c>
      <c r="J93" s="5">
        <v>63</v>
      </c>
    </row>
    <row r="94" spans="1:10" hidden="1" x14ac:dyDescent="0.3">
      <c r="A94" s="4" t="s">
        <v>221</v>
      </c>
      <c r="B94" s="2" t="s">
        <v>51</v>
      </c>
      <c r="C94" s="2" t="s">
        <v>55</v>
      </c>
      <c r="D94" s="2" t="s">
        <v>13</v>
      </c>
      <c r="E94" s="2">
        <v>14</v>
      </c>
      <c r="F94" s="2">
        <v>10</v>
      </c>
      <c r="G94" s="2" t="s">
        <v>43</v>
      </c>
      <c r="H94" s="2" t="s">
        <v>61</v>
      </c>
      <c r="I94" s="2" t="s">
        <v>222</v>
      </c>
      <c r="J94" s="5">
        <v>72</v>
      </c>
    </row>
    <row r="95" spans="1:10" hidden="1" x14ac:dyDescent="0.3">
      <c r="A95" s="4" t="s">
        <v>223</v>
      </c>
      <c r="B95" s="2" t="s">
        <v>68</v>
      </c>
      <c r="C95" s="2" t="s">
        <v>24</v>
      </c>
      <c r="D95" s="2" t="s">
        <v>13</v>
      </c>
      <c r="E95" s="2">
        <v>18</v>
      </c>
      <c r="F95" s="2">
        <v>11</v>
      </c>
      <c r="G95" s="2" t="s">
        <v>32</v>
      </c>
      <c r="H95" s="2" t="s">
        <v>40</v>
      </c>
      <c r="I95" s="2" t="s">
        <v>224</v>
      </c>
      <c r="J95" s="5">
        <v>87</v>
      </c>
    </row>
    <row r="96" spans="1:10" hidden="1" x14ac:dyDescent="0.3">
      <c r="A96" s="4" t="s">
        <v>225</v>
      </c>
      <c r="B96" s="2" t="s">
        <v>35</v>
      </c>
      <c r="C96" s="2" t="s">
        <v>85</v>
      </c>
      <c r="D96" s="2" t="s">
        <v>13</v>
      </c>
      <c r="E96" s="2">
        <v>20</v>
      </c>
      <c r="F96" s="2">
        <v>9</v>
      </c>
      <c r="G96" s="2" t="s">
        <v>14</v>
      </c>
      <c r="H96" s="2" t="s">
        <v>40</v>
      </c>
      <c r="I96" s="2" t="s">
        <v>226</v>
      </c>
      <c r="J96" s="5">
        <v>55</v>
      </c>
    </row>
    <row r="97" spans="1:10" x14ac:dyDescent="0.3">
      <c r="A97" s="19" t="s">
        <v>227</v>
      </c>
      <c r="B97" s="15" t="s">
        <v>68</v>
      </c>
      <c r="C97" s="15" t="s">
        <v>58</v>
      </c>
      <c r="D97" s="15" t="s">
        <v>13</v>
      </c>
      <c r="E97" s="15">
        <v>17</v>
      </c>
      <c r="F97" s="15">
        <v>12</v>
      </c>
      <c r="G97" s="15" t="s">
        <v>32</v>
      </c>
      <c r="H97" s="59" t="s">
        <v>26</v>
      </c>
      <c r="I97" s="15" t="s">
        <v>228</v>
      </c>
      <c r="J97" s="20">
        <v>37</v>
      </c>
    </row>
    <row r="98" spans="1:10" x14ac:dyDescent="0.3">
      <c r="A98" s="19" t="s">
        <v>229</v>
      </c>
      <c r="B98" s="15" t="s">
        <v>68</v>
      </c>
      <c r="C98" s="15" t="s">
        <v>24</v>
      </c>
      <c r="D98" s="15" t="s">
        <v>13</v>
      </c>
      <c r="E98" s="15">
        <v>17</v>
      </c>
      <c r="F98" s="15">
        <v>11</v>
      </c>
      <c r="G98" s="15" t="s">
        <v>43</v>
      </c>
      <c r="H98" s="59" t="s">
        <v>26</v>
      </c>
      <c r="I98" s="15" t="s">
        <v>230</v>
      </c>
      <c r="J98" s="20">
        <v>53</v>
      </c>
    </row>
    <row r="99" spans="1:10" hidden="1" x14ac:dyDescent="0.3">
      <c r="A99" s="4" t="s">
        <v>231</v>
      </c>
      <c r="B99" s="2" t="s">
        <v>23</v>
      </c>
      <c r="C99" s="2" t="s">
        <v>24</v>
      </c>
      <c r="D99" s="2" t="s">
        <v>31</v>
      </c>
      <c r="E99" s="2">
        <v>18</v>
      </c>
      <c r="F99" s="2">
        <v>9</v>
      </c>
      <c r="G99" s="2" t="s">
        <v>25</v>
      </c>
      <c r="H99" s="2" t="s">
        <v>61</v>
      </c>
      <c r="I99" s="2" t="s">
        <v>232</v>
      </c>
      <c r="J99" s="5">
        <v>88</v>
      </c>
    </row>
    <row r="100" spans="1:10" hidden="1" x14ac:dyDescent="0.3">
      <c r="A100" s="4" t="s">
        <v>233</v>
      </c>
      <c r="B100" s="2" t="s">
        <v>11</v>
      </c>
      <c r="C100" s="2" t="s">
        <v>55</v>
      </c>
      <c r="D100" s="2" t="s">
        <v>13</v>
      </c>
      <c r="E100" s="2">
        <v>14</v>
      </c>
      <c r="F100" s="2">
        <v>9</v>
      </c>
      <c r="G100" s="2" t="s">
        <v>25</v>
      </c>
      <c r="H100" s="2" t="s">
        <v>37</v>
      </c>
      <c r="I100" s="2" t="s">
        <v>234</v>
      </c>
      <c r="J100" s="5">
        <v>66</v>
      </c>
    </row>
    <row r="101" spans="1:10" hidden="1" x14ac:dyDescent="0.3">
      <c r="A101" s="4" t="s">
        <v>235</v>
      </c>
      <c r="B101" s="2" t="s">
        <v>11</v>
      </c>
      <c r="C101" s="2" t="s">
        <v>36</v>
      </c>
      <c r="D101" s="2" t="s">
        <v>31</v>
      </c>
      <c r="E101" s="2">
        <v>14</v>
      </c>
      <c r="F101" s="2">
        <v>12</v>
      </c>
      <c r="G101" s="2" t="s">
        <v>43</v>
      </c>
      <c r="H101" s="2" t="s">
        <v>40</v>
      </c>
      <c r="I101" s="2" t="s">
        <v>236</v>
      </c>
      <c r="J101" s="5">
        <v>65</v>
      </c>
    </row>
    <row r="102" spans="1:10" hidden="1" x14ac:dyDescent="0.3">
      <c r="A102" s="4" t="s">
        <v>237</v>
      </c>
      <c r="B102" s="2" t="s">
        <v>23</v>
      </c>
      <c r="C102" s="2" t="s">
        <v>24</v>
      </c>
      <c r="D102" s="2" t="s">
        <v>31</v>
      </c>
      <c r="E102" s="2">
        <v>16</v>
      </c>
      <c r="F102" s="2">
        <v>10</v>
      </c>
      <c r="G102" s="2" t="s">
        <v>43</v>
      </c>
      <c r="H102" s="2" t="s">
        <v>20</v>
      </c>
      <c r="I102" s="2" t="s">
        <v>238</v>
      </c>
      <c r="J102" s="5">
        <v>71</v>
      </c>
    </row>
    <row r="103" spans="1:10" hidden="1" x14ac:dyDescent="0.3">
      <c r="A103" s="4" t="s">
        <v>239</v>
      </c>
      <c r="B103" s="2" t="s">
        <v>68</v>
      </c>
      <c r="C103" s="2" t="s">
        <v>58</v>
      </c>
      <c r="D103" s="2" t="s">
        <v>13</v>
      </c>
      <c r="E103" s="2">
        <v>18</v>
      </c>
      <c r="F103" s="2">
        <v>11</v>
      </c>
      <c r="G103" s="2" t="s">
        <v>25</v>
      </c>
      <c r="H103" s="2" t="s">
        <v>15</v>
      </c>
      <c r="I103" s="2" t="s">
        <v>240</v>
      </c>
      <c r="J103" s="5">
        <v>48</v>
      </c>
    </row>
    <row r="104" spans="1:10" hidden="1" x14ac:dyDescent="0.3">
      <c r="A104" s="4" t="s">
        <v>241</v>
      </c>
      <c r="B104" s="2" t="s">
        <v>54</v>
      </c>
      <c r="C104" s="2" t="s">
        <v>85</v>
      </c>
      <c r="D104" s="2" t="s">
        <v>31</v>
      </c>
      <c r="E104" s="2">
        <v>15</v>
      </c>
      <c r="F104" s="2">
        <v>12</v>
      </c>
      <c r="G104" s="2" t="s">
        <v>14</v>
      </c>
      <c r="H104" s="2" t="s">
        <v>40</v>
      </c>
      <c r="I104" s="2" t="s">
        <v>242</v>
      </c>
      <c r="J104" s="5">
        <v>100</v>
      </c>
    </row>
    <row r="105" spans="1:10" hidden="1" x14ac:dyDescent="0.3">
      <c r="A105" s="4" t="s">
        <v>243</v>
      </c>
      <c r="B105" s="2" t="s">
        <v>23</v>
      </c>
      <c r="C105" s="2" t="s">
        <v>96</v>
      </c>
      <c r="D105" s="2" t="s">
        <v>31</v>
      </c>
      <c r="E105" s="2">
        <v>15</v>
      </c>
      <c r="F105" s="2">
        <v>11</v>
      </c>
      <c r="G105" s="2" t="s">
        <v>25</v>
      </c>
      <c r="H105" s="2" t="s">
        <v>61</v>
      </c>
      <c r="I105" s="2" t="s">
        <v>244</v>
      </c>
      <c r="J105" s="5">
        <v>72</v>
      </c>
    </row>
    <row r="106" spans="1:10" x14ac:dyDescent="0.3">
      <c r="A106" s="19" t="s">
        <v>245</v>
      </c>
      <c r="B106" s="15" t="s">
        <v>54</v>
      </c>
      <c r="C106" s="15" t="s">
        <v>19</v>
      </c>
      <c r="D106" s="15" t="s">
        <v>31</v>
      </c>
      <c r="E106" s="15">
        <v>18</v>
      </c>
      <c r="F106" s="15">
        <v>12</v>
      </c>
      <c r="G106" s="15" t="s">
        <v>32</v>
      </c>
      <c r="H106" s="59" t="s">
        <v>26</v>
      </c>
      <c r="I106" s="15" t="s">
        <v>246</v>
      </c>
      <c r="J106" s="20">
        <v>74</v>
      </c>
    </row>
    <row r="107" spans="1:10" hidden="1" x14ac:dyDescent="0.3">
      <c r="A107" s="4" t="s">
        <v>247</v>
      </c>
      <c r="B107" s="2" t="s">
        <v>29</v>
      </c>
      <c r="C107" s="2" t="s">
        <v>58</v>
      </c>
      <c r="D107" s="2" t="s">
        <v>31</v>
      </c>
      <c r="E107" s="2">
        <v>14</v>
      </c>
      <c r="F107" s="2">
        <v>12</v>
      </c>
      <c r="G107" s="2" t="s">
        <v>14</v>
      </c>
      <c r="H107" s="2" t="s">
        <v>40</v>
      </c>
      <c r="I107" s="2" t="s">
        <v>248</v>
      </c>
      <c r="J107" s="5">
        <v>66</v>
      </c>
    </row>
    <row r="108" spans="1:10" hidden="1" x14ac:dyDescent="0.3">
      <c r="A108" s="4" t="s">
        <v>249</v>
      </c>
      <c r="B108" s="2" t="s">
        <v>68</v>
      </c>
      <c r="C108" s="2" t="s">
        <v>30</v>
      </c>
      <c r="D108" s="2" t="s">
        <v>31</v>
      </c>
      <c r="E108" s="2">
        <v>16</v>
      </c>
      <c r="F108" s="2">
        <v>11</v>
      </c>
      <c r="G108" s="2" t="s">
        <v>32</v>
      </c>
      <c r="H108" s="2" t="s">
        <v>20</v>
      </c>
      <c r="I108" s="2" t="s">
        <v>250</v>
      </c>
      <c r="J108" s="5">
        <v>90</v>
      </c>
    </row>
    <row r="109" spans="1:10" hidden="1" x14ac:dyDescent="0.3">
      <c r="A109" s="4" t="s">
        <v>251</v>
      </c>
      <c r="B109" s="2" t="s">
        <v>23</v>
      </c>
      <c r="C109" s="2" t="s">
        <v>24</v>
      </c>
      <c r="D109" s="2" t="s">
        <v>13</v>
      </c>
      <c r="E109" s="2">
        <v>16</v>
      </c>
      <c r="F109" s="2">
        <v>12</v>
      </c>
      <c r="G109" s="2" t="s">
        <v>43</v>
      </c>
      <c r="H109" s="2" t="s">
        <v>40</v>
      </c>
      <c r="I109" s="2" t="s">
        <v>252</v>
      </c>
      <c r="J109" s="5">
        <v>50</v>
      </c>
    </row>
    <row r="110" spans="1:10" hidden="1" x14ac:dyDescent="0.3">
      <c r="A110" s="4" t="s">
        <v>253</v>
      </c>
      <c r="B110" s="2" t="s">
        <v>18</v>
      </c>
      <c r="C110" s="2" t="s">
        <v>24</v>
      </c>
      <c r="D110" s="2" t="s">
        <v>13</v>
      </c>
      <c r="E110" s="2">
        <v>15</v>
      </c>
      <c r="F110" s="2">
        <v>9</v>
      </c>
      <c r="G110" s="2" t="s">
        <v>25</v>
      </c>
      <c r="H110" s="2" t="s">
        <v>20</v>
      </c>
      <c r="I110" s="2" t="s">
        <v>254</v>
      </c>
      <c r="J110" s="5">
        <v>36</v>
      </c>
    </row>
    <row r="111" spans="1:10" hidden="1" x14ac:dyDescent="0.3">
      <c r="A111" s="4" t="s">
        <v>255</v>
      </c>
      <c r="B111" s="2" t="s">
        <v>51</v>
      </c>
      <c r="C111" s="2" t="s">
        <v>79</v>
      </c>
      <c r="D111" s="2" t="s">
        <v>31</v>
      </c>
      <c r="E111" s="2">
        <v>20</v>
      </c>
      <c r="F111" s="2">
        <v>12</v>
      </c>
      <c r="G111" s="2" t="s">
        <v>43</v>
      </c>
      <c r="H111" s="2" t="s">
        <v>40</v>
      </c>
      <c r="I111" s="2" t="s">
        <v>256</v>
      </c>
      <c r="J111" s="5">
        <v>48</v>
      </c>
    </row>
    <row r="112" spans="1:10" hidden="1" x14ac:dyDescent="0.3">
      <c r="A112" s="4" t="s">
        <v>257</v>
      </c>
      <c r="B112" s="2" t="s">
        <v>68</v>
      </c>
      <c r="C112" s="2" t="s">
        <v>79</v>
      </c>
      <c r="D112" s="2" t="s">
        <v>31</v>
      </c>
      <c r="E112" s="2">
        <v>20</v>
      </c>
      <c r="F112" s="2">
        <v>11</v>
      </c>
      <c r="G112" s="2" t="s">
        <v>43</v>
      </c>
      <c r="H112" s="2" t="s">
        <v>46</v>
      </c>
      <c r="I112" s="2" t="s">
        <v>258</v>
      </c>
      <c r="J112" s="5">
        <v>52</v>
      </c>
    </row>
    <row r="113" spans="1:10" hidden="1" x14ac:dyDescent="0.3">
      <c r="A113" s="4" t="s">
        <v>259</v>
      </c>
      <c r="B113" s="2" t="s">
        <v>54</v>
      </c>
      <c r="C113" s="2" t="s">
        <v>85</v>
      </c>
      <c r="D113" s="2" t="s">
        <v>13</v>
      </c>
      <c r="E113" s="2">
        <v>14</v>
      </c>
      <c r="F113" s="2">
        <v>11</v>
      </c>
      <c r="G113" s="2" t="s">
        <v>43</v>
      </c>
      <c r="H113" s="2" t="s">
        <v>46</v>
      </c>
      <c r="I113" s="2" t="s">
        <v>260</v>
      </c>
      <c r="J113" s="5">
        <v>62</v>
      </c>
    </row>
    <row r="114" spans="1:10" x14ac:dyDescent="0.3">
      <c r="A114" s="19" t="s">
        <v>261</v>
      </c>
      <c r="B114" s="15" t="s">
        <v>23</v>
      </c>
      <c r="C114" s="15" t="s">
        <v>36</v>
      </c>
      <c r="D114" s="15" t="s">
        <v>13</v>
      </c>
      <c r="E114" s="15">
        <v>15</v>
      </c>
      <c r="F114" s="15">
        <v>11</v>
      </c>
      <c r="G114" s="15" t="s">
        <v>25</v>
      </c>
      <c r="H114" s="59" t="s">
        <v>26</v>
      </c>
      <c r="I114" s="15" t="s">
        <v>262</v>
      </c>
      <c r="J114" s="20">
        <v>63</v>
      </c>
    </row>
    <row r="115" spans="1:10" hidden="1" x14ac:dyDescent="0.3">
      <c r="A115" s="4" t="s">
        <v>263</v>
      </c>
      <c r="B115" s="2" t="s">
        <v>29</v>
      </c>
      <c r="C115" s="2" t="s">
        <v>19</v>
      </c>
      <c r="D115" s="2" t="s">
        <v>13</v>
      </c>
      <c r="E115" s="2">
        <v>15</v>
      </c>
      <c r="F115" s="2">
        <v>11</v>
      </c>
      <c r="G115" s="2" t="s">
        <v>25</v>
      </c>
      <c r="H115" s="2" t="s">
        <v>46</v>
      </c>
      <c r="I115" s="2" t="s">
        <v>264</v>
      </c>
      <c r="J115" s="5">
        <v>58</v>
      </c>
    </row>
    <row r="116" spans="1:10" hidden="1" x14ac:dyDescent="0.3">
      <c r="A116" s="4" t="s">
        <v>265</v>
      </c>
      <c r="B116" s="2" t="s">
        <v>11</v>
      </c>
      <c r="C116" s="2" t="s">
        <v>85</v>
      </c>
      <c r="D116" s="2" t="s">
        <v>31</v>
      </c>
      <c r="E116" s="2">
        <v>14</v>
      </c>
      <c r="F116" s="2">
        <v>9</v>
      </c>
      <c r="G116" s="2" t="s">
        <v>43</v>
      </c>
      <c r="H116" s="2" t="s">
        <v>61</v>
      </c>
      <c r="I116" s="2" t="s">
        <v>56</v>
      </c>
      <c r="J116" s="5">
        <v>41</v>
      </c>
    </row>
    <row r="117" spans="1:10" hidden="1" x14ac:dyDescent="0.3">
      <c r="A117" s="4" t="s">
        <v>266</v>
      </c>
      <c r="B117" s="2" t="s">
        <v>54</v>
      </c>
      <c r="C117" s="2" t="s">
        <v>58</v>
      </c>
      <c r="D117" s="2" t="s">
        <v>13</v>
      </c>
      <c r="E117" s="2">
        <v>19</v>
      </c>
      <c r="F117" s="2">
        <v>11</v>
      </c>
      <c r="G117" s="2" t="s">
        <v>14</v>
      </c>
      <c r="H117" s="2" t="s">
        <v>40</v>
      </c>
      <c r="I117" s="2" t="s">
        <v>267</v>
      </c>
      <c r="J117" s="5">
        <v>41</v>
      </c>
    </row>
    <row r="118" spans="1:10" x14ac:dyDescent="0.3">
      <c r="A118" s="19" t="s">
        <v>268</v>
      </c>
      <c r="B118" s="15" t="s">
        <v>68</v>
      </c>
      <c r="C118" s="15" t="s">
        <v>24</v>
      </c>
      <c r="D118" s="15" t="s">
        <v>31</v>
      </c>
      <c r="E118" s="15">
        <v>16</v>
      </c>
      <c r="F118" s="15">
        <v>12</v>
      </c>
      <c r="G118" s="15" t="s">
        <v>43</v>
      </c>
      <c r="H118" s="59" t="s">
        <v>26</v>
      </c>
      <c r="I118" s="15" t="s">
        <v>269</v>
      </c>
      <c r="J118" s="20">
        <v>47</v>
      </c>
    </row>
    <row r="119" spans="1:10" x14ac:dyDescent="0.3">
      <c r="A119" s="19" t="s">
        <v>270</v>
      </c>
      <c r="B119" s="15" t="s">
        <v>73</v>
      </c>
      <c r="C119" s="15" t="s">
        <v>30</v>
      </c>
      <c r="D119" s="15" t="s">
        <v>31</v>
      </c>
      <c r="E119" s="15">
        <v>15</v>
      </c>
      <c r="F119" s="15">
        <v>9</v>
      </c>
      <c r="G119" s="15" t="s">
        <v>43</v>
      </c>
      <c r="H119" s="59" t="s">
        <v>26</v>
      </c>
      <c r="I119" s="15" t="s">
        <v>271</v>
      </c>
      <c r="J119" s="20">
        <v>76</v>
      </c>
    </row>
    <row r="120" spans="1:10" hidden="1" x14ac:dyDescent="0.3">
      <c r="A120" s="4" t="s">
        <v>272</v>
      </c>
      <c r="B120" s="2" t="s">
        <v>54</v>
      </c>
      <c r="C120" s="2" t="s">
        <v>24</v>
      </c>
      <c r="D120" s="2" t="s">
        <v>13</v>
      </c>
      <c r="E120" s="2">
        <v>15</v>
      </c>
      <c r="F120" s="2">
        <v>9</v>
      </c>
      <c r="G120" s="2" t="s">
        <v>43</v>
      </c>
      <c r="H120" s="2" t="s">
        <v>20</v>
      </c>
      <c r="I120" s="2" t="s">
        <v>273</v>
      </c>
      <c r="J120" s="5">
        <v>50</v>
      </c>
    </row>
    <row r="121" spans="1:10" hidden="1" x14ac:dyDescent="0.3">
      <c r="A121" s="4" t="s">
        <v>274</v>
      </c>
      <c r="B121" s="2" t="s">
        <v>35</v>
      </c>
      <c r="C121" s="2" t="s">
        <v>36</v>
      </c>
      <c r="D121" s="2" t="s">
        <v>13</v>
      </c>
      <c r="E121" s="2">
        <v>19</v>
      </c>
      <c r="F121" s="2">
        <v>9</v>
      </c>
      <c r="G121" s="2" t="s">
        <v>32</v>
      </c>
      <c r="H121" s="2" t="s">
        <v>61</v>
      </c>
      <c r="I121" s="2" t="s">
        <v>275</v>
      </c>
      <c r="J121" s="5">
        <v>63</v>
      </c>
    </row>
    <row r="122" spans="1:10" x14ac:dyDescent="0.3">
      <c r="A122" s="19" t="s">
        <v>276</v>
      </c>
      <c r="B122" s="15" t="s">
        <v>84</v>
      </c>
      <c r="C122" s="15" t="s">
        <v>30</v>
      </c>
      <c r="D122" s="15" t="s">
        <v>31</v>
      </c>
      <c r="E122" s="15">
        <v>14</v>
      </c>
      <c r="F122" s="15">
        <v>12</v>
      </c>
      <c r="G122" s="15" t="s">
        <v>14</v>
      </c>
      <c r="H122" s="59" t="s">
        <v>26</v>
      </c>
      <c r="I122" s="15" t="s">
        <v>277</v>
      </c>
      <c r="J122" s="20">
        <v>62</v>
      </c>
    </row>
    <row r="123" spans="1:10" hidden="1" x14ac:dyDescent="0.3">
      <c r="A123" s="4" t="s">
        <v>278</v>
      </c>
      <c r="B123" s="2" t="s">
        <v>73</v>
      </c>
      <c r="C123" s="2" t="s">
        <v>36</v>
      </c>
      <c r="D123" s="2" t="s">
        <v>13</v>
      </c>
      <c r="E123" s="2">
        <v>14</v>
      </c>
      <c r="F123" s="2">
        <v>11</v>
      </c>
      <c r="G123" s="2" t="s">
        <v>32</v>
      </c>
      <c r="H123" s="2" t="s">
        <v>37</v>
      </c>
      <c r="I123" s="2" t="s">
        <v>279</v>
      </c>
      <c r="J123" s="5">
        <v>51</v>
      </c>
    </row>
    <row r="124" spans="1:10" hidden="1" x14ac:dyDescent="0.3">
      <c r="A124" s="4" t="s">
        <v>280</v>
      </c>
      <c r="B124" s="2" t="s">
        <v>84</v>
      </c>
      <c r="C124" s="2" t="s">
        <v>58</v>
      </c>
      <c r="D124" s="2" t="s">
        <v>13</v>
      </c>
      <c r="E124" s="2">
        <v>18</v>
      </c>
      <c r="F124" s="2">
        <v>12</v>
      </c>
      <c r="G124" s="2" t="s">
        <v>32</v>
      </c>
      <c r="H124" s="2" t="s">
        <v>76</v>
      </c>
      <c r="I124" s="2" t="s">
        <v>159</v>
      </c>
      <c r="J124" s="5">
        <v>98</v>
      </c>
    </row>
    <row r="125" spans="1:10" hidden="1" x14ac:dyDescent="0.3">
      <c r="A125" s="4" t="s">
        <v>281</v>
      </c>
      <c r="B125" s="2" t="s">
        <v>51</v>
      </c>
      <c r="C125" s="2" t="s">
        <v>36</v>
      </c>
      <c r="D125" s="2" t="s">
        <v>31</v>
      </c>
      <c r="E125" s="2">
        <v>15</v>
      </c>
      <c r="F125" s="2">
        <v>11</v>
      </c>
      <c r="G125" s="2" t="s">
        <v>43</v>
      </c>
      <c r="H125" s="2" t="s">
        <v>37</v>
      </c>
      <c r="I125" s="2" t="s">
        <v>282</v>
      </c>
      <c r="J125" s="5">
        <v>66</v>
      </c>
    </row>
    <row r="126" spans="1:10" hidden="1" x14ac:dyDescent="0.3">
      <c r="A126" s="4" t="s">
        <v>283</v>
      </c>
      <c r="B126" s="2" t="s">
        <v>68</v>
      </c>
      <c r="C126" s="2" t="s">
        <v>79</v>
      </c>
      <c r="D126" s="2" t="s">
        <v>31</v>
      </c>
      <c r="E126" s="2">
        <v>16</v>
      </c>
      <c r="F126" s="2">
        <v>11</v>
      </c>
      <c r="G126" s="2" t="s">
        <v>32</v>
      </c>
      <c r="H126" s="2" t="s">
        <v>40</v>
      </c>
      <c r="I126" s="2" t="s">
        <v>284</v>
      </c>
      <c r="J126" s="5">
        <v>95</v>
      </c>
    </row>
    <row r="127" spans="1:10" hidden="1" x14ac:dyDescent="0.3">
      <c r="A127" s="4" t="s">
        <v>285</v>
      </c>
      <c r="B127" s="2" t="s">
        <v>18</v>
      </c>
      <c r="C127" s="2" t="s">
        <v>36</v>
      </c>
      <c r="D127" s="2" t="s">
        <v>31</v>
      </c>
      <c r="E127" s="2">
        <v>14</v>
      </c>
      <c r="F127" s="2">
        <v>11</v>
      </c>
      <c r="G127" s="2" t="s">
        <v>25</v>
      </c>
      <c r="H127" s="2" t="s">
        <v>46</v>
      </c>
      <c r="I127" s="2" t="s">
        <v>286</v>
      </c>
      <c r="J127" s="5">
        <v>64</v>
      </c>
    </row>
    <row r="128" spans="1:10" hidden="1" x14ac:dyDescent="0.3">
      <c r="A128" s="4" t="s">
        <v>287</v>
      </c>
      <c r="B128" s="2" t="s">
        <v>54</v>
      </c>
      <c r="C128" s="2" t="s">
        <v>24</v>
      </c>
      <c r="D128" s="2" t="s">
        <v>31</v>
      </c>
      <c r="E128" s="2">
        <v>14</v>
      </c>
      <c r="F128" s="2">
        <v>12</v>
      </c>
      <c r="G128" s="2" t="s">
        <v>32</v>
      </c>
      <c r="H128" s="2" t="s">
        <v>76</v>
      </c>
      <c r="I128" s="2" t="s">
        <v>288</v>
      </c>
      <c r="J128" s="5">
        <v>48</v>
      </c>
    </row>
    <row r="129" spans="1:10" hidden="1" x14ac:dyDescent="0.3">
      <c r="A129" s="4" t="s">
        <v>289</v>
      </c>
      <c r="B129" s="2" t="s">
        <v>23</v>
      </c>
      <c r="C129" s="2" t="s">
        <v>79</v>
      </c>
      <c r="D129" s="2" t="s">
        <v>31</v>
      </c>
      <c r="E129" s="2">
        <v>17</v>
      </c>
      <c r="F129" s="2">
        <v>9</v>
      </c>
      <c r="G129" s="2" t="s">
        <v>25</v>
      </c>
      <c r="H129" s="2" t="s">
        <v>37</v>
      </c>
      <c r="I129" s="2" t="s">
        <v>290</v>
      </c>
      <c r="J129" s="5">
        <v>62</v>
      </c>
    </row>
    <row r="130" spans="1:10" hidden="1" x14ac:dyDescent="0.3">
      <c r="A130" s="4" t="s">
        <v>291</v>
      </c>
      <c r="B130" s="2" t="s">
        <v>11</v>
      </c>
      <c r="C130" s="2" t="s">
        <v>30</v>
      </c>
      <c r="D130" s="2" t="s">
        <v>31</v>
      </c>
      <c r="E130" s="2">
        <v>16</v>
      </c>
      <c r="F130" s="2">
        <v>9</v>
      </c>
      <c r="G130" s="2" t="s">
        <v>25</v>
      </c>
      <c r="H130" s="2" t="s">
        <v>61</v>
      </c>
      <c r="I130" s="2" t="s">
        <v>292</v>
      </c>
      <c r="J130" s="5">
        <v>97</v>
      </c>
    </row>
    <row r="131" spans="1:10" x14ac:dyDescent="0.3">
      <c r="A131" s="19" t="s">
        <v>293</v>
      </c>
      <c r="B131" s="15" t="s">
        <v>73</v>
      </c>
      <c r="C131" s="15" t="s">
        <v>96</v>
      </c>
      <c r="D131" s="15" t="s">
        <v>31</v>
      </c>
      <c r="E131" s="15">
        <v>20</v>
      </c>
      <c r="F131" s="15">
        <v>9</v>
      </c>
      <c r="G131" s="15" t="s">
        <v>43</v>
      </c>
      <c r="H131" s="59" t="s">
        <v>26</v>
      </c>
      <c r="I131" s="15" t="s">
        <v>74</v>
      </c>
      <c r="J131" s="20">
        <v>100</v>
      </c>
    </row>
    <row r="132" spans="1:10" hidden="1" x14ac:dyDescent="0.3">
      <c r="A132" s="4" t="s">
        <v>294</v>
      </c>
      <c r="B132" s="2" t="s">
        <v>35</v>
      </c>
      <c r="C132" s="2" t="s">
        <v>55</v>
      </c>
      <c r="D132" s="2" t="s">
        <v>13</v>
      </c>
      <c r="E132" s="2">
        <v>20</v>
      </c>
      <c r="F132" s="2">
        <v>9</v>
      </c>
      <c r="G132" s="2" t="s">
        <v>25</v>
      </c>
      <c r="H132" s="2" t="s">
        <v>46</v>
      </c>
      <c r="I132" s="2" t="s">
        <v>295</v>
      </c>
      <c r="J132" s="5">
        <v>99</v>
      </c>
    </row>
    <row r="133" spans="1:10" hidden="1" x14ac:dyDescent="0.3">
      <c r="A133" s="4" t="s">
        <v>296</v>
      </c>
      <c r="B133" s="2" t="s">
        <v>84</v>
      </c>
      <c r="C133" s="2" t="s">
        <v>19</v>
      </c>
      <c r="D133" s="2" t="s">
        <v>31</v>
      </c>
      <c r="E133" s="2">
        <v>20</v>
      </c>
      <c r="F133" s="2">
        <v>10</v>
      </c>
      <c r="G133" s="2" t="s">
        <v>43</v>
      </c>
      <c r="H133" s="2" t="s">
        <v>20</v>
      </c>
      <c r="I133" s="2" t="s">
        <v>297</v>
      </c>
      <c r="J133" s="5">
        <v>100</v>
      </c>
    </row>
    <row r="134" spans="1:10" x14ac:dyDescent="0.3">
      <c r="A134" s="19" t="s">
        <v>298</v>
      </c>
      <c r="B134" s="15" t="s">
        <v>29</v>
      </c>
      <c r="C134" s="15" t="s">
        <v>96</v>
      </c>
      <c r="D134" s="15" t="s">
        <v>31</v>
      </c>
      <c r="E134" s="15">
        <v>20</v>
      </c>
      <c r="F134" s="15">
        <v>10</v>
      </c>
      <c r="G134" s="15" t="s">
        <v>32</v>
      </c>
      <c r="H134" s="59" t="s">
        <v>26</v>
      </c>
      <c r="I134" s="15" t="s">
        <v>299</v>
      </c>
      <c r="J134" s="20">
        <v>56</v>
      </c>
    </row>
    <row r="135" spans="1:10" hidden="1" x14ac:dyDescent="0.3">
      <c r="A135" s="4" t="s">
        <v>300</v>
      </c>
      <c r="B135" s="2" t="s">
        <v>11</v>
      </c>
      <c r="C135" s="2" t="s">
        <v>79</v>
      </c>
      <c r="D135" s="2" t="s">
        <v>31</v>
      </c>
      <c r="E135" s="2">
        <v>18</v>
      </c>
      <c r="F135" s="2">
        <v>9</v>
      </c>
      <c r="G135" s="2" t="s">
        <v>14</v>
      </c>
      <c r="H135" s="2" t="s">
        <v>20</v>
      </c>
      <c r="I135" s="2" t="s">
        <v>301</v>
      </c>
      <c r="J135" s="5">
        <v>66</v>
      </c>
    </row>
    <row r="136" spans="1:10" hidden="1" x14ac:dyDescent="0.3">
      <c r="A136" s="4" t="s">
        <v>302</v>
      </c>
      <c r="B136" s="2" t="s">
        <v>29</v>
      </c>
      <c r="C136" s="2" t="s">
        <v>79</v>
      </c>
      <c r="D136" s="2" t="s">
        <v>13</v>
      </c>
      <c r="E136" s="2">
        <v>14</v>
      </c>
      <c r="F136" s="2">
        <v>12</v>
      </c>
      <c r="G136" s="2" t="s">
        <v>14</v>
      </c>
      <c r="H136" s="2" t="s">
        <v>20</v>
      </c>
      <c r="I136" s="2" t="s">
        <v>303</v>
      </c>
      <c r="J136" s="5">
        <v>66</v>
      </c>
    </row>
    <row r="137" spans="1:10" hidden="1" x14ac:dyDescent="0.3">
      <c r="A137" s="4" t="s">
        <v>304</v>
      </c>
      <c r="B137" s="2" t="s">
        <v>51</v>
      </c>
      <c r="C137" s="2" t="s">
        <v>36</v>
      </c>
      <c r="D137" s="2" t="s">
        <v>31</v>
      </c>
      <c r="E137" s="2">
        <v>15</v>
      </c>
      <c r="F137" s="2">
        <v>12</v>
      </c>
      <c r="G137" s="2" t="s">
        <v>32</v>
      </c>
      <c r="H137" s="2" t="s">
        <v>46</v>
      </c>
      <c r="I137" s="2" t="s">
        <v>305</v>
      </c>
      <c r="J137" s="5">
        <v>77</v>
      </c>
    </row>
    <row r="138" spans="1:10" hidden="1" x14ac:dyDescent="0.3">
      <c r="A138" s="4" t="s">
        <v>306</v>
      </c>
      <c r="B138" s="2" t="s">
        <v>23</v>
      </c>
      <c r="C138" s="2" t="s">
        <v>19</v>
      </c>
      <c r="D138" s="2" t="s">
        <v>31</v>
      </c>
      <c r="E138" s="2">
        <v>16</v>
      </c>
      <c r="F138" s="2">
        <v>10</v>
      </c>
      <c r="G138" s="2" t="s">
        <v>43</v>
      </c>
      <c r="H138" s="2" t="s">
        <v>61</v>
      </c>
      <c r="I138" s="2" t="s">
        <v>307</v>
      </c>
      <c r="J138" s="5">
        <v>47</v>
      </c>
    </row>
    <row r="139" spans="1:10" hidden="1" x14ac:dyDescent="0.3">
      <c r="A139" s="4" t="s">
        <v>308</v>
      </c>
      <c r="B139" s="2" t="s">
        <v>23</v>
      </c>
      <c r="C139" s="2" t="s">
        <v>36</v>
      </c>
      <c r="D139" s="2" t="s">
        <v>13</v>
      </c>
      <c r="E139" s="2">
        <v>18</v>
      </c>
      <c r="F139" s="2">
        <v>10</v>
      </c>
      <c r="G139" s="2" t="s">
        <v>43</v>
      </c>
      <c r="H139" s="2" t="s">
        <v>40</v>
      </c>
      <c r="I139" s="2" t="s">
        <v>309</v>
      </c>
      <c r="J139" s="5">
        <v>57</v>
      </c>
    </row>
    <row r="140" spans="1:10" hidden="1" x14ac:dyDescent="0.3">
      <c r="A140" s="4" t="s">
        <v>310</v>
      </c>
      <c r="B140" s="2" t="s">
        <v>29</v>
      </c>
      <c r="C140" s="2" t="s">
        <v>96</v>
      </c>
      <c r="D140" s="2" t="s">
        <v>31</v>
      </c>
      <c r="E140" s="2">
        <v>16</v>
      </c>
      <c r="F140" s="2">
        <v>9</v>
      </c>
      <c r="G140" s="2" t="s">
        <v>32</v>
      </c>
      <c r="H140" s="2" t="s">
        <v>46</v>
      </c>
      <c r="I140" s="2" t="s">
        <v>311</v>
      </c>
      <c r="J140" s="5">
        <v>67</v>
      </c>
    </row>
    <row r="141" spans="1:10" hidden="1" x14ac:dyDescent="0.3">
      <c r="A141" s="4" t="s">
        <v>312</v>
      </c>
      <c r="B141" s="2" t="s">
        <v>29</v>
      </c>
      <c r="C141" s="2" t="s">
        <v>12</v>
      </c>
      <c r="D141" s="2" t="s">
        <v>31</v>
      </c>
      <c r="E141" s="2">
        <v>14</v>
      </c>
      <c r="F141" s="2">
        <v>12</v>
      </c>
      <c r="G141" s="2" t="s">
        <v>43</v>
      </c>
      <c r="H141" s="2" t="s">
        <v>61</v>
      </c>
      <c r="I141" s="2" t="s">
        <v>313</v>
      </c>
      <c r="J141" s="5">
        <v>44</v>
      </c>
    </row>
    <row r="142" spans="1:10" hidden="1" x14ac:dyDescent="0.3">
      <c r="A142" s="4" t="s">
        <v>314</v>
      </c>
      <c r="B142" s="2" t="s">
        <v>68</v>
      </c>
      <c r="C142" s="2" t="s">
        <v>79</v>
      </c>
      <c r="D142" s="2" t="s">
        <v>13</v>
      </c>
      <c r="E142" s="2">
        <v>15</v>
      </c>
      <c r="F142" s="2">
        <v>11</v>
      </c>
      <c r="G142" s="2" t="s">
        <v>14</v>
      </c>
      <c r="H142" s="2" t="s">
        <v>46</v>
      </c>
      <c r="I142" s="2" t="s">
        <v>315</v>
      </c>
      <c r="J142" s="5">
        <v>35</v>
      </c>
    </row>
    <row r="143" spans="1:10" hidden="1" x14ac:dyDescent="0.3">
      <c r="A143" s="4" t="s">
        <v>316</v>
      </c>
      <c r="B143" s="2" t="s">
        <v>23</v>
      </c>
      <c r="C143" s="2" t="s">
        <v>36</v>
      </c>
      <c r="D143" s="2" t="s">
        <v>31</v>
      </c>
      <c r="E143" s="2">
        <v>20</v>
      </c>
      <c r="F143" s="2">
        <v>11</v>
      </c>
      <c r="G143" s="2" t="s">
        <v>14</v>
      </c>
      <c r="H143" s="2" t="s">
        <v>37</v>
      </c>
      <c r="I143" s="2" t="s">
        <v>317</v>
      </c>
      <c r="J143" s="5">
        <v>52</v>
      </c>
    </row>
    <row r="144" spans="1:10" hidden="1" x14ac:dyDescent="0.3">
      <c r="A144" s="4" t="s">
        <v>318</v>
      </c>
      <c r="B144" s="2" t="s">
        <v>54</v>
      </c>
      <c r="C144" s="2" t="s">
        <v>96</v>
      </c>
      <c r="D144" s="2" t="s">
        <v>13</v>
      </c>
      <c r="E144" s="2">
        <v>18</v>
      </c>
      <c r="F144" s="2">
        <v>9</v>
      </c>
      <c r="G144" s="2" t="s">
        <v>32</v>
      </c>
      <c r="H144" s="2" t="s">
        <v>76</v>
      </c>
      <c r="I144" s="2" t="s">
        <v>319</v>
      </c>
      <c r="J144" s="5">
        <v>86</v>
      </c>
    </row>
    <row r="145" spans="1:10" hidden="1" x14ac:dyDescent="0.3">
      <c r="A145" s="4" t="s">
        <v>320</v>
      </c>
      <c r="B145" s="2" t="s">
        <v>84</v>
      </c>
      <c r="C145" s="2" t="s">
        <v>55</v>
      </c>
      <c r="D145" s="2" t="s">
        <v>31</v>
      </c>
      <c r="E145" s="2">
        <v>16</v>
      </c>
      <c r="F145" s="2">
        <v>12</v>
      </c>
      <c r="G145" s="2" t="s">
        <v>32</v>
      </c>
      <c r="H145" s="2" t="s">
        <v>76</v>
      </c>
      <c r="I145" s="2" t="s">
        <v>321</v>
      </c>
      <c r="J145" s="5">
        <v>66</v>
      </c>
    </row>
    <row r="146" spans="1:10" x14ac:dyDescent="0.3">
      <c r="A146" s="19" t="s">
        <v>322</v>
      </c>
      <c r="B146" s="15" t="s">
        <v>35</v>
      </c>
      <c r="C146" s="15" t="s">
        <v>12</v>
      </c>
      <c r="D146" s="15" t="s">
        <v>13</v>
      </c>
      <c r="E146" s="15">
        <v>14</v>
      </c>
      <c r="F146" s="15">
        <v>11</v>
      </c>
      <c r="G146" s="15" t="s">
        <v>14</v>
      </c>
      <c r="H146" s="59" t="s">
        <v>26</v>
      </c>
      <c r="I146" s="15" t="s">
        <v>323</v>
      </c>
      <c r="J146" s="20">
        <v>93</v>
      </c>
    </row>
    <row r="147" spans="1:10" hidden="1" x14ac:dyDescent="0.3">
      <c r="A147" s="4" t="s">
        <v>324</v>
      </c>
      <c r="B147" s="2" t="s">
        <v>23</v>
      </c>
      <c r="C147" s="2" t="s">
        <v>85</v>
      </c>
      <c r="D147" s="2" t="s">
        <v>31</v>
      </c>
      <c r="E147" s="2">
        <v>16</v>
      </c>
      <c r="F147" s="2">
        <v>9</v>
      </c>
      <c r="G147" s="2" t="s">
        <v>32</v>
      </c>
      <c r="H147" s="2" t="s">
        <v>61</v>
      </c>
      <c r="I147" s="2" t="s">
        <v>325</v>
      </c>
      <c r="J147" s="5">
        <v>54</v>
      </c>
    </row>
    <row r="148" spans="1:10" hidden="1" x14ac:dyDescent="0.3">
      <c r="A148" s="4" t="s">
        <v>326</v>
      </c>
      <c r="B148" s="2" t="s">
        <v>54</v>
      </c>
      <c r="C148" s="2" t="s">
        <v>55</v>
      </c>
      <c r="D148" s="2" t="s">
        <v>13</v>
      </c>
      <c r="E148" s="2">
        <v>20</v>
      </c>
      <c r="F148" s="2">
        <v>9</v>
      </c>
      <c r="G148" s="2" t="s">
        <v>32</v>
      </c>
      <c r="H148" s="2" t="s">
        <v>15</v>
      </c>
      <c r="I148" s="2" t="s">
        <v>77</v>
      </c>
      <c r="J148" s="5">
        <v>75</v>
      </c>
    </row>
    <row r="149" spans="1:10" hidden="1" x14ac:dyDescent="0.3">
      <c r="A149" s="4" t="s">
        <v>327</v>
      </c>
      <c r="B149" s="2" t="s">
        <v>73</v>
      </c>
      <c r="C149" s="2" t="s">
        <v>96</v>
      </c>
      <c r="D149" s="2" t="s">
        <v>13</v>
      </c>
      <c r="E149" s="2">
        <v>20</v>
      </c>
      <c r="F149" s="2">
        <v>9</v>
      </c>
      <c r="G149" s="2" t="s">
        <v>32</v>
      </c>
      <c r="H149" s="2" t="s">
        <v>61</v>
      </c>
      <c r="I149" s="2" t="s">
        <v>328</v>
      </c>
      <c r="J149" s="5">
        <v>40</v>
      </c>
    </row>
    <row r="150" spans="1:10" hidden="1" x14ac:dyDescent="0.3">
      <c r="A150" s="4" t="s">
        <v>329</v>
      </c>
      <c r="B150" s="2" t="s">
        <v>11</v>
      </c>
      <c r="C150" s="2" t="s">
        <v>24</v>
      </c>
      <c r="D150" s="2" t="s">
        <v>31</v>
      </c>
      <c r="E150" s="2">
        <v>15</v>
      </c>
      <c r="F150" s="2">
        <v>9</v>
      </c>
      <c r="G150" s="2" t="s">
        <v>43</v>
      </c>
      <c r="H150" s="2" t="s">
        <v>61</v>
      </c>
      <c r="I150" s="2" t="s">
        <v>330</v>
      </c>
      <c r="J150" s="5">
        <v>83</v>
      </c>
    </row>
    <row r="151" spans="1:10" hidden="1" x14ac:dyDescent="0.3">
      <c r="A151" s="4" t="s">
        <v>331</v>
      </c>
      <c r="B151" s="2" t="s">
        <v>73</v>
      </c>
      <c r="C151" s="2" t="s">
        <v>30</v>
      </c>
      <c r="D151" s="2" t="s">
        <v>31</v>
      </c>
      <c r="E151" s="2">
        <v>19</v>
      </c>
      <c r="F151" s="2">
        <v>10</v>
      </c>
      <c r="G151" s="2" t="s">
        <v>43</v>
      </c>
      <c r="H151" s="2" t="s">
        <v>20</v>
      </c>
      <c r="I151" s="2" t="s">
        <v>191</v>
      </c>
      <c r="J151" s="5">
        <v>93</v>
      </c>
    </row>
    <row r="152" spans="1:10" hidden="1" x14ac:dyDescent="0.3">
      <c r="A152" s="4" t="s">
        <v>332</v>
      </c>
      <c r="B152" s="2" t="s">
        <v>29</v>
      </c>
      <c r="C152" s="2" t="s">
        <v>12</v>
      </c>
      <c r="D152" s="2" t="s">
        <v>31</v>
      </c>
      <c r="E152" s="2">
        <v>16</v>
      </c>
      <c r="F152" s="2">
        <v>11</v>
      </c>
      <c r="G152" s="2" t="s">
        <v>32</v>
      </c>
      <c r="H152" s="2" t="s">
        <v>76</v>
      </c>
      <c r="I152" s="2" t="s">
        <v>333</v>
      </c>
      <c r="J152" s="5">
        <v>42</v>
      </c>
    </row>
    <row r="153" spans="1:10" hidden="1" x14ac:dyDescent="0.3">
      <c r="A153" s="4" t="s">
        <v>334</v>
      </c>
      <c r="B153" s="2" t="s">
        <v>73</v>
      </c>
      <c r="C153" s="2" t="s">
        <v>12</v>
      </c>
      <c r="D153" s="2" t="s">
        <v>31</v>
      </c>
      <c r="E153" s="2">
        <v>18</v>
      </c>
      <c r="F153" s="2">
        <v>11</v>
      </c>
      <c r="G153" s="2" t="s">
        <v>32</v>
      </c>
      <c r="H153" s="2" t="s">
        <v>76</v>
      </c>
      <c r="I153" s="2" t="s">
        <v>335</v>
      </c>
      <c r="J153" s="5">
        <v>97</v>
      </c>
    </row>
    <row r="154" spans="1:10" hidden="1" x14ac:dyDescent="0.3">
      <c r="A154" s="4" t="s">
        <v>336</v>
      </c>
      <c r="B154" s="2" t="s">
        <v>11</v>
      </c>
      <c r="C154" s="2" t="s">
        <v>58</v>
      </c>
      <c r="D154" s="2" t="s">
        <v>31</v>
      </c>
      <c r="E154" s="2">
        <v>19</v>
      </c>
      <c r="F154" s="2">
        <v>12</v>
      </c>
      <c r="G154" s="2" t="s">
        <v>25</v>
      </c>
      <c r="H154" s="2" t="s">
        <v>61</v>
      </c>
      <c r="I154" s="2" t="s">
        <v>218</v>
      </c>
      <c r="J154" s="5">
        <v>68</v>
      </c>
    </row>
    <row r="155" spans="1:10" hidden="1" x14ac:dyDescent="0.3">
      <c r="A155" s="4" t="s">
        <v>337</v>
      </c>
      <c r="B155" s="2" t="s">
        <v>23</v>
      </c>
      <c r="C155" s="2" t="s">
        <v>30</v>
      </c>
      <c r="D155" s="2" t="s">
        <v>31</v>
      </c>
      <c r="E155" s="2">
        <v>19</v>
      </c>
      <c r="F155" s="2">
        <v>9</v>
      </c>
      <c r="G155" s="2" t="s">
        <v>32</v>
      </c>
      <c r="H155" s="2" t="s">
        <v>61</v>
      </c>
      <c r="I155" s="2" t="s">
        <v>338</v>
      </c>
      <c r="J155" s="5">
        <v>51</v>
      </c>
    </row>
    <row r="156" spans="1:10" hidden="1" x14ac:dyDescent="0.3">
      <c r="A156" s="4" t="s">
        <v>339</v>
      </c>
      <c r="B156" s="2" t="s">
        <v>23</v>
      </c>
      <c r="C156" s="2" t="s">
        <v>36</v>
      </c>
      <c r="D156" s="2" t="s">
        <v>13</v>
      </c>
      <c r="E156" s="2">
        <v>18</v>
      </c>
      <c r="F156" s="2">
        <v>9</v>
      </c>
      <c r="G156" s="2" t="s">
        <v>32</v>
      </c>
      <c r="H156" s="2" t="s">
        <v>37</v>
      </c>
      <c r="I156" s="2" t="s">
        <v>340</v>
      </c>
      <c r="J156" s="5">
        <v>64</v>
      </c>
    </row>
    <row r="157" spans="1:10" hidden="1" x14ac:dyDescent="0.3">
      <c r="A157" s="4" t="s">
        <v>341</v>
      </c>
      <c r="B157" s="2" t="s">
        <v>54</v>
      </c>
      <c r="C157" s="2" t="s">
        <v>55</v>
      </c>
      <c r="D157" s="2" t="s">
        <v>13</v>
      </c>
      <c r="E157" s="2">
        <v>14</v>
      </c>
      <c r="F157" s="2">
        <v>9</v>
      </c>
      <c r="G157" s="2" t="s">
        <v>25</v>
      </c>
      <c r="H157" s="2" t="s">
        <v>37</v>
      </c>
      <c r="I157" s="2" t="s">
        <v>342</v>
      </c>
      <c r="J157" s="5">
        <v>82</v>
      </c>
    </row>
    <row r="158" spans="1:10" hidden="1" x14ac:dyDescent="0.3">
      <c r="A158" s="4" t="s">
        <v>343</v>
      </c>
      <c r="B158" s="2" t="s">
        <v>68</v>
      </c>
      <c r="C158" s="2" t="s">
        <v>79</v>
      </c>
      <c r="D158" s="2" t="s">
        <v>13</v>
      </c>
      <c r="E158" s="2">
        <v>19</v>
      </c>
      <c r="F158" s="2">
        <v>11</v>
      </c>
      <c r="G158" s="2" t="s">
        <v>14</v>
      </c>
      <c r="H158" s="2" t="s">
        <v>40</v>
      </c>
      <c r="I158" s="2" t="s">
        <v>344</v>
      </c>
      <c r="J158" s="5">
        <v>35</v>
      </c>
    </row>
    <row r="159" spans="1:10" x14ac:dyDescent="0.3">
      <c r="A159" s="19" t="s">
        <v>345</v>
      </c>
      <c r="B159" s="15" t="s">
        <v>29</v>
      </c>
      <c r="C159" s="15" t="s">
        <v>24</v>
      </c>
      <c r="D159" s="15" t="s">
        <v>31</v>
      </c>
      <c r="E159" s="15">
        <v>15</v>
      </c>
      <c r="F159" s="15">
        <v>9</v>
      </c>
      <c r="G159" s="15" t="s">
        <v>14</v>
      </c>
      <c r="H159" s="59" t="s">
        <v>26</v>
      </c>
      <c r="I159" s="15" t="s">
        <v>346</v>
      </c>
      <c r="J159" s="20">
        <v>49</v>
      </c>
    </row>
    <row r="160" spans="1:10" x14ac:dyDescent="0.3">
      <c r="A160" s="19" t="s">
        <v>347</v>
      </c>
      <c r="B160" s="15" t="s">
        <v>23</v>
      </c>
      <c r="C160" s="15" t="s">
        <v>85</v>
      </c>
      <c r="D160" s="15" t="s">
        <v>31</v>
      </c>
      <c r="E160" s="15">
        <v>15</v>
      </c>
      <c r="F160" s="15">
        <v>11</v>
      </c>
      <c r="G160" s="15" t="s">
        <v>32</v>
      </c>
      <c r="H160" s="59" t="s">
        <v>26</v>
      </c>
      <c r="I160" s="15" t="s">
        <v>348</v>
      </c>
      <c r="J160" s="20">
        <v>37</v>
      </c>
    </row>
    <row r="161" spans="1:10" hidden="1" x14ac:dyDescent="0.3">
      <c r="A161" s="4" t="s">
        <v>349</v>
      </c>
      <c r="B161" s="2" t="s">
        <v>35</v>
      </c>
      <c r="C161" s="2" t="s">
        <v>30</v>
      </c>
      <c r="D161" s="2" t="s">
        <v>31</v>
      </c>
      <c r="E161" s="2">
        <v>18</v>
      </c>
      <c r="F161" s="2">
        <v>12</v>
      </c>
      <c r="G161" s="2" t="s">
        <v>43</v>
      </c>
      <c r="H161" s="2" t="s">
        <v>37</v>
      </c>
      <c r="I161" s="2" t="s">
        <v>350</v>
      </c>
      <c r="J161" s="5">
        <v>53</v>
      </c>
    </row>
    <row r="162" spans="1:10" hidden="1" x14ac:dyDescent="0.3">
      <c r="A162" s="4" t="s">
        <v>351</v>
      </c>
      <c r="B162" s="2" t="s">
        <v>68</v>
      </c>
      <c r="C162" s="2" t="s">
        <v>96</v>
      </c>
      <c r="D162" s="2" t="s">
        <v>13</v>
      </c>
      <c r="E162" s="2">
        <v>15</v>
      </c>
      <c r="F162" s="2">
        <v>10</v>
      </c>
      <c r="G162" s="2" t="s">
        <v>25</v>
      </c>
      <c r="H162" s="2" t="s">
        <v>20</v>
      </c>
      <c r="I162" s="2" t="s">
        <v>352</v>
      </c>
      <c r="J162" s="5">
        <v>50</v>
      </c>
    </row>
    <row r="163" spans="1:10" hidden="1" x14ac:dyDescent="0.3">
      <c r="A163" s="4" t="s">
        <v>353</v>
      </c>
      <c r="B163" s="2" t="s">
        <v>51</v>
      </c>
      <c r="C163" s="2" t="s">
        <v>55</v>
      </c>
      <c r="D163" s="2" t="s">
        <v>31</v>
      </c>
      <c r="E163" s="2">
        <v>20</v>
      </c>
      <c r="F163" s="2">
        <v>9</v>
      </c>
      <c r="G163" s="2" t="s">
        <v>25</v>
      </c>
      <c r="H163" s="2" t="s">
        <v>46</v>
      </c>
      <c r="I163" s="2" t="s">
        <v>354</v>
      </c>
      <c r="J163" s="5">
        <v>53</v>
      </c>
    </row>
    <row r="164" spans="1:10" hidden="1" x14ac:dyDescent="0.3">
      <c r="A164" s="4" t="s">
        <v>355</v>
      </c>
      <c r="B164" s="2" t="s">
        <v>68</v>
      </c>
      <c r="C164" s="2" t="s">
        <v>79</v>
      </c>
      <c r="D164" s="2" t="s">
        <v>13</v>
      </c>
      <c r="E164" s="2">
        <v>15</v>
      </c>
      <c r="F164" s="2">
        <v>12</v>
      </c>
      <c r="G164" s="2" t="s">
        <v>14</v>
      </c>
      <c r="H164" s="2" t="s">
        <v>20</v>
      </c>
      <c r="I164" s="2" t="s">
        <v>356</v>
      </c>
      <c r="J164" s="5">
        <v>37</v>
      </c>
    </row>
    <row r="165" spans="1:10" hidden="1" x14ac:dyDescent="0.3">
      <c r="A165" s="4" t="s">
        <v>357</v>
      </c>
      <c r="B165" s="2" t="s">
        <v>23</v>
      </c>
      <c r="C165" s="2" t="s">
        <v>24</v>
      </c>
      <c r="D165" s="2" t="s">
        <v>13</v>
      </c>
      <c r="E165" s="2">
        <v>16</v>
      </c>
      <c r="F165" s="2">
        <v>9</v>
      </c>
      <c r="G165" s="2" t="s">
        <v>25</v>
      </c>
      <c r="H165" s="2" t="s">
        <v>20</v>
      </c>
      <c r="I165" s="2" t="s">
        <v>358</v>
      </c>
      <c r="J165" s="5">
        <v>66</v>
      </c>
    </row>
    <row r="166" spans="1:10" hidden="1" x14ac:dyDescent="0.3">
      <c r="A166" s="4" t="s">
        <v>359</v>
      </c>
      <c r="B166" s="2" t="s">
        <v>68</v>
      </c>
      <c r="C166" s="2" t="s">
        <v>85</v>
      </c>
      <c r="D166" s="2" t="s">
        <v>13</v>
      </c>
      <c r="E166" s="2">
        <v>19</v>
      </c>
      <c r="F166" s="2">
        <v>11</v>
      </c>
      <c r="G166" s="2" t="s">
        <v>43</v>
      </c>
      <c r="H166" s="2" t="s">
        <v>76</v>
      </c>
      <c r="I166" s="2" t="s">
        <v>360</v>
      </c>
      <c r="J166" s="5">
        <v>64</v>
      </c>
    </row>
    <row r="167" spans="1:10" hidden="1" x14ac:dyDescent="0.3">
      <c r="A167" s="4" t="s">
        <v>361</v>
      </c>
      <c r="B167" s="2" t="s">
        <v>11</v>
      </c>
      <c r="C167" s="2" t="s">
        <v>30</v>
      </c>
      <c r="D167" s="2" t="s">
        <v>13</v>
      </c>
      <c r="E167" s="2">
        <v>20</v>
      </c>
      <c r="F167" s="2">
        <v>10</v>
      </c>
      <c r="G167" s="2" t="s">
        <v>32</v>
      </c>
      <c r="H167" s="2" t="s">
        <v>15</v>
      </c>
      <c r="I167" s="2" t="s">
        <v>362</v>
      </c>
      <c r="J167" s="5">
        <v>49</v>
      </c>
    </row>
    <row r="168" spans="1:10" hidden="1" x14ac:dyDescent="0.3">
      <c r="A168" s="4" t="s">
        <v>363</v>
      </c>
      <c r="B168" s="2" t="s">
        <v>11</v>
      </c>
      <c r="C168" s="2" t="s">
        <v>85</v>
      </c>
      <c r="D168" s="2" t="s">
        <v>31</v>
      </c>
      <c r="E168" s="2">
        <v>15</v>
      </c>
      <c r="F168" s="2">
        <v>10</v>
      </c>
      <c r="G168" s="2" t="s">
        <v>14</v>
      </c>
      <c r="H168" s="2" t="s">
        <v>37</v>
      </c>
      <c r="I168" s="2" t="s">
        <v>364</v>
      </c>
      <c r="J168" s="5">
        <v>71</v>
      </c>
    </row>
    <row r="169" spans="1:10" hidden="1" x14ac:dyDescent="0.3">
      <c r="A169" s="4" t="s">
        <v>365</v>
      </c>
      <c r="B169" s="2" t="s">
        <v>11</v>
      </c>
      <c r="C169" s="2" t="s">
        <v>55</v>
      </c>
      <c r="D169" s="2" t="s">
        <v>13</v>
      </c>
      <c r="E169" s="2">
        <v>16</v>
      </c>
      <c r="F169" s="2">
        <v>10</v>
      </c>
      <c r="G169" s="2" t="s">
        <v>32</v>
      </c>
      <c r="H169" s="2" t="s">
        <v>15</v>
      </c>
      <c r="I169" s="2" t="s">
        <v>366</v>
      </c>
      <c r="J169" s="5">
        <v>72</v>
      </c>
    </row>
    <row r="170" spans="1:10" hidden="1" x14ac:dyDescent="0.3">
      <c r="A170" s="4" t="s">
        <v>367</v>
      </c>
      <c r="B170" s="2" t="s">
        <v>35</v>
      </c>
      <c r="C170" s="2" t="s">
        <v>12</v>
      </c>
      <c r="D170" s="2" t="s">
        <v>31</v>
      </c>
      <c r="E170" s="2">
        <v>15</v>
      </c>
      <c r="F170" s="2">
        <v>10</v>
      </c>
      <c r="G170" s="2" t="s">
        <v>32</v>
      </c>
      <c r="H170" s="2" t="s">
        <v>20</v>
      </c>
      <c r="I170" s="2" t="s">
        <v>368</v>
      </c>
      <c r="J170" s="5">
        <v>99</v>
      </c>
    </row>
    <row r="171" spans="1:10" hidden="1" x14ac:dyDescent="0.3">
      <c r="A171" s="4" t="s">
        <v>369</v>
      </c>
      <c r="B171" s="2" t="s">
        <v>23</v>
      </c>
      <c r="C171" s="2" t="s">
        <v>24</v>
      </c>
      <c r="D171" s="2" t="s">
        <v>31</v>
      </c>
      <c r="E171" s="2">
        <v>17</v>
      </c>
      <c r="F171" s="2">
        <v>12</v>
      </c>
      <c r="G171" s="2" t="s">
        <v>43</v>
      </c>
      <c r="H171" s="2" t="s">
        <v>61</v>
      </c>
      <c r="I171" s="2" t="s">
        <v>370</v>
      </c>
      <c r="J171" s="5">
        <v>96</v>
      </c>
    </row>
    <row r="172" spans="1:10" hidden="1" x14ac:dyDescent="0.3">
      <c r="A172" s="4" t="s">
        <v>371</v>
      </c>
      <c r="B172" s="2" t="s">
        <v>35</v>
      </c>
      <c r="C172" s="2" t="s">
        <v>58</v>
      </c>
      <c r="D172" s="2" t="s">
        <v>31</v>
      </c>
      <c r="E172" s="2">
        <v>19</v>
      </c>
      <c r="F172" s="2">
        <v>9</v>
      </c>
      <c r="G172" s="2" t="s">
        <v>14</v>
      </c>
      <c r="H172" s="2" t="s">
        <v>20</v>
      </c>
      <c r="I172" s="2" t="s">
        <v>372</v>
      </c>
      <c r="J172" s="5">
        <v>87</v>
      </c>
    </row>
    <row r="173" spans="1:10" hidden="1" x14ac:dyDescent="0.3">
      <c r="A173" s="4" t="s">
        <v>373</v>
      </c>
      <c r="B173" s="2" t="s">
        <v>51</v>
      </c>
      <c r="C173" s="2" t="s">
        <v>19</v>
      </c>
      <c r="D173" s="2" t="s">
        <v>13</v>
      </c>
      <c r="E173" s="2">
        <v>15</v>
      </c>
      <c r="F173" s="2">
        <v>11</v>
      </c>
      <c r="G173" s="2" t="s">
        <v>14</v>
      </c>
      <c r="H173" s="2" t="s">
        <v>61</v>
      </c>
      <c r="I173" s="2" t="s">
        <v>374</v>
      </c>
      <c r="J173" s="5">
        <v>78</v>
      </c>
    </row>
    <row r="174" spans="1:10" hidden="1" x14ac:dyDescent="0.3">
      <c r="A174" s="4" t="s">
        <v>375</v>
      </c>
      <c r="B174" s="2" t="s">
        <v>35</v>
      </c>
      <c r="C174" s="2" t="s">
        <v>36</v>
      </c>
      <c r="D174" s="2" t="s">
        <v>13</v>
      </c>
      <c r="E174" s="2">
        <v>18</v>
      </c>
      <c r="F174" s="2">
        <v>11</v>
      </c>
      <c r="G174" s="2" t="s">
        <v>25</v>
      </c>
      <c r="H174" s="2" t="s">
        <v>40</v>
      </c>
      <c r="I174" s="2" t="s">
        <v>376</v>
      </c>
      <c r="J174" s="5">
        <v>62</v>
      </c>
    </row>
    <row r="175" spans="1:10" hidden="1" x14ac:dyDescent="0.3">
      <c r="A175" s="4" t="s">
        <v>377</v>
      </c>
      <c r="B175" s="2" t="s">
        <v>35</v>
      </c>
      <c r="C175" s="2" t="s">
        <v>30</v>
      </c>
      <c r="D175" s="2" t="s">
        <v>13</v>
      </c>
      <c r="E175" s="2">
        <v>20</v>
      </c>
      <c r="F175" s="2">
        <v>11</v>
      </c>
      <c r="G175" s="2" t="s">
        <v>32</v>
      </c>
      <c r="H175" s="2" t="s">
        <v>37</v>
      </c>
      <c r="I175" s="2" t="s">
        <v>189</v>
      </c>
      <c r="J175" s="5">
        <v>79</v>
      </c>
    </row>
    <row r="176" spans="1:10" x14ac:dyDescent="0.3">
      <c r="A176" s="19" t="s">
        <v>378</v>
      </c>
      <c r="B176" s="15" t="s">
        <v>18</v>
      </c>
      <c r="C176" s="15" t="s">
        <v>55</v>
      </c>
      <c r="D176" s="15" t="s">
        <v>31</v>
      </c>
      <c r="E176" s="15">
        <v>17</v>
      </c>
      <c r="F176" s="15">
        <v>9</v>
      </c>
      <c r="G176" s="15" t="s">
        <v>32</v>
      </c>
      <c r="H176" s="59" t="s">
        <v>26</v>
      </c>
      <c r="I176" s="15" t="s">
        <v>379</v>
      </c>
      <c r="J176" s="20">
        <v>66</v>
      </c>
    </row>
    <row r="177" spans="1:10" hidden="1" x14ac:dyDescent="0.3">
      <c r="A177" s="4" t="s">
        <v>380</v>
      </c>
      <c r="B177" s="2" t="s">
        <v>11</v>
      </c>
      <c r="C177" s="2" t="s">
        <v>24</v>
      </c>
      <c r="D177" s="2" t="s">
        <v>31</v>
      </c>
      <c r="E177" s="2">
        <v>18</v>
      </c>
      <c r="F177" s="2">
        <v>11</v>
      </c>
      <c r="G177" s="2" t="s">
        <v>32</v>
      </c>
      <c r="H177" s="2" t="s">
        <v>61</v>
      </c>
      <c r="I177" s="2" t="s">
        <v>381</v>
      </c>
      <c r="J177" s="5">
        <v>67</v>
      </c>
    </row>
    <row r="178" spans="1:10" hidden="1" x14ac:dyDescent="0.3">
      <c r="A178" s="4" t="s">
        <v>382</v>
      </c>
      <c r="B178" s="2" t="s">
        <v>51</v>
      </c>
      <c r="C178" s="2" t="s">
        <v>85</v>
      </c>
      <c r="D178" s="2" t="s">
        <v>13</v>
      </c>
      <c r="E178" s="2">
        <v>16</v>
      </c>
      <c r="F178" s="2">
        <v>10</v>
      </c>
      <c r="G178" s="2" t="s">
        <v>43</v>
      </c>
      <c r="H178" s="2" t="s">
        <v>61</v>
      </c>
      <c r="I178" s="2" t="s">
        <v>383</v>
      </c>
      <c r="J178" s="5">
        <v>72</v>
      </c>
    </row>
    <row r="179" spans="1:10" hidden="1" x14ac:dyDescent="0.3">
      <c r="A179" s="4" t="s">
        <v>384</v>
      </c>
      <c r="B179" s="2" t="s">
        <v>54</v>
      </c>
      <c r="C179" s="2" t="s">
        <v>19</v>
      </c>
      <c r="D179" s="2" t="s">
        <v>31</v>
      </c>
      <c r="E179" s="2">
        <v>16</v>
      </c>
      <c r="F179" s="2">
        <v>12</v>
      </c>
      <c r="G179" s="2" t="s">
        <v>25</v>
      </c>
      <c r="H179" s="2" t="s">
        <v>20</v>
      </c>
      <c r="I179" s="2" t="s">
        <v>385</v>
      </c>
      <c r="J179" s="5">
        <v>39</v>
      </c>
    </row>
    <row r="180" spans="1:10" hidden="1" x14ac:dyDescent="0.3">
      <c r="A180" s="4" t="s">
        <v>386</v>
      </c>
      <c r="B180" s="2" t="s">
        <v>68</v>
      </c>
      <c r="C180" s="2" t="s">
        <v>96</v>
      </c>
      <c r="D180" s="2" t="s">
        <v>13</v>
      </c>
      <c r="E180" s="2">
        <v>18</v>
      </c>
      <c r="F180" s="2">
        <v>9</v>
      </c>
      <c r="G180" s="2" t="s">
        <v>25</v>
      </c>
      <c r="H180" s="2" t="s">
        <v>46</v>
      </c>
      <c r="I180" s="2" t="s">
        <v>387</v>
      </c>
      <c r="J180" s="5">
        <v>74</v>
      </c>
    </row>
    <row r="181" spans="1:10" hidden="1" x14ac:dyDescent="0.3">
      <c r="A181" s="4" t="s">
        <v>388</v>
      </c>
      <c r="B181" s="2" t="s">
        <v>73</v>
      </c>
      <c r="C181" s="2" t="s">
        <v>12</v>
      </c>
      <c r="D181" s="2" t="s">
        <v>31</v>
      </c>
      <c r="E181" s="2">
        <v>19</v>
      </c>
      <c r="F181" s="2">
        <v>11</v>
      </c>
      <c r="G181" s="2" t="s">
        <v>43</v>
      </c>
      <c r="H181" s="2" t="s">
        <v>61</v>
      </c>
      <c r="I181" s="2" t="s">
        <v>214</v>
      </c>
      <c r="J181" s="5">
        <v>88</v>
      </c>
    </row>
    <row r="182" spans="1:10" hidden="1" x14ac:dyDescent="0.3">
      <c r="A182" s="4" t="s">
        <v>389</v>
      </c>
      <c r="B182" s="2" t="s">
        <v>54</v>
      </c>
      <c r="C182" s="2" t="s">
        <v>58</v>
      </c>
      <c r="D182" s="2" t="s">
        <v>31</v>
      </c>
      <c r="E182" s="2">
        <v>14</v>
      </c>
      <c r="F182" s="2">
        <v>11</v>
      </c>
      <c r="G182" s="2" t="s">
        <v>32</v>
      </c>
      <c r="H182" s="2" t="s">
        <v>76</v>
      </c>
      <c r="I182" s="2" t="s">
        <v>390</v>
      </c>
      <c r="J182" s="5">
        <v>54</v>
      </c>
    </row>
    <row r="183" spans="1:10" hidden="1" x14ac:dyDescent="0.3">
      <c r="A183" s="4" t="s">
        <v>391</v>
      </c>
      <c r="B183" s="2" t="s">
        <v>68</v>
      </c>
      <c r="C183" s="2" t="s">
        <v>19</v>
      </c>
      <c r="D183" s="2" t="s">
        <v>13</v>
      </c>
      <c r="E183" s="2">
        <v>19</v>
      </c>
      <c r="F183" s="2">
        <v>12</v>
      </c>
      <c r="G183" s="2" t="s">
        <v>25</v>
      </c>
      <c r="H183" s="2" t="s">
        <v>46</v>
      </c>
      <c r="I183" s="2" t="s">
        <v>392</v>
      </c>
      <c r="J183" s="5">
        <v>46</v>
      </c>
    </row>
    <row r="184" spans="1:10" hidden="1" x14ac:dyDescent="0.3">
      <c r="A184" s="4" t="s">
        <v>393</v>
      </c>
      <c r="B184" s="2" t="s">
        <v>68</v>
      </c>
      <c r="C184" s="2" t="s">
        <v>85</v>
      </c>
      <c r="D184" s="2" t="s">
        <v>13</v>
      </c>
      <c r="E184" s="2">
        <v>15</v>
      </c>
      <c r="F184" s="2">
        <v>10</v>
      </c>
      <c r="G184" s="2" t="s">
        <v>32</v>
      </c>
      <c r="H184" s="2" t="s">
        <v>37</v>
      </c>
      <c r="I184" s="2" t="s">
        <v>394</v>
      </c>
      <c r="J184" s="5">
        <v>89</v>
      </c>
    </row>
    <row r="185" spans="1:10" hidden="1" x14ac:dyDescent="0.3">
      <c r="A185" s="4" t="s">
        <v>395</v>
      </c>
      <c r="B185" s="2" t="s">
        <v>11</v>
      </c>
      <c r="C185" s="2" t="s">
        <v>96</v>
      </c>
      <c r="D185" s="2" t="s">
        <v>13</v>
      </c>
      <c r="E185" s="2">
        <v>18</v>
      </c>
      <c r="F185" s="2">
        <v>11</v>
      </c>
      <c r="G185" s="2" t="s">
        <v>25</v>
      </c>
      <c r="H185" s="2" t="s">
        <v>37</v>
      </c>
      <c r="I185" s="2" t="s">
        <v>396</v>
      </c>
      <c r="J185" s="5">
        <v>65</v>
      </c>
    </row>
    <row r="186" spans="1:10" hidden="1" x14ac:dyDescent="0.3">
      <c r="A186" s="4" t="s">
        <v>397</v>
      </c>
      <c r="B186" s="2" t="s">
        <v>23</v>
      </c>
      <c r="C186" s="2" t="s">
        <v>12</v>
      </c>
      <c r="D186" s="2" t="s">
        <v>13</v>
      </c>
      <c r="E186" s="2">
        <v>20</v>
      </c>
      <c r="F186" s="2">
        <v>9</v>
      </c>
      <c r="G186" s="2" t="s">
        <v>25</v>
      </c>
      <c r="H186" s="2" t="s">
        <v>46</v>
      </c>
      <c r="I186" s="2" t="s">
        <v>398</v>
      </c>
      <c r="J186" s="5">
        <v>91</v>
      </c>
    </row>
    <row r="187" spans="1:10" hidden="1" x14ac:dyDescent="0.3">
      <c r="A187" s="4" t="s">
        <v>399</v>
      </c>
      <c r="B187" s="2" t="s">
        <v>35</v>
      </c>
      <c r="C187" s="2" t="s">
        <v>79</v>
      </c>
      <c r="D187" s="2" t="s">
        <v>13</v>
      </c>
      <c r="E187" s="2">
        <v>17</v>
      </c>
      <c r="F187" s="2">
        <v>10</v>
      </c>
      <c r="G187" s="2" t="s">
        <v>43</v>
      </c>
      <c r="H187" s="2" t="s">
        <v>37</v>
      </c>
      <c r="I187" s="2" t="s">
        <v>400</v>
      </c>
      <c r="J187" s="5">
        <v>78</v>
      </c>
    </row>
    <row r="188" spans="1:10" hidden="1" x14ac:dyDescent="0.3">
      <c r="A188" s="4" t="s">
        <v>401</v>
      </c>
      <c r="B188" s="2" t="s">
        <v>11</v>
      </c>
      <c r="C188" s="2" t="s">
        <v>79</v>
      </c>
      <c r="D188" s="2" t="s">
        <v>31</v>
      </c>
      <c r="E188" s="2">
        <v>15</v>
      </c>
      <c r="F188" s="2">
        <v>11</v>
      </c>
      <c r="G188" s="2" t="s">
        <v>43</v>
      </c>
      <c r="H188" s="2" t="s">
        <v>40</v>
      </c>
      <c r="I188" s="2" t="s">
        <v>402</v>
      </c>
      <c r="J188" s="5">
        <v>84</v>
      </c>
    </row>
    <row r="189" spans="1:10" hidden="1" x14ac:dyDescent="0.3">
      <c r="A189" s="4" t="s">
        <v>403</v>
      </c>
      <c r="B189" s="2" t="s">
        <v>11</v>
      </c>
      <c r="C189" s="2" t="s">
        <v>12</v>
      </c>
      <c r="D189" s="2" t="s">
        <v>31</v>
      </c>
      <c r="E189" s="2">
        <v>19</v>
      </c>
      <c r="F189" s="2">
        <v>9</v>
      </c>
      <c r="G189" s="2" t="s">
        <v>43</v>
      </c>
      <c r="H189" s="2" t="s">
        <v>46</v>
      </c>
      <c r="I189" s="2" t="s">
        <v>404</v>
      </c>
      <c r="J189" s="5">
        <v>37</v>
      </c>
    </row>
    <row r="190" spans="1:10" hidden="1" x14ac:dyDescent="0.3">
      <c r="A190" s="4" t="s">
        <v>405</v>
      </c>
      <c r="B190" s="2" t="s">
        <v>18</v>
      </c>
      <c r="C190" s="2" t="s">
        <v>19</v>
      </c>
      <c r="D190" s="2" t="s">
        <v>31</v>
      </c>
      <c r="E190" s="2">
        <v>18</v>
      </c>
      <c r="F190" s="2">
        <v>12</v>
      </c>
      <c r="G190" s="2" t="s">
        <v>25</v>
      </c>
      <c r="H190" s="2" t="s">
        <v>37</v>
      </c>
      <c r="I190" s="2" t="s">
        <v>406</v>
      </c>
      <c r="J190" s="5">
        <v>70</v>
      </c>
    </row>
    <row r="191" spans="1:10" hidden="1" x14ac:dyDescent="0.3">
      <c r="A191" s="4" t="s">
        <v>407</v>
      </c>
      <c r="B191" s="2" t="s">
        <v>29</v>
      </c>
      <c r="C191" s="2" t="s">
        <v>12</v>
      </c>
      <c r="D191" s="2" t="s">
        <v>31</v>
      </c>
      <c r="E191" s="2">
        <v>16</v>
      </c>
      <c r="F191" s="2">
        <v>10</v>
      </c>
      <c r="G191" s="2" t="s">
        <v>14</v>
      </c>
      <c r="H191" s="2" t="s">
        <v>40</v>
      </c>
      <c r="I191" s="2" t="s">
        <v>71</v>
      </c>
      <c r="J191" s="5">
        <v>100</v>
      </c>
    </row>
    <row r="192" spans="1:10" hidden="1" x14ac:dyDescent="0.3">
      <c r="A192" s="4" t="s">
        <v>408</v>
      </c>
      <c r="B192" s="2" t="s">
        <v>51</v>
      </c>
      <c r="C192" s="2" t="s">
        <v>85</v>
      </c>
      <c r="D192" s="2" t="s">
        <v>13</v>
      </c>
      <c r="E192" s="2">
        <v>17</v>
      </c>
      <c r="F192" s="2">
        <v>11</v>
      </c>
      <c r="G192" s="2" t="s">
        <v>25</v>
      </c>
      <c r="H192" s="2" t="s">
        <v>46</v>
      </c>
      <c r="I192" s="2" t="s">
        <v>52</v>
      </c>
      <c r="J192" s="5">
        <v>42</v>
      </c>
    </row>
    <row r="193" spans="1:10" hidden="1" x14ac:dyDescent="0.3">
      <c r="A193" s="4" t="s">
        <v>409</v>
      </c>
      <c r="B193" s="2" t="s">
        <v>84</v>
      </c>
      <c r="C193" s="2" t="s">
        <v>24</v>
      </c>
      <c r="D193" s="2" t="s">
        <v>13</v>
      </c>
      <c r="E193" s="2">
        <v>20</v>
      </c>
      <c r="F193" s="2">
        <v>9</v>
      </c>
      <c r="G193" s="2" t="s">
        <v>25</v>
      </c>
      <c r="H193" s="2" t="s">
        <v>46</v>
      </c>
      <c r="I193" s="2" t="s">
        <v>290</v>
      </c>
      <c r="J193" s="5">
        <v>68</v>
      </c>
    </row>
    <row r="194" spans="1:10" hidden="1" x14ac:dyDescent="0.3">
      <c r="A194" s="4" t="s">
        <v>410</v>
      </c>
      <c r="B194" s="2" t="s">
        <v>18</v>
      </c>
      <c r="C194" s="2" t="s">
        <v>55</v>
      </c>
      <c r="D194" s="2" t="s">
        <v>31</v>
      </c>
      <c r="E194" s="2">
        <v>20</v>
      </c>
      <c r="F194" s="2">
        <v>10</v>
      </c>
      <c r="G194" s="2" t="s">
        <v>43</v>
      </c>
      <c r="H194" s="2" t="s">
        <v>40</v>
      </c>
      <c r="I194" s="2" t="s">
        <v>411</v>
      </c>
      <c r="J194" s="5">
        <v>59</v>
      </c>
    </row>
    <row r="195" spans="1:10" hidden="1" x14ac:dyDescent="0.3">
      <c r="A195" s="4" t="s">
        <v>412</v>
      </c>
      <c r="B195" s="2" t="s">
        <v>73</v>
      </c>
      <c r="C195" s="2" t="s">
        <v>55</v>
      </c>
      <c r="D195" s="2" t="s">
        <v>13</v>
      </c>
      <c r="E195" s="2">
        <v>16</v>
      </c>
      <c r="F195" s="2">
        <v>12</v>
      </c>
      <c r="G195" s="2" t="s">
        <v>32</v>
      </c>
      <c r="H195" s="2" t="s">
        <v>46</v>
      </c>
      <c r="I195" s="2" t="s">
        <v>413</v>
      </c>
      <c r="J195" s="5">
        <v>85</v>
      </c>
    </row>
    <row r="196" spans="1:10" hidden="1" x14ac:dyDescent="0.3">
      <c r="A196" s="4" t="s">
        <v>414</v>
      </c>
      <c r="B196" s="2" t="s">
        <v>11</v>
      </c>
      <c r="C196" s="2" t="s">
        <v>55</v>
      </c>
      <c r="D196" s="2" t="s">
        <v>13</v>
      </c>
      <c r="E196" s="2">
        <v>16</v>
      </c>
      <c r="F196" s="2">
        <v>12</v>
      </c>
      <c r="G196" s="2" t="s">
        <v>32</v>
      </c>
      <c r="H196" s="2" t="s">
        <v>37</v>
      </c>
      <c r="I196" s="2" t="s">
        <v>415</v>
      </c>
      <c r="J196" s="5">
        <v>47</v>
      </c>
    </row>
    <row r="197" spans="1:10" hidden="1" x14ac:dyDescent="0.3">
      <c r="A197" s="4" t="s">
        <v>416</v>
      </c>
      <c r="B197" s="2" t="s">
        <v>18</v>
      </c>
      <c r="C197" s="2" t="s">
        <v>79</v>
      </c>
      <c r="D197" s="2" t="s">
        <v>31</v>
      </c>
      <c r="E197" s="2">
        <v>20</v>
      </c>
      <c r="F197" s="2">
        <v>9</v>
      </c>
      <c r="G197" s="2" t="s">
        <v>25</v>
      </c>
      <c r="H197" s="2" t="s">
        <v>37</v>
      </c>
      <c r="I197" s="2" t="s">
        <v>417</v>
      </c>
      <c r="J197" s="5">
        <v>53</v>
      </c>
    </row>
    <row r="198" spans="1:10" hidden="1" x14ac:dyDescent="0.3">
      <c r="A198" s="4" t="s">
        <v>418</v>
      </c>
      <c r="B198" s="2" t="s">
        <v>84</v>
      </c>
      <c r="C198" s="2" t="s">
        <v>24</v>
      </c>
      <c r="D198" s="2" t="s">
        <v>13</v>
      </c>
      <c r="E198" s="2">
        <v>15</v>
      </c>
      <c r="F198" s="2">
        <v>9</v>
      </c>
      <c r="G198" s="2" t="s">
        <v>25</v>
      </c>
      <c r="H198" s="2" t="s">
        <v>20</v>
      </c>
      <c r="I198" s="2" t="s">
        <v>419</v>
      </c>
      <c r="J198" s="5">
        <v>63</v>
      </c>
    </row>
    <row r="199" spans="1:10" hidden="1" x14ac:dyDescent="0.3">
      <c r="A199" s="4" t="s">
        <v>420</v>
      </c>
      <c r="B199" s="2" t="s">
        <v>73</v>
      </c>
      <c r="C199" s="2" t="s">
        <v>85</v>
      </c>
      <c r="D199" s="2" t="s">
        <v>13</v>
      </c>
      <c r="E199" s="2">
        <v>16</v>
      </c>
      <c r="F199" s="2">
        <v>11</v>
      </c>
      <c r="G199" s="2" t="s">
        <v>43</v>
      </c>
      <c r="H199" s="2" t="s">
        <v>46</v>
      </c>
      <c r="I199" s="2" t="s">
        <v>421</v>
      </c>
      <c r="J199" s="5">
        <v>55</v>
      </c>
    </row>
    <row r="200" spans="1:10" hidden="1" x14ac:dyDescent="0.3">
      <c r="A200" s="4" t="s">
        <v>422</v>
      </c>
      <c r="B200" s="2" t="s">
        <v>73</v>
      </c>
      <c r="C200" s="2" t="s">
        <v>96</v>
      </c>
      <c r="D200" s="2" t="s">
        <v>13</v>
      </c>
      <c r="E200" s="2">
        <v>14</v>
      </c>
      <c r="F200" s="2">
        <v>10</v>
      </c>
      <c r="G200" s="2" t="s">
        <v>25</v>
      </c>
      <c r="H200" s="2" t="s">
        <v>15</v>
      </c>
      <c r="I200" s="2" t="s">
        <v>423</v>
      </c>
      <c r="J200" s="5">
        <v>99</v>
      </c>
    </row>
    <row r="201" spans="1:10" hidden="1" x14ac:dyDescent="0.3">
      <c r="A201" s="4" t="s">
        <v>424</v>
      </c>
      <c r="B201" s="2" t="s">
        <v>29</v>
      </c>
      <c r="C201" s="2" t="s">
        <v>36</v>
      </c>
      <c r="D201" s="2" t="s">
        <v>31</v>
      </c>
      <c r="E201" s="2">
        <v>16</v>
      </c>
      <c r="F201" s="2">
        <v>12</v>
      </c>
      <c r="G201" s="2" t="s">
        <v>32</v>
      </c>
      <c r="H201" s="2" t="s">
        <v>37</v>
      </c>
      <c r="I201" s="2" t="s">
        <v>180</v>
      </c>
      <c r="J201" s="5">
        <v>89</v>
      </c>
    </row>
    <row r="202" spans="1:10" hidden="1" x14ac:dyDescent="0.3">
      <c r="A202" s="4" t="s">
        <v>425</v>
      </c>
      <c r="B202" s="2" t="s">
        <v>73</v>
      </c>
      <c r="C202" s="2" t="s">
        <v>30</v>
      </c>
      <c r="D202" s="2" t="s">
        <v>31</v>
      </c>
      <c r="E202" s="2">
        <v>15</v>
      </c>
      <c r="F202" s="2">
        <v>9</v>
      </c>
      <c r="G202" s="2" t="s">
        <v>14</v>
      </c>
      <c r="H202" s="2" t="s">
        <v>76</v>
      </c>
      <c r="I202" s="2" t="s">
        <v>149</v>
      </c>
      <c r="J202" s="5">
        <v>54</v>
      </c>
    </row>
    <row r="203" spans="1:10" hidden="1" x14ac:dyDescent="0.3">
      <c r="A203" s="4" t="s">
        <v>426</v>
      </c>
      <c r="B203" s="2" t="s">
        <v>54</v>
      </c>
      <c r="C203" s="2" t="s">
        <v>96</v>
      </c>
      <c r="D203" s="2" t="s">
        <v>31</v>
      </c>
      <c r="E203" s="2">
        <v>16</v>
      </c>
      <c r="F203" s="2">
        <v>12</v>
      </c>
      <c r="G203" s="2" t="s">
        <v>25</v>
      </c>
      <c r="H203" s="2" t="s">
        <v>20</v>
      </c>
      <c r="I203" s="2" t="s">
        <v>427</v>
      </c>
      <c r="J203" s="5">
        <v>82</v>
      </c>
    </row>
    <row r="204" spans="1:10" hidden="1" x14ac:dyDescent="0.3">
      <c r="A204" s="4" t="s">
        <v>428</v>
      </c>
      <c r="B204" s="2" t="s">
        <v>54</v>
      </c>
      <c r="C204" s="2" t="s">
        <v>55</v>
      </c>
      <c r="D204" s="2" t="s">
        <v>13</v>
      </c>
      <c r="E204" s="2">
        <v>16</v>
      </c>
      <c r="F204" s="2">
        <v>11</v>
      </c>
      <c r="G204" s="2" t="s">
        <v>25</v>
      </c>
      <c r="H204" s="2" t="s">
        <v>15</v>
      </c>
      <c r="I204" s="2" t="s">
        <v>429</v>
      </c>
      <c r="J204" s="5">
        <v>86</v>
      </c>
    </row>
    <row r="205" spans="1:10" x14ac:dyDescent="0.3">
      <c r="A205" s="19" t="s">
        <v>430</v>
      </c>
      <c r="B205" s="15" t="s">
        <v>54</v>
      </c>
      <c r="C205" s="15" t="s">
        <v>30</v>
      </c>
      <c r="D205" s="15" t="s">
        <v>13</v>
      </c>
      <c r="E205" s="15">
        <v>18</v>
      </c>
      <c r="F205" s="15">
        <v>11</v>
      </c>
      <c r="G205" s="15" t="s">
        <v>25</v>
      </c>
      <c r="H205" s="59" t="s">
        <v>26</v>
      </c>
      <c r="I205" s="15" t="s">
        <v>431</v>
      </c>
      <c r="J205" s="20">
        <v>91</v>
      </c>
    </row>
    <row r="206" spans="1:10" hidden="1" x14ac:dyDescent="0.3">
      <c r="A206" s="4" t="s">
        <v>432</v>
      </c>
      <c r="B206" s="2" t="s">
        <v>51</v>
      </c>
      <c r="C206" s="2" t="s">
        <v>24</v>
      </c>
      <c r="D206" s="2" t="s">
        <v>31</v>
      </c>
      <c r="E206" s="2">
        <v>17</v>
      </c>
      <c r="F206" s="2">
        <v>11</v>
      </c>
      <c r="G206" s="2" t="s">
        <v>43</v>
      </c>
      <c r="H206" s="2" t="s">
        <v>15</v>
      </c>
      <c r="I206" s="2" t="s">
        <v>400</v>
      </c>
      <c r="J206" s="5">
        <v>53</v>
      </c>
    </row>
    <row r="207" spans="1:10" hidden="1" x14ac:dyDescent="0.3">
      <c r="A207" s="4" t="s">
        <v>433</v>
      </c>
      <c r="B207" s="2" t="s">
        <v>84</v>
      </c>
      <c r="C207" s="2" t="s">
        <v>36</v>
      </c>
      <c r="D207" s="2" t="s">
        <v>13</v>
      </c>
      <c r="E207" s="2">
        <v>14</v>
      </c>
      <c r="F207" s="2">
        <v>9</v>
      </c>
      <c r="G207" s="2" t="s">
        <v>32</v>
      </c>
      <c r="H207" s="2" t="s">
        <v>15</v>
      </c>
      <c r="I207" s="2" t="s">
        <v>434</v>
      </c>
      <c r="J207" s="5">
        <v>47</v>
      </c>
    </row>
    <row r="208" spans="1:10" x14ac:dyDescent="0.3">
      <c r="A208" s="19" t="s">
        <v>435</v>
      </c>
      <c r="B208" s="15" t="s">
        <v>29</v>
      </c>
      <c r="C208" s="15" t="s">
        <v>30</v>
      </c>
      <c r="D208" s="15" t="s">
        <v>31</v>
      </c>
      <c r="E208" s="15">
        <v>20</v>
      </c>
      <c r="F208" s="15">
        <v>12</v>
      </c>
      <c r="G208" s="15" t="s">
        <v>43</v>
      </c>
      <c r="H208" s="59" t="s">
        <v>26</v>
      </c>
      <c r="I208" s="15" t="s">
        <v>436</v>
      </c>
      <c r="J208" s="20">
        <v>36</v>
      </c>
    </row>
    <row r="209" spans="1:10" hidden="1" x14ac:dyDescent="0.3">
      <c r="A209" s="4" t="s">
        <v>437</v>
      </c>
      <c r="B209" s="2" t="s">
        <v>73</v>
      </c>
      <c r="C209" s="2" t="s">
        <v>30</v>
      </c>
      <c r="D209" s="2" t="s">
        <v>13</v>
      </c>
      <c r="E209" s="2">
        <v>14</v>
      </c>
      <c r="F209" s="2">
        <v>11</v>
      </c>
      <c r="G209" s="2" t="s">
        <v>32</v>
      </c>
      <c r="H209" s="2" t="s">
        <v>76</v>
      </c>
      <c r="I209" s="2" t="s">
        <v>438</v>
      </c>
      <c r="J209" s="5">
        <v>62</v>
      </c>
    </row>
    <row r="210" spans="1:10" hidden="1" x14ac:dyDescent="0.3">
      <c r="A210" s="4" t="s">
        <v>439</v>
      </c>
      <c r="B210" s="2" t="s">
        <v>11</v>
      </c>
      <c r="C210" s="2" t="s">
        <v>12</v>
      </c>
      <c r="D210" s="2" t="s">
        <v>13</v>
      </c>
      <c r="E210" s="2">
        <v>15</v>
      </c>
      <c r="F210" s="2">
        <v>9</v>
      </c>
      <c r="G210" s="2" t="s">
        <v>25</v>
      </c>
      <c r="H210" s="2" t="s">
        <v>15</v>
      </c>
      <c r="I210" s="2" t="s">
        <v>440</v>
      </c>
      <c r="J210" s="5">
        <v>90</v>
      </c>
    </row>
    <row r="211" spans="1:10" hidden="1" x14ac:dyDescent="0.3">
      <c r="A211" s="4" t="s">
        <v>441</v>
      </c>
      <c r="B211" s="2" t="s">
        <v>35</v>
      </c>
      <c r="C211" s="2" t="s">
        <v>12</v>
      </c>
      <c r="D211" s="2" t="s">
        <v>13</v>
      </c>
      <c r="E211" s="2">
        <v>17</v>
      </c>
      <c r="F211" s="2">
        <v>10</v>
      </c>
      <c r="G211" s="2" t="s">
        <v>32</v>
      </c>
      <c r="H211" s="2" t="s">
        <v>15</v>
      </c>
      <c r="I211" s="2" t="s">
        <v>442</v>
      </c>
      <c r="J211" s="5">
        <v>91</v>
      </c>
    </row>
    <row r="212" spans="1:10" hidden="1" x14ac:dyDescent="0.3">
      <c r="A212" s="4" t="s">
        <v>443</v>
      </c>
      <c r="B212" s="2" t="s">
        <v>18</v>
      </c>
      <c r="C212" s="2" t="s">
        <v>96</v>
      </c>
      <c r="D212" s="2" t="s">
        <v>13</v>
      </c>
      <c r="E212" s="2">
        <v>17</v>
      </c>
      <c r="F212" s="2">
        <v>9</v>
      </c>
      <c r="G212" s="2" t="s">
        <v>43</v>
      </c>
      <c r="H212" s="2" t="s">
        <v>37</v>
      </c>
      <c r="I212" s="2" t="s">
        <v>444</v>
      </c>
      <c r="J212" s="5">
        <v>60</v>
      </c>
    </row>
    <row r="213" spans="1:10" hidden="1" x14ac:dyDescent="0.3">
      <c r="A213" s="4" t="s">
        <v>445</v>
      </c>
      <c r="B213" s="2" t="s">
        <v>54</v>
      </c>
      <c r="C213" s="2" t="s">
        <v>96</v>
      </c>
      <c r="D213" s="2" t="s">
        <v>13</v>
      </c>
      <c r="E213" s="2">
        <v>20</v>
      </c>
      <c r="F213" s="2">
        <v>10</v>
      </c>
      <c r="G213" s="2" t="s">
        <v>32</v>
      </c>
      <c r="H213" s="2" t="s">
        <v>46</v>
      </c>
      <c r="I213" s="2" t="s">
        <v>182</v>
      </c>
      <c r="J213" s="5">
        <v>85</v>
      </c>
    </row>
    <row r="214" spans="1:10" hidden="1" x14ac:dyDescent="0.3">
      <c r="A214" s="4" t="s">
        <v>446</v>
      </c>
      <c r="B214" s="2" t="s">
        <v>73</v>
      </c>
      <c r="C214" s="2" t="s">
        <v>24</v>
      </c>
      <c r="D214" s="2" t="s">
        <v>13</v>
      </c>
      <c r="E214" s="2">
        <v>17</v>
      </c>
      <c r="F214" s="2">
        <v>10</v>
      </c>
      <c r="G214" s="2" t="s">
        <v>14</v>
      </c>
      <c r="H214" s="2" t="s">
        <v>20</v>
      </c>
      <c r="I214" s="2" t="s">
        <v>447</v>
      </c>
      <c r="J214" s="5">
        <v>58</v>
      </c>
    </row>
    <row r="215" spans="1:10" hidden="1" x14ac:dyDescent="0.3">
      <c r="A215" s="4" t="s">
        <v>448</v>
      </c>
      <c r="B215" s="2" t="s">
        <v>73</v>
      </c>
      <c r="C215" s="2" t="s">
        <v>36</v>
      </c>
      <c r="D215" s="2" t="s">
        <v>31</v>
      </c>
      <c r="E215" s="2">
        <v>19</v>
      </c>
      <c r="F215" s="2">
        <v>12</v>
      </c>
      <c r="G215" s="2" t="s">
        <v>14</v>
      </c>
      <c r="H215" s="2" t="s">
        <v>37</v>
      </c>
      <c r="I215" s="2" t="s">
        <v>449</v>
      </c>
      <c r="J215" s="5">
        <v>65</v>
      </c>
    </row>
    <row r="216" spans="1:10" hidden="1" x14ac:dyDescent="0.3">
      <c r="A216" s="4" t="s">
        <v>450</v>
      </c>
      <c r="B216" s="2" t="s">
        <v>54</v>
      </c>
      <c r="C216" s="2" t="s">
        <v>55</v>
      </c>
      <c r="D216" s="2" t="s">
        <v>31</v>
      </c>
      <c r="E216" s="2">
        <v>19</v>
      </c>
      <c r="F216" s="2">
        <v>12</v>
      </c>
      <c r="G216" s="2" t="s">
        <v>43</v>
      </c>
      <c r="H216" s="2" t="s">
        <v>20</v>
      </c>
      <c r="I216" s="2" t="s">
        <v>451</v>
      </c>
      <c r="J216" s="5">
        <v>58</v>
      </c>
    </row>
    <row r="217" spans="1:10" hidden="1" x14ac:dyDescent="0.3">
      <c r="A217" s="4" t="s">
        <v>452</v>
      </c>
      <c r="B217" s="2" t="s">
        <v>51</v>
      </c>
      <c r="C217" s="2" t="s">
        <v>12</v>
      </c>
      <c r="D217" s="2" t="s">
        <v>13</v>
      </c>
      <c r="E217" s="2">
        <v>18</v>
      </c>
      <c r="F217" s="2">
        <v>9</v>
      </c>
      <c r="G217" s="2" t="s">
        <v>32</v>
      </c>
      <c r="H217" s="2" t="s">
        <v>76</v>
      </c>
      <c r="I217" s="2" t="s">
        <v>453</v>
      </c>
      <c r="J217" s="5">
        <v>35</v>
      </c>
    </row>
    <row r="218" spans="1:10" hidden="1" x14ac:dyDescent="0.3">
      <c r="A218" s="4" t="s">
        <v>454</v>
      </c>
      <c r="B218" s="2" t="s">
        <v>29</v>
      </c>
      <c r="C218" s="2" t="s">
        <v>12</v>
      </c>
      <c r="D218" s="2" t="s">
        <v>31</v>
      </c>
      <c r="E218" s="2">
        <v>16</v>
      </c>
      <c r="F218" s="2">
        <v>11</v>
      </c>
      <c r="G218" s="2" t="s">
        <v>43</v>
      </c>
      <c r="H218" s="2" t="s">
        <v>61</v>
      </c>
      <c r="I218" s="2" t="s">
        <v>385</v>
      </c>
      <c r="J218" s="5">
        <v>40</v>
      </c>
    </row>
    <row r="219" spans="1:10" hidden="1" x14ac:dyDescent="0.3">
      <c r="A219" s="4" t="s">
        <v>455</v>
      </c>
      <c r="B219" s="2" t="s">
        <v>29</v>
      </c>
      <c r="C219" s="2" t="s">
        <v>30</v>
      </c>
      <c r="D219" s="2" t="s">
        <v>13</v>
      </c>
      <c r="E219" s="2">
        <v>16</v>
      </c>
      <c r="F219" s="2">
        <v>9</v>
      </c>
      <c r="G219" s="2" t="s">
        <v>14</v>
      </c>
      <c r="H219" s="2" t="s">
        <v>61</v>
      </c>
      <c r="I219" s="2" t="s">
        <v>447</v>
      </c>
      <c r="J219" s="5">
        <v>60</v>
      </c>
    </row>
    <row r="220" spans="1:10" hidden="1" x14ac:dyDescent="0.3">
      <c r="A220" s="4" t="s">
        <v>456</v>
      </c>
      <c r="B220" s="2" t="s">
        <v>11</v>
      </c>
      <c r="C220" s="2" t="s">
        <v>55</v>
      </c>
      <c r="D220" s="2" t="s">
        <v>13</v>
      </c>
      <c r="E220" s="2">
        <v>15</v>
      </c>
      <c r="F220" s="2">
        <v>9</v>
      </c>
      <c r="G220" s="2" t="s">
        <v>32</v>
      </c>
      <c r="H220" s="2" t="s">
        <v>61</v>
      </c>
      <c r="I220" s="2" t="s">
        <v>457</v>
      </c>
      <c r="J220" s="5">
        <v>97</v>
      </c>
    </row>
    <row r="221" spans="1:10" hidden="1" x14ac:dyDescent="0.3">
      <c r="A221" s="4" t="s">
        <v>458</v>
      </c>
      <c r="B221" s="2" t="s">
        <v>11</v>
      </c>
      <c r="C221" s="2" t="s">
        <v>55</v>
      </c>
      <c r="D221" s="2" t="s">
        <v>13</v>
      </c>
      <c r="E221" s="2">
        <v>19</v>
      </c>
      <c r="F221" s="2">
        <v>11</v>
      </c>
      <c r="G221" s="2" t="s">
        <v>14</v>
      </c>
      <c r="H221" s="2" t="s">
        <v>46</v>
      </c>
      <c r="I221" s="2" t="s">
        <v>459</v>
      </c>
      <c r="J221" s="5">
        <v>81</v>
      </c>
    </row>
    <row r="222" spans="1:10" hidden="1" x14ac:dyDescent="0.3">
      <c r="A222" s="4" t="s">
        <v>460</v>
      </c>
      <c r="B222" s="2" t="s">
        <v>51</v>
      </c>
      <c r="C222" s="2" t="s">
        <v>96</v>
      </c>
      <c r="D222" s="2" t="s">
        <v>31</v>
      </c>
      <c r="E222" s="2">
        <v>16</v>
      </c>
      <c r="F222" s="2">
        <v>12</v>
      </c>
      <c r="G222" s="2" t="s">
        <v>43</v>
      </c>
      <c r="H222" s="2" t="s">
        <v>15</v>
      </c>
      <c r="I222" s="2" t="s">
        <v>461</v>
      </c>
      <c r="J222" s="5">
        <v>65</v>
      </c>
    </row>
    <row r="223" spans="1:10" hidden="1" x14ac:dyDescent="0.3">
      <c r="A223" s="4" t="s">
        <v>462</v>
      </c>
      <c r="B223" s="2" t="s">
        <v>11</v>
      </c>
      <c r="C223" s="2" t="s">
        <v>24</v>
      </c>
      <c r="D223" s="2" t="s">
        <v>31</v>
      </c>
      <c r="E223" s="2">
        <v>19</v>
      </c>
      <c r="F223" s="2">
        <v>12</v>
      </c>
      <c r="G223" s="2" t="s">
        <v>43</v>
      </c>
      <c r="H223" s="2" t="s">
        <v>37</v>
      </c>
      <c r="I223" s="2" t="s">
        <v>463</v>
      </c>
      <c r="J223" s="5">
        <v>45</v>
      </c>
    </row>
    <row r="224" spans="1:10" hidden="1" x14ac:dyDescent="0.3">
      <c r="A224" s="4" t="s">
        <v>464</v>
      </c>
      <c r="B224" s="2" t="s">
        <v>11</v>
      </c>
      <c r="C224" s="2" t="s">
        <v>36</v>
      </c>
      <c r="D224" s="2" t="s">
        <v>13</v>
      </c>
      <c r="E224" s="2">
        <v>16</v>
      </c>
      <c r="F224" s="2">
        <v>11</v>
      </c>
      <c r="G224" s="2" t="s">
        <v>25</v>
      </c>
      <c r="H224" s="2" t="s">
        <v>40</v>
      </c>
      <c r="I224" s="2" t="s">
        <v>465</v>
      </c>
      <c r="J224" s="5">
        <v>79</v>
      </c>
    </row>
    <row r="225" spans="1:10" hidden="1" x14ac:dyDescent="0.3">
      <c r="A225" s="4" t="s">
        <v>466</v>
      </c>
      <c r="B225" s="2" t="s">
        <v>11</v>
      </c>
      <c r="C225" s="2" t="s">
        <v>55</v>
      </c>
      <c r="D225" s="2" t="s">
        <v>31</v>
      </c>
      <c r="E225" s="2">
        <v>20</v>
      </c>
      <c r="F225" s="2">
        <v>11</v>
      </c>
      <c r="G225" s="2" t="s">
        <v>32</v>
      </c>
      <c r="H225" s="2" t="s">
        <v>40</v>
      </c>
      <c r="I225" s="2" t="s">
        <v>467</v>
      </c>
      <c r="J225" s="5">
        <v>46</v>
      </c>
    </row>
    <row r="226" spans="1:10" hidden="1" x14ac:dyDescent="0.3">
      <c r="A226" s="4" t="s">
        <v>468</v>
      </c>
      <c r="B226" s="2" t="s">
        <v>73</v>
      </c>
      <c r="C226" s="2" t="s">
        <v>12</v>
      </c>
      <c r="D226" s="2" t="s">
        <v>13</v>
      </c>
      <c r="E226" s="2">
        <v>17</v>
      </c>
      <c r="F226" s="2">
        <v>10</v>
      </c>
      <c r="G226" s="2" t="s">
        <v>43</v>
      </c>
      <c r="H226" s="2" t="s">
        <v>15</v>
      </c>
      <c r="I226" s="2" t="s">
        <v>469</v>
      </c>
      <c r="J226" s="5">
        <v>75</v>
      </c>
    </row>
    <row r="227" spans="1:10" hidden="1" x14ac:dyDescent="0.3">
      <c r="A227" s="4" t="s">
        <v>470</v>
      </c>
      <c r="B227" s="2" t="s">
        <v>35</v>
      </c>
      <c r="C227" s="2" t="s">
        <v>96</v>
      </c>
      <c r="D227" s="2" t="s">
        <v>31</v>
      </c>
      <c r="E227" s="2">
        <v>16</v>
      </c>
      <c r="F227" s="2">
        <v>11</v>
      </c>
      <c r="G227" s="2" t="s">
        <v>32</v>
      </c>
      <c r="H227" s="2" t="s">
        <v>61</v>
      </c>
      <c r="I227" s="2" t="s">
        <v>471</v>
      </c>
      <c r="J227" s="5">
        <v>65</v>
      </c>
    </row>
    <row r="228" spans="1:10" hidden="1" x14ac:dyDescent="0.3">
      <c r="A228" s="4" t="s">
        <v>472</v>
      </c>
      <c r="B228" s="2" t="s">
        <v>84</v>
      </c>
      <c r="C228" s="2" t="s">
        <v>79</v>
      </c>
      <c r="D228" s="2" t="s">
        <v>31</v>
      </c>
      <c r="E228" s="2">
        <v>15</v>
      </c>
      <c r="F228" s="2">
        <v>11</v>
      </c>
      <c r="G228" s="2" t="s">
        <v>14</v>
      </c>
      <c r="H228" s="2" t="s">
        <v>40</v>
      </c>
      <c r="I228" s="2" t="s">
        <v>317</v>
      </c>
      <c r="J228" s="5">
        <v>72</v>
      </c>
    </row>
    <row r="229" spans="1:10" hidden="1" x14ac:dyDescent="0.3">
      <c r="A229" s="4" t="s">
        <v>473</v>
      </c>
      <c r="B229" s="2" t="s">
        <v>18</v>
      </c>
      <c r="C229" s="2" t="s">
        <v>19</v>
      </c>
      <c r="D229" s="2" t="s">
        <v>31</v>
      </c>
      <c r="E229" s="2">
        <v>16</v>
      </c>
      <c r="F229" s="2">
        <v>11</v>
      </c>
      <c r="G229" s="2" t="s">
        <v>14</v>
      </c>
      <c r="H229" s="2" t="s">
        <v>61</v>
      </c>
      <c r="I229" s="2" t="s">
        <v>474</v>
      </c>
      <c r="J229" s="5">
        <v>75</v>
      </c>
    </row>
    <row r="230" spans="1:10" hidden="1" x14ac:dyDescent="0.3">
      <c r="A230" s="4" t="s">
        <v>475</v>
      </c>
      <c r="B230" s="2" t="s">
        <v>35</v>
      </c>
      <c r="C230" s="2" t="s">
        <v>79</v>
      </c>
      <c r="D230" s="2" t="s">
        <v>13</v>
      </c>
      <c r="E230" s="2">
        <v>17</v>
      </c>
      <c r="F230" s="2">
        <v>9</v>
      </c>
      <c r="G230" s="2" t="s">
        <v>32</v>
      </c>
      <c r="H230" s="2" t="s">
        <v>15</v>
      </c>
      <c r="I230" s="2" t="s">
        <v>248</v>
      </c>
      <c r="J230" s="5">
        <v>50</v>
      </c>
    </row>
    <row r="231" spans="1:10" x14ac:dyDescent="0.3">
      <c r="A231" s="19" t="s">
        <v>476</v>
      </c>
      <c r="B231" s="15" t="s">
        <v>29</v>
      </c>
      <c r="C231" s="15" t="s">
        <v>55</v>
      </c>
      <c r="D231" s="15" t="s">
        <v>13</v>
      </c>
      <c r="E231" s="15">
        <v>19</v>
      </c>
      <c r="F231" s="15">
        <v>10</v>
      </c>
      <c r="G231" s="15" t="s">
        <v>43</v>
      </c>
      <c r="H231" s="59" t="s">
        <v>26</v>
      </c>
      <c r="I231" s="15" t="s">
        <v>477</v>
      </c>
      <c r="J231" s="20">
        <v>88</v>
      </c>
    </row>
    <row r="232" spans="1:10" hidden="1" x14ac:dyDescent="0.3">
      <c r="A232" s="4" t="s">
        <v>478</v>
      </c>
      <c r="B232" s="2" t="s">
        <v>11</v>
      </c>
      <c r="C232" s="2" t="s">
        <v>36</v>
      </c>
      <c r="D232" s="2" t="s">
        <v>13</v>
      </c>
      <c r="E232" s="2">
        <v>17</v>
      </c>
      <c r="F232" s="2">
        <v>12</v>
      </c>
      <c r="G232" s="2" t="s">
        <v>14</v>
      </c>
      <c r="H232" s="2" t="s">
        <v>37</v>
      </c>
      <c r="I232" s="2" t="s">
        <v>479</v>
      </c>
      <c r="J232" s="5">
        <v>63</v>
      </c>
    </row>
    <row r="233" spans="1:10" hidden="1" x14ac:dyDescent="0.3">
      <c r="A233" s="4" t="s">
        <v>480</v>
      </c>
      <c r="B233" s="2" t="s">
        <v>35</v>
      </c>
      <c r="C233" s="2" t="s">
        <v>12</v>
      </c>
      <c r="D233" s="2" t="s">
        <v>31</v>
      </c>
      <c r="E233" s="2">
        <v>18</v>
      </c>
      <c r="F233" s="2">
        <v>10</v>
      </c>
      <c r="G233" s="2" t="s">
        <v>14</v>
      </c>
      <c r="H233" s="2" t="s">
        <v>37</v>
      </c>
      <c r="I233" s="2" t="s">
        <v>481</v>
      </c>
      <c r="J233" s="5">
        <v>36</v>
      </c>
    </row>
    <row r="234" spans="1:10" hidden="1" x14ac:dyDescent="0.3">
      <c r="A234" s="4" t="s">
        <v>482</v>
      </c>
      <c r="B234" s="2" t="s">
        <v>35</v>
      </c>
      <c r="C234" s="2" t="s">
        <v>24</v>
      </c>
      <c r="D234" s="2" t="s">
        <v>13</v>
      </c>
      <c r="E234" s="2">
        <v>18</v>
      </c>
      <c r="F234" s="2">
        <v>11</v>
      </c>
      <c r="G234" s="2" t="s">
        <v>14</v>
      </c>
      <c r="H234" s="2" t="s">
        <v>61</v>
      </c>
      <c r="I234" s="2" t="s">
        <v>483</v>
      </c>
      <c r="J234" s="5">
        <v>86</v>
      </c>
    </row>
    <row r="235" spans="1:10" hidden="1" x14ac:dyDescent="0.3">
      <c r="A235" s="4" t="s">
        <v>484</v>
      </c>
      <c r="B235" s="2" t="s">
        <v>29</v>
      </c>
      <c r="C235" s="2" t="s">
        <v>79</v>
      </c>
      <c r="D235" s="2" t="s">
        <v>31</v>
      </c>
      <c r="E235" s="2">
        <v>14</v>
      </c>
      <c r="F235" s="2">
        <v>11</v>
      </c>
      <c r="G235" s="2" t="s">
        <v>32</v>
      </c>
      <c r="H235" s="2" t="s">
        <v>40</v>
      </c>
      <c r="I235" s="2" t="s">
        <v>184</v>
      </c>
      <c r="J235" s="5">
        <v>42</v>
      </c>
    </row>
    <row r="236" spans="1:10" hidden="1" x14ac:dyDescent="0.3">
      <c r="A236" s="4" t="s">
        <v>485</v>
      </c>
      <c r="B236" s="2" t="s">
        <v>18</v>
      </c>
      <c r="C236" s="2" t="s">
        <v>12</v>
      </c>
      <c r="D236" s="2" t="s">
        <v>31</v>
      </c>
      <c r="E236" s="2">
        <v>16</v>
      </c>
      <c r="F236" s="2">
        <v>12</v>
      </c>
      <c r="G236" s="2" t="s">
        <v>14</v>
      </c>
      <c r="H236" s="2" t="s">
        <v>76</v>
      </c>
      <c r="I236" s="2" t="s">
        <v>486</v>
      </c>
      <c r="J236" s="5">
        <v>70</v>
      </c>
    </row>
    <row r="237" spans="1:10" hidden="1" x14ac:dyDescent="0.3">
      <c r="A237" s="4" t="s">
        <v>487</v>
      </c>
      <c r="B237" s="2" t="s">
        <v>18</v>
      </c>
      <c r="C237" s="2" t="s">
        <v>79</v>
      </c>
      <c r="D237" s="2" t="s">
        <v>13</v>
      </c>
      <c r="E237" s="2">
        <v>16</v>
      </c>
      <c r="F237" s="2">
        <v>11</v>
      </c>
      <c r="G237" s="2" t="s">
        <v>43</v>
      </c>
      <c r="H237" s="2" t="s">
        <v>61</v>
      </c>
      <c r="I237" s="2" t="s">
        <v>488</v>
      </c>
      <c r="J237" s="5">
        <v>86</v>
      </c>
    </row>
    <row r="238" spans="1:10" hidden="1" x14ac:dyDescent="0.3">
      <c r="A238" s="4" t="s">
        <v>489</v>
      </c>
      <c r="B238" s="2" t="s">
        <v>68</v>
      </c>
      <c r="C238" s="2" t="s">
        <v>58</v>
      </c>
      <c r="D238" s="2" t="s">
        <v>31</v>
      </c>
      <c r="E238" s="2">
        <v>20</v>
      </c>
      <c r="F238" s="2">
        <v>10</v>
      </c>
      <c r="G238" s="2" t="s">
        <v>32</v>
      </c>
      <c r="H238" s="2" t="s">
        <v>20</v>
      </c>
      <c r="I238" s="2" t="s">
        <v>370</v>
      </c>
      <c r="J238" s="5">
        <v>93</v>
      </c>
    </row>
    <row r="239" spans="1:10" hidden="1" x14ac:dyDescent="0.3">
      <c r="A239" s="4" t="s">
        <v>490</v>
      </c>
      <c r="B239" s="2" t="s">
        <v>73</v>
      </c>
      <c r="C239" s="2" t="s">
        <v>96</v>
      </c>
      <c r="D239" s="2" t="s">
        <v>13</v>
      </c>
      <c r="E239" s="2">
        <v>17</v>
      </c>
      <c r="F239" s="2">
        <v>10</v>
      </c>
      <c r="G239" s="2" t="s">
        <v>32</v>
      </c>
      <c r="H239" s="2" t="s">
        <v>61</v>
      </c>
      <c r="I239" s="2" t="s">
        <v>491</v>
      </c>
      <c r="J239" s="5">
        <v>60</v>
      </c>
    </row>
    <row r="240" spans="1:10" hidden="1" x14ac:dyDescent="0.3">
      <c r="A240" s="4" t="s">
        <v>492</v>
      </c>
      <c r="B240" s="2" t="s">
        <v>18</v>
      </c>
      <c r="C240" s="2" t="s">
        <v>85</v>
      </c>
      <c r="D240" s="2" t="s">
        <v>31</v>
      </c>
      <c r="E240" s="2">
        <v>19</v>
      </c>
      <c r="F240" s="2">
        <v>11</v>
      </c>
      <c r="G240" s="2" t="s">
        <v>43</v>
      </c>
      <c r="H240" s="2" t="s">
        <v>15</v>
      </c>
      <c r="I240" s="2" t="s">
        <v>394</v>
      </c>
      <c r="J240" s="5">
        <v>50</v>
      </c>
    </row>
    <row r="241" spans="1:10" x14ac:dyDescent="0.3">
      <c r="A241" s="19" t="s">
        <v>493</v>
      </c>
      <c r="B241" s="15" t="s">
        <v>51</v>
      </c>
      <c r="C241" s="15" t="s">
        <v>96</v>
      </c>
      <c r="D241" s="15" t="s">
        <v>31</v>
      </c>
      <c r="E241" s="15">
        <v>14</v>
      </c>
      <c r="F241" s="15">
        <v>12</v>
      </c>
      <c r="G241" s="15" t="s">
        <v>14</v>
      </c>
      <c r="H241" s="59" t="s">
        <v>26</v>
      </c>
      <c r="I241" s="15" t="s">
        <v>494</v>
      </c>
      <c r="J241" s="20">
        <v>47</v>
      </c>
    </row>
    <row r="242" spans="1:10" hidden="1" x14ac:dyDescent="0.3">
      <c r="A242" s="4" t="s">
        <v>495</v>
      </c>
      <c r="B242" s="2" t="s">
        <v>35</v>
      </c>
      <c r="C242" s="2" t="s">
        <v>12</v>
      </c>
      <c r="D242" s="2" t="s">
        <v>13</v>
      </c>
      <c r="E242" s="2">
        <v>15</v>
      </c>
      <c r="F242" s="2">
        <v>12</v>
      </c>
      <c r="G242" s="2" t="s">
        <v>43</v>
      </c>
      <c r="H242" s="2" t="s">
        <v>20</v>
      </c>
      <c r="I242" s="2" t="s">
        <v>496</v>
      </c>
      <c r="J242" s="5">
        <v>49</v>
      </c>
    </row>
    <row r="243" spans="1:10" x14ac:dyDescent="0.3">
      <c r="A243" s="19" t="s">
        <v>497</v>
      </c>
      <c r="B243" s="15" t="s">
        <v>51</v>
      </c>
      <c r="C243" s="15" t="s">
        <v>96</v>
      </c>
      <c r="D243" s="15" t="s">
        <v>13</v>
      </c>
      <c r="E243" s="15">
        <v>16</v>
      </c>
      <c r="F243" s="15">
        <v>9</v>
      </c>
      <c r="G243" s="15" t="s">
        <v>25</v>
      </c>
      <c r="H243" s="59" t="s">
        <v>26</v>
      </c>
      <c r="I243" s="15" t="s">
        <v>498</v>
      </c>
      <c r="J243" s="20">
        <v>42</v>
      </c>
    </row>
    <row r="244" spans="1:10" hidden="1" x14ac:dyDescent="0.3">
      <c r="A244" s="4" t="s">
        <v>499</v>
      </c>
      <c r="B244" s="2" t="s">
        <v>54</v>
      </c>
      <c r="C244" s="2" t="s">
        <v>19</v>
      </c>
      <c r="D244" s="2" t="s">
        <v>31</v>
      </c>
      <c r="E244" s="2">
        <v>20</v>
      </c>
      <c r="F244" s="2">
        <v>9</v>
      </c>
      <c r="G244" s="2" t="s">
        <v>32</v>
      </c>
      <c r="H244" s="2" t="s">
        <v>46</v>
      </c>
      <c r="I244" s="2" t="s">
        <v>500</v>
      </c>
      <c r="J244" s="5">
        <v>42</v>
      </c>
    </row>
    <row r="245" spans="1:10" hidden="1" x14ac:dyDescent="0.3">
      <c r="A245" s="4" t="s">
        <v>501</v>
      </c>
      <c r="B245" s="2" t="s">
        <v>84</v>
      </c>
      <c r="C245" s="2" t="s">
        <v>19</v>
      </c>
      <c r="D245" s="2" t="s">
        <v>13</v>
      </c>
      <c r="E245" s="2">
        <v>18</v>
      </c>
      <c r="F245" s="2">
        <v>10</v>
      </c>
      <c r="G245" s="2" t="s">
        <v>14</v>
      </c>
      <c r="H245" s="2" t="s">
        <v>61</v>
      </c>
      <c r="I245" s="2" t="s">
        <v>502</v>
      </c>
      <c r="J245" s="5">
        <v>76</v>
      </c>
    </row>
    <row r="246" spans="1:10" hidden="1" x14ac:dyDescent="0.3">
      <c r="A246" s="4" t="s">
        <v>503</v>
      </c>
      <c r="B246" s="2" t="s">
        <v>84</v>
      </c>
      <c r="C246" s="2" t="s">
        <v>19</v>
      </c>
      <c r="D246" s="2" t="s">
        <v>31</v>
      </c>
      <c r="E246" s="2">
        <v>15</v>
      </c>
      <c r="F246" s="2">
        <v>10</v>
      </c>
      <c r="G246" s="2" t="s">
        <v>43</v>
      </c>
      <c r="H246" s="2" t="s">
        <v>61</v>
      </c>
      <c r="I246" s="2" t="s">
        <v>504</v>
      </c>
      <c r="J246" s="5">
        <v>44</v>
      </c>
    </row>
    <row r="247" spans="1:10" hidden="1" x14ac:dyDescent="0.3">
      <c r="A247" s="4" t="s">
        <v>505</v>
      </c>
      <c r="B247" s="2" t="s">
        <v>11</v>
      </c>
      <c r="C247" s="2" t="s">
        <v>12</v>
      </c>
      <c r="D247" s="2" t="s">
        <v>31</v>
      </c>
      <c r="E247" s="2">
        <v>19</v>
      </c>
      <c r="F247" s="2">
        <v>10</v>
      </c>
      <c r="G247" s="2" t="s">
        <v>14</v>
      </c>
      <c r="H247" s="2" t="s">
        <v>40</v>
      </c>
      <c r="I247" s="2" t="s">
        <v>506</v>
      </c>
      <c r="J247" s="5">
        <v>77</v>
      </c>
    </row>
    <row r="248" spans="1:10" hidden="1" x14ac:dyDescent="0.3">
      <c r="A248" s="4" t="s">
        <v>507</v>
      </c>
      <c r="B248" s="2" t="s">
        <v>54</v>
      </c>
      <c r="C248" s="2" t="s">
        <v>12</v>
      </c>
      <c r="D248" s="2" t="s">
        <v>31</v>
      </c>
      <c r="E248" s="2">
        <v>16</v>
      </c>
      <c r="F248" s="2">
        <v>12</v>
      </c>
      <c r="G248" s="2" t="s">
        <v>43</v>
      </c>
      <c r="H248" s="2" t="s">
        <v>61</v>
      </c>
      <c r="I248" s="2" t="s">
        <v>483</v>
      </c>
      <c r="J248" s="5">
        <v>45</v>
      </c>
    </row>
    <row r="249" spans="1:10" hidden="1" x14ac:dyDescent="0.3">
      <c r="A249" s="4" t="s">
        <v>508</v>
      </c>
      <c r="B249" s="2" t="s">
        <v>73</v>
      </c>
      <c r="C249" s="2" t="s">
        <v>55</v>
      </c>
      <c r="D249" s="2" t="s">
        <v>13</v>
      </c>
      <c r="E249" s="2">
        <v>15</v>
      </c>
      <c r="F249" s="2">
        <v>11</v>
      </c>
      <c r="G249" s="2" t="s">
        <v>43</v>
      </c>
      <c r="H249" s="2" t="s">
        <v>46</v>
      </c>
      <c r="I249" s="2" t="s">
        <v>509</v>
      </c>
      <c r="J249" s="5">
        <v>54</v>
      </c>
    </row>
    <row r="250" spans="1:10" hidden="1" x14ac:dyDescent="0.3">
      <c r="A250" s="4" t="s">
        <v>510</v>
      </c>
      <c r="B250" s="2" t="s">
        <v>54</v>
      </c>
      <c r="C250" s="2" t="s">
        <v>79</v>
      </c>
      <c r="D250" s="2" t="s">
        <v>31</v>
      </c>
      <c r="E250" s="2">
        <v>15</v>
      </c>
      <c r="F250" s="2">
        <v>9</v>
      </c>
      <c r="G250" s="2" t="s">
        <v>14</v>
      </c>
      <c r="H250" s="2" t="s">
        <v>40</v>
      </c>
      <c r="I250" s="2" t="s">
        <v>479</v>
      </c>
      <c r="J250" s="5">
        <v>66</v>
      </c>
    </row>
    <row r="251" spans="1:10" hidden="1" x14ac:dyDescent="0.3">
      <c r="A251" s="4" t="s">
        <v>511</v>
      </c>
      <c r="B251" s="2" t="s">
        <v>35</v>
      </c>
      <c r="C251" s="2" t="s">
        <v>19</v>
      </c>
      <c r="D251" s="2" t="s">
        <v>31</v>
      </c>
      <c r="E251" s="2">
        <v>15</v>
      </c>
      <c r="F251" s="2">
        <v>9</v>
      </c>
      <c r="G251" s="2" t="s">
        <v>25</v>
      </c>
      <c r="H251" s="2" t="s">
        <v>15</v>
      </c>
      <c r="I251" s="2" t="s">
        <v>512</v>
      </c>
      <c r="J251" s="5">
        <v>95</v>
      </c>
    </row>
    <row r="252" spans="1:10" hidden="1" x14ac:dyDescent="0.3">
      <c r="A252" s="4" t="s">
        <v>513</v>
      </c>
      <c r="B252" s="2" t="s">
        <v>11</v>
      </c>
      <c r="C252" s="2" t="s">
        <v>19</v>
      </c>
      <c r="D252" s="2" t="s">
        <v>31</v>
      </c>
      <c r="E252" s="2">
        <v>14</v>
      </c>
      <c r="F252" s="2">
        <v>12</v>
      </c>
      <c r="G252" s="2" t="s">
        <v>32</v>
      </c>
      <c r="H252" s="2" t="s">
        <v>15</v>
      </c>
      <c r="I252" s="2" t="s">
        <v>381</v>
      </c>
      <c r="J252" s="5">
        <v>65</v>
      </c>
    </row>
    <row r="253" spans="1:10" hidden="1" x14ac:dyDescent="0.3">
      <c r="A253" s="4" t="s">
        <v>514</v>
      </c>
      <c r="B253" s="2" t="s">
        <v>11</v>
      </c>
      <c r="C253" s="2" t="s">
        <v>12</v>
      </c>
      <c r="D253" s="2" t="s">
        <v>31</v>
      </c>
      <c r="E253" s="2">
        <v>15</v>
      </c>
      <c r="F253" s="2">
        <v>11</v>
      </c>
      <c r="G253" s="2" t="s">
        <v>25</v>
      </c>
      <c r="H253" s="2" t="s">
        <v>20</v>
      </c>
      <c r="I253" s="2" t="s">
        <v>515</v>
      </c>
      <c r="J253" s="5">
        <v>61</v>
      </c>
    </row>
    <row r="254" spans="1:10" hidden="1" x14ac:dyDescent="0.3">
      <c r="A254" s="4" t="s">
        <v>516</v>
      </c>
      <c r="B254" s="2" t="s">
        <v>18</v>
      </c>
      <c r="C254" s="2" t="s">
        <v>96</v>
      </c>
      <c r="D254" s="2" t="s">
        <v>31</v>
      </c>
      <c r="E254" s="2">
        <v>14</v>
      </c>
      <c r="F254" s="2">
        <v>11</v>
      </c>
      <c r="G254" s="2" t="s">
        <v>32</v>
      </c>
      <c r="H254" s="2" t="s">
        <v>46</v>
      </c>
      <c r="I254" s="2" t="s">
        <v>517</v>
      </c>
      <c r="J254" s="5">
        <v>86</v>
      </c>
    </row>
    <row r="255" spans="1:10" hidden="1" x14ac:dyDescent="0.3">
      <c r="A255" s="4" t="s">
        <v>518</v>
      </c>
      <c r="B255" s="2" t="s">
        <v>51</v>
      </c>
      <c r="C255" s="2" t="s">
        <v>96</v>
      </c>
      <c r="D255" s="2" t="s">
        <v>31</v>
      </c>
      <c r="E255" s="2">
        <v>17</v>
      </c>
      <c r="F255" s="2">
        <v>11</v>
      </c>
      <c r="G255" s="2" t="s">
        <v>25</v>
      </c>
      <c r="H255" s="2" t="s">
        <v>61</v>
      </c>
      <c r="I255" s="2" t="s">
        <v>519</v>
      </c>
      <c r="J255" s="5">
        <v>52</v>
      </c>
    </row>
    <row r="256" spans="1:10" x14ac:dyDescent="0.3">
      <c r="A256" s="19" t="s">
        <v>520</v>
      </c>
      <c r="B256" s="15" t="s">
        <v>68</v>
      </c>
      <c r="C256" s="15" t="s">
        <v>12</v>
      </c>
      <c r="D256" s="15" t="s">
        <v>31</v>
      </c>
      <c r="E256" s="15">
        <v>20</v>
      </c>
      <c r="F256" s="15">
        <v>10</v>
      </c>
      <c r="G256" s="15" t="s">
        <v>32</v>
      </c>
      <c r="H256" s="59" t="s">
        <v>26</v>
      </c>
      <c r="I256" s="15" t="s">
        <v>521</v>
      </c>
      <c r="J256" s="20">
        <v>42</v>
      </c>
    </row>
    <row r="257" spans="1:10" hidden="1" x14ac:dyDescent="0.3">
      <c r="A257" s="4" t="s">
        <v>522</v>
      </c>
      <c r="B257" s="2" t="s">
        <v>54</v>
      </c>
      <c r="C257" s="2" t="s">
        <v>79</v>
      </c>
      <c r="D257" s="2" t="s">
        <v>31</v>
      </c>
      <c r="E257" s="2">
        <v>18</v>
      </c>
      <c r="F257" s="2">
        <v>10</v>
      </c>
      <c r="G257" s="2" t="s">
        <v>14</v>
      </c>
      <c r="H257" s="2" t="s">
        <v>61</v>
      </c>
      <c r="I257" s="2" t="s">
        <v>523</v>
      </c>
      <c r="J257" s="5">
        <v>82</v>
      </c>
    </row>
    <row r="258" spans="1:10" hidden="1" x14ac:dyDescent="0.3">
      <c r="A258" s="4" t="s">
        <v>524</v>
      </c>
      <c r="B258" s="2" t="s">
        <v>35</v>
      </c>
      <c r="C258" s="2" t="s">
        <v>85</v>
      </c>
      <c r="D258" s="2" t="s">
        <v>13</v>
      </c>
      <c r="E258" s="2">
        <v>20</v>
      </c>
      <c r="F258" s="2">
        <v>10</v>
      </c>
      <c r="G258" s="2" t="s">
        <v>14</v>
      </c>
      <c r="H258" s="2" t="s">
        <v>40</v>
      </c>
      <c r="I258" s="2" t="s">
        <v>525</v>
      </c>
      <c r="J258" s="5">
        <v>92</v>
      </c>
    </row>
    <row r="259" spans="1:10" hidden="1" x14ac:dyDescent="0.3">
      <c r="A259" s="4" t="s">
        <v>526</v>
      </c>
      <c r="B259" s="2" t="s">
        <v>18</v>
      </c>
      <c r="C259" s="2" t="s">
        <v>12</v>
      </c>
      <c r="D259" s="2" t="s">
        <v>31</v>
      </c>
      <c r="E259" s="2">
        <v>18</v>
      </c>
      <c r="F259" s="2">
        <v>9</v>
      </c>
      <c r="G259" s="2" t="s">
        <v>14</v>
      </c>
      <c r="H259" s="2" t="s">
        <v>15</v>
      </c>
      <c r="I259" s="2" t="s">
        <v>346</v>
      </c>
      <c r="J259" s="5">
        <v>59</v>
      </c>
    </row>
    <row r="260" spans="1:10" hidden="1" x14ac:dyDescent="0.3">
      <c r="A260" s="4" t="s">
        <v>527</v>
      </c>
      <c r="B260" s="2" t="s">
        <v>11</v>
      </c>
      <c r="C260" s="2" t="s">
        <v>85</v>
      </c>
      <c r="D260" s="2" t="s">
        <v>13</v>
      </c>
      <c r="E260" s="2">
        <v>20</v>
      </c>
      <c r="F260" s="2">
        <v>12</v>
      </c>
      <c r="G260" s="2" t="s">
        <v>25</v>
      </c>
      <c r="H260" s="2" t="s">
        <v>46</v>
      </c>
      <c r="I260" s="2" t="s">
        <v>451</v>
      </c>
      <c r="J260" s="5">
        <v>86</v>
      </c>
    </row>
    <row r="261" spans="1:10" hidden="1" x14ac:dyDescent="0.3">
      <c r="A261" s="4" t="s">
        <v>528</v>
      </c>
      <c r="B261" s="2" t="s">
        <v>51</v>
      </c>
      <c r="C261" s="2" t="s">
        <v>19</v>
      </c>
      <c r="D261" s="2" t="s">
        <v>13</v>
      </c>
      <c r="E261" s="2">
        <v>19</v>
      </c>
      <c r="F261" s="2">
        <v>9</v>
      </c>
      <c r="G261" s="2" t="s">
        <v>43</v>
      </c>
      <c r="H261" s="2" t="s">
        <v>46</v>
      </c>
      <c r="I261" s="2" t="s">
        <v>222</v>
      </c>
      <c r="J261" s="5">
        <v>46</v>
      </c>
    </row>
    <row r="262" spans="1:10" hidden="1" x14ac:dyDescent="0.3">
      <c r="A262" s="4" t="s">
        <v>529</v>
      </c>
      <c r="B262" s="2" t="s">
        <v>84</v>
      </c>
      <c r="C262" s="2" t="s">
        <v>24</v>
      </c>
      <c r="D262" s="2" t="s">
        <v>31</v>
      </c>
      <c r="E262" s="2">
        <v>20</v>
      </c>
      <c r="F262" s="2">
        <v>12</v>
      </c>
      <c r="G262" s="2" t="s">
        <v>25</v>
      </c>
      <c r="H262" s="2" t="s">
        <v>76</v>
      </c>
      <c r="I262" s="2" t="s">
        <v>186</v>
      </c>
      <c r="J262" s="5">
        <v>51</v>
      </c>
    </row>
    <row r="263" spans="1:10" hidden="1" x14ac:dyDescent="0.3">
      <c r="A263" s="4" t="s">
        <v>530</v>
      </c>
      <c r="B263" s="2" t="s">
        <v>54</v>
      </c>
      <c r="C263" s="2" t="s">
        <v>58</v>
      </c>
      <c r="D263" s="2" t="s">
        <v>13</v>
      </c>
      <c r="E263" s="2">
        <v>17</v>
      </c>
      <c r="F263" s="2">
        <v>10</v>
      </c>
      <c r="G263" s="2" t="s">
        <v>32</v>
      </c>
      <c r="H263" s="2" t="s">
        <v>15</v>
      </c>
      <c r="I263" s="2" t="s">
        <v>64</v>
      </c>
      <c r="J263" s="5">
        <v>46</v>
      </c>
    </row>
    <row r="264" spans="1:10" hidden="1" x14ac:dyDescent="0.3">
      <c r="A264" s="4" t="s">
        <v>531</v>
      </c>
      <c r="B264" s="2" t="s">
        <v>23</v>
      </c>
      <c r="C264" s="2" t="s">
        <v>36</v>
      </c>
      <c r="D264" s="2" t="s">
        <v>13</v>
      </c>
      <c r="E264" s="2">
        <v>20</v>
      </c>
      <c r="F264" s="2">
        <v>11</v>
      </c>
      <c r="G264" s="2" t="s">
        <v>43</v>
      </c>
      <c r="H264" s="2" t="s">
        <v>20</v>
      </c>
      <c r="I264" s="2" t="s">
        <v>178</v>
      </c>
      <c r="J264" s="5">
        <v>44</v>
      </c>
    </row>
    <row r="265" spans="1:10" hidden="1" x14ac:dyDescent="0.3">
      <c r="A265" s="4" t="s">
        <v>532</v>
      </c>
      <c r="B265" s="2" t="s">
        <v>51</v>
      </c>
      <c r="C265" s="2" t="s">
        <v>19</v>
      </c>
      <c r="D265" s="2" t="s">
        <v>31</v>
      </c>
      <c r="E265" s="2">
        <v>14</v>
      </c>
      <c r="F265" s="2">
        <v>11</v>
      </c>
      <c r="G265" s="2" t="s">
        <v>43</v>
      </c>
      <c r="H265" s="2" t="s">
        <v>20</v>
      </c>
      <c r="I265" s="2" t="s">
        <v>533</v>
      </c>
      <c r="J265" s="5">
        <v>93</v>
      </c>
    </row>
    <row r="266" spans="1:10" hidden="1" x14ac:dyDescent="0.3">
      <c r="A266" s="4" t="s">
        <v>534</v>
      </c>
      <c r="B266" s="2" t="s">
        <v>23</v>
      </c>
      <c r="C266" s="2" t="s">
        <v>19</v>
      </c>
      <c r="D266" s="2" t="s">
        <v>13</v>
      </c>
      <c r="E266" s="2">
        <v>20</v>
      </c>
      <c r="F266" s="2">
        <v>11</v>
      </c>
      <c r="G266" s="2" t="s">
        <v>32</v>
      </c>
      <c r="H266" s="2" t="s">
        <v>76</v>
      </c>
      <c r="I266" s="2" t="s">
        <v>358</v>
      </c>
      <c r="J266" s="5">
        <v>41</v>
      </c>
    </row>
    <row r="267" spans="1:10" hidden="1" x14ac:dyDescent="0.3">
      <c r="A267" s="4" t="s">
        <v>535</v>
      </c>
      <c r="B267" s="2" t="s">
        <v>84</v>
      </c>
      <c r="C267" s="2" t="s">
        <v>58</v>
      </c>
      <c r="D267" s="2" t="s">
        <v>13</v>
      </c>
      <c r="E267" s="2">
        <v>20</v>
      </c>
      <c r="F267" s="2">
        <v>9</v>
      </c>
      <c r="G267" s="2" t="s">
        <v>25</v>
      </c>
      <c r="H267" s="2" t="s">
        <v>46</v>
      </c>
      <c r="I267" s="2" t="s">
        <v>536</v>
      </c>
      <c r="J267" s="5">
        <v>58</v>
      </c>
    </row>
    <row r="268" spans="1:10" x14ac:dyDescent="0.3">
      <c r="A268" s="19" t="s">
        <v>537</v>
      </c>
      <c r="B268" s="15" t="s">
        <v>68</v>
      </c>
      <c r="C268" s="15" t="s">
        <v>36</v>
      </c>
      <c r="D268" s="15" t="s">
        <v>31</v>
      </c>
      <c r="E268" s="15">
        <v>16</v>
      </c>
      <c r="F268" s="15">
        <v>12</v>
      </c>
      <c r="G268" s="15" t="s">
        <v>25</v>
      </c>
      <c r="H268" s="59" t="s">
        <v>26</v>
      </c>
      <c r="I268" s="15" t="s">
        <v>538</v>
      </c>
      <c r="J268" s="20">
        <v>42</v>
      </c>
    </row>
    <row r="269" spans="1:10" hidden="1" x14ac:dyDescent="0.3">
      <c r="A269" s="4" t="s">
        <v>539</v>
      </c>
      <c r="B269" s="2" t="s">
        <v>73</v>
      </c>
      <c r="C269" s="2" t="s">
        <v>36</v>
      </c>
      <c r="D269" s="2" t="s">
        <v>31</v>
      </c>
      <c r="E269" s="2">
        <v>14</v>
      </c>
      <c r="F269" s="2">
        <v>12</v>
      </c>
      <c r="G269" s="2" t="s">
        <v>43</v>
      </c>
      <c r="H269" s="2" t="s">
        <v>61</v>
      </c>
      <c r="I269" s="2" t="s">
        <v>387</v>
      </c>
      <c r="J269" s="5">
        <v>37</v>
      </c>
    </row>
    <row r="270" spans="1:10" hidden="1" x14ac:dyDescent="0.3">
      <c r="A270" s="4" t="s">
        <v>540</v>
      </c>
      <c r="B270" s="2" t="s">
        <v>51</v>
      </c>
      <c r="C270" s="2" t="s">
        <v>85</v>
      </c>
      <c r="D270" s="2" t="s">
        <v>13</v>
      </c>
      <c r="E270" s="2">
        <v>18</v>
      </c>
      <c r="F270" s="2">
        <v>10</v>
      </c>
      <c r="G270" s="2" t="s">
        <v>14</v>
      </c>
      <c r="H270" s="2" t="s">
        <v>46</v>
      </c>
      <c r="I270" s="2" t="s">
        <v>541</v>
      </c>
      <c r="J270" s="5">
        <v>63</v>
      </c>
    </row>
    <row r="271" spans="1:10" hidden="1" x14ac:dyDescent="0.3">
      <c r="A271" s="4" t="s">
        <v>542</v>
      </c>
      <c r="B271" s="2" t="s">
        <v>84</v>
      </c>
      <c r="C271" s="2" t="s">
        <v>55</v>
      </c>
      <c r="D271" s="2" t="s">
        <v>31</v>
      </c>
      <c r="E271" s="2">
        <v>18</v>
      </c>
      <c r="F271" s="2">
        <v>12</v>
      </c>
      <c r="G271" s="2" t="s">
        <v>32</v>
      </c>
      <c r="H271" s="2" t="s">
        <v>40</v>
      </c>
      <c r="I271" s="2" t="s">
        <v>543</v>
      </c>
      <c r="J271" s="5">
        <v>51</v>
      </c>
    </row>
    <row r="272" spans="1:10" hidden="1" x14ac:dyDescent="0.3">
      <c r="A272" s="4" t="s">
        <v>544</v>
      </c>
      <c r="B272" s="2" t="s">
        <v>68</v>
      </c>
      <c r="C272" s="2" t="s">
        <v>19</v>
      </c>
      <c r="D272" s="2" t="s">
        <v>31</v>
      </c>
      <c r="E272" s="2">
        <v>16</v>
      </c>
      <c r="F272" s="2">
        <v>9</v>
      </c>
      <c r="G272" s="2" t="s">
        <v>14</v>
      </c>
      <c r="H272" s="2" t="s">
        <v>40</v>
      </c>
      <c r="I272" s="2" t="s">
        <v>545</v>
      </c>
      <c r="J272" s="5">
        <v>37</v>
      </c>
    </row>
    <row r="273" spans="1:10" hidden="1" x14ac:dyDescent="0.3">
      <c r="A273" s="4" t="s">
        <v>546</v>
      </c>
      <c r="B273" s="2" t="s">
        <v>51</v>
      </c>
      <c r="C273" s="2" t="s">
        <v>36</v>
      </c>
      <c r="D273" s="2" t="s">
        <v>31</v>
      </c>
      <c r="E273" s="2">
        <v>14</v>
      </c>
      <c r="F273" s="2">
        <v>9</v>
      </c>
      <c r="G273" s="2" t="s">
        <v>14</v>
      </c>
      <c r="H273" s="2" t="s">
        <v>46</v>
      </c>
      <c r="I273" s="2" t="s">
        <v>547</v>
      </c>
      <c r="J273" s="5">
        <v>81</v>
      </c>
    </row>
    <row r="274" spans="1:10" hidden="1" x14ac:dyDescent="0.3">
      <c r="A274" s="4" t="s">
        <v>548</v>
      </c>
      <c r="B274" s="2" t="s">
        <v>51</v>
      </c>
      <c r="C274" s="2" t="s">
        <v>24</v>
      </c>
      <c r="D274" s="2" t="s">
        <v>31</v>
      </c>
      <c r="E274" s="2">
        <v>15</v>
      </c>
      <c r="F274" s="2">
        <v>11</v>
      </c>
      <c r="G274" s="2" t="s">
        <v>32</v>
      </c>
      <c r="H274" s="2" t="s">
        <v>40</v>
      </c>
      <c r="I274" s="2" t="s">
        <v>549</v>
      </c>
      <c r="J274" s="5">
        <v>90</v>
      </c>
    </row>
    <row r="275" spans="1:10" x14ac:dyDescent="0.3">
      <c r="A275" s="19" t="s">
        <v>550</v>
      </c>
      <c r="B275" s="15" t="s">
        <v>73</v>
      </c>
      <c r="C275" s="15" t="s">
        <v>19</v>
      </c>
      <c r="D275" s="15" t="s">
        <v>13</v>
      </c>
      <c r="E275" s="15">
        <v>14</v>
      </c>
      <c r="F275" s="15">
        <v>11</v>
      </c>
      <c r="G275" s="15" t="s">
        <v>32</v>
      </c>
      <c r="H275" s="59" t="s">
        <v>26</v>
      </c>
      <c r="I275" s="15" t="s">
        <v>551</v>
      </c>
      <c r="J275" s="20">
        <v>90</v>
      </c>
    </row>
    <row r="276" spans="1:10" hidden="1" x14ac:dyDescent="0.3">
      <c r="A276" s="4" t="s">
        <v>552</v>
      </c>
      <c r="B276" s="2" t="s">
        <v>35</v>
      </c>
      <c r="C276" s="2" t="s">
        <v>30</v>
      </c>
      <c r="D276" s="2" t="s">
        <v>13</v>
      </c>
      <c r="E276" s="2">
        <v>19</v>
      </c>
      <c r="F276" s="2">
        <v>11</v>
      </c>
      <c r="G276" s="2" t="s">
        <v>14</v>
      </c>
      <c r="H276" s="2" t="s">
        <v>76</v>
      </c>
      <c r="I276" s="2" t="s">
        <v>553</v>
      </c>
      <c r="J276" s="5">
        <v>81</v>
      </c>
    </row>
    <row r="277" spans="1:10" hidden="1" x14ac:dyDescent="0.3">
      <c r="A277" s="4" t="s">
        <v>554</v>
      </c>
      <c r="B277" s="2" t="s">
        <v>29</v>
      </c>
      <c r="C277" s="2" t="s">
        <v>79</v>
      </c>
      <c r="D277" s="2" t="s">
        <v>13</v>
      </c>
      <c r="E277" s="2">
        <v>15</v>
      </c>
      <c r="F277" s="2">
        <v>9</v>
      </c>
      <c r="G277" s="2" t="s">
        <v>32</v>
      </c>
      <c r="H277" s="2" t="s">
        <v>76</v>
      </c>
      <c r="I277" s="2" t="s">
        <v>184</v>
      </c>
      <c r="J277" s="5">
        <v>53</v>
      </c>
    </row>
    <row r="278" spans="1:10" hidden="1" x14ac:dyDescent="0.3">
      <c r="A278" s="4" t="s">
        <v>555</v>
      </c>
      <c r="B278" s="2" t="s">
        <v>73</v>
      </c>
      <c r="C278" s="2" t="s">
        <v>55</v>
      </c>
      <c r="D278" s="2" t="s">
        <v>31</v>
      </c>
      <c r="E278" s="2">
        <v>16</v>
      </c>
      <c r="F278" s="2">
        <v>9</v>
      </c>
      <c r="G278" s="2" t="s">
        <v>14</v>
      </c>
      <c r="H278" s="2" t="s">
        <v>76</v>
      </c>
      <c r="I278" s="2" t="s">
        <v>556</v>
      </c>
      <c r="J278" s="5">
        <v>93</v>
      </c>
    </row>
    <row r="279" spans="1:10" hidden="1" x14ac:dyDescent="0.3">
      <c r="A279" s="4" t="s">
        <v>557</v>
      </c>
      <c r="B279" s="2" t="s">
        <v>23</v>
      </c>
      <c r="C279" s="2" t="s">
        <v>96</v>
      </c>
      <c r="D279" s="2" t="s">
        <v>13</v>
      </c>
      <c r="E279" s="2">
        <v>18</v>
      </c>
      <c r="F279" s="2">
        <v>11</v>
      </c>
      <c r="G279" s="2" t="s">
        <v>25</v>
      </c>
      <c r="H279" s="2" t="s">
        <v>76</v>
      </c>
      <c r="I279" s="2" t="s">
        <v>182</v>
      </c>
      <c r="J279" s="5">
        <v>77</v>
      </c>
    </row>
    <row r="280" spans="1:10" hidden="1" x14ac:dyDescent="0.3">
      <c r="A280" s="4" t="s">
        <v>558</v>
      </c>
      <c r="B280" s="2" t="s">
        <v>54</v>
      </c>
      <c r="C280" s="2" t="s">
        <v>30</v>
      </c>
      <c r="D280" s="2" t="s">
        <v>31</v>
      </c>
      <c r="E280" s="2">
        <v>19</v>
      </c>
      <c r="F280" s="2">
        <v>10</v>
      </c>
      <c r="G280" s="2" t="s">
        <v>43</v>
      </c>
      <c r="H280" s="2" t="s">
        <v>76</v>
      </c>
      <c r="I280" s="2" t="s">
        <v>559</v>
      </c>
      <c r="J280" s="5">
        <v>40</v>
      </c>
    </row>
    <row r="281" spans="1:10" x14ac:dyDescent="0.3">
      <c r="A281" s="19" t="s">
        <v>560</v>
      </c>
      <c r="B281" s="15" t="s">
        <v>68</v>
      </c>
      <c r="C281" s="15" t="s">
        <v>85</v>
      </c>
      <c r="D281" s="15" t="s">
        <v>31</v>
      </c>
      <c r="E281" s="15">
        <v>15</v>
      </c>
      <c r="F281" s="15">
        <v>10</v>
      </c>
      <c r="G281" s="15" t="s">
        <v>43</v>
      </c>
      <c r="H281" s="59" t="s">
        <v>26</v>
      </c>
      <c r="I281" s="15" t="s">
        <v>561</v>
      </c>
      <c r="J281" s="20">
        <v>63</v>
      </c>
    </row>
    <row r="282" spans="1:10" hidden="1" x14ac:dyDescent="0.3">
      <c r="A282" s="4" t="s">
        <v>562</v>
      </c>
      <c r="B282" s="2" t="s">
        <v>29</v>
      </c>
      <c r="C282" s="2" t="s">
        <v>79</v>
      </c>
      <c r="D282" s="2" t="s">
        <v>31</v>
      </c>
      <c r="E282" s="2">
        <v>15</v>
      </c>
      <c r="F282" s="2">
        <v>12</v>
      </c>
      <c r="G282" s="2" t="s">
        <v>32</v>
      </c>
      <c r="H282" s="2" t="s">
        <v>46</v>
      </c>
      <c r="I282" s="2" t="s">
        <v>121</v>
      </c>
      <c r="J282" s="5">
        <v>53</v>
      </c>
    </row>
    <row r="283" spans="1:10" hidden="1" x14ac:dyDescent="0.3">
      <c r="A283" s="4" t="s">
        <v>563</v>
      </c>
      <c r="B283" s="2" t="s">
        <v>35</v>
      </c>
      <c r="C283" s="2" t="s">
        <v>55</v>
      </c>
      <c r="D283" s="2" t="s">
        <v>31</v>
      </c>
      <c r="E283" s="2">
        <v>19</v>
      </c>
      <c r="F283" s="2">
        <v>10</v>
      </c>
      <c r="G283" s="2" t="s">
        <v>43</v>
      </c>
      <c r="H283" s="2" t="s">
        <v>46</v>
      </c>
      <c r="I283" s="2" t="s">
        <v>564</v>
      </c>
      <c r="J283" s="5">
        <v>72</v>
      </c>
    </row>
    <row r="284" spans="1:10" hidden="1" x14ac:dyDescent="0.3">
      <c r="A284" s="4" t="s">
        <v>565</v>
      </c>
      <c r="B284" s="2" t="s">
        <v>54</v>
      </c>
      <c r="C284" s="2" t="s">
        <v>79</v>
      </c>
      <c r="D284" s="2" t="s">
        <v>31</v>
      </c>
      <c r="E284" s="2">
        <v>20</v>
      </c>
      <c r="F284" s="2">
        <v>9</v>
      </c>
      <c r="G284" s="2" t="s">
        <v>43</v>
      </c>
      <c r="H284" s="2" t="s">
        <v>20</v>
      </c>
      <c r="I284" s="2" t="s">
        <v>566</v>
      </c>
      <c r="J284" s="5">
        <v>67</v>
      </c>
    </row>
    <row r="285" spans="1:10" x14ac:dyDescent="0.3">
      <c r="A285" s="19" t="s">
        <v>567</v>
      </c>
      <c r="B285" s="15" t="s">
        <v>54</v>
      </c>
      <c r="C285" s="15" t="s">
        <v>12</v>
      </c>
      <c r="D285" s="15" t="s">
        <v>31</v>
      </c>
      <c r="E285" s="15">
        <v>18</v>
      </c>
      <c r="F285" s="15">
        <v>12</v>
      </c>
      <c r="G285" s="15" t="s">
        <v>25</v>
      </c>
      <c r="H285" s="59" t="s">
        <v>26</v>
      </c>
      <c r="I285" s="15" t="s">
        <v>568</v>
      </c>
      <c r="J285" s="20">
        <v>96</v>
      </c>
    </row>
    <row r="286" spans="1:10" hidden="1" x14ac:dyDescent="0.3">
      <c r="A286" s="4" t="s">
        <v>569</v>
      </c>
      <c r="B286" s="2" t="s">
        <v>54</v>
      </c>
      <c r="C286" s="2" t="s">
        <v>12</v>
      </c>
      <c r="D286" s="2" t="s">
        <v>31</v>
      </c>
      <c r="E286" s="2">
        <v>17</v>
      </c>
      <c r="F286" s="2">
        <v>9</v>
      </c>
      <c r="G286" s="2" t="s">
        <v>25</v>
      </c>
      <c r="H286" s="2" t="s">
        <v>37</v>
      </c>
      <c r="I286" s="2" t="s">
        <v>570</v>
      </c>
      <c r="J286" s="5">
        <v>100</v>
      </c>
    </row>
    <row r="287" spans="1:10" x14ac:dyDescent="0.3">
      <c r="A287" s="19" t="s">
        <v>571</v>
      </c>
      <c r="B287" s="15" t="s">
        <v>68</v>
      </c>
      <c r="C287" s="15" t="s">
        <v>12</v>
      </c>
      <c r="D287" s="15" t="s">
        <v>13</v>
      </c>
      <c r="E287" s="15">
        <v>16</v>
      </c>
      <c r="F287" s="15">
        <v>10</v>
      </c>
      <c r="G287" s="15" t="s">
        <v>25</v>
      </c>
      <c r="H287" s="59" t="s">
        <v>26</v>
      </c>
      <c r="I287" s="15" t="s">
        <v>434</v>
      </c>
      <c r="J287" s="20">
        <v>63</v>
      </c>
    </row>
    <row r="288" spans="1:10" hidden="1" x14ac:dyDescent="0.3">
      <c r="A288" s="4" t="s">
        <v>572</v>
      </c>
      <c r="B288" s="2" t="s">
        <v>23</v>
      </c>
      <c r="C288" s="2" t="s">
        <v>19</v>
      </c>
      <c r="D288" s="2" t="s">
        <v>31</v>
      </c>
      <c r="E288" s="2">
        <v>19</v>
      </c>
      <c r="F288" s="2">
        <v>10</v>
      </c>
      <c r="G288" s="2" t="s">
        <v>32</v>
      </c>
      <c r="H288" s="2" t="s">
        <v>20</v>
      </c>
      <c r="I288" s="2" t="s">
        <v>400</v>
      </c>
      <c r="J288" s="5">
        <v>53</v>
      </c>
    </row>
    <row r="289" spans="1:10" hidden="1" x14ac:dyDescent="0.3">
      <c r="A289" s="4" t="s">
        <v>573</v>
      </c>
      <c r="B289" s="2" t="s">
        <v>54</v>
      </c>
      <c r="C289" s="2" t="s">
        <v>24</v>
      </c>
      <c r="D289" s="2" t="s">
        <v>13</v>
      </c>
      <c r="E289" s="2">
        <v>19</v>
      </c>
      <c r="F289" s="2">
        <v>9</v>
      </c>
      <c r="G289" s="2" t="s">
        <v>43</v>
      </c>
      <c r="H289" s="2" t="s">
        <v>46</v>
      </c>
      <c r="I289" s="2" t="s">
        <v>574</v>
      </c>
      <c r="J289" s="5">
        <v>94</v>
      </c>
    </row>
    <row r="290" spans="1:10" hidden="1" x14ac:dyDescent="0.3">
      <c r="A290" s="4" t="s">
        <v>575</v>
      </c>
      <c r="B290" s="2" t="s">
        <v>35</v>
      </c>
      <c r="C290" s="2" t="s">
        <v>30</v>
      </c>
      <c r="D290" s="2" t="s">
        <v>31</v>
      </c>
      <c r="E290" s="2">
        <v>14</v>
      </c>
      <c r="F290" s="2">
        <v>10</v>
      </c>
      <c r="G290" s="2" t="s">
        <v>32</v>
      </c>
      <c r="H290" s="2" t="s">
        <v>40</v>
      </c>
      <c r="I290" s="2" t="s">
        <v>576</v>
      </c>
      <c r="J290" s="5">
        <v>50</v>
      </c>
    </row>
    <row r="291" spans="1:10" hidden="1" x14ac:dyDescent="0.3">
      <c r="A291" s="4" t="s">
        <v>577</v>
      </c>
      <c r="B291" s="2" t="s">
        <v>84</v>
      </c>
      <c r="C291" s="2" t="s">
        <v>79</v>
      </c>
      <c r="D291" s="2" t="s">
        <v>31</v>
      </c>
      <c r="E291" s="2">
        <v>15</v>
      </c>
      <c r="F291" s="2">
        <v>11</v>
      </c>
      <c r="G291" s="2" t="s">
        <v>25</v>
      </c>
      <c r="H291" s="2" t="s">
        <v>40</v>
      </c>
      <c r="I291" s="2" t="s">
        <v>578</v>
      </c>
      <c r="J291" s="5">
        <v>72</v>
      </c>
    </row>
    <row r="292" spans="1:10" x14ac:dyDescent="0.3">
      <c r="A292" s="19" t="s">
        <v>579</v>
      </c>
      <c r="B292" s="15" t="s">
        <v>51</v>
      </c>
      <c r="C292" s="15" t="s">
        <v>55</v>
      </c>
      <c r="D292" s="15" t="s">
        <v>31</v>
      </c>
      <c r="E292" s="15">
        <v>20</v>
      </c>
      <c r="F292" s="15">
        <v>9</v>
      </c>
      <c r="G292" s="15" t="s">
        <v>25</v>
      </c>
      <c r="H292" s="59" t="s">
        <v>26</v>
      </c>
      <c r="I292" s="15" t="s">
        <v>212</v>
      </c>
      <c r="J292" s="20">
        <v>35</v>
      </c>
    </row>
    <row r="293" spans="1:10" hidden="1" x14ac:dyDescent="0.3">
      <c r="A293" s="4" t="s">
        <v>580</v>
      </c>
      <c r="B293" s="2" t="s">
        <v>29</v>
      </c>
      <c r="C293" s="2" t="s">
        <v>36</v>
      </c>
      <c r="D293" s="2" t="s">
        <v>13</v>
      </c>
      <c r="E293" s="2">
        <v>17</v>
      </c>
      <c r="F293" s="2">
        <v>10</v>
      </c>
      <c r="G293" s="2" t="s">
        <v>32</v>
      </c>
      <c r="H293" s="2" t="s">
        <v>15</v>
      </c>
      <c r="I293" s="2" t="s">
        <v>581</v>
      </c>
      <c r="J293" s="5">
        <v>37</v>
      </c>
    </row>
    <row r="294" spans="1:10" hidden="1" x14ac:dyDescent="0.3">
      <c r="A294" s="4" t="s">
        <v>582</v>
      </c>
      <c r="B294" s="2" t="s">
        <v>51</v>
      </c>
      <c r="C294" s="2" t="s">
        <v>55</v>
      </c>
      <c r="D294" s="2" t="s">
        <v>31</v>
      </c>
      <c r="E294" s="2">
        <v>14</v>
      </c>
      <c r="F294" s="2">
        <v>11</v>
      </c>
      <c r="G294" s="2" t="s">
        <v>25</v>
      </c>
      <c r="H294" s="2" t="s">
        <v>37</v>
      </c>
      <c r="I294" s="2" t="s">
        <v>583</v>
      </c>
      <c r="J294" s="5">
        <v>47</v>
      </c>
    </row>
    <row r="295" spans="1:10" hidden="1" x14ac:dyDescent="0.3">
      <c r="A295" s="4" t="s">
        <v>584</v>
      </c>
      <c r="B295" s="2" t="s">
        <v>68</v>
      </c>
      <c r="C295" s="2" t="s">
        <v>55</v>
      </c>
      <c r="D295" s="2" t="s">
        <v>31</v>
      </c>
      <c r="E295" s="2">
        <v>16</v>
      </c>
      <c r="F295" s="2">
        <v>9</v>
      </c>
      <c r="G295" s="2" t="s">
        <v>14</v>
      </c>
      <c r="H295" s="2" t="s">
        <v>61</v>
      </c>
      <c r="I295" s="2" t="s">
        <v>585</v>
      </c>
      <c r="J295" s="5">
        <v>59</v>
      </c>
    </row>
    <row r="296" spans="1:10" hidden="1" x14ac:dyDescent="0.3">
      <c r="A296" s="4" t="s">
        <v>586</v>
      </c>
      <c r="B296" s="2" t="s">
        <v>11</v>
      </c>
      <c r="C296" s="2" t="s">
        <v>24</v>
      </c>
      <c r="D296" s="2" t="s">
        <v>31</v>
      </c>
      <c r="E296" s="2">
        <v>17</v>
      </c>
      <c r="F296" s="2">
        <v>11</v>
      </c>
      <c r="G296" s="2" t="s">
        <v>43</v>
      </c>
      <c r="H296" s="2" t="s">
        <v>61</v>
      </c>
      <c r="I296" s="2" t="s">
        <v>587</v>
      </c>
      <c r="J296" s="5">
        <v>73</v>
      </c>
    </row>
    <row r="297" spans="1:10" hidden="1" x14ac:dyDescent="0.3">
      <c r="A297" s="4" t="s">
        <v>588</v>
      </c>
      <c r="B297" s="2" t="s">
        <v>68</v>
      </c>
      <c r="C297" s="2" t="s">
        <v>85</v>
      </c>
      <c r="D297" s="2" t="s">
        <v>31</v>
      </c>
      <c r="E297" s="2">
        <v>17</v>
      </c>
      <c r="F297" s="2">
        <v>9</v>
      </c>
      <c r="G297" s="2" t="s">
        <v>25</v>
      </c>
      <c r="H297" s="2" t="s">
        <v>61</v>
      </c>
      <c r="I297" s="2" t="s">
        <v>589</v>
      </c>
      <c r="J297" s="5">
        <v>45</v>
      </c>
    </row>
    <row r="298" spans="1:10" hidden="1" x14ac:dyDescent="0.3">
      <c r="A298" s="4" t="s">
        <v>590</v>
      </c>
      <c r="B298" s="2" t="s">
        <v>35</v>
      </c>
      <c r="C298" s="2" t="s">
        <v>12</v>
      </c>
      <c r="D298" s="2" t="s">
        <v>13</v>
      </c>
      <c r="E298" s="2">
        <v>14</v>
      </c>
      <c r="F298" s="2">
        <v>11</v>
      </c>
      <c r="G298" s="2" t="s">
        <v>25</v>
      </c>
      <c r="H298" s="2" t="s">
        <v>20</v>
      </c>
      <c r="I298" s="2" t="s">
        <v>591</v>
      </c>
      <c r="J298" s="5">
        <v>64</v>
      </c>
    </row>
    <row r="299" spans="1:10" hidden="1" x14ac:dyDescent="0.3">
      <c r="A299" s="4" t="s">
        <v>592</v>
      </c>
      <c r="B299" s="2" t="s">
        <v>51</v>
      </c>
      <c r="C299" s="2" t="s">
        <v>19</v>
      </c>
      <c r="D299" s="2" t="s">
        <v>31</v>
      </c>
      <c r="E299" s="2">
        <v>18</v>
      </c>
      <c r="F299" s="2">
        <v>10</v>
      </c>
      <c r="G299" s="2" t="s">
        <v>43</v>
      </c>
      <c r="H299" s="2" t="s">
        <v>76</v>
      </c>
      <c r="I299" s="2" t="s">
        <v>593</v>
      </c>
      <c r="J299" s="5">
        <v>98</v>
      </c>
    </row>
    <row r="300" spans="1:10" hidden="1" x14ac:dyDescent="0.3">
      <c r="A300" s="4" t="s">
        <v>594</v>
      </c>
      <c r="B300" s="2" t="s">
        <v>54</v>
      </c>
      <c r="C300" s="2" t="s">
        <v>55</v>
      </c>
      <c r="D300" s="2" t="s">
        <v>13</v>
      </c>
      <c r="E300" s="2">
        <v>20</v>
      </c>
      <c r="F300" s="2">
        <v>11</v>
      </c>
      <c r="G300" s="2" t="s">
        <v>43</v>
      </c>
      <c r="H300" s="2" t="s">
        <v>40</v>
      </c>
      <c r="I300" s="2" t="s">
        <v>595</v>
      </c>
      <c r="J300" s="5">
        <v>84</v>
      </c>
    </row>
    <row r="301" spans="1:10" hidden="1" x14ac:dyDescent="0.3">
      <c r="A301" s="4" t="s">
        <v>596</v>
      </c>
      <c r="B301" s="2" t="s">
        <v>11</v>
      </c>
      <c r="C301" s="2" t="s">
        <v>30</v>
      </c>
      <c r="D301" s="2" t="s">
        <v>13</v>
      </c>
      <c r="E301" s="2">
        <v>14</v>
      </c>
      <c r="F301" s="2">
        <v>9</v>
      </c>
      <c r="G301" s="2" t="s">
        <v>25</v>
      </c>
      <c r="H301" s="2" t="s">
        <v>76</v>
      </c>
      <c r="I301" s="2" t="s">
        <v>447</v>
      </c>
      <c r="J301" s="5">
        <v>62</v>
      </c>
    </row>
    <row r="302" spans="1:10" hidden="1" x14ac:dyDescent="0.3">
      <c r="A302" s="4" t="s">
        <v>597</v>
      </c>
      <c r="B302" s="2" t="s">
        <v>18</v>
      </c>
      <c r="C302" s="2" t="s">
        <v>85</v>
      </c>
      <c r="D302" s="2" t="s">
        <v>31</v>
      </c>
      <c r="E302" s="2">
        <v>18</v>
      </c>
      <c r="F302" s="2">
        <v>11</v>
      </c>
      <c r="G302" s="2" t="s">
        <v>43</v>
      </c>
      <c r="H302" s="2" t="s">
        <v>40</v>
      </c>
      <c r="I302" s="2" t="s">
        <v>598</v>
      </c>
      <c r="J302" s="5">
        <v>55</v>
      </c>
    </row>
    <row r="303" spans="1:10" hidden="1" x14ac:dyDescent="0.3">
      <c r="A303" s="4" t="s">
        <v>599</v>
      </c>
      <c r="B303" s="2" t="s">
        <v>84</v>
      </c>
      <c r="C303" s="2" t="s">
        <v>30</v>
      </c>
      <c r="D303" s="2" t="s">
        <v>13</v>
      </c>
      <c r="E303" s="2">
        <v>17</v>
      </c>
      <c r="F303" s="2">
        <v>11</v>
      </c>
      <c r="G303" s="2" t="s">
        <v>43</v>
      </c>
      <c r="H303" s="2" t="s">
        <v>15</v>
      </c>
      <c r="I303" s="2" t="s">
        <v>600</v>
      </c>
      <c r="J303" s="5">
        <v>73</v>
      </c>
    </row>
    <row r="304" spans="1:10" hidden="1" x14ac:dyDescent="0.3">
      <c r="A304" s="4" t="s">
        <v>601</v>
      </c>
      <c r="B304" s="2" t="s">
        <v>73</v>
      </c>
      <c r="C304" s="2" t="s">
        <v>55</v>
      </c>
      <c r="D304" s="2" t="s">
        <v>31</v>
      </c>
      <c r="E304" s="2">
        <v>17</v>
      </c>
      <c r="F304" s="2">
        <v>11</v>
      </c>
      <c r="G304" s="2" t="s">
        <v>43</v>
      </c>
      <c r="H304" s="2" t="s">
        <v>61</v>
      </c>
      <c r="I304" s="2" t="s">
        <v>502</v>
      </c>
      <c r="J304" s="5">
        <v>76</v>
      </c>
    </row>
    <row r="305" spans="1:10" hidden="1" x14ac:dyDescent="0.3">
      <c r="A305" s="4" t="s">
        <v>602</v>
      </c>
      <c r="B305" s="2" t="s">
        <v>23</v>
      </c>
      <c r="C305" s="2" t="s">
        <v>19</v>
      </c>
      <c r="D305" s="2" t="s">
        <v>13</v>
      </c>
      <c r="E305" s="2">
        <v>15</v>
      </c>
      <c r="F305" s="2">
        <v>12</v>
      </c>
      <c r="G305" s="2" t="s">
        <v>14</v>
      </c>
      <c r="H305" s="2" t="s">
        <v>61</v>
      </c>
      <c r="I305" s="2" t="s">
        <v>603</v>
      </c>
      <c r="J305" s="5">
        <v>54</v>
      </c>
    </row>
    <row r="306" spans="1:10" x14ac:dyDescent="0.3">
      <c r="A306" s="19" t="s">
        <v>604</v>
      </c>
      <c r="B306" s="15" t="s">
        <v>51</v>
      </c>
      <c r="C306" s="15" t="s">
        <v>85</v>
      </c>
      <c r="D306" s="15" t="s">
        <v>31</v>
      </c>
      <c r="E306" s="15">
        <v>20</v>
      </c>
      <c r="F306" s="15">
        <v>12</v>
      </c>
      <c r="G306" s="15" t="s">
        <v>25</v>
      </c>
      <c r="H306" s="59" t="s">
        <v>26</v>
      </c>
      <c r="I306" s="15" t="s">
        <v>299</v>
      </c>
      <c r="J306" s="20">
        <v>69</v>
      </c>
    </row>
    <row r="307" spans="1:10" hidden="1" x14ac:dyDescent="0.3">
      <c r="A307" s="4" t="s">
        <v>605</v>
      </c>
      <c r="B307" s="2" t="s">
        <v>54</v>
      </c>
      <c r="C307" s="2" t="s">
        <v>19</v>
      </c>
      <c r="D307" s="2" t="s">
        <v>31</v>
      </c>
      <c r="E307" s="2">
        <v>20</v>
      </c>
      <c r="F307" s="2">
        <v>10</v>
      </c>
      <c r="G307" s="2" t="s">
        <v>43</v>
      </c>
      <c r="H307" s="2" t="s">
        <v>37</v>
      </c>
      <c r="I307" s="2" t="s">
        <v>606</v>
      </c>
      <c r="J307" s="5">
        <v>99</v>
      </c>
    </row>
    <row r="308" spans="1:10" hidden="1" x14ac:dyDescent="0.3">
      <c r="A308" s="4" t="s">
        <v>607</v>
      </c>
      <c r="B308" s="2" t="s">
        <v>68</v>
      </c>
      <c r="C308" s="2" t="s">
        <v>55</v>
      </c>
      <c r="D308" s="2" t="s">
        <v>13</v>
      </c>
      <c r="E308" s="2">
        <v>19</v>
      </c>
      <c r="F308" s="2">
        <v>11</v>
      </c>
      <c r="G308" s="2" t="s">
        <v>25</v>
      </c>
      <c r="H308" s="2" t="s">
        <v>20</v>
      </c>
      <c r="I308" s="2" t="s">
        <v>608</v>
      </c>
      <c r="J308" s="5">
        <v>43</v>
      </c>
    </row>
    <row r="309" spans="1:10" hidden="1" x14ac:dyDescent="0.3">
      <c r="A309" s="4" t="s">
        <v>609</v>
      </c>
      <c r="B309" s="2" t="s">
        <v>68</v>
      </c>
      <c r="C309" s="2" t="s">
        <v>58</v>
      </c>
      <c r="D309" s="2" t="s">
        <v>13</v>
      </c>
      <c r="E309" s="2">
        <v>14</v>
      </c>
      <c r="F309" s="2">
        <v>10</v>
      </c>
      <c r="G309" s="2" t="s">
        <v>25</v>
      </c>
      <c r="H309" s="2" t="s">
        <v>37</v>
      </c>
      <c r="I309" s="2" t="s">
        <v>610</v>
      </c>
      <c r="J309" s="5">
        <v>90</v>
      </c>
    </row>
    <row r="310" spans="1:10" x14ac:dyDescent="0.3">
      <c r="A310" s="19" t="s">
        <v>611</v>
      </c>
      <c r="B310" s="15" t="s">
        <v>18</v>
      </c>
      <c r="C310" s="15" t="s">
        <v>24</v>
      </c>
      <c r="D310" s="15" t="s">
        <v>31</v>
      </c>
      <c r="E310" s="15">
        <v>19</v>
      </c>
      <c r="F310" s="15">
        <v>12</v>
      </c>
      <c r="G310" s="15" t="s">
        <v>43</v>
      </c>
      <c r="H310" s="59" t="s">
        <v>26</v>
      </c>
      <c r="I310" s="15" t="s">
        <v>612</v>
      </c>
      <c r="J310" s="20">
        <v>82</v>
      </c>
    </row>
    <row r="311" spans="1:10" hidden="1" x14ac:dyDescent="0.3">
      <c r="A311" s="4" t="s">
        <v>613</v>
      </c>
      <c r="B311" s="2" t="s">
        <v>68</v>
      </c>
      <c r="C311" s="2" t="s">
        <v>85</v>
      </c>
      <c r="D311" s="2" t="s">
        <v>31</v>
      </c>
      <c r="E311" s="2">
        <v>15</v>
      </c>
      <c r="F311" s="2">
        <v>9</v>
      </c>
      <c r="G311" s="2" t="s">
        <v>32</v>
      </c>
      <c r="H311" s="2" t="s">
        <v>37</v>
      </c>
      <c r="I311" s="2" t="s">
        <v>614</v>
      </c>
      <c r="J311" s="5">
        <v>39</v>
      </c>
    </row>
    <row r="312" spans="1:10" hidden="1" x14ac:dyDescent="0.3">
      <c r="A312" s="4" t="s">
        <v>615</v>
      </c>
      <c r="B312" s="2" t="s">
        <v>18</v>
      </c>
      <c r="C312" s="2" t="s">
        <v>12</v>
      </c>
      <c r="D312" s="2" t="s">
        <v>13</v>
      </c>
      <c r="E312" s="2">
        <v>17</v>
      </c>
      <c r="F312" s="2">
        <v>12</v>
      </c>
      <c r="G312" s="2" t="s">
        <v>14</v>
      </c>
      <c r="H312" s="2" t="s">
        <v>61</v>
      </c>
      <c r="I312" s="2" t="s">
        <v>616</v>
      </c>
      <c r="J312" s="5">
        <v>99</v>
      </c>
    </row>
    <row r="313" spans="1:10" hidden="1" x14ac:dyDescent="0.3">
      <c r="A313" s="4" t="s">
        <v>617</v>
      </c>
      <c r="B313" s="2" t="s">
        <v>35</v>
      </c>
      <c r="C313" s="2" t="s">
        <v>12</v>
      </c>
      <c r="D313" s="2" t="s">
        <v>13</v>
      </c>
      <c r="E313" s="2">
        <v>15</v>
      </c>
      <c r="F313" s="2">
        <v>9</v>
      </c>
      <c r="G313" s="2" t="s">
        <v>25</v>
      </c>
      <c r="H313" s="2" t="s">
        <v>46</v>
      </c>
      <c r="I313" s="2" t="s">
        <v>155</v>
      </c>
      <c r="J313" s="5">
        <v>85</v>
      </c>
    </row>
    <row r="314" spans="1:10" hidden="1" x14ac:dyDescent="0.3">
      <c r="A314" s="4" t="s">
        <v>618</v>
      </c>
      <c r="B314" s="2" t="s">
        <v>73</v>
      </c>
      <c r="C314" s="2" t="s">
        <v>85</v>
      </c>
      <c r="D314" s="2" t="s">
        <v>31</v>
      </c>
      <c r="E314" s="2">
        <v>14</v>
      </c>
      <c r="F314" s="2">
        <v>11</v>
      </c>
      <c r="G314" s="2" t="s">
        <v>25</v>
      </c>
      <c r="H314" s="2" t="s">
        <v>20</v>
      </c>
      <c r="I314" s="2" t="s">
        <v>619</v>
      </c>
      <c r="J314" s="5">
        <v>67</v>
      </c>
    </row>
    <row r="315" spans="1:10" hidden="1" x14ac:dyDescent="0.3">
      <c r="A315" s="4" t="s">
        <v>620</v>
      </c>
      <c r="B315" s="2" t="s">
        <v>84</v>
      </c>
      <c r="C315" s="2" t="s">
        <v>24</v>
      </c>
      <c r="D315" s="2" t="s">
        <v>31</v>
      </c>
      <c r="E315" s="2">
        <v>19</v>
      </c>
      <c r="F315" s="2">
        <v>12</v>
      </c>
      <c r="G315" s="2" t="s">
        <v>14</v>
      </c>
      <c r="H315" s="2" t="s">
        <v>61</v>
      </c>
      <c r="I315" s="2" t="s">
        <v>621</v>
      </c>
      <c r="J315" s="5">
        <v>77</v>
      </c>
    </row>
    <row r="316" spans="1:10" hidden="1" x14ac:dyDescent="0.3">
      <c r="A316" s="4" t="s">
        <v>622</v>
      </c>
      <c r="B316" s="2" t="s">
        <v>23</v>
      </c>
      <c r="C316" s="2" t="s">
        <v>96</v>
      </c>
      <c r="D316" s="2" t="s">
        <v>31</v>
      </c>
      <c r="E316" s="2">
        <v>17</v>
      </c>
      <c r="F316" s="2">
        <v>12</v>
      </c>
      <c r="G316" s="2" t="s">
        <v>43</v>
      </c>
      <c r="H316" s="2" t="s">
        <v>46</v>
      </c>
      <c r="I316" s="2" t="s">
        <v>170</v>
      </c>
      <c r="J316" s="5">
        <v>62</v>
      </c>
    </row>
    <row r="317" spans="1:10" hidden="1" x14ac:dyDescent="0.3">
      <c r="A317" s="4" t="s">
        <v>623</v>
      </c>
      <c r="B317" s="2" t="s">
        <v>29</v>
      </c>
      <c r="C317" s="2" t="s">
        <v>12</v>
      </c>
      <c r="D317" s="2" t="s">
        <v>31</v>
      </c>
      <c r="E317" s="2">
        <v>19</v>
      </c>
      <c r="F317" s="2">
        <v>11</v>
      </c>
      <c r="G317" s="2" t="s">
        <v>25</v>
      </c>
      <c r="H317" s="2" t="s">
        <v>76</v>
      </c>
      <c r="I317" s="2" t="s">
        <v>624</v>
      </c>
      <c r="J317" s="5">
        <v>49</v>
      </c>
    </row>
    <row r="318" spans="1:10" hidden="1" x14ac:dyDescent="0.3">
      <c r="A318" s="4" t="s">
        <v>625</v>
      </c>
      <c r="B318" s="2" t="s">
        <v>68</v>
      </c>
      <c r="C318" s="2" t="s">
        <v>96</v>
      </c>
      <c r="D318" s="2" t="s">
        <v>31</v>
      </c>
      <c r="E318" s="2">
        <v>19</v>
      </c>
      <c r="F318" s="2">
        <v>12</v>
      </c>
      <c r="G318" s="2" t="s">
        <v>32</v>
      </c>
      <c r="H318" s="2" t="s">
        <v>15</v>
      </c>
      <c r="I318" s="2" t="s">
        <v>626</v>
      </c>
      <c r="J318" s="5">
        <v>86</v>
      </c>
    </row>
    <row r="319" spans="1:10" hidden="1" x14ac:dyDescent="0.3">
      <c r="A319" s="4" t="s">
        <v>627</v>
      </c>
      <c r="B319" s="2" t="s">
        <v>35</v>
      </c>
      <c r="C319" s="2" t="s">
        <v>85</v>
      </c>
      <c r="D319" s="2" t="s">
        <v>31</v>
      </c>
      <c r="E319" s="2">
        <v>16</v>
      </c>
      <c r="F319" s="2">
        <v>9</v>
      </c>
      <c r="G319" s="2" t="s">
        <v>43</v>
      </c>
      <c r="H319" s="2" t="s">
        <v>20</v>
      </c>
      <c r="I319" s="2" t="s">
        <v>628</v>
      </c>
      <c r="J319" s="5">
        <v>84</v>
      </c>
    </row>
    <row r="320" spans="1:10" hidden="1" x14ac:dyDescent="0.3">
      <c r="A320" s="4" t="s">
        <v>629</v>
      </c>
      <c r="B320" s="2" t="s">
        <v>35</v>
      </c>
      <c r="C320" s="2" t="s">
        <v>58</v>
      </c>
      <c r="D320" s="2" t="s">
        <v>13</v>
      </c>
      <c r="E320" s="2">
        <v>18</v>
      </c>
      <c r="F320" s="2">
        <v>9</v>
      </c>
      <c r="G320" s="2" t="s">
        <v>25</v>
      </c>
      <c r="H320" s="2" t="s">
        <v>76</v>
      </c>
      <c r="I320" s="2" t="s">
        <v>105</v>
      </c>
      <c r="J320" s="5">
        <v>82</v>
      </c>
    </row>
    <row r="321" spans="1:10" hidden="1" x14ac:dyDescent="0.3">
      <c r="A321" s="4" t="s">
        <v>630</v>
      </c>
      <c r="B321" s="2" t="s">
        <v>84</v>
      </c>
      <c r="C321" s="2" t="s">
        <v>96</v>
      </c>
      <c r="D321" s="2" t="s">
        <v>31</v>
      </c>
      <c r="E321" s="2">
        <v>19</v>
      </c>
      <c r="F321" s="2">
        <v>10</v>
      </c>
      <c r="G321" s="2" t="s">
        <v>43</v>
      </c>
      <c r="H321" s="2" t="s">
        <v>20</v>
      </c>
      <c r="I321" s="2" t="s">
        <v>631</v>
      </c>
      <c r="J321" s="5">
        <v>63</v>
      </c>
    </row>
    <row r="322" spans="1:10" hidden="1" x14ac:dyDescent="0.3">
      <c r="A322" s="4" t="s">
        <v>632</v>
      </c>
      <c r="B322" s="2" t="s">
        <v>54</v>
      </c>
      <c r="C322" s="2" t="s">
        <v>55</v>
      </c>
      <c r="D322" s="2" t="s">
        <v>31</v>
      </c>
      <c r="E322" s="2">
        <v>19</v>
      </c>
      <c r="F322" s="2">
        <v>11</v>
      </c>
      <c r="G322" s="2" t="s">
        <v>25</v>
      </c>
      <c r="H322" s="2" t="s">
        <v>61</v>
      </c>
      <c r="I322" s="2" t="s">
        <v>633</v>
      </c>
      <c r="J322" s="5">
        <v>82</v>
      </c>
    </row>
    <row r="323" spans="1:10" hidden="1" x14ac:dyDescent="0.3">
      <c r="A323" s="4" t="s">
        <v>634</v>
      </c>
      <c r="B323" s="2" t="s">
        <v>54</v>
      </c>
      <c r="C323" s="2" t="s">
        <v>30</v>
      </c>
      <c r="D323" s="2" t="s">
        <v>31</v>
      </c>
      <c r="E323" s="2">
        <v>15</v>
      </c>
      <c r="F323" s="2">
        <v>9</v>
      </c>
      <c r="G323" s="2" t="s">
        <v>25</v>
      </c>
      <c r="H323" s="2" t="s">
        <v>40</v>
      </c>
      <c r="I323" s="2" t="s">
        <v>635</v>
      </c>
      <c r="J323" s="5">
        <v>53</v>
      </c>
    </row>
    <row r="324" spans="1:10" hidden="1" x14ac:dyDescent="0.3">
      <c r="A324" s="4" t="s">
        <v>636</v>
      </c>
      <c r="B324" s="2" t="s">
        <v>11</v>
      </c>
      <c r="C324" s="2" t="s">
        <v>79</v>
      </c>
      <c r="D324" s="2" t="s">
        <v>13</v>
      </c>
      <c r="E324" s="2">
        <v>19</v>
      </c>
      <c r="F324" s="2">
        <v>9</v>
      </c>
      <c r="G324" s="2" t="s">
        <v>32</v>
      </c>
      <c r="H324" s="2" t="s">
        <v>76</v>
      </c>
      <c r="I324" s="2" t="s">
        <v>637</v>
      </c>
      <c r="J324" s="5">
        <v>97</v>
      </c>
    </row>
    <row r="325" spans="1:10" hidden="1" x14ac:dyDescent="0.3">
      <c r="A325" s="4" t="s">
        <v>638</v>
      </c>
      <c r="B325" s="2" t="s">
        <v>54</v>
      </c>
      <c r="C325" s="2" t="s">
        <v>12</v>
      </c>
      <c r="D325" s="2" t="s">
        <v>31</v>
      </c>
      <c r="E325" s="2">
        <v>15</v>
      </c>
      <c r="F325" s="2">
        <v>12</v>
      </c>
      <c r="G325" s="2" t="s">
        <v>43</v>
      </c>
      <c r="H325" s="2" t="s">
        <v>76</v>
      </c>
      <c r="I325" s="2" t="s">
        <v>639</v>
      </c>
      <c r="J325" s="5">
        <v>51</v>
      </c>
    </row>
    <row r="326" spans="1:10" hidden="1" x14ac:dyDescent="0.3">
      <c r="A326" s="4" t="s">
        <v>640</v>
      </c>
      <c r="B326" s="2" t="s">
        <v>84</v>
      </c>
      <c r="C326" s="2" t="s">
        <v>79</v>
      </c>
      <c r="D326" s="2" t="s">
        <v>31</v>
      </c>
      <c r="E326" s="2">
        <v>14</v>
      </c>
      <c r="F326" s="2">
        <v>9</v>
      </c>
      <c r="G326" s="2" t="s">
        <v>14</v>
      </c>
      <c r="H326" s="2" t="s">
        <v>37</v>
      </c>
      <c r="I326" s="2" t="s">
        <v>641</v>
      </c>
      <c r="J326" s="5">
        <v>43</v>
      </c>
    </row>
    <row r="327" spans="1:10" hidden="1" x14ac:dyDescent="0.3">
      <c r="A327" s="4" t="s">
        <v>642</v>
      </c>
      <c r="B327" s="2" t="s">
        <v>18</v>
      </c>
      <c r="C327" s="2" t="s">
        <v>19</v>
      </c>
      <c r="D327" s="2" t="s">
        <v>13</v>
      </c>
      <c r="E327" s="2">
        <v>14</v>
      </c>
      <c r="F327" s="2">
        <v>9</v>
      </c>
      <c r="G327" s="2" t="s">
        <v>43</v>
      </c>
      <c r="H327" s="2" t="s">
        <v>20</v>
      </c>
      <c r="I327" s="2" t="s">
        <v>643</v>
      </c>
      <c r="J327" s="5">
        <v>57</v>
      </c>
    </row>
    <row r="328" spans="1:10" hidden="1" x14ac:dyDescent="0.3">
      <c r="A328" s="4" t="s">
        <v>644</v>
      </c>
      <c r="B328" s="2" t="s">
        <v>51</v>
      </c>
      <c r="C328" s="2" t="s">
        <v>36</v>
      </c>
      <c r="D328" s="2" t="s">
        <v>31</v>
      </c>
      <c r="E328" s="2">
        <v>16</v>
      </c>
      <c r="F328" s="2">
        <v>11</v>
      </c>
      <c r="G328" s="2" t="s">
        <v>43</v>
      </c>
      <c r="H328" s="2" t="s">
        <v>20</v>
      </c>
      <c r="I328" s="2" t="s">
        <v>645</v>
      </c>
      <c r="J328" s="5">
        <v>81</v>
      </c>
    </row>
    <row r="329" spans="1:10" hidden="1" x14ac:dyDescent="0.3">
      <c r="A329" s="4" t="s">
        <v>646</v>
      </c>
      <c r="B329" s="2" t="s">
        <v>84</v>
      </c>
      <c r="C329" s="2" t="s">
        <v>12</v>
      </c>
      <c r="D329" s="2" t="s">
        <v>31</v>
      </c>
      <c r="E329" s="2">
        <v>17</v>
      </c>
      <c r="F329" s="2">
        <v>12</v>
      </c>
      <c r="G329" s="2" t="s">
        <v>25</v>
      </c>
      <c r="H329" s="2" t="s">
        <v>76</v>
      </c>
      <c r="I329" s="2" t="s">
        <v>647</v>
      </c>
      <c r="J329" s="5">
        <v>83</v>
      </c>
    </row>
    <row r="330" spans="1:10" hidden="1" x14ac:dyDescent="0.3">
      <c r="A330" s="4" t="s">
        <v>648</v>
      </c>
      <c r="B330" s="2" t="s">
        <v>51</v>
      </c>
      <c r="C330" s="2" t="s">
        <v>79</v>
      </c>
      <c r="D330" s="2" t="s">
        <v>13</v>
      </c>
      <c r="E330" s="2">
        <v>14</v>
      </c>
      <c r="F330" s="2">
        <v>9</v>
      </c>
      <c r="G330" s="2" t="s">
        <v>25</v>
      </c>
      <c r="H330" s="2" t="s">
        <v>15</v>
      </c>
      <c r="I330" s="2" t="s">
        <v>649</v>
      </c>
      <c r="J330" s="5">
        <v>77</v>
      </c>
    </row>
    <row r="331" spans="1:10" hidden="1" x14ac:dyDescent="0.3">
      <c r="A331" s="4" t="s">
        <v>650</v>
      </c>
      <c r="B331" s="2" t="s">
        <v>23</v>
      </c>
      <c r="C331" s="2" t="s">
        <v>24</v>
      </c>
      <c r="D331" s="2" t="s">
        <v>13</v>
      </c>
      <c r="E331" s="2">
        <v>17</v>
      </c>
      <c r="F331" s="2">
        <v>12</v>
      </c>
      <c r="G331" s="2" t="s">
        <v>25</v>
      </c>
      <c r="H331" s="2" t="s">
        <v>46</v>
      </c>
      <c r="I331" s="2" t="s">
        <v>651</v>
      </c>
      <c r="J331" s="5">
        <v>45</v>
      </c>
    </row>
    <row r="332" spans="1:10" hidden="1" x14ac:dyDescent="0.3">
      <c r="A332" s="4" t="s">
        <v>652</v>
      </c>
      <c r="B332" s="2" t="s">
        <v>51</v>
      </c>
      <c r="C332" s="2" t="s">
        <v>55</v>
      </c>
      <c r="D332" s="2" t="s">
        <v>13</v>
      </c>
      <c r="E332" s="2">
        <v>16</v>
      </c>
      <c r="F332" s="2">
        <v>12</v>
      </c>
      <c r="G332" s="2" t="s">
        <v>32</v>
      </c>
      <c r="H332" s="2" t="s">
        <v>61</v>
      </c>
      <c r="I332" s="2" t="s">
        <v>653</v>
      </c>
      <c r="J332" s="5">
        <v>45</v>
      </c>
    </row>
    <row r="333" spans="1:10" hidden="1" x14ac:dyDescent="0.3">
      <c r="A333" s="4" t="s">
        <v>654</v>
      </c>
      <c r="B333" s="2" t="s">
        <v>18</v>
      </c>
      <c r="C333" s="2" t="s">
        <v>24</v>
      </c>
      <c r="D333" s="2" t="s">
        <v>31</v>
      </c>
      <c r="E333" s="2">
        <v>14</v>
      </c>
      <c r="F333" s="2">
        <v>12</v>
      </c>
      <c r="G333" s="2" t="s">
        <v>14</v>
      </c>
      <c r="H333" s="2" t="s">
        <v>46</v>
      </c>
      <c r="I333" s="2" t="s">
        <v>655</v>
      </c>
      <c r="J333" s="5">
        <v>42</v>
      </c>
    </row>
    <row r="334" spans="1:10" hidden="1" x14ac:dyDescent="0.3">
      <c r="A334" s="4" t="s">
        <v>656</v>
      </c>
      <c r="B334" s="2" t="s">
        <v>29</v>
      </c>
      <c r="C334" s="2" t="s">
        <v>30</v>
      </c>
      <c r="D334" s="2" t="s">
        <v>13</v>
      </c>
      <c r="E334" s="2">
        <v>19</v>
      </c>
      <c r="F334" s="2">
        <v>10</v>
      </c>
      <c r="G334" s="2" t="s">
        <v>43</v>
      </c>
      <c r="H334" s="2" t="s">
        <v>15</v>
      </c>
      <c r="I334" s="2" t="s">
        <v>657</v>
      </c>
      <c r="J334" s="5">
        <v>85</v>
      </c>
    </row>
    <row r="335" spans="1:10" hidden="1" x14ac:dyDescent="0.3">
      <c r="A335" s="4" t="s">
        <v>658</v>
      </c>
      <c r="B335" s="2" t="s">
        <v>11</v>
      </c>
      <c r="C335" s="2" t="s">
        <v>96</v>
      </c>
      <c r="D335" s="2" t="s">
        <v>31</v>
      </c>
      <c r="E335" s="2">
        <v>20</v>
      </c>
      <c r="F335" s="2">
        <v>10</v>
      </c>
      <c r="G335" s="2" t="s">
        <v>43</v>
      </c>
      <c r="H335" s="2" t="s">
        <v>37</v>
      </c>
      <c r="I335" s="2" t="s">
        <v>659</v>
      </c>
      <c r="J335" s="5">
        <v>62</v>
      </c>
    </row>
    <row r="336" spans="1:10" hidden="1" x14ac:dyDescent="0.3">
      <c r="A336" s="4" t="s">
        <v>660</v>
      </c>
      <c r="B336" s="2" t="s">
        <v>23</v>
      </c>
      <c r="C336" s="2" t="s">
        <v>12</v>
      </c>
      <c r="D336" s="2" t="s">
        <v>13</v>
      </c>
      <c r="E336" s="2">
        <v>16</v>
      </c>
      <c r="F336" s="2">
        <v>11</v>
      </c>
      <c r="G336" s="2" t="s">
        <v>25</v>
      </c>
      <c r="H336" s="2" t="s">
        <v>40</v>
      </c>
      <c r="I336" s="2" t="s">
        <v>41</v>
      </c>
      <c r="J336" s="5">
        <v>86</v>
      </c>
    </row>
    <row r="337" spans="1:10" hidden="1" x14ac:dyDescent="0.3">
      <c r="A337" s="4" t="s">
        <v>661</v>
      </c>
      <c r="B337" s="2" t="s">
        <v>54</v>
      </c>
      <c r="C337" s="2" t="s">
        <v>12</v>
      </c>
      <c r="D337" s="2" t="s">
        <v>31</v>
      </c>
      <c r="E337" s="2">
        <v>19</v>
      </c>
      <c r="F337" s="2">
        <v>10</v>
      </c>
      <c r="G337" s="2" t="s">
        <v>14</v>
      </c>
      <c r="H337" s="2" t="s">
        <v>76</v>
      </c>
      <c r="I337" s="2" t="s">
        <v>662</v>
      </c>
      <c r="J337" s="5">
        <v>54</v>
      </c>
    </row>
    <row r="338" spans="1:10" hidden="1" x14ac:dyDescent="0.3">
      <c r="A338" s="4" t="s">
        <v>663</v>
      </c>
      <c r="B338" s="2" t="s">
        <v>73</v>
      </c>
      <c r="C338" s="2" t="s">
        <v>36</v>
      </c>
      <c r="D338" s="2" t="s">
        <v>13</v>
      </c>
      <c r="E338" s="2">
        <v>20</v>
      </c>
      <c r="F338" s="2">
        <v>12</v>
      </c>
      <c r="G338" s="2" t="s">
        <v>25</v>
      </c>
      <c r="H338" s="2" t="s">
        <v>40</v>
      </c>
      <c r="I338" s="2" t="s">
        <v>664</v>
      </c>
      <c r="J338" s="5">
        <v>50</v>
      </c>
    </row>
    <row r="339" spans="1:10" hidden="1" x14ac:dyDescent="0.3">
      <c r="A339" s="4" t="s">
        <v>665</v>
      </c>
      <c r="B339" s="2" t="s">
        <v>51</v>
      </c>
      <c r="C339" s="2" t="s">
        <v>96</v>
      </c>
      <c r="D339" s="2" t="s">
        <v>13</v>
      </c>
      <c r="E339" s="2">
        <v>14</v>
      </c>
      <c r="F339" s="2">
        <v>10</v>
      </c>
      <c r="G339" s="2" t="s">
        <v>14</v>
      </c>
      <c r="H339" s="2" t="s">
        <v>37</v>
      </c>
      <c r="I339" s="2" t="s">
        <v>666</v>
      </c>
      <c r="J339" s="5">
        <v>68</v>
      </c>
    </row>
    <row r="340" spans="1:10" hidden="1" x14ac:dyDescent="0.3">
      <c r="A340" s="4" t="s">
        <v>667</v>
      </c>
      <c r="B340" s="2" t="s">
        <v>35</v>
      </c>
      <c r="C340" s="2" t="s">
        <v>12</v>
      </c>
      <c r="D340" s="2" t="s">
        <v>31</v>
      </c>
      <c r="E340" s="2">
        <v>15</v>
      </c>
      <c r="F340" s="2">
        <v>12</v>
      </c>
      <c r="G340" s="2" t="s">
        <v>14</v>
      </c>
      <c r="H340" s="2" t="s">
        <v>46</v>
      </c>
      <c r="I340" s="2" t="s">
        <v>668</v>
      </c>
      <c r="J340" s="5">
        <v>82</v>
      </c>
    </row>
    <row r="341" spans="1:10" hidden="1" x14ac:dyDescent="0.3">
      <c r="A341" s="4" t="s">
        <v>669</v>
      </c>
      <c r="B341" s="2" t="s">
        <v>11</v>
      </c>
      <c r="C341" s="2" t="s">
        <v>24</v>
      </c>
      <c r="D341" s="2" t="s">
        <v>13</v>
      </c>
      <c r="E341" s="2">
        <v>19</v>
      </c>
      <c r="F341" s="2">
        <v>9</v>
      </c>
      <c r="G341" s="2" t="s">
        <v>32</v>
      </c>
      <c r="H341" s="2" t="s">
        <v>40</v>
      </c>
      <c r="I341" s="2" t="s">
        <v>670</v>
      </c>
      <c r="J341" s="5">
        <v>51</v>
      </c>
    </row>
    <row r="342" spans="1:10" hidden="1" x14ac:dyDescent="0.3">
      <c r="A342" s="4" t="s">
        <v>671</v>
      </c>
      <c r="B342" s="2" t="s">
        <v>11</v>
      </c>
      <c r="C342" s="2" t="s">
        <v>36</v>
      </c>
      <c r="D342" s="2" t="s">
        <v>13</v>
      </c>
      <c r="E342" s="2">
        <v>14</v>
      </c>
      <c r="F342" s="2">
        <v>10</v>
      </c>
      <c r="G342" s="2" t="s">
        <v>32</v>
      </c>
      <c r="H342" s="2" t="s">
        <v>40</v>
      </c>
      <c r="I342" s="2" t="s">
        <v>672</v>
      </c>
      <c r="J342" s="5">
        <v>64</v>
      </c>
    </row>
    <row r="343" spans="1:10" hidden="1" x14ac:dyDescent="0.3">
      <c r="A343" s="4" t="s">
        <v>673</v>
      </c>
      <c r="B343" s="2" t="s">
        <v>11</v>
      </c>
      <c r="C343" s="2" t="s">
        <v>19</v>
      </c>
      <c r="D343" s="2" t="s">
        <v>31</v>
      </c>
      <c r="E343" s="2">
        <v>17</v>
      </c>
      <c r="F343" s="2">
        <v>10</v>
      </c>
      <c r="G343" s="2" t="s">
        <v>32</v>
      </c>
      <c r="H343" s="2" t="s">
        <v>46</v>
      </c>
      <c r="I343" s="2" t="s">
        <v>674</v>
      </c>
      <c r="J343" s="5">
        <v>85</v>
      </c>
    </row>
    <row r="344" spans="1:10" hidden="1" x14ac:dyDescent="0.3">
      <c r="A344" s="4" t="s">
        <v>675</v>
      </c>
      <c r="B344" s="2" t="s">
        <v>73</v>
      </c>
      <c r="C344" s="2" t="s">
        <v>24</v>
      </c>
      <c r="D344" s="2" t="s">
        <v>13</v>
      </c>
      <c r="E344" s="2">
        <v>19</v>
      </c>
      <c r="F344" s="2">
        <v>11</v>
      </c>
      <c r="G344" s="2" t="s">
        <v>14</v>
      </c>
      <c r="H344" s="2" t="s">
        <v>37</v>
      </c>
      <c r="I344" s="2" t="s">
        <v>676</v>
      </c>
      <c r="J344" s="5">
        <v>51</v>
      </c>
    </row>
    <row r="345" spans="1:10" hidden="1" x14ac:dyDescent="0.3">
      <c r="A345" s="4" t="s">
        <v>677</v>
      </c>
      <c r="B345" s="2" t="s">
        <v>23</v>
      </c>
      <c r="C345" s="2" t="s">
        <v>85</v>
      </c>
      <c r="D345" s="2" t="s">
        <v>13</v>
      </c>
      <c r="E345" s="2">
        <v>20</v>
      </c>
      <c r="F345" s="2">
        <v>10</v>
      </c>
      <c r="G345" s="2" t="s">
        <v>32</v>
      </c>
      <c r="H345" s="2" t="s">
        <v>40</v>
      </c>
      <c r="I345" s="2" t="s">
        <v>678</v>
      </c>
      <c r="J345" s="5">
        <v>56</v>
      </c>
    </row>
    <row r="346" spans="1:10" hidden="1" x14ac:dyDescent="0.3">
      <c r="A346" s="4" t="s">
        <v>679</v>
      </c>
      <c r="B346" s="2" t="s">
        <v>18</v>
      </c>
      <c r="C346" s="2" t="s">
        <v>96</v>
      </c>
      <c r="D346" s="2" t="s">
        <v>13</v>
      </c>
      <c r="E346" s="2">
        <v>14</v>
      </c>
      <c r="F346" s="2">
        <v>12</v>
      </c>
      <c r="G346" s="2" t="s">
        <v>32</v>
      </c>
      <c r="H346" s="2" t="s">
        <v>46</v>
      </c>
      <c r="I346" s="2" t="s">
        <v>680</v>
      </c>
      <c r="J346" s="5">
        <v>44</v>
      </c>
    </row>
    <row r="347" spans="1:10" hidden="1" x14ac:dyDescent="0.3">
      <c r="A347" s="4" t="s">
        <v>681</v>
      </c>
      <c r="B347" s="2" t="s">
        <v>35</v>
      </c>
      <c r="C347" s="2" t="s">
        <v>36</v>
      </c>
      <c r="D347" s="2" t="s">
        <v>13</v>
      </c>
      <c r="E347" s="2">
        <v>14</v>
      </c>
      <c r="F347" s="2">
        <v>9</v>
      </c>
      <c r="G347" s="2" t="s">
        <v>43</v>
      </c>
      <c r="H347" s="2" t="s">
        <v>46</v>
      </c>
      <c r="I347" s="2" t="s">
        <v>682</v>
      </c>
      <c r="J347" s="5">
        <v>67</v>
      </c>
    </row>
    <row r="348" spans="1:10" hidden="1" x14ac:dyDescent="0.3">
      <c r="A348" s="4" t="s">
        <v>683</v>
      </c>
      <c r="B348" s="2" t="s">
        <v>84</v>
      </c>
      <c r="C348" s="2" t="s">
        <v>55</v>
      </c>
      <c r="D348" s="2" t="s">
        <v>31</v>
      </c>
      <c r="E348" s="2">
        <v>16</v>
      </c>
      <c r="F348" s="2">
        <v>12</v>
      </c>
      <c r="G348" s="2" t="s">
        <v>14</v>
      </c>
      <c r="H348" s="2" t="s">
        <v>76</v>
      </c>
      <c r="I348" s="2" t="s">
        <v>125</v>
      </c>
      <c r="J348" s="5">
        <v>60</v>
      </c>
    </row>
    <row r="349" spans="1:10" hidden="1" x14ac:dyDescent="0.3">
      <c r="A349" s="4" t="s">
        <v>684</v>
      </c>
      <c r="B349" s="2" t="s">
        <v>54</v>
      </c>
      <c r="C349" s="2" t="s">
        <v>24</v>
      </c>
      <c r="D349" s="2" t="s">
        <v>31</v>
      </c>
      <c r="E349" s="2">
        <v>17</v>
      </c>
      <c r="F349" s="2">
        <v>10</v>
      </c>
      <c r="G349" s="2" t="s">
        <v>43</v>
      </c>
      <c r="H349" s="2" t="s">
        <v>46</v>
      </c>
      <c r="I349" s="2" t="s">
        <v>685</v>
      </c>
      <c r="J349" s="5">
        <v>74</v>
      </c>
    </row>
    <row r="350" spans="1:10" hidden="1" x14ac:dyDescent="0.3">
      <c r="A350" s="4" t="s">
        <v>686</v>
      </c>
      <c r="B350" s="2" t="s">
        <v>23</v>
      </c>
      <c r="C350" s="2" t="s">
        <v>96</v>
      </c>
      <c r="D350" s="2" t="s">
        <v>31</v>
      </c>
      <c r="E350" s="2">
        <v>16</v>
      </c>
      <c r="F350" s="2">
        <v>9</v>
      </c>
      <c r="G350" s="2" t="s">
        <v>25</v>
      </c>
      <c r="H350" s="2" t="s">
        <v>20</v>
      </c>
      <c r="I350" s="2" t="s">
        <v>277</v>
      </c>
      <c r="J350" s="5">
        <v>71</v>
      </c>
    </row>
    <row r="351" spans="1:10" hidden="1" x14ac:dyDescent="0.3">
      <c r="A351" s="4" t="s">
        <v>687</v>
      </c>
      <c r="B351" s="2" t="s">
        <v>84</v>
      </c>
      <c r="C351" s="2" t="s">
        <v>19</v>
      </c>
      <c r="D351" s="2" t="s">
        <v>13</v>
      </c>
      <c r="E351" s="2">
        <v>16</v>
      </c>
      <c r="F351" s="2">
        <v>10</v>
      </c>
      <c r="G351" s="2" t="s">
        <v>25</v>
      </c>
      <c r="H351" s="2" t="s">
        <v>46</v>
      </c>
      <c r="I351" s="2" t="s">
        <v>564</v>
      </c>
      <c r="J351" s="5">
        <v>52</v>
      </c>
    </row>
    <row r="352" spans="1:10" hidden="1" x14ac:dyDescent="0.3">
      <c r="A352" s="4" t="s">
        <v>688</v>
      </c>
      <c r="B352" s="2" t="s">
        <v>23</v>
      </c>
      <c r="C352" s="2" t="s">
        <v>96</v>
      </c>
      <c r="D352" s="2" t="s">
        <v>31</v>
      </c>
      <c r="E352" s="2">
        <v>19</v>
      </c>
      <c r="F352" s="2">
        <v>10</v>
      </c>
      <c r="G352" s="2" t="s">
        <v>25</v>
      </c>
      <c r="H352" s="2" t="s">
        <v>40</v>
      </c>
      <c r="I352" s="2" t="s">
        <v>195</v>
      </c>
      <c r="J352" s="5">
        <v>55</v>
      </c>
    </row>
    <row r="353" spans="1:10" hidden="1" x14ac:dyDescent="0.3">
      <c r="A353" s="4" t="s">
        <v>689</v>
      </c>
      <c r="B353" s="2" t="s">
        <v>68</v>
      </c>
      <c r="C353" s="2" t="s">
        <v>96</v>
      </c>
      <c r="D353" s="2" t="s">
        <v>13</v>
      </c>
      <c r="E353" s="2">
        <v>20</v>
      </c>
      <c r="F353" s="2">
        <v>12</v>
      </c>
      <c r="G353" s="2" t="s">
        <v>43</v>
      </c>
      <c r="H353" s="2" t="s">
        <v>20</v>
      </c>
      <c r="I353" s="2" t="s">
        <v>626</v>
      </c>
      <c r="J353" s="5">
        <v>48</v>
      </c>
    </row>
    <row r="354" spans="1:10" hidden="1" x14ac:dyDescent="0.3">
      <c r="A354" s="4" t="s">
        <v>690</v>
      </c>
      <c r="B354" s="2" t="s">
        <v>23</v>
      </c>
      <c r="C354" s="2" t="s">
        <v>85</v>
      </c>
      <c r="D354" s="2" t="s">
        <v>13</v>
      </c>
      <c r="E354" s="2">
        <v>19</v>
      </c>
      <c r="F354" s="2">
        <v>9</v>
      </c>
      <c r="G354" s="2" t="s">
        <v>14</v>
      </c>
      <c r="H354" s="2" t="s">
        <v>76</v>
      </c>
      <c r="I354" s="2" t="s">
        <v>635</v>
      </c>
      <c r="J354" s="5">
        <v>91</v>
      </c>
    </row>
    <row r="355" spans="1:10" hidden="1" x14ac:dyDescent="0.3">
      <c r="A355" s="4" t="s">
        <v>691</v>
      </c>
      <c r="B355" s="2" t="s">
        <v>84</v>
      </c>
      <c r="C355" s="2" t="s">
        <v>55</v>
      </c>
      <c r="D355" s="2" t="s">
        <v>13</v>
      </c>
      <c r="E355" s="2">
        <v>16</v>
      </c>
      <c r="F355" s="2">
        <v>10</v>
      </c>
      <c r="G355" s="2" t="s">
        <v>43</v>
      </c>
      <c r="H355" s="2" t="s">
        <v>46</v>
      </c>
      <c r="I355" s="2" t="s">
        <v>692</v>
      </c>
      <c r="J355" s="5">
        <v>91</v>
      </c>
    </row>
    <row r="356" spans="1:10" hidden="1" x14ac:dyDescent="0.3">
      <c r="A356" s="4" t="s">
        <v>693</v>
      </c>
      <c r="B356" s="2" t="s">
        <v>73</v>
      </c>
      <c r="C356" s="2" t="s">
        <v>58</v>
      </c>
      <c r="D356" s="2" t="s">
        <v>31</v>
      </c>
      <c r="E356" s="2">
        <v>16</v>
      </c>
      <c r="F356" s="2">
        <v>11</v>
      </c>
      <c r="G356" s="2" t="s">
        <v>25</v>
      </c>
      <c r="H356" s="2" t="s">
        <v>37</v>
      </c>
      <c r="I356" s="2" t="s">
        <v>694</v>
      </c>
      <c r="J356" s="5">
        <v>65</v>
      </c>
    </row>
    <row r="357" spans="1:10" hidden="1" x14ac:dyDescent="0.3">
      <c r="A357" s="4" t="s">
        <v>695</v>
      </c>
      <c r="B357" s="2" t="s">
        <v>51</v>
      </c>
      <c r="C357" s="2" t="s">
        <v>24</v>
      </c>
      <c r="D357" s="2" t="s">
        <v>13</v>
      </c>
      <c r="E357" s="2">
        <v>17</v>
      </c>
      <c r="F357" s="2">
        <v>9</v>
      </c>
      <c r="G357" s="2" t="s">
        <v>32</v>
      </c>
      <c r="H357" s="2" t="s">
        <v>15</v>
      </c>
      <c r="I357" s="2" t="s">
        <v>696</v>
      </c>
      <c r="J357" s="5">
        <v>69</v>
      </c>
    </row>
    <row r="358" spans="1:10" hidden="1" x14ac:dyDescent="0.3">
      <c r="A358" s="4" t="s">
        <v>697</v>
      </c>
      <c r="B358" s="2" t="s">
        <v>29</v>
      </c>
      <c r="C358" s="2" t="s">
        <v>30</v>
      </c>
      <c r="D358" s="2" t="s">
        <v>31</v>
      </c>
      <c r="E358" s="2">
        <v>19</v>
      </c>
      <c r="F358" s="2">
        <v>10</v>
      </c>
      <c r="G358" s="2" t="s">
        <v>25</v>
      </c>
      <c r="H358" s="2" t="s">
        <v>61</v>
      </c>
      <c r="I358" s="2" t="s">
        <v>698</v>
      </c>
      <c r="J358" s="5">
        <v>75</v>
      </c>
    </row>
    <row r="359" spans="1:10" hidden="1" x14ac:dyDescent="0.3">
      <c r="A359" s="4" t="s">
        <v>699</v>
      </c>
      <c r="B359" s="2" t="s">
        <v>11</v>
      </c>
      <c r="C359" s="2" t="s">
        <v>30</v>
      </c>
      <c r="D359" s="2" t="s">
        <v>31</v>
      </c>
      <c r="E359" s="2">
        <v>16</v>
      </c>
      <c r="F359" s="2">
        <v>11</v>
      </c>
      <c r="G359" s="2" t="s">
        <v>43</v>
      </c>
      <c r="H359" s="2" t="s">
        <v>40</v>
      </c>
      <c r="I359" s="2" t="s">
        <v>97</v>
      </c>
      <c r="J359" s="5">
        <v>72</v>
      </c>
    </row>
    <row r="360" spans="1:10" hidden="1" x14ac:dyDescent="0.3">
      <c r="A360" s="4" t="s">
        <v>700</v>
      </c>
      <c r="B360" s="2" t="s">
        <v>23</v>
      </c>
      <c r="C360" s="2" t="s">
        <v>55</v>
      </c>
      <c r="D360" s="2" t="s">
        <v>31</v>
      </c>
      <c r="E360" s="2">
        <v>20</v>
      </c>
      <c r="F360" s="2">
        <v>10</v>
      </c>
      <c r="G360" s="2" t="s">
        <v>14</v>
      </c>
      <c r="H360" s="2" t="s">
        <v>15</v>
      </c>
      <c r="I360" s="2" t="s">
        <v>678</v>
      </c>
      <c r="J360" s="5">
        <v>59</v>
      </c>
    </row>
    <row r="361" spans="1:10" hidden="1" x14ac:dyDescent="0.3">
      <c r="A361" s="4" t="s">
        <v>701</v>
      </c>
      <c r="B361" s="2" t="s">
        <v>54</v>
      </c>
      <c r="C361" s="2" t="s">
        <v>30</v>
      </c>
      <c r="D361" s="2" t="s">
        <v>31</v>
      </c>
      <c r="E361" s="2">
        <v>15</v>
      </c>
      <c r="F361" s="2">
        <v>11</v>
      </c>
      <c r="G361" s="2" t="s">
        <v>14</v>
      </c>
      <c r="H361" s="2" t="s">
        <v>76</v>
      </c>
      <c r="I361" s="2" t="s">
        <v>702</v>
      </c>
      <c r="J361" s="5">
        <v>42</v>
      </c>
    </row>
    <row r="362" spans="1:10" hidden="1" x14ac:dyDescent="0.3">
      <c r="A362" s="4" t="s">
        <v>703</v>
      </c>
      <c r="B362" s="2" t="s">
        <v>73</v>
      </c>
      <c r="C362" s="2" t="s">
        <v>30</v>
      </c>
      <c r="D362" s="2" t="s">
        <v>31</v>
      </c>
      <c r="E362" s="2">
        <v>17</v>
      </c>
      <c r="F362" s="2">
        <v>12</v>
      </c>
      <c r="G362" s="2" t="s">
        <v>32</v>
      </c>
      <c r="H362" s="2" t="s">
        <v>40</v>
      </c>
      <c r="I362" s="2" t="s">
        <v>704</v>
      </c>
      <c r="J362" s="5">
        <v>93</v>
      </c>
    </row>
    <row r="363" spans="1:10" hidden="1" x14ac:dyDescent="0.3">
      <c r="A363" s="4" t="s">
        <v>705</v>
      </c>
      <c r="B363" s="2" t="s">
        <v>84</v>
      </c>
      <c r="C363" s="2" t="s">
        <v>55</v>
      </c>
      <c r="D363" s="2" t="s">
        <v>31</v>
      </c>
      <c r="E363" s="2">
        <v>14</v>
      </c>
      <c r="F363" s="2">
        <v>12</v>
      </c>
      <c r="G363" s="2" t="s">
        <v>43</v>
      </c>
      <c r="H363" s="2" t="s">
        <v>76</v>
      </c>
      <c r="I363" s="2" t="s">
        <v>706</v>
      </c>
      <c r="J363" s="5">
        <v>63</v>
      </c>
    </row>
    <row r="364" spans="1:10" hidden="1" x14ac:dyDescent="0.3">
      <c r="A364" s="4" t="s">
        <v>707</v>
      </c>
      <c r="B364" s="2" t="s">
        <v>68</v>
      </c>
      <c r="C364" s="2" t="s">
        <v>96</v>
      </c>
      <c r="D364" s="2" t="s">
        <v>31</v>
      </c>
      <c r="E364" s="2">
        <v>20</v>
      </c>
      <c r="F364" s="2">
        <v>12</v>
      </c>
      <c r="G364" s="2" t="s">
        <v>43</v>
      </c>
      <c r="H364" s="2" t="s">
        <v>37</v>
      </c>
      <c r="I364" s="2" t="s">
        <v>708</v>
      </c>
      <c r="J364" s="5">
        <v>35</v>
      </c>
    </row>
    <row r="365" spans="1:10" hidden="1" x14ac:dyDescent="0.3">
      <c r="A365" s="4" t="s">
        <v>709</v>
      </c>
      <c r="B365" s="2" t="s">
        <v>54</v>
      </c>
      <c r="C365" s="2" t="s">
        <v>19</v>
      </c>
      <c r="D365" s="2" t="s">
        <v>31</v>
      </c>
      <c r="E365" s="2">
        <v>18</v>
      </c>
      <c r="F365" s="2">
        <v>10</v>
      </c>
      <c r="G365" s="2" t="s">
        <v>43</v>
      </c>
      <c r="H365" s="2" t="s">
        <v>37</v>
      </c>
      <c r="I365" s="2" t="s">
        <v>710</v>
      </c>
      <c r="J365" s="5">
        <v>89</v>
      </c>
    </row>
    <row r="366" spans="1:10" hidden="1" x14ac:dyDescent="0.3">
      <c r="A366" s="4" t="s">
        <v>711</v>
      </c>
      <c r="B366" s="2" t="s">
        <v>29</v>
      </c>
      <c r="C366" s="2" t="s">
        <v>79</v>
      </c>
      <c r="D366" s="2" t="s">
        <v>13</v>
      </c>
      <c r="E366" s="2">
        <v>14</v>
      </c>
      <c r="F366" s="2">
        <v>9</v>
      </c>
      <c r="G366" s="2" t="s">
        <v>32</v>
      </c>
      <c r="H366" s="2" t="s">
        <v>15</v>
      </c>
      <c r="I366" s="2" t="s">
        <v>712</v>
      </c>
      <c r="J366" s="5">
        <v>72</v>
      </c>
    </row>
    <row r="367" spans="1:10" x14ac:dyDescent="0.3">
      <c r="A367" s="19" t="s">
        <v>713</v>
      </c>
      <c r="B367" s="15" t="s">
        <v>29</v>
      </c>
      <c r="C367" s="15" t="s">
        <v>24</v>
      </c>
      <c r="D367" s="15" t="s">
        <v>31</v>
      </c>
      <c r="E367" s="15">
        <v>16</v>
      </c>
      <c r="F367" s="15">
        <v>12</v>
      </c>
      <c r="G367" s="15" t="s">
        <v>32</v>
      </c>
      <c r="H367" s="59" t="s">
        <v>26</v>
      </c>
      <c r="I367" s="15" t="s">
        <v>714</v>
      </c>
      <c r="J367" s="20">
        <v>57</v>
      </c>
    </row>
    <row r="368" spans="1:10" hidden="1" x14ac:dyDescent="0.3">
      <c r="A368" s="4" t="s">
        <v>715</v>
      </c>
      <c r="B368" s="2" t="s">
        <v>51</v>
      </c>
      <c r="C368" s="2" t="s">
        <v>79</v>
      </c>
      <c r="D368" s="2" t="s">
        <v>13</v>
      </c>
      <c r="E368" s="2">
        <v>19</v>
      </c>
      <c r="F368" s="2">
        <v>10</v>
      </c>
      <c r="G368" s="2" t="s">
        <v>32</v>
      </c>
      <c r="H368" s="2" t="s">
        <v>40</v>
      </c>
      <c r="I368" s="2" t="s">
        <v>702</v>
      </c>
      <c r="J368" s="5">
        <v>84</v>
      </c>
    </row>
    <row r="369" spans="1:10" hidden="1" x14ac:dyDescent="0.3">
      <c r="A369" s="4" t="s">
        <v>716</v>
      </c>
      <c r="B369" s="2" t="s">
        <v>23</v>
      </c>
      <c r="C369" s="2" t="s">
        <v>58</v>
      </c>
      <c r="D369" s="2" t="s">
        <v>31</v>
      </c>
      <c r="E369" s="2">
        <v>17</v>
      </c>
      <c r="F369" s="2">
        <v>9</v>
      </c>
      <c r="G369" s="2" t="s">
        <v>25</v>
      </c>
      <c r="H369" s="2" t="s">
        <v>15</v>
      </c>
      <c r="I369" s="2" t="s">
        <v>717</v>
      </c>
      <c r="J369" s="5">
        <v>51</v>
      </c>
    </row>
    <row r="370" spans="1:10" hidden="1" x14ac:dyDescent="0.3">
      <c r="A370" s="4" t="s">
        <v>718</v>
      </c>
      <c r="B370" s="2" t="s">
        <v>84</v>
      </c>
      <c r="C370" s="2" t="s">
        <v>12</v>
      </c>
      <c r="D370" s="2" t="s">
        <v>31</v>
      </c>
      <c r="E370" s="2">
        <v>20</v>
      </c>
      <c r="F370" s="2">
        <v>10</v>
      </c>
      <c r="G370" s="2" t="s">
        <v>25</v>
      </c>
      <c r="H370" s="2" t="s">
        <v>61</v>
      </c>
      <c r="I370" s="2" t="s">
        <v>639</v>
      </c>
      <c r="J370" s="5">
        <v>35</v>
      </c>
    </row>
    <row r="371" spans="1:10" hidden="1" x14ac:dyDescent="0.3">
      <c r="A371" s="4" t="s">
        <v>719</v>
      </c>
      <c r="B371" s="2" t="s">
        <v>18</v>
      </c>
      <c r="C371" s="2" t="s">
        <v>24</v>
      </c>
      <c r="D371" s="2" t="s">
        <v>31</v>
      </c>
      <c r="E371" s="2">
        <v>18</v>
      </c>
      <c r="F371" s="2">
        <v>11</v>
      </c>
      <c r="G371" s="2" t="s">
        <v>43</v>
      </c>
      <c r="H371" s="2" t="s">
        <v>40</v>
      </c>
      <c r="I371" s="2" t="s">
        <v>720</v>
      </c>
      <c r="J371" s="5">
        <v>83</v>
      </c>
    </row>
    <row r="372" spans="1:10" x14ac:dyDescent="0.3">
      <c r="A372" s="19" t="s">
        <v>721</v>
      </c>
      <c r="B372" s="15" t="s">
        <v>23</v>
      </c>
      <c r="C372" s="15" t="s">
        <v>19</v>
      </c>
      <c r="D372" s="15" t="s">
        <v>31</v>
      </c>
      <c r="E372" s="15">
        <v>18</v>
      </c>
      <c r="F372" s="15">
        <v>10</v>
      </c>
      <c r="G372" s="15" t="s">
        <v>14</v>
      </c>
      <c r="H372" s="59" t="s">
        <v>26</v>
      </c>
      <c r="I372" s="15" t="s">
        <v>722</v>
      </c>
      <c r="J372" s="20">
        <v>43</v>
      </c>
    </row>
    <row r="373" spans="1:10" hidden="1" x14ac:dyDescent="0.3">
      <c r="A373" s="4" t="s">
        <v>723</v>
      </c>
      <c r="B373" s="2" t="s">
        <v>68</v>
      </c>
      <c r="C373" s="2" t="s">
        <v>79</v>
      </c>
      <c r="D373" s="2" t="s">
        <v>31</v>
      </c>
      <c r="E373" s="2">
        <v>19</v>
      </c>
      <c r="F373" s="2">
        <v>12</v>
      </c>
      <c r="G373" s="2" t="s">
        <v>25</v>
      </c>
      <c r="H373" s="2" t="s">
        <v>40</v>
      </c>
      <c r="I373" s="2" t="s">
        <v>724</v>
      </c>
      <c r="J373" s="5">
        <v>65</v>
      </c>
    </row>
    <row r="374" spans="1:10" hidden="1" x14ac:dyDescent="0.3">
      <c r="A374" s="4" t="s">
        <v>725</v>
      </c>
      <c r="B374" s="2" t="s">
        <v>11</v>
      </c>
      <c r="C374" s="2" t="s">
        <v>55</v>
      </c>
      <c r="D374" s="2" t="s">
        <v>31</v>
      </c>
      <c r="E374" s="2">
        <v>15</v>
      </c>
      <c r="F374" s="2">
        <v>9</v>
      </c>
      <c r="G374" s="2" t="s">
        <v>25</v>
      </c>
      <c r="H374" s="2" t="s">
        <v>37</v>
      </c>
      <c r="I374" s="2" t="s">
        <v>726</v>
      </c>
      <c r="J374" s="5">
        <v>72</v>
      </c>
    </row>
    <row r="375" spans="1:10" hidden="1" x14ac:dyDescent="0.3">
      <c r="A375" s="4" t="s">
        <v>727</v>
      </c>
      <c r="B375" s="2" t="s">
        <v>68</v>
      </c>
      <c r="C375" s="2" t="s">
        <v>12</v>
      </c>
      <c r="D375" s="2" t="s">
        <v>13</v>
      </c>
      <c r="E375" s="2">
        <v>14</v>
      </c>
      <c r="F375" s="2">
        <v>9</v>
      </c>
      <c r="G375" s="2" t="s">
        <v>14</v>
      </c>
      <c r="H375" s="2" t="s">
        <v>20</v>
      </c>
      <c r="I375" s="2" t="s">
        <v>728</v>
      </c>
      <c r="J375" s="5">
        <v>68</v>
      </c>
    </row>
    <row r="376" spans="1:10" hidden="1" x14ac:dyDescent="0.3">
      <c r="A376" s="4" t="s">
        <v>729</v>
      </c>
      <c r="B376" s="2" t="s">
        <v>35</v>
      </c>
      <c r="C376" s="2" t="s">
        <v>79</v>
      </c>
      <c r="D376" s="2" t="s">
        <v>13</v>
      </c>
      <c r="E376" s="2">
        <v>15</v>
      </c>
      <c r="F376" s="2">
        <v>9</v>
      </c>
      <c r="G376" s="2" t="s">
        <v>43</v>
      </c>
      <c r="H376" s="2" t="s">
        <v>76</v>
      </c>
      <c r="I376" s="2" t="s">
        <v>730</v>
      </c>
      <c r="J376" s="5">
        <v>39</v>
      </c>
    </row>
    <row r="377" spans="1:10" hidden="1" x14ac:dyDescent="0.3">
      <c r="A377" s="4" t="s">
        <v>731</v>
      </c>
      <c r="B377" s="2" t="s">
        <v>84</v>
      </c>
      <c r="C377" s="2" t="s">
        <v>85</v>
      </c>
      <c r="D377" s="2" t="s">
        <v>31</v>
      </c>
      <c r="E377" s="2">
        <v>17</v>
      </c>
      <c r="F377" s="2">
        <v>9</v>
      </c>
      <c r="G377" s="2" t="s">
        <v>43</v>
      </c>
      <c r="H377" s="2" t="s">
        <v>76</v>
      </c>
      <c r="I377" s="2" t="s">
        <v>732</v>
      </c>
      <c r="J377" s="5">
        <v>97</v>
      </c>
    </row>
    <row r="378" spans="1:10" hidden="1" x14ac:dyDescent="0.3">
      <c r="A378" s="4" t="s">
        <v>733</v>
      </c>
      <c r="B378" s="2" t="s">
        <v>84</v>
      </c>
      <c r="C378" s="2" t="s">
        <v>85</v>
      </c>
      <c r="D378" s="2" t="s">
        <v>31</v>
      </c>
      <c r="E378" s="2">
        <v>17</v>
      </c>
      <c r="F378" s="2">
        <v>12</v>
      </c>
      <c r="G378" s="2" t="s">
        <v>43</v>
      </c>
      <c r="H378" s="2" t="s">
        <v>15</v>
      </c>
      <c r="I378" s="2" t="s">
        <v>734</v>
      </c>
      <c r="J378" s="5">
        <v>77</v>
      </c>
    </row>
    <row r="379" spans="1:10" x14ac:dyDescent="0.3">
      <c r="A379" s="19" t="s">
        <v>735</v>
      </c>
      <c r="B379" s="15" t="s">
        <v>68</v>
      </c>
      <c r="C379" s="15" t="s">
        <v>24</v>
      </c>
      <c r="D379" s="15" t="s">
        <v>31</v>
      </c>
      <c r="E379" s="15">
        <v>16</v>
      </c>
      <c r="F379" s="15">
        <v>12</v>
      </c>
      <c r="G379" s="15" t="s">
        <v>43</v>
      </c>
      <c r="H379" s="59" t="s">
        <v>26</v>
      </c>
      <c r="I379" s="15" t="s">
        <v>736</v>
      </c>
      <c r="J379" s="20">
        <v>85</v>
      </c>
    </row>
    <row r="380" spans="1:10" hidden="1" x14ac:dyDescent="0.3">
      <c r="A380" s="4" t="s">
        <v>737</v>
      </c>
      <c r="B380" s="2" t="s">
        <v>54</v>
      </c>
      <c r="C380" s="2" t="s">
        <v>96</v>
      </c>
      <c r="D380" s="2" t="s">
        <v>13</v>
      </c>
      <c r="E380" s="2">
        <v>19</v>
      </c>
      <c r="F380" s="2">
        <v>12</v>
      </c>
      <c r="G380" s="2" t="s">
        <v>25</v>
      </c>
      <c r="H380" s="2" t="s">
        <v>20</v>
      </c>
      <c r="I380" s="2" t="s">
        <v>738</v>
      </c>
      <c r="J380" s="5">
        <v>85</v>
      </c>
    </row>
    <row r="381" spans="1:10" hidden="1" x14ac:dyDescent="0.3">
      <c r="A381" s="4" t="s">
        <v>739</v>
      </c>
      <c r="B381" s="2" t="s">
        <v>18</v>
      </c>
      <c r="C381" s="2" t="s">
        <v>79</v>
      </c>
      <c r="D381" s="2" t="s">
        <v>31</v>
      </c>
      <c r="E381" s="2">
        <v>14</v>
      </c>
      <c r="F381" s="2">
        <v>10</v>
      </c>
      <c r="G381" s="2" t="s">
        <v>32</v>
      </c>
      <c r="H381" s="2" t="s">
        <v>20</v>
      </c>
      <c r="I381" s="2" t="s">
        <v>740</v>
      </c>
      <c r="J381" s="5">
        <v>99</v>
      </c>
    </row>
    <row r="382" spans="1:10" hidden="1" x14ac:dyDescent="0.3">
      <c r="A382" s="4" t="s">
        <v>741</v>
      </c>
      <c r="B382" s="2" t="s">
        <v>54</v>
      </c>
      <c r="C382" s="2" t="s">
        <v>24</v>
      </c>
      <c r="D382" s="2" t="s">
        <v>13</v>
      </c>
      <c r="E382" s="2">
        <v>14</v>
      </c>
      <c r="F382" s="2">
        <v>9</v>
      </c>
      <c r="G382" s="2" t="s">
        <v>14</v>
      </c>
      <c r="H382" s="2" t="s">
        <v>76</v>
      </c>
      <c r="I382" s="2" t="s">
        <v>742</v>
      </c>
      <c r="J382" s="5">
        <v>55</v>
      </c>
    </row>
    <row r="383" spans="1:10" x14ac:dyDescent="0.3">
      <c r="A383" s="19" t="s">
        <v>743</v>
      </c>
      <c r="B383" s="15" t="s">
        <v>84</v>
      </c>
      <c r="C383" s="15" t="s">
        <v>19</v>
      </c>
      <c r="D383" s="15" t="s">
        <v>13</v>
      </c>
      <c r="E383" s="15">
        <v>15</v>
      </c>
      <c r="F383" s="15">
        <v>10</v>
      </c>
      <c r="G383" s="15" t="s">
        <v>43</v>
      </c>
      <c r="H383" s="59" t="s">
        <v>26</v>
      </c>
      <c r="I383" s="15" t="s">
        <v>744</v>
      </c>
      <c r="J383" s="20">
        <v>60</v>
      </c>
    </row>
    <row r="384" spans="1:10" hidden="1" x14ac:dyDescent="0.3">
      <c r="A384" s="4" t="s">
        <v>745</v>
      </c>
      <c r="B384" s="2" t="s">
        <v>73</v>
      </c>
      <c r="C384" s="2" t="s">
        <v>36</v>
      </c>
      <c r="D384" s="2" t="s">
        <v>13</v>
      </c>
      <c r="E384" s="2">
        <v>16</v>
      </c>
      <c r="F384" s="2">
        <v>9</v>
      </c>
      <c r="G384" s="2" t="s">
        <v>32</v>
      </c>
      <c r="H384" s="2" t="s">
        <v>76</v>
      </c>
      <c r="I384" s="2" t="s">
        <v>746</v>
      </c>
      <c r="J384" s="5">
        <v>38</v>
      </c>
    </row>
    <row r="385" spans="1:10" x14ac:dyDescent="0.3">
      <c r="A385" s="19" t="s">
        <v>747</v>
      </c>
      <c r="B385" s="15" t="s">
        <v>51</v>
      </c>
      <c r="C385" s="15" t="s">
        <v>96</v>
      </c>
      <c r="D385" s="15" t="s">
        <v>13</v>
      </c>
      <c r="E385" s="15">
        <v>17</v>
      </c>
      <c r="F385" s="15">
        <v>12</v>
      </c>
      <c r="G385" s="15" t="s">
        <v>14</v>
      </c>
      <c r="H385" s="59" t="s">
        <v>26</v>
      </c>
      <c r="I385" s="15" t="s">
        <v>748</v>
      </c>
      <c r="J385" s="20">
        <v>67</v>
      </c>
    </row>
    <row r="386" spans="1:10" hidden="1" x14ac:dyDescent="0.3">
      <c r="A386" s="4" t="s">
        <v>749</v>
      </c>
      <c r="B386" s="2" t="s">
        <v>84</v>
      </c>
      <c r="C386" s="2" t="s">
        <v>30</v>
      </c>
      <c r="D386" s="2" t="s">
        <v>13</v>
      </c>
      <c r="E386" s="2">
        <v>15</v>
      </c>
      <c r="F386" s="2">
        <v>12</v>
      </c>
      <c r="G386" s="2" t="s">
        <v>25</v>
      </c>
      <c r="H386" s="2" t="s">
        <v>61</v>
      </c>
      <c r="I386" s="2" t="s">
        <v>750</v>
      </c>
      <c r="J386" s="5">
        <v>95</v>
      </c>
    </row>
    <row r="387" spans="1:10" hidden="1" x14ac:dyDescent="0.3">
      <c r="A387" s="4" t="s">
        <v>751</v>
      </c>
      <c r="B387" s="2" t="s">
        <v>73</v>
      </c>
      <c r="C387" s="2" t="s">
        <v>79</v>
      </c>
      <c r="D387" s="2" t="s">
        <v>31</v>
      </c>
      <c r="E387" s="2">
        <v>20</v>
      </c>
      <c r="F387" s="2">
        <v>12</v>
      </c>
      <c r="G387" s="2" t="s">
        <v>25</v>
      </c>
      <c r="H387" s="2" t="s">
        <v>76</v>
      </c>
      <c r="I387" s="2" t="s">
        <v>752</v>
      </c>
      <c r="J387" s="5">
        <v>91</v>
      </c>
    </row>
    <row r="388" spans="1:10" hidden="1" x14ac:dyDescent="0.3">
      <c r="A388" s="4" t="s">
        <v>753</v>
      </c>
      <c r="B388" s="2" t="s">
        <v>73</v>
      </c>
      <c r="C388" s="2" t="s">
        <v>24</v>
      </c>
      <c r="D388" s="2" t="s">
        <v>13</v>
      </c>
      <c r="E388" s="2">
        <v>18</v>
      </c>
      <c r="F388" s="2">
        <v>11</v>
      </c>
      <c r="G388" s="2" t="s">
        <v>32</v>
      </c>
      <c r="H388" s="2" t="s">
        <v>40</v>
      </c>
      <c r="I388" s="2" t="s">
        <v>313</v>
      </c>
      <c r="J388" s="5">
        <v>58</v>
      </c>
    </row>
    <row r="389" spans="1:10" hidden="1" x14ac:dyDescent="0.3">
      <c r="A389" s="4" t="s">
        <v>754</v>
      </c>
      <c r="B389" s="2" t="s">
        <v>54</v>
      </c>
      <c r="C389" s="2" t="s">
        <v>12</v>
      </c>
      <c r="D389" s="2" t="s">
        <v>13</v>
      </c>
      <c r="E389" s="2">
        <v>14</v>
      </c>
      <c r="F389" s="2">
        <v>12</v>
      </c>
      <c r="G389" s="2" t="s">
        <v>32</v>
      </c>
      <c r="H389" s="2" t="s">
        <v>20</v>
      </c>
      <c r="I389" s="2" t="s">
        <v>755</v>
      </c>
      <c r="J389" s="5">
        <v>98</v>
      </c>
    </row>
    <row r="390" spans="1:10" hidden="1" x14ac:dyDescent="0.3">
      <c r="A390" s="4" t="s">
        <v>756</v>
      </c>
      <c r="B390" s="2" t="s">
        <v>11</v>
      </c>
      <c r="C390" s="2" t="s">
        <v>30</v>
      </c>
      <c r="D390" s="2" t="s">
        <v>13</v>
      </c>
      <c r="E390" s="2">
        <v>15</v>
      </c>
      <c r="F390" s="2">
        <v>11</v>
      </c>
      <c r="G390" s="2" t="s">
        <v>14</v>
      </c>
      <c r="H390" s="2" t="s">
        <v>76</v>
      </c>
      <c r="I390" s="2" t="s">
        <v>757</v>
      </c>
      <c r="J390" s="5">
        <v>39</v>
      </c>
    </row>
    <row r="391" spans="1:10" hidden="1" x14ac:dyDescent="0.3">
      <c r="A391" s="4" t="s">
        <v>758</v>
      </c>
      <c r="B391" s="2" t="s">
        <v>73</v>
      </c>
      <c r="C391" s="2" t="s">
        <v>12</v>
      </c>
      <c r="D391" s="2" t="s">
        <v>31</v>
      </c>
      <c r="E391" s="2">
        <v>16</v>
      </c>
      <c r="F391" s="2">
        <v>11</v>
      </c>
      <c r="G391" s="2" t="s">
        <v>43</v>
      </c>
      <c r="H391" s="2" t="s">
        <v>40</v>
      </c>
      <c r="I391" s="2" t="s">
        <v>759</v>
      </c>
      <c r="J391" s="5">
        <v>70</v>
      </c>
    </row>
    <row r="392" spans="1:10" hidden="1" x14ac:dyDescent="0.3">
      <c r="A392" s="4" t="s">
        <v>760</v>
      </c>
      <c r="B392" s="2" t="s">
        <v>84</v>
      </c>
      <c r="C392" s="2" t="s">
        <v>96</v>
      </c>
      <c r="D392" s="2" t="s">
        <v>31</v>
      </c>
      <c r="E392" s="2">
        <v>16</v>
      </c>
      <c r="F392" s="2">
        <v>11</v>
      </c>
      <c r="G392" s="2" t="s">
        <v>32</v>
      </c>
      <c r="H392" s="2" t="s">
        <v>76</v>
      </c>
      <c r="I392" s="2" t="s">
        <v>761</v>
      </c>
      <c r="J392" s="5">
        <v>83</v>
      </c>
    </row>
    <row r="393" spans="1:10" hidden="1" x14ac:dyDescent="0.3">
      <c r="A393" s="4" t="s">
        <v>762</v>
      </c>
      <c r="B393" s="2" t="s">
        <v>68</v>
      </c>
      <c r="C393" s="2" t="s">
        <v>85</v>
      </c>
      <c r="D393" s="2" t="s">
        <v>31</v>
      </c>
      <c r="E393" s="2">
        <v>20</v>
      </c>
      <c r="F393" s="2">
        <v>12</v>
      </c>
      <c r="G393" s="2" t="s">
        <v>43</v>
      </c>
      <c r="H393" s="2" t="s">
        <v>20</v>
      </c>
      <c r="I393" s="2" t="s">
        <v>763</v>
      </c>
      <c r="J393" s="5">
        <v>82</v>
      </c>
    </row>
    <row r="394" spans="1:10" hidden="1" x14ac:dyDescent="0.3">
      <c r="A394" s="4" t="s">
        <v>764</v>
      </c>
      <c r="B394" s="2" t="s">
        <v>18</v>
      </c>
      <c r="C394" s="2" t="s">
        <v>55</v>
      </c>
      <c r="D394" s="2" t="s">
        <v>13</v>
      </c>
      <c r="E394" s="2">
        <v>16</v>
      </c>
      <c r="F394" s="2">
        <v>12</v>
      </c>
      <c r="G394" s="2" t="s">
        <v>14</v>
      </c>
      <c r="H394" s="2" t="s">
        <v>40</v>
      </c>
      <c r="I394" s="2" t="s">
        <v>765</v>
      </c>
      <c r="J394" s="5">
        <v>61</v>
      </c>
    </row>
    <row r="395" spans="1:10" hidden="1" x14ac:dyDescent="0.3">
      <c r="A395" s="4" t="s">
        <v>766</v>
      </c>
      <c r="B395" s="2" t="s">
        <v>35</v>
      </c>
      <c r="C395" s="2" t="s">
        <v>58</v>
      </c>
      <c r="D395" s="2" t="s">
        <v>13</v>
      </c>
      <c r="E395" s="2">
        <v>20</v>
      </c>
      <c r="F395" s="2">
        <v>11</v>
      </c>
      <c r="G395" s="2" t="s">
        <v>32</v>
      </c>
      <c r="H395" s="2" t="s">
        <v>46</v>
      </c>
      <c r="I395" s="2" t="s">
        <v>767</v>
      </c>
      <c r="J395" s="5">
        <v>54</v>
      </c>
    </row>
    <row r="396" spans="1:10" hidden="1" x14ac:dyDescent="0.3">
      <c r="A396" s="4" t="s">
        <v>768</v>
      </c>
      <c r="B396" s="2" t="s">
        <v>23</v>
      </c>
      <c r="C396" s="2" t="s">
        <v>24</v>
      </c>
      <c r="D396" s="2" t="s">
        <v>13</v>
      </c>
      <c r="E396" s="2">
        <v>17</v>
      </c>
      <c r="F396" s="2">
        <v>11</v>
      </c>
      <c r="G396" s="2" t="s">
        <v>25</v>
      </c>
      <c r="H396" s="2" t="s">
        <v>40</v>
      </c>
      <c r="I396" s="2" t="s">
        <v>258</v>
      </c>
      <c r="J396" s="5">
        <v>61</v>
      </c>
    </row>
    <row r="397" spans="1:10" hidden="1" x14ac:dyDescent="0.3">
      <c r="A397" s="4" t="s">
        <v>769</v>
      </c>
      <c r="B397" s="2" t="s">
        <v>35</v>
      </c>
      <c r="C397" s="2" t="s">
        <v>30</v>
      </c>
      <c r="D397" s="2" t="s">
        <v>13</v>
      </c>
      <c r="E397" s="2">
        <v>16</v>
      </c>
      <c r="F397" s="2">
        <v>11</v>
      </c>
      <c r="G397" s="2" t="s">
        <v>32</v>
      </c>
      <c r="H397" s="2" t="s">
        <v>46</v>
      </c>
      <c r="I397" s="2" t="s">
        <v>770</v>
      </c>
      <c r="J397" s="5">
        <v>85</v>
      </c>
    </row>
    <row r="398" spans="1:10" hidden="1" x14ac:dyDescent="0.3">
      <c r="A398" s="4" t="s">
        <v>771</v>
      </c>
      <c r="B398" s="2" t="s">
        <v>23</v>
      </c>
      <c r="C398" s="2" t="s">
        <v>24</v>
      </c>
      <c r="D398" s="2" t="s">
        <v>31</v>
      </c>
      <c r="E398" s="2">
        <v>18</v>
      </c>
      <c r="F398" s="2">
        <v>11</v>
      </c>
      <c r="G398" s="2" t="s">
        <v>25</v>
      </c>
      <c r="H398" s="2" t="s">
        <v>46</v>
      </c>
      <c r="I398" s="2" t="s">
        <v>772</v>
      </c>
      <c r="J398" s="5">
        <v>89</v>
      </c>
    </row>
    <row r="399" spans="1:10" hidden="1" x14ac:dyDescent="0.3">
      <c r="A399" s="4" t="s">
        <v>773</v>
      </c>
      <c r="B399" s="2" t="s">
        <v>68</v>
      </c>
      <c r="C399" s="2" t="s">
        <v>19</v>
      </c>
      <c r="D399" s="2" t="s">
        <v>13</v>
      </c>
      <c r="E399" s="2">
        <v>14</v>
      </c>
      <c r="F399" s="2">
        <v>11</v>
      </c>
      <c r="G399" s="2" t="s">
        <v>14</v>
      </c>
      <c r="H399" s="2" t="s">
        <v>20</v>
      </c>
      <c r="I399" s="2" t="s">
        <v>774</v>
      </c>
      <c r="J399" s="5">
        <v>72</v>
      </c>
    </row>
    <row r="400" spans="1:10" hidden="1" x14ac:dyDescent="0.3">
      <c r="A400" s="4" t="s">
        <v>775</v>
      </c>
      <c r="B400" s="2" t="s">
        <v>29</v>
      </c>
      <c r="C400" s="2" t="s">
        <v>85</v>
      </c>
      <c r="D400" s="2" t="s">
        <v>31</v>
      </c>
      <c r="E400" s="2">
        <v>20</v>
      </c>
      <c r="F400" s="2">
        <v>10</v>
      </c>
      <c r="G400" s="2" t="s">
        <v>14</v>
      </c>
      <c r="H400" s="2" t="s">
        <v>46</v>
      </c>
      <c r="I400" s="2" t="s">
        <v>366</v>
      </c>
      <c r="J400" s="5">
        <v>100</v>
      </c>
    </row>
    <row r="401" spans="1:10" hidden="1" x14ac:dyDescent="0.3">
      <c r="A401" s="4" t="s">
        <v>776</v>
      </c>
      <c r="B401" s="2" t="s">
        <v>11</v>
      </c>
      <c r="C401" s="2" t="s">
        <v>12</v>
      </c>
      <c r="D401" s="2" t="s">
        <v>31</v>
      </c>
      <c r="E401" s="2">
        <v>20</v>
      </c>
      <c r="F401" s="2">
        <v>9</v>
      </c>
      <c r="G401" s="2" t="s">
        <v>14</v>
      </c>
      <c r="H401" s="2" t="s">
        <v>76</v>
      </c>
      <c r="I401" s="2" t="s">
        <v>777</v>
      </c>
      <c r="J401" s="5">
        <v>84</v>
      </c>
    </row>
    <row r="402" spans="1:10" hidden="1" x14ac:dyDescent="0.3">
      <c r="A402" s="4" t="s">
        <v>778</v>
      </c>
      <c r="B402" s="2" t="s">
        <v>73</v>
      </c>
      <c r="C402" s="2" t="s">
        <v>19</v>
      </c>
      <c r="D402" s="2" t="s">
        <v>13</v>
      </c>
      <c r="E402" s="2">
        <v>17</v>
      </c>
      <c r="F402" s="2">
        <v>12</v>
      </c>
      <c r="G402" s="2" t="s">
        <v>14</v>
      </c>
      <c r="H402" s="2" t="s">
        <v>37</v>
      </c>
      <c r="I402" s="2" t="s">
        <v>779</v>
      </c>
      <c r="J402" s="5">
        <v>76</v>
      </c>
    </row>
    <row r="403" spans="1:10" hidden="1" x14ac:dyDescent="0.3">
      <c r="A403" s="4" t="s">
        <v>780</v>
      </c>
      <c r="B403" s="2" t="s">
        <v>35</v>
      </c>
      <c r="C403" s="2" t="s">
        <v>36</v>
      </c>
      <c r="D403" s="2" t="s">
        <v>31</v>
      </c>
      <c r="E403" s="2">
        <v>14</v>
      </c>
      <c r="F403" s="2">
        <v>9</v>
      </c>
      <c r="G403" s="2" t="s">
        <v>25</v>
      </c>
      <c r="H403" s="2" t="s">
        <v>40</v>
      </c>
      <c r="I403" s="2" t="s">
        <v>781</v>
      </c>
      <c r="J403" s="5">
        <v>36</v>
      </c>
    </row>
    <row r="404" spans="1:10" hidden="1" x14ac:dyDescent="0.3">
      <c r="A404" s="4" t="s">
        <v>782</v>
      </c>
      <c r="B404" s="2" t="s">
        <v>84</v>
      </c>
      <c r="C404" s="2" t="s">
        <v>12</v>
      </c>
      <c r="D404" s="2" t="s">
        <v>31</v>
      </c>
      <c r="E404" s="2">
        <v>14</v>
      </c>
      <c r="F404" s="2">
        <v>11</v>
      </c>
      <c r="G404" s="2" t="s">
        <v>14</v>
      </c>
      <c r="H404" s="2" t="s">
        <v>37</v>
      </c>
      <c r="I404" s="2" t="s">
        <v>252</v>
      </c>
      <c r="J404" s="5">
        <v>95</v>
      </c>
    </row>
    <row r="405" spans="1:10" hidden="1" x14ac:dyDescent="0.3">
      <c r="A405" s="4" t="s">
        <v>783</v>
      </c>
      <c r="B405" s="2" t="s">
        <v>54</v>
      </c>
      <c r="C405" s="2" t="s">
        <v>79</v>
      </c>
      <c r="D405" s="2" t="s">
        <v>31</v>
      </c>
      <c r="E405" s="2">
        <v>15</v>
      </c>
      <c r="F405" s="2">
        <v>11</v>
      </c>
      <c r="G405" s="2" t="s">
        <v>25</v>
      </c>
      <c r="H405" s="2" t="s">
        <v>61</v>
      </c>
      <c r="I405" s="2" t="s">
        <v>628</v>
      </c>
      <c r="J405" s="5">
        <v>39</v>
      </c>
    </row>
    <row r="406" spans="1:10" hidden="1" x14ac:dyDescent="0.3">
      <c r="A406" s="4" t="s">
        <v>784</v>
      </c>
      <c r="B406" s="2" t="s">
        <v>84</v>
      </c>
      <c r="C406" s="2" t="s">
        <v>12</v>
      </c>
      <c r="D406" s="2" t="s">
        <v>13</v>
      </c>
      <c r="E406" s="2">
        <v>17</v>
      </c>
      <c r="F406" s="2">
        <v>9</v>
      </c>
      <c r="G406" s="2" t="s">
        <v>43</v>
      </c>
      <c r="H406" s="2" t="s">
        <v>76</v>
      </c>
      <c r="I406" s="2" t="s">
        <v>685</v>
      </c>
      <c r="J406" s="5">
        <v>89</v>
      </c>
    </row>
    <row r="407" spans="1:10" hidden="1" x14ac:dyDescent="0.3">
      <c r="A407" s="4" t="s">
        <v>785</v>
      </c>
      <c r="B407" s="2" t="s">
        <v>35</v>
      </c>
      <c r="C407" s="2" t="s">
        <v>58</v>
      </c>
      <c r="D407" s="2" t="s">
        <v>13</v>
      </c>
      <c r="E407" s="2">
        <v>18</v>
      </c>
      <c r="F407" s="2">
        <v>12</v>
      </c>
      <c r="G407" s="2" t="s">
        <v>43</v>
      </c>
      <c r="H407" s="2" t="s">
        <v>20</v>
      </c>
      <c r="I407" s="2" t="s">
        <v>786</v>
      </c>
      <c r="J407" s="5">
        <v>93</v>
      </c>
    </row>
    <row r="408" spans="1:10" hidden="1" x14ac:dyDescent="0.3">
      <c r="A408" s="4" t="s">
        <v>787</v>
      </c>
      <c r="B408" s="2" t="s">
        <v>18</v>
      </c>
      <c r="C408" s="2" t="s">
        <v>36</v>
      </c>
      <c r="D408" s="2" t="s">
        <v>31</v>
      </c>
      <c r="E408" s="2">
        <v>16</v>
      </c>
      <c r="F408" s="2">
        <v>9</v>
      </c>
      <c r="G408" s="2" t="s">
        <v>14</v>
      </c>
      <c r="H408" s="2" t="s">
        <v>76</v>
      </c>
      <c r="I408" s="2" t="s">
        <v>788</v>
      </c>
      <c r="J408" s="5">
        <v>88</v>
      </c>
    </row>
    <row r="409" spans="1:10" hidden="1" x14ac:dyDescent="0.3">
      <c r="A409" s="4" t="s">
        <v>789</v>
      </c>
      <c r="B409" s="2" t="s">
        <v>54</v>
      </c>
      <c r="C409" s="2" t="s">
        <v>12</v>
      </c>
      <c r="D409" s="2" t="s">
        <v>31</v>
      </c>
      <c r="E409" s="2">
        <v>18</v>
      </c>
      <c r="F409" s="2">
        <v>10</v>
      </c>
      <c r="G409" s="2" t="s">
        <v>25</v>
      </c>
      <c r="H409" s="2" t="s">
        <v>15</v>
      </c>
      <c r="I409" s="2" t="s">
        <v>790</v>
      </c>
      <c r="J409" s="5">
        <v>95</v>
      </c>
    </row>
    <row r="410" spans="1:10" hidden="1" x14ac:dyDescent="0.3">
      <c r="A410" s="4" t="s">
        <v>791</v>
      </c>
      <c r="B410" s="2" t="s">
        <v>51</v>
      </c>
      <c r="C410" s="2" t="s">
        <v>85</v>
      </c>
      <c r="D410" s="2" t="s">
        <v>13</v>
      </c>
      <c r="E410" s="2">
        <v>14</v>
      </c>
      <c r="F410" s="2">
        <v>9</v>
      </c>
      <c r="G410" s="2" t="s">
        <v>43</v>
      </c>
      <c r="H410" s="2" t="s">
        <v>61</v>
      </c>
      <c r="I410" s="2" t="s">
        <v>792</v>
      </c>
      <c r="J410" s="5">
        <v>96</v>
      </c>
    </row>
    <row r="411" spans="1:10" hidden="1" x14ac:dyDescent="0.3">
      <c r="A411" s="4" t="s">
        <v>793</v>
      </c>
      <c r="B411" s="2" t="s">
        <v>35</v>
      </c>
      <c r="C411" s="2" t="s">
        <v>19</v>
      </c>
      <c r="D411" s="2" t="s">
        <v>31</v>
      </c>
      <c r="E411" s="2">
        <v>20</v>
      </c>
      <c r="F411" s="2">
        <v>11</v>
      </c>
      <c r="G411" s="2" t="s">
        <v>32</v>
      </c>
      <c r="H411" s="2" t="s">
        <v>20</v>
      </c>
      <c r="I411" s="2" t="s">
        <v>794</v>
      </c>
      <c r="J411" s="5">
        <v>74</v>
      </c>
    </row>
    <row r="412" spans="1:10" hidden="1" x14ac:dyDescent="0.3">
      <c r="A412" s="4" t="s">
        <v>795</v>
      </c>
      <c r="B412" s="2" t="s">
        <v>54</v>
      </c>
      <c r="C412" s="2" t="s">
        <v>30</v>
      </c>
      <c r="D412" s="2" t="s">
        <v>13</v>
      </c>
      <c r="E412" s="2">
        <v>18</v>
      </c>
      <c r="F412" s="2">
        <v>12</v>
      </c>
      <c r="G412" s="2" t="s">
        <v>32</v>
      </c>
      <c r="H412" s="2" t="s">
        <v>20</v>
      </c>
      <c r="I412" s="2" t="s">
        <v>796</v>
      </c>
      <c r="J412" s="5">
        <v>55</v>
      </c>
    </row>
    <row r="413" spans="1:10" hidden="1" x14ac:dyDescent="0.3">
      <c r="A413" s="4" t="s">
        <v>797</v>
      </c>
      <c r="B413" s="2" t="s">
        <v>23</v>
      </c>
      <c r="C413" s="2" t="s">
        <v>85</v>
      </c>
      <c r="D413" s="2" t="s">
        <v>13</v>
      </c>
      <c r="E413" s="2">
        <v>17</v>
      </c>
      <c r="F413" s="2">
        <v>12</v>
      </c>
      <c r="G413" s="2" t="s">
        <v>14</v>
      </c>
      <c r="H413" s="2" t="s">
        <v>76</v>
      </c>
      <c r="I413" s="2" t="s">
        <v>71</v>
      </c>
      <c r="J413" s="5">
        <v>77</v>
      </c>
    </row>
    <row r="414" spans="1:10" hidden="1" x14ac:dyDescent="0.3">
      <c r="A414" s="4" t="s">
        <v>798</v>
      </c>
      <c r="B414" s="2" t="s">
        <v>23</v>
      </c>
      <c r="C414" s="2" t="s">
        <v>19</v>
      </c>
      <c r="D414" s="2" t="s">
        <v>13</v>
      </c>
      <c r="E414" s="2">
        <v>17</v>
      </c>
      <c r="F414" s="2">
        <v>12</v>
      </c>
      <c r="G414" s="2" t="s">
        <v>14</v>
      </c>
      <c r="H414" s="2" t="s">
        <v>40</v>
      </c>
      <c r="I414" s="2" t="s">
        <v>159</v>
      </c>
      <c r="J414" s="5">
        <v>95</v>
      </c>
    </row>
    <row r="415" spans="1:10" hidden="1" x14ac:dyDescent="0.3">
      <c r="A415" s="4" t="s">
        <v>799</v>
      </c>
      <c r="B415" s="2" t="s">
        <v>54</v>
      </c>
      <c r="C415" s="2" t="s">
        <v>36</v>
      </c>
      <c r="D415" s="2" t="s">
        <v>31</v>
      </c>
      <c r="E415" s="2">
        <v>17</v>
      </c>
      <c r="F415" s="2">
        <v>12</v>
      </c>
      <c r="G415" s="2" t="s">
        <v>14</v>
      </c>
      <c r="H415" s="2" t="s">
        <v>46</v>
      </c>
      <c r="I415" s="2" t="s">
        <v>533</v>
      </c>
      <c r="J415" s="5">
        <v>59</v>
      </c>
    </row>
    <row r="416" spans="1:10" hidden="1" x14ac:dyDescent="0.3">
      <c r="A416" s="4" t="s">
        <v>800</v>
      </c>
      <c r="B416" s="2" t="s">
        <v>23</v>
      </c>
      <c r="C416" s="2" t="s">
        <v>79</v>
      </c>
      <c r="D416" s="2" t="s">
        <v>31</v>
      </c>
      <c r="E416" s="2">
        <v>18</v>
      </c>
      <c r="F416" s="2">
        <v>11</v>
      </c>
      <c r="G416" s="2" t="s">
        <v>32</v>
      </c>
      <c r="H416" s="2" t="s">
        <v>76</v>
      </c>
      <c r="I416" s="2" t="s">
        <v>801</v>
      </c>
      <c r="J416" s="5">
        <v>97</v>
      </c>
    </row>
    <row r="417" spans="1:10" hidden="1" x14ac:dyDescent="0.3">
      <c r="A417" s="4" t="s">
        <v>802</v>
      </c>
      <c r="B417" s="2" t="s">
        <v>29</v>
      </c>
      <c r="C417" s="2" t="s">
        <v>96</v>
      </c>
      <c r="D417" s="2" t="s">
        <v>13</v>
      </c>
      <c r="E417" s="2">
        <v>14</v>
      </c>
      <c r="F417" s="2">
        <v>10</v>
      </c>
      <c r="G417" s="2" t="s">
        <v>25</v>
      </c>
      <c r="H417" s="2" t="s">
        <v>61</v>
      </c>
      <c r="I417" s="2" t="s">
        <v>803</v>
      </c>
      <c r="J417" s="5">
        <v>89</v>
      </c>
    </row>
    <row r="418" spans="1:10" hidden="1" x14ac:dyDescent="0.3">
      <c r="A418" s="4" t="s">
        <v>804</v>
      </c>
      <c r="B418" s="2" t="s">
        <v>54</v>
      </c>
      <c r="C418" s="2" t="s">
        <v>79</v>
      </c>
      <c r="D418" s="2" t="s">
        <v>13</v>
      </c>
      <c r="E418" s="2">
        <v>19</v>
      </c>
      <c r="F418" s="2">
        <v>9</v>
      </c>
      <c r="G418" s="2" t="s">
        <v>25</v>
      </c>
      <c r="H418" s="2" t="s">
        <v>61</v>
      </c>
      <c r="I418" s="2" t="s">
        <v>56</v>
      </c>
      <c r="J418" s="5">
        <v>43</v>
      </c>
    </row>
    <row r="419" spans="1:10" hidden="1" x14ac:dyDescent="0.3">
      <c r="A419" s="4" t="s">
        <v>805</v>
      </c>
      <c r="B419" s="2" t="s">
        <v>29</v>
      </c>
      <c r="C419" s="2" t="s">
        <v>36</v>
      </c>
      <c r="D419" s="2" t="s">
        <v>31</v>
      </c>
      <c r="E419" s="2">
        <v>17</v>
      </c>
      <c r="F419" s="2">
        <v>10</v>
      </c>
      <c r="G419" s="2" t="s">
        <v>25</v>
      </c>
      <c r="H419" s="2" t="s">
        <v>15</v>
      </c>
      <c r="I419" s="2" t="s">
        <v>806</v>
      </c>
      <c r="J419" s="5">
        <v>59</v>
      </c>
    </row>
    <row r="420" spans="1:10" hidden="1" x14ac:dyDescent="0.3">
      <c r="A420" s="4" t="s">
        <v>807</v>
      </c>
      <c r="B420" s="2" t="s">
        <v>68</v>
      </c>
      <c r="C420" s="2" t="s">
        <v>79</v>
      </c>
      <c r="D420" s="2" t="s">
        <v>31</v>
      </c>
      <c r="E420" s="2">
        <v>16</v>
      </c>
      <c r="F420" s="2">
        <v>10</v>
      </c>
      <c r="G420" s="2" t="s">
        <v>43</v>
      </c>
      <c r="H420" s="2" t="s">
        <v>76</v>
      </c>
      <c r="I420" s="2" t="s">
        <v>305</v>
      </c>
      <c r="J420" s="5">
        <v>40</v>
      </c>
    </row>
    <row r="421" spans="1:10" hidden="1" x14ac:dyDescent="0.3">
      <c r="A421" s="4" t="s">
        <v>808</v>
      </c>
      <c r="B421" s="2" t="s">
        <v>54</v>
      </c>
      <c r="C421" s="2" t="s">
        <v>24</v>
      </c>
      <c r="D421" s="2" t="s">
        <v>13</v>
      </c>
      <c r="E421" s="2">
        <v>14</v>
      </c>
      <c r="F421" s="2">
        <v>9</v>
      </c>
      <c r="G421" s="2" t="s">
        <v>25</v>
      </c>
      <c r="H421" s="2" t="s">
        <v>46</v>
      </c>
      <c r="I421" s="2" t="s">
        <v>809</v>
      </c>
      <c r="J421" s="5">
        <v>92</v>
      </c>
    </row>
    <row r="422" spans="1:10" hidden="1" x14ac:dyDescent="0.3">
      <c r="A422" s="4" t="s">
        <v>810</v>
      </c>
      <c r="B422" s="2" t="s">
        <v>73</v>
      </c>
      <c r="C422" s="2" t="s">
        <v>12</v>
      </c>
      <c r="D422" s="2" t="s">
        <v>13</v>
      </c>
      <c r="E422" s="2">
        <v>14</v>
      </c>
      <c r="F422" s="2">
        <v>10</v>
      </c>
      <c r="G422" s="2" t="s">
        <v>14</v>
      </c>
      <c r="H422" s="2" t="s">
        <v>46</v>
      </c>
      <c r="I422" s="2" t="s">
        <v>385</v>
      </c>
      <c r="J422" s="5">
        <v>49</v>
      </c>
    </row>
    <row r="423" spans="1:10" hidden="1" x14ac:dyDescent="0.3">
      <c r="A423" s="4" t="s">
        <v>811</v>
      </c>
      <c r="B423" s="2" t="s">
        <v>29</v>
      </c>
      <c r="C423" s="2" t="s">
        <v>58</v>
      </c>
      <c r="D423" s="2" t="s">
        <v>13</v>
      </c>
      <c r="E423" s="2">
        <v>20</v>
      </c>
      <c r="F423" s="2">
        <v>11</v>
      </c>
      <c r="G423" s="2" t="s">
        <v>14</v>
      </c>
      <c r="H423" s="2" t="s">
        <v>61</v>
      </c>
      <c r="I423" s="2" t="s">
        <v>358</v>
      </c>
      <c r="J423" s="5">
        <v>44</v>
      </c>
    </row>
    <row r="424" spans="1:10" hidden="1" x14ac:dyDescent="0.3">
      <c r="A424" s="4" t="s">
        <v>812</v>
      </c>
      <c r="B424" s="2" t="s">
        <v>51</v>
      </c>
      <c r="C424" s="2" t="s">
        <v>55</v>
      </c>
      <c r="D424" s="2" t="s">
        <v>13</v>
      </c>
      <c r="E424" s="2">
        <v>15</v>
      </c>
      <c r="F424" s="2">
        <v>10</v>
      </c>
      <c r="G424" s="2" t="s">
        <v>43</v>
      </c>
      <c r="H424" s="2" t="s">
        <v>46</v>
      </c>
      <c r="I424" s="2" t="s">
        <v>82</v>
      </c>
      <c r="J424" s="5">
        <v>62</v>
      </c>
    </row>
    <row r="425" spans="1:10" hidden="1" x14ac:dyDescent="0.3">
      <c r="A425" s="4" t="s">
        <v>813</v>
      </c>
      <c r="B425" s="2" t="s">
        <v>73</v>
      </c>
      <c r="C425" s="2" t="s">
        <v>58</v>
      </c>
      <c r="D425" s="2" t="s">
        <v>13</v>
      </c>
      <c r="E425" s="2">
        <v>17</v>
      </c>
      <c r="F425" s="2">
        <v>12</v>
      </c>
      <c r="G425" s="2" t="s">
        <v>32</v>
      </c>
      <c r="H425" s="2" t="s">
        <v>46</v>
      </c>
      <c r="I425" s="2" t="s">
        <v>346</v>
      </c>
      <c r="J425" s="5">
        <v>60</v>
      </c>
    </row>
    <row r="426" spans="1:10" hidden="1" x14ac:dyDescent="0.3">
      <c r="A426" s="4" t="s">
        <v>814</v>
      </c>
      <c r="B426" s="2" t="s">
        <v>18</v>
      </c>
      <c r="C426" s="2" t="s">
        <v>24</v>
      </c>
      <c r="D426" s="2" t="s">
        <v>31</v>
      </c>
      <c r="E426" s="2">
        <v>17</v>
      </c>
      <c r="F426" s="2">
        <v>10</v>
      </c>
      <c r="G426" s="2" t="s">
        <v>14</v>
      </c>
      <c r="H426" s="2" t="s">
        <v>76</v>
      </c>
      <c r="I426" s="2" t="s">
        <v>815</v>
      </c>
      <c r="J426" s="5">
        <v>47</v>
      </c>
    </row>
    <row r="427" spans="1:10" hidden="1" x14ac:dyDescent="0.3">
      <c r="A427" s="4" t="s">
        <v>816</v>
      </c>
      <c r="B427" s="2" t="s">
        <v>23</v>
      </c>
      <c r="C427" s="2" t="s">
        <v>79</v>
      </c>
      <c r="D427" s="2" t="s">
        <v>31</v>
      </c>
      <c r="E427" s="2">
        <v>15</v>
      </c>
      <c r="F427" s="2">
        <v>9</v>
      </c>
      <c r="G427" s="2" t="s">
        <v>25</v>
      </c>
      <c r="H427" s="2" t="s">
        <v>76</v>
      </c>
      <c r="I427" s="2" t="s">
        <v>149</v>
      </c>
      <c r="J427" s="5">
        <v>79</v>
      </c>
    </row>
    <row r="428" spans="1:10" x14ac:dyDescent="0.3">
      <c r="A428" s="19" t="s">
        <v>817</v>
      </c>
      <c r="B428" s="15" t="s">
        <v>51</v>
      </c>
      <c r="C428" s="15" t="s">
        <v>55</v>
      </c>
      <c r="D428" s="15" t="s">
        <v>31</v>
      </c>
      <c r="E428" s="15">
        <v>19</v>
      </c>
      <c r="F428" s="15">
        <v>11</v>
      </c>
      <c r="G428" s="15" t="s">
        <v>14</v>
      </c>
      <c r="H428" s="59" t="s">
        <v>26</v>
      </c>
      <c r="I428" s="15" t="s">
        <v>818</v>
      </c>
      <c r="J428" s="20">
        <v>56</v>
      </c>
    </row>
    <row r="429" spans="1:10" hidden="1" x14ac:dyDescent="0.3">
      <c r="A429" s="4" t="s">
        <v>819</v>
      </c>
      <c r="B429" s="2" t="s">
        <v>18</v>
      </c>
      <c r="C429" s="2" t="s">
        <v>36</v>
      </c>
      <c r="D429" s="2" t="s">
        <v>31</v>
      </c>
      <c r="E429" s="2">
        <v>14</v>
      </c>
      <c r="F429" s="2">
        <v>10</v>
      </c>
      <c r="G429" s="2" t="s">
        <v>43</v>
      </c>
      <c r="H429" s="2" t="s">
        <v>76</v>
      </c>
      <c r="I429" s="2" t="s">
        <v>820</v>
      </c>
      <c r="J429" s="5">
        <v>56</v>
      </c>
    </row>
    <row r="430" spans="1:10" x14ac:dyDescent="0.3">
      <c r="A430" s="19" t="s">
        <v>821</v>
      </c>
      <c r="B430" s="15" t="s">
        <v>18</v>
      </c>
      <c r="C430" s="15" t="s">
        <v>79</v>
      </c>
      <c r="D430" s="15" t="s">
        <v>13</v>
      </c>
      <c r="E430" s="15">
        <v>20</v>
      </c>
      <c r="F430" s="15">
        <v>12</v>
      </c>
      <c r="G430" s="15" t="s">
        <v>32</v>
      </c>
      <c r="H430" s="59" t="s">
        <v>26</v>
      </c>
      <c r="I430" s="15" t="s">
        <v>822</v>
      </c>
      <c r="J430" s="20">
        <v>52</v>
      </c>
    </row>
    <row r="431" spans="1:10" hidden="1" x14ac:dyDescent="0.3">
      <c r="A431" s="4" t="s">
        <v>823</v>
      </c>
      <c r="B431" s="2" t="s">
        <v>11</v>
      </c>
      <c r="C431" s="2" t="s">
        <v>79</v>
      </c>
      <c r="D431" s="2" t="s">
        <v>31</v>
      </c>
      <c r="E431" s="2">
        <v>18</v>
      </c>
      <c r="F431" s="2">
        <v>12</v>
      </c>
      <c r="G431" s="2" t="s">
        <v>43</v>
      </c>
      <c r="H431" s="2" t="s">
        <v>37</v>
      </c>
      <c r="I431" s="2" t="s">
        <v>292</v>
      </c>
      <c r="J431" s="5">
        <v>94</v>
      </c>
    </row>
    <row r="432" spans="1:10" hidden="1" x14ac:dyDescent="0.3">
      <c r="A432" s="4" t="s">
        <v>824</v>
      </c>
      <c r="B432" s="2" t="s">
        <v>54</v>
      </c>
      <c r="C432" s="2" t="s">
        <v>19</v>
      </c>
      <c r="D432" s="2" t="s">
        <v>31</v>
      </c>
      <c r="E432" s="2">
        <v>20</v>
      </c>
      <c r="F432" s="2">
        <v>9</v>
      </c>
      <c r="G432" s="2" t="s">
        <v>14</v>
      </c>
      <c r="H432" s="2" t="s">
        <v>37</v>
      </c>
      <c r="I432" s="2" t="s">
        <v>825</v>
      </c>
      <c r="J432" s="5">
        <v>43</v>
      </c>
    </row>
    <row r="433" spans="1:10" hidden="1" x14ac:dyDescent="0.3">
      <c r="A433" s="4" t="s">
        <v>826</v>
      </c>
      <c r="B433" s="2" t="s">
        <v>51</v>
      </c>
      <c r="C433" s="2" t="s">
        <v>55</v>
      </c>
      <c r="D433" s="2" t="s">
        <v>31</v>
      </c>
      <c r="E433" s="2">
        <v>15</v>
      </c>
      <c r="F433" s="2">
        <v>10</v>
      </c>
      <c r="G433" s="2" t="s">
        <v>43</v>
      </c>
      <c r="H433" s="2" t="s">
        <v>37</v>
      </c>
      <c r="I433" s="2" t="s">
        <v>174</v>
      </c>
      <c r="J433" s="5">
        <v>42</v>
      </c>
    </row>
    <row r="434" spans="1:10" hidden="1" x14ac:dyDescent="0.3">
      <c r="A434" s="4" t="s">
        <v>827</v>
      </c>
      <c r="B434" s="2" t="s">
        <v>35</v>
      </c>
      <c r="C434" s="2" t="s">
        <v>12</v>
      </c>
      <c r="D434" s="2" t="s">
        <v>13</v>
      </c>
      <c r="E434" s="2">
        <v>14</v>
      </c>
      <c r="F434" s="2">
        <v>12</v>
      </c>
      <c r="G434" s="2" t="s">
        <v>25</v>
      </c>
      <c r="H434" s="2" t="s">
        <v>61</v>
      </c>
      <c r="I434" s="2" t="s">
        <v>570</v>
      </c>
      <c r="J434" s="5">
        <v>65</v>
      </c>
    </row>
    <row r="435" spans="1:10" hidden="1" x14ac:dyDescent="0.3">
      <c r="A435" s="4" t="s">
        <v>828</v>
      </c>
      <c r="B435" s="2" t="s">
        <v>29</v>
      </c>
      <c r="C435" s="2" t="s">
        <v>55</v>
      </c>
      <c r="D435" s="2" t="s">
        <v>13</v>
      </c>
      <c r="E435" s="2">
        <v>15</v>
      </c>
      <c r="F435" s="2">
        <v>9</v>
      </c>
      <c r="G435" s="2" t="s">
        <v>32</v>
      </c>
      <c r="H435" s="2" t="s">
        <v>40</v>
      </c>
      <c r="I435" s="2" t="s">
        <v>829</v>
      </c>
      <c r="J435" s="5">
        <v>64</v>
      </c>
    </row>
    <row r="436" spans="1:10" hidden="1" x14ac:dyDescent="0.3">
      <c r="A436" s="4" t="s">
        <v>830</v>
      </c>
      <c r="B436" s="2" t="s">
        <v>23</v>
      </c>
      <c r="C436" s="2" t="s">
        <v>58</v>
      </c>
      <c r="D436" s="2" t="s">
        <v>31</v>
      </c>
      <c r="E436" s="2">
        <v>17</v>
      </c>
      <c r="F436" s="2">
        <v>9</v>
      </c>
      <c r="G436" s="2" t="s">
        <v>43</v>
      </c>
      <c r="H436" s="2" t="s">
        <v>61</v>
      </c>
      <c r="I436" s="2" t="s">
        <v>820</v>
      </c>
      <c r="J436" s="5">
        <v>59</v>
      </c>
    </row>
    <row r="437" spans="1:10" hidden="1" x14ac:dyDescent="0.3">
      <c r="A437" s="4" t="s">
        <v>831</v>
      </c>
      <c r="B437" s="2" t="s">
        <v>54</v>
      </c>
      <c r="C437" s="2" t="s">
        <v>36</v>
      </c>
      <c r="D437" s="2" t="s">
        <v>31</v>
      </c>
      <c r="E437" s="2">
        <v>19</v>
      </c>
      <c r="F437" s="2">
        <v>9</v>
      </c>
      <c r="G437" s="2" t="s">
        <v>32</v>
      </c>
      <c r="H437" s="2" t="s">
        <v>15</v>
      </c>
      <c r="I437" s="2" t="s">
        <v>832</v>
      </c>
      <c r="J437" s="5">
        <v>35</v>
      </c>
    </row>
    <row r="438" spans="1:10" hidden="1" x14ac:dyDescent="0.3">
      <c r="A438" s="4" t="s">
        <v>833</v>
      </c>
      <c r="B438" s="2" t="s">
        <v>73</v>
      </c>
      <c r="C438" s="2" t="s">
        <v>96</v>
      </c>
      <c r="D438" s="2" t="s">
        <v>31</v>
      </c>
      <c r="E438" s="2">
        <v>15</v>
      </c>
      <c r="F438" s="2">
        <v>10</v>
      </c>
      <c r="G438" s="2" t="s">
        <v>43</v>
      </c>
      <c r="H438" s="2" t="s">
        <v>76</v>
      </c>
      <c r="I438" s="2" t="s">
        <v>834</v>
      </c>
      <c r="J438" s="5">
        <v>37</v>
      </c>
    </row>
    <row r="439" spans="1:10" hidden="1" x14ac:dyDescent="0.3">
      <c r="A439" s="4" t="s">
        <v>835</v>
      </c>
      <c r="B439" s="2" t="s">
        <v>18</v>
      </c>
      <c r="C439" s="2" t="s">
        <v>55</v>
      </c>
      <c r="D439" s="2" t="s">
        <v>31</v>
      </c>
      <c r="E439" s="2">
        <v>16</v>
      </c>
      <c r="F439" s="2">
        <v>10</v>
      </c>
      <c r="G439" s="2" t="s">
        <v>14</v>
      </c>
      <c r="H439" s="2" t="s">
        <v>61</v>
      </c>
      <c r="I439" s="2" t="s">
        <v>411</v>
      </c>
      <c r="J439" s="5">
        <v>52</v>
      </c>
    </row>
    <row r="440" spans="1:10" hidden="1" x14ac:dyDescent="0.3">
      <c r="A440" s="4" t="s">
        <v>836</v>
      </c>
      <c r="B440" s="2" t="s">
        <v>18</v>
      </c>
      <c r="C440" s="2" t="s">
        <v>58</v>
      </c>
      <c r="D440" s="2" t="s">
        <v>13</v>
      </c>
      <c r="E440" s="2">
        <v>16</v>
      </c>
      <c r="F440" s="2">
        <v>9</v>
      </c>
      <c r="G440" s="2" t="s">
        <v>14</v>
      </c>
      <c r="H440" s="2" t="s">
        <v>37</v>
      </c>
      <c r="I440" s="2" t="s">
        <v>837</v>
      </c>
      <c r="J440" s="5">
        <v>64</v>
      </c>
    </row>
    <row r="441" spans="1:10" hidden="1" x14ac:dyDescent="0.3">
      <c r="A441" s="4" t="s">
        <v>838</v>
      </c>
      <c r="B441" s="2" t="s">
        <v>29</v>
      </c>
      <c r="C441" s="2" t="s">
        <v>36</v>
      </c>
      <c r="D441" s="2" t="s">
        <v>31</v>
      </c>
      <c r="E441" s="2">
        <v>17</v>
      </c>
      <c r="F441" s="2">
        <v>10</v>
      </c>
      <c r="G441" s="2" t="s">
        <v>25</v>
      </c>
      <c r="H441" s="2" t="s">
        <v>15</v>
      </c>
      <c r="I441" s="2" t="s">
        <v>839</v>
      </c>
      <c r="J441" s="5">
        <v>35</v>
      </c>
    </row>
    <row r="442" spans="1:10" hidden="1" x14ac:dyDescent="0.3">
      <c r="A442" s="4" t="s">
        <v>840</v>
      </c>
      <c r="B442" s="2" t="s">
        <v>29</v>
      </c>
      <c r="C442" s="2" t="s">
        <v>12</v>
      </c>
      <c r="D442" s="2" t="s">
        <v>31</v>
      </c>
      <c r="E442" s="2">
        <v>20</v>
      </c>
      <c r="F442" s="2">
        <v>10</v>
      </c>
      <c r="G442" s="2" t="s">
        <v>43</v>
      </c>
      <c r="H442" s="2" t="s">
        <v>15</v>
      </c>
      <c r="I442" s="2" t="s">
        <v>841</v>
      </c>
      <c r="J442" s="5">
        <v>37</v>
      </c>
    </row>
    <row r="443" spans="1:10" hidden="1" x14ac:dyDescent="0.3">
      <c r="A443" s="4" t="s">
        <v>842</v>
      </c>
      <c r="B443" s="2" t="s">
        <v>23</v>
      </c>
      <c r="C443" s="2" t="s">
        <v>30</v>
      </c>
      <c r="D443" s="2" t="s">
        <v>13</v>
      </c>
      <c r="E443" s="2">
        <v>15</v>
      </c>
      <c r="F443" s="2">
        <v>9</v>
      </c>
      <c r="G443" s="2" t="s">
        <v>32</v>
      </c>
      <c r="H443" s="2" t="s">
        <v>37</v>
      </c>
      <c r="I443" s="2" t="s">
        <v>477</v>
      </c>
      <c r="J443" s="5">
        <v>51</v>
      </c>
    </row>
    <row r="444" spans="1:10" hidden="1" x14ac:dyDescent="0.3">
      <c r="A444" s="4" t="s">
        <v>843</v>
      </c>
      <c r="B444" s="2" t="s">
        <v>54</v>
      </c>
      <c r="C444" s="2" t="s">
        <v>12</v>
      </c>
      <c r="D444" s="2" t="s">
        <v>31</v>
      </c>
      <c r="E444" s="2">
        <v>17</v>
      </c>
      <c r="F444" s="2">
        <v>10</v>
      </c>
      <c r="G444" s="2" t="s">
        <v>25</v>
      </c>
      <c r="H444" s="2" t="s">
        <v>40</v>
      </c>
      <c r="I444" s="2" t="s">
        <v>844</v>
      </c>
      <c r="J444" s="5">
        <v>43</v>
      </c>
    </row>
    <row r="445" spans="1:10" hidden="1" x14ac:dyDescent="0.3">
      <c r="A445" s="4" t="s">
        <v>845</v>
      </c>
      <c r="B445" s="2" t="s">
        <v>11</v>
      </c>
      <c r="C445" s="2" t="s">
        <v>19</v>
      </c>
      <c r="D445" s="2" t="s">
        <v>31</v>
      </c>
      <c r="E445" s="2">
        <v>19</v>
      </c>
      <c r="F445" s="2">
        <v>11</v>
      </c>
      <c r="G445" s="2" t="s">
        <v>43</v>
      </c>
      <c r="H445" s="2" t="s">
        <v>76</v>
      </c>
      <c r="I445" s="2" t="s">
        <v>282</v>
      </c>
      <c r="J445" s="5">
        <v>44</v>
      </c>
    </row>
    <row r="446" spans="1:10" hidden="1" x14ac:dyDescent="0.3">
      <c r="A446" s="4" t="s">
        <v>846</v>
      </c>
      <c r="B446" s="2" t="s">
        <v>35</v>
      </c>
      <c r="C446" s="2" t="s">
        <v>79</v>
      </c>
      <c r="D446" s="2" t="s">
        <v>13</v>
      </c>
      <c r="E446" s="2">
        <v>17</v>
      </c>
      <c r="F446" s="2">
        <v>12</v>
      </c>
      <c r="G446" s="2" t="s">
        <v>25</v>
      </c>
      <c r="H446" s="2" t="s">
        <v>46</v>
      </c>
      <c r="I446" s="2" t="s">
        <v>847</v>
      </c>
      <c r="J446" s="5">
        <v>41</v>
      </c>
    </row>
    <row r="447" spans="1:10" hidden="1" x14ac:dyDescent="0.3">
      <c r="A447" s="4" t="s">
        <v>848</v>
      </c>
      <c r="B447" s="2" t="s">
        <v>18</v>
      </c>
      <c r="C447" s="2" t="s">
        <v>24</v>
      </c>
      <c r="D447" s="2" t="s">
        <v>31</v>
      </c>
      <c r="E447" s="2">
        <v>16</v>
      </c>
      <c r="F447" s="2">
        <v>10</v>
      </c>
      <c r="G447" s="2" t="s">
        <v>25</v>
      </c>
      <c r="H447" s="2" t="s">
        <v>61</v>
      </c>
      <c r="I447" s="2" t="s">
        <v>849</v>
      </c>
      <c r="J447" s="5">
        <v>78</v>
      </c>
    </row>
    <row r="448" spans="1:10" x14ac:dyDescent="0.3">
      <c r="A448" s="19" t="s">
        <v>850</v>
      </c>
      <c r="B448" s="15" t="s">
        <v>51</v>
      </c>
      <c r="C448" s="15" t="s">
        <v>96</v>
      </c>
      <c r="D448" s="15" t="s">
        <v>13</v>
      </c>
      <c r="E448" s="15">
        <v>14</v>
      </c>
      <c r="F448" s="15">
        <v>9</v>
      </c>
      <c r="G448" s="15" t="s">
        <v>25</v>
      </c>
      <c r="H448" s="59" t="s">
        <v>26</v>
      </c>
      <c r="I448" s="15" t="s">
        <v>851</v>
      </c>
      <c r="J448" s="20">
        <v>90</v>
      </c>
    </row>
    <row r="449" spans="1:10" hidden="1" x14ac:dyDescent="0.3">
      <c r="A449" s="4" t="s">
        <v>852</v>
      </c>
      <c r="B449" s="2" t="s">
        <v>29</v>
      </c>
      <c r="C449" s="2" t="s">
        <v>55</v>
      </c>
      <c r="D449" s="2" t="s">
        <v>13</v>
      </c>
      <c r="E449" s="2">
        <v>15</v>
      </c>
      <c r="F449" s="2">
        <v>9</v>
      </c>
      <c r="G449" s="2" t="s">
        <v>14</v>
      </c>
      <c r="H449" s="2" t="s">
        <v>20</v>
      </c>
      <c r="I449" s="2" t="s">
        <v>853</v>
      </c>
      <c r="J449" s="5">
        <v>74</v>
      </c>
    </row>
    <row r="450" spans="1:10" hidden="1" x14ac:dyDescent="0.3">
      <c r="A450" s="4" t="s">
        <v>854</v>
      </c>
      <c r="B450" s="2" t="s">
        <v>51</v>
      </c>
      <c r="C450" s="2" t="s">
        <v>55</v>
      </c>
      <c r="D450" s="2" t="s">
        <v>13</v>
      </c>
      <c r="E450" s="2">
        <v>15</v>
      </c>
      <c r="F450" s="2">
        <v>11</v>
      </c>
      <c r="G450" s="2" t="s">
        <v>14</v>
      </c>
      <c r="H450" s="2" t="s">
        <v>61</v>
      </c>
      <c r="I450" s="2" t="s">
        <v>855</v>
      </c>
      <c r="J450" s="5">
        <v>84</v>
      </c>
    </row>
    <row r="451" spans="1:10" hidden="1" x14ac:dyDescent="0.3">
      <c r="A451" s="4" t="s">
        <v>856</v>
      </c>
      <c r="B451" s="2" t="s">
        <v>29</v>
      </c>
      <c r="C451" s="2" t="s">
        <v>85</v>
      </c>
      <c r="D451" s="2" t="s">
        <v>13</v>
      </c>
      <c r="E451" s="2">
        <v>16</v>
      </c>
      <c r="F451" s="2">
        <v>9</v>
      </c>
      <c r="G451" s="2" t="s">
        <v>14</v>
      </c>
      <c r="H451" s="2" t="s">
        <v>61</v>
      </c>
      <c r="I451" s="2" t="s">
        <v>262</v>
      </c>
      <c r="J451" s="5">
        <v>78</v>
      </c>
    </row>
    <row r="452" spans="1:10" hidden="1" x14ac:dyDescent="0.3">
      <c r="A452" s="4" t="s">
        <v>857</v>
      </c>
      <c r="B452" s="2" t="s">
        <v>18</v>
      </c>
      <c r="C452" s="2" t="s">
        <v>96</v>
      </c>
      <c r="D452" s="2" t="s">
        <v>13</v>
      </c>
      <c r="E452" s="2">
        <v>20</v>
      </c>
      <c r="F452" s="2">
        <v>11</v>
      </c>
      <c r="G452" s="2" t="s">
        <v>32</v>
      </c>
      <c r="H452" s="2" t="s">
        <v>61</v>
      </c>
      <c r="I452" s="2" t="s">
        <v>570</v>
      </c>
      <c r="J452" s="5">
        <v>94</v>
      </c>
    </row>
    <row r="453" spans="1:10" x14ac:dyDescent="0.3">
      <c r="A453" s="19" t="s">
        <v>858</v>
      </c>
      <c r="B453" s="15" t="s">
        <v>35</v>
      </c>
      <c r="C453" s="15" t="s">
        <v>12</v>
      </c>
      <c r="D453" s="15" t="s">
        <v>31</v>
      </c>
      <c r="E453" s="15">
        <v>19</v>
      </c>
      <c r="F453" s="15">
        <v>9</v>
      </c>
      <c r="G453" s="15" t="s">
        <v>43</v>
      </c>
      <c r="H453" s="59" t="s">
        <v>26</v>
      </c>
      <c r="I453" s="15" t="s">
        <v>859</v>
      </c>
      <c r="J453" s="20">
        <v>88</v>
      </c>
    </row>
    <row r="454" spans="1:10" hidden="1" x14ac:dyDescent="0.3">
      <c r="A454" s="4" t="s">
        <v>860</v>
      </c>
      <c r="B454" s="2" t="s">
        <v>68</v>
      </c>
      <c r="C454" s="2" t="s">
        <v>12</v>
      </c>
      <c r="D454" s="2" t="s">
        <v>13</v>
      </c>
      <c r="E454" s="2">
        <v>16</v>
      </c>
      <c r="F454" s="2">
        <v>12</v>
      </c>
      <c r="G454" s="2" t="s">
        <v>14</v>
      </c>
      <c r="H454" s="2" t="s">
        <v>37</v>
      </c>
      <c r="I454" s="2" t="s">
        <v>861</v>
      </c>
      <c r="J454" s="5">
        <v>84</v>
      </c>
    </row>
    <row r="455" spans="1:10" hidden="1" x14ac:dyDescent="0.3">
      <c r="A455" s="4" t="s">
        <v>862</v>
      </c>
      <c r="B455" s="2" t="s">
        <v>51</v>
      </c>
      <c r="C455" s="2" t="s">
        <v>24</v>
      </c>
      <c r="D455" s="2" t="s">
        <v>13</v>
      </c>
      <c r="E455" s="2">
        <v>17</v>
      </c>
      <c r="F455" s="2">
        <v>9</v>
      </c>
      <c r="G455" s="2" t="s">
        <v>43</v>
      </c>
      <c r="H455" s="2" t="s">
        <v>15</v>
      </c>
      <c r="I455" s="2" t="s">
        <v>863</v>
      </c>
      <c r="J455" s="5">
        <v>86</v>
      </c>
    </row>
    <row r="456" spans="1:10" hidden="1" x14ac:dyDescent="0.3">
      <c r="A456" s="4" t="s">
        <v>864</v>
      </c>
      <c r="B456" s="2" t="s">
        <v>35</v>
      </c>
      <c r="C456" s="2" t="s">
        <v>58</v>
      </c>
      <c r="D456" s="2" t="s">
        <v>13</v>
      </c>
      <c r="E456" s="2">
        <v>17</v>
      </c>
      <c r="F456" s="2">
        <v>10</v>
      </c>
      <c r="G456" s="2" t="s">
        <v>14</v>
      </c>
      <c r="H456" s="2" t="s">
        <v>20</v>
      </c>
      <c r="I456" s="2" t="s">
        <v>865</v>
      </c>
      <c r="J456" s="5">
        <v>92</v>
      </c>
    </row>
    <row r="457" spans="1:10" hidden="1" x14ac:dyDescent="0.3">
      <c r="A457" s="4" t="s">
        <v>866</v>
      </c>
      <c r="B457" s="2" t="s">
        <v>18</v>
      </c>
      <c r="C457" s="2" t="s">
        <v>24</v>
      </c>
      <c r="D457" s="2" t="s">
        <v>13</v>
      </c>
      <c r="E457" s="2">
        <v>15</v>
      </c>
      <c r="F457" s="2">
        <v>11</v>
      </c>
      <c r="G457" s="2" t="s">
        <v>14</v>
      </c>
      <c r="H457" s="2" t="s">
        <v>61</v>
      </c>
      <c r="I457" s="2" t="s">
        <v>867</v>
      </c>
      <c r="J457" s="5">
        <v>97</v>
      </c>
    </row>
    <row r="458" spans="1:10" hidden="1" x14ac:dyDescent="0.3">
      <c r="A458" s="4" t="s">
        <v>868</v>
      </c>
      <c r="B458" s="2" t="s">
        <v>84</v>
      </c>
      <c r="C458" s="2" t="s">
        <v>30</v>
      </c>
      <c r="D458" s="2" t="s">
        <v>31</v>
      </c>
      <c r="E458" s="2">
        <v>15</v>
      </c>
      <c r="F458" s="2">
        <v>9</v>
      </c>
      <c r="G458" s="2" t="s">
        <v>43</v>
      </c>
      <c r="H458" s="2" t="s">
        <v>61</v>
      </c>
      <c r="I458" s="2" t="s">
        <v>151</v>
      </c>
      <c r="J458" s="5">
        <v>45</v>
      </c>
    </row>
    <row r="459" spans="1:10" x14ac:dyDescent="0.3">
      <c r="A459" s="19" t="s">
        <v>869</v>
      </c>
      <c r="B459" s="15" t="s">
        <v>73</v>
      </c>
      <c r="C459" s="15" t="s">
        <v>96</v>
      </c>
      <c r="D459" s="15" t="s">
        <v>31</v>
      </c>
      <c r="E459" s="15">
        <v>17</v>
      </c>
      <c r="F459" s="15">
        <v>9</v>
      </c>
      <c r="G459" s="15" t="s">
        <v>43</v>
      </c>
      <c r="H459" s="59" t="s">
        <v>26</v>
      </c>
      <c r="I459" s="15" t="s">
        <v>870</v>
      </c>
      <c r="J459" s="20">
        <v>53</v>
      </c>
    </row>
    <row r="460" spans="1:10" hidden="1" x14ac:dyDescent="0.3">
      <c r="A460" s="4" t="s">
        <v>871</v>
      </c>
      <c r="B460" s="2" t="s">
        <v>11</v>
      </c>
      <c r="C460" s="2" t="s">
        <v>12</v>
      </c>
      <c r="D460" s="2" t="s">
        <v>13</v>
      </c>
      <c r="E460" s="2">
        <v>20</v>
      </c>
      <c r="F460" s="2">
        <v>10</v>
      </c>
      <c r="G460" s="2" t="s">
        <v>25</v>
      </c>
      <c r="H460" s="2" t="s">
        <v>76</v>
      </c>
      <c r="I460" s="2" t="s">
        <v>872</v>
      </c>
      <c r="J460" s="5">
        <v>66</v>
      </c>
    </row>
    <row r="461" spans="1:10" hidden="1" x14ac:dyDescent="0.3">
      <c r="A461" s="4" t="s">
        <v>873</v>
      </c>
      <c r="B461" s="2" t="s">
        <v>18</v>
      </c>
      <c r="C461" s="2" t="s">
        <v>79</v>
      </c>
      <c r="D461" s="2" t="s">
        <v>31</v>
      </c>
      <c r="E461" s="2">
        <v>19</v>
      </c>
      <c r="F461" s="2">
        <v>12</v>
      </c>
      <c r="G461" s="2" t="s">
        <v>32</v>
      </c>
      <c r="H461" s="2" t="s">
        <v>76</v>
      </c>
      <c r="I461" s="2" t="s">
        <v>742</v>
      </c>
      <c r="J461" s="5">
        <v>83</v>
      </c>
    </row>
    <row r="462" spans="1:10" hidden="1" x14ac:dyDescent="0.3">
      <c r="A462" s="4" t="s">
        <v>874</v>
      </c>
      <c r="B462" s="2" t="s">
        <v>35</v>
      </c>
      <c r="C462" s="2" t="s">
        <v>36</v>
      </c>
      <c r="D462" s="2" t="s">
        <v>13</v>
      </c>
      <c r="E462" s="2">
        <v>16</v>
      </c>
      <c r="F462" s="2">
        <v>10</v>
      </c>
      <c r="G462" s="2" t="s">
        <v>14</v>
      </c>
      <c r="H462" s="2" t="s">
        <v>61</v>
      </c>
      <c r="I462" s="2" t="s">
        <v>875</v>
      </c>
      <c r="J462" s="5">
        <v>35</v>
      </c>
    </row>
    <row r="463" spans="1:10" x14ac:dyDescent="0.3">
      <c r="A463" s="19" t="s">
        <v>876</v>
      </c>
      <c r="B463" s="15" t="s">
        <v>18</v>
      </c>
      <c r="C463" s="15" t="s">
        <v>24</v>
      </c>
      <c r="D463" s="15" t="s">
        <v>31</v>
      </c>
      <c r="E463" s="15">
        <v>16</v>
      </c>
      <c r="F463" s="15">
        <v>9</v>
      </c>
      <c r="G463" s="15" t="s">
        <v>43</v>
      </c>
      <c r="H463" s="59" t="s">
        <v>26</v>
      </c>
      <c r="I463" s="15" t="s">
        <v>515</v>
      </c>
      <c r="J463" s="20">
        <v>48</v>
      </c>
    </row>
    <row r="464" spans="1:10" x14ac:dyDescent="0.3">
      <c r="A464" s="19" t="s">
        <v>877</v>
      </c>
      <c r="B464" s="15" t="s">
        <v>73</v>
      </c>
      <c r="C464" s="15" t="s">
        <v>85</v>
      </c>
      <c r="D464" s="15" t="s">
        <v>13</v>
      </c>
      <c r="E464" s="15">
        <v>19</v>
      </c>
      <c r="F464" s="15">
        <v>10</v>
      </c>
      <c r="G464" s="15" t="s">
        <v>25</v>
      </c>
      <c r="H464" s="59" t="s">
        <v>26</v>
      </c>
      <c r="I464" s="15" t="s">
        <v>878</v>
      </c>
      <c r="J464" s="20">
        <v>81</v>
      </c>
    </row>
    <row r="465" spans="1:10" hidden="1" x14ac:dyDescent="0.3">
      <c r="A465" s="4" t="s">
        <v>879</v>
      </c>
      <c r="B465" s="2" t="s">
        <v>18</v>
      </c>
      <c r="C465" s="2" t="s">
        <v>85</v>
      </c>
      <c r="D465" s="2" t="s">
        <v>13</v>
      </c>
      <c r="E465" s="2">
        <v>15</v>
      </c>
      <c r="F465" s="2">
        <v>11</v>
      </c>
      <c r="G465" s="2" t="s">
        <v>32</v>
      </c>
      <c r="H465" s="2" t="s">
        <v>37</v>
      </c>
      <c r="I465" s="2" t="s">
        <v>880</v>
      </c>
      <c r="J465" s="5">
        <v>86</v>
      </c>
    </row>
    <row r="466" spans="1:10" hidden="1" x14ac:dyDescent="0.3">
      <c r="A466" s="4" t="s">
        <v>881</v>
      </c>
      <c r="B466" s="2" t="s">
        <v>73</v>
      </c>
      <c r="C466" s="2" t="s">
        <v>24</v>
      </c>
      <c r="D466" s="2" t="s">
        <v>31</v>
      </c>
      <c r="E466" s="2">
        <v>14</v>
      </c>
      <c r="F466" s="2">
        <v>12</v>
      </c>
      <c r="G466" s="2" t="s">
        <v>25</v>
      </c>
      <c r="H466" s="2" t="s">
        <v>46</v>
      </c>
      <c r="I466" s="2" t="s">
        <v>882</v>
      </c>
      <c r="J466" s="5">
        <v>58</v>
      </c>
    </row>
    <row r="467" spans="1:10" hidden="1" x14ac:dyDescent="0.3">
      <c r="A467" s="4" t="s">
        <v>883</v>
      </c>
      <c r="B467" s="2" t="s">
        <v>23</v>
      </c>
      <c r="C467" s="2" t="s">
        <v>85</v>
      </c>
      <c r="D467" s="2" t="s">
        <v>13</v>
      </c>
      <c r="E467" s="2">
        <v>19</v>
      </c>
      <c r="F467" s="2">
        <v>9</v>
      </c>
      <c r="G467" s="2" t="s">
        <v>43</v>
      </c>
      <c r="H467" s="2" t="s">
        <v>20</v>
      </c>
      <c r="I467" s="2" t="s">
        <v>884</v>
      </c>
      <c r="J467" s="5">
        <v>69</v>
      </c>
    </row>
    <row r="468" spans="1:10" hidden="1" x14ac:dyDescent="0.3">
      <c r="A468" s="4" t="s">
        <v>885</v>
      </c>
      <c r="B468" s="2" t="s">
        <v>51</v>
      </c>
      <c r="C468" s="2" t="s">
        <v>55</v>
      </c>
      <c r="D468" s="2" t="s">
        <v>13</v>
      </c>
      <c r="E468" s="2">
        <v>16</v>
      </c>
      <c r="F468" s="2">
        <v>11</v>
      </c>
      <c r="G468" s="2" t="s">
        <v>32</v>
      </c>
      <c r="H468" s="2" t="s">
        <v>76</v>
      </c>
      <c r="I468" s="2" t="s">
        <v>886</v>
      </c>
      <c r="J468" s="5">
        <v>65</v>
      </c>
    </row>
    <row r="469" spans="1:10" hidden="1" x14ac:dyDescent="0.3">
      <c r="A469" s="4" t="s">
        <v>887</v>
      </c>
      <c r="B469" s="2" t="s">
        <v>11</v>
      </c>
      <c r="C469" s="2" t="s">
        <v>30</v>
      </c>
      <c r="D469" s="2" t="s">
        <v>31</v>
      </c>
      <c r="E469" s="2">
        <v>17</v>
      </c>
      <c r="F469" s="2">
        <v>9</v>
      </c>
      <c r="G469" s="2" t="s">
        <v>14</v>
      </c>
      <c r="H469" s="2" t="s">
        <v>76</v>
      </c>
      <c r="I469" s="2" t="s">
        <v>653</v>
      </c>
      <c r="J469" s="5">
        <v>53</v>
      </c>
    </row>
    <row r="470" spans="1:10" hidden="1" x14ac:dyDescent="0.3">
      <c r="A470" s="4" t="s">
        <v>888</v>
      </c>
      <c r="B470" s="2" t="s">
        <v>23</v>
      </c>
      <c r="C470" s="2" t="s">
        <v>58</v>
      </c>
      <c r="D470" s="2" t="s">
        <v>31</v>
      </c>
      <c r="E470" s="2">
        <v>18</v>
      </c>
      <c r="F470" s="2">
        <v>10</v>
      </c>
      <c r="G470" s="2" t="s">
        <v>14</v>
      </c>
      <c r="H470" s="2" t="s">
        <v>20</v>
      </c>
      <c r="I470" s="2" t="s">
        <v>153</v>
      </c>
      <c r="J470" s="5">
        <v>92</v>
      </c>
    </row>
    <row r="471" spans="1:10" hidden="1" x14ac:dyDescent="0.3">
      <c r="A471" s="4" t="s">
        <v>889</v>
      </c>
      <c r="B471" s="2" t="s">
        <v>68</v>
      </c>
      <c r="C471" s="2" t="s">
        <v>19</v>
      </c>
      <c r="D471" s="2" t="s">
        <v>31</v>
      </c>
      <c r="E471" s="2">
        <v>18</v>
      </c>
      <c r="F471" s="2">
        <v>12</v>
      </c>
      <c r="G471" s="2" t="s">
        <v>32</v>
      </c>
      <c r="H471" s="2" t="s">
        <v>46</v>
      </c>
      <c r="I471" s="2" t="s">
        <v>890</v>
      </c>
      <c r="J471" s="5">
        <v>88</v>
      </c>
    </row>
    <row r="472" spans="1:10" hidden="1" x14ac:dyDescent="0.3">
      <c r="A472" s="4" t="s">
        <v>891</v>
      </c>
      <c r="B472" s="2" t="s">
        <v>68</v>
      </c>
      <c r="C472" s="2" t="s">
        <v>79</v>
      </c>
      <c r="D472" s="2" t="s">
        <v>31</v>
      </c>
      <c r="E472" s="2">
        <v>17</v>
      </c>
      <c r="F472" s="2">
        <v>10</v>
      </c>
      <c r="G472" s="2" t="s">
        <v>32</v>
      </c>
      <c r="H472" s="2" t="s">
        <v>61</v>
      </c>
      <c r="I472" s="2" t="s">
        <v>892</v>
      </c>
      <c r="J472" s="5">
        <v>56</v>
      </c>
    </row>
    <row r="473" spans="1:10" hidden="1" x14ac:dyDescent="0.3">
      <c r="A473" s="4" t="s">
        <v>893</v>
      </c>
      <c r="B473" s="2" t="s">
        <v>29</v>
      </c>
      <c r="C473" s="2" t="s">
        <v>30</v>
      </c>
      <c r="D473" s="2" t="s">
        <v>13</v>
      </c>
      <c r="E473" s="2">
        <v>17</v>
      </c>
      <c r="F473" s="2">
        <v>9</v>
      </c>
      <c r="G473" s="2" t="s">
        <v>14</v>
      </c>
      <c r="H473" s="2" t="s">
        <v>46</v>
      </c>
      <c r="I473" s="2" t="s">
        <v>423</v>
      </c>
      <c r="J473" s="5">
        <v>46</v>
      </c>
    </row>
    <row r="474" spans="1:10" x14ac:dyDescent="0.3">
      <c r="A474" s="19" t="s">
        <v>894</v>
      </c>
      <c r="B474" s="15" t="s">
        <v>23</v>
      </c>
      <c r="C474" s="15" t="s">
        <v>79</v>
      </c>
      <c r="D474" s="15" t="s">
        <v>31</v>
      </c>
      <c r="E474" s="15">
        <v>20</v>
      </c>
      <c r="F474" s="15">
        <v>9</v>
      </c>
      <c r="G474" s="15" t="s">
        <v>14</v>
      </c>
      <c r="H474" s="59" t="s">
        <v>26</v>
      </c>
      <c r="I474" s="15" t="s">
        <v>895</v>
      </c>
      <c r="J474" s="20">
        <v>36</v>
      </c>
    </row>
    <row r="475" spans="1:10" x14ac:dyDescent="0.3">
      <c r="A475" s="19" t="s">
        <v>896</v>
      </c>
      <c r="B475" s="15" t="s">
        <v>11</v>
      </c>
      <c r="C475" s="15" t="s">
        <v>36</v>
      </c>
      <c r="D475" s="15" t="s">
        <v>13</v>
      </c>
      <c r="E475" s="15">
        <v>15</v>
      </c>
      <c r="F475" s="15">
        <v>11</v>
      </c>
      <c r="G475" s="15" t="s">
        <v>14</v>
      </c>
      <c r="H475" s="59" t="s">
        <v>26</v>
      </c>
      <c r="I475" s="15" t="s">
        <v>897</v>
      </c>
      <c r="J475" s="20">
        <v>95</v>
      </c>
    </row>
    <row r="476" spans="1:10" hidden="1" x14ac:dyDescent="0.3">
      <c r="A476" s="4" t="s">
        <v>898</v>
      </c>
      <c r="B476" s="2" t="s">
        <v>18</v>
      </c>
      <c r="C476" s="2" t="s">
        <v>19</v>
      </c>
      <c r="D476" s="2" t="s">
        <v>13</v>
      </c>
      <c r="E476" s="2">
        <v>17</v>
      </c>
      <c r="F476" s="2">
        <v>10</v>
      </c>
      <c r="G476" s="2" t="s">
        <v>25</v>
      </c>
      <c r="H476" s="2" t="s">
        <v>61</v>
      </c>
      <c r="I476" s="2" t="s">
        <v>471</v>
      </c>
      <c r="J476" s="5">
        <v>58</v>
      </c>
    </row>
    <row r="477" spans="1:10" hidden="1" x14ac:dyDescent="0.3">
      <c r="A477" s="4" t="s">
        <v>899</v>
      </c>
      <c r="B477" s="2" t="s">
        <v>11</v>
      </c>
      <c r="C477" s="2" t="s">
        <v>79</v>
      </c>
      <c r="D477" s="2" t="s">
        <v>13</v>
      </c>
      <c r="E477" s="2">
        <v>15</v>
      </c>
      <c r="F477" s="2">
        <v>10</v>
      </c>
      <c r="G477" s="2" t="s">
        <v>14</v>
      </c>
      <c r="H477" s="2" t="s">
        <v>37</v>
      </c>
      <c r="I477" s="2" t="s">
        <v>900</v>
      </c>
      <c r="J477" s="5">
        <v>88</v>
      </c>
    </row>
    <row r="478" spans="1:10" hidden="1" x14ac:dyDescent="0.3">
      <c r="A478" s="4" t="s">
        <v>901</v>
      </c>
      <c r="B478" s="2" t="s">
        <v>68</v>
      </c>
      <c r="C478" s="2" t="s">
        <v>19</v>
      </c>
      <c r="D478" s="2" t="s">
        <v>31</v>
      </c>
      <c r="E478" s="2">
        <v>18</v>
      </c>
      <c r="F478" s="2">
        <v>11</v>
      </c>
      <c r="G478" s="2" t="s">
        <v>14</v>
      </c>
      <c r="H478" s="2" t="s">
        <v>40</v>
      </c>
      <c r="I478" s="2" t="s">
        <v>139</v>
      </c>
      <c r="J478" s="5">
        <v>75</v>
      </c>
    </row>
    <row r="479" spans="1:10" hidden="1" x14ac:dyDescent="0.3">
      <c r="A479" s="4" t="s">
        <v>902</v>
      </c>
      <c r="B479" s="2" t="s">
        <v>35</v>
      </c>
      <c r="C479" s="2" t="s">
        <v>12</v>
      </c>
      <c r="D479" s="2" t="s">
        <v>31</v>
      </c>
      <c r="E479" s="2">
        <v>14</v>
      </c>
      <c r="F479" s="2">
        <v>11</v>
      </c>
      <c r="G479" s="2" t="s">
        <v>14</v>
      </c>
      <c r="H479" s="2" t="s">
        <v>37</v>
      </c>
      <c r="I479" s="2" t="s">
        <v>271</v>
      </c>
      <c r="J479" s="5">
        <v>59</v>
      </c>
    </row>
    <row r="480" spans="1:10" hidden="1" x14ac:dyDescent="0.3">
      <c r="A480" s="4" t="s">
        <v>903</v>
      </c>
      <c r="B480" s="2" t="s">
        <v>54</v>
      </c>
      <c r="C480" s="2" t="s">
        <v>30</v>
      </c>
      <c r="D480" s="2" t="s">
        <v>31</v>
      </c>
      <c r="E480" s="2">
        <v>20</v>
      </c>
      <c r="F480" s="2">
        <v>12</v>
      </c>
      <c r="G480" s="2" t="s">
        <v>43</v>
      </c>
      <c r="H480" s="2" t="s">
        <v>40</v>
      </c>
      <c r="I480" s="2" t="s">
        <v>904</v>
      </c>
      <c r="J480" s="5">
        <v>55</v>
      </c>
    </row>
    <row r="481" spans="1:10" hidden="1" x14ac:dyDescent="0.3">
      <c r="A481" s="4" t="s">
        <v>905</v>
      </c>
      <c r="B481" s="2" t="s">
        <v>54</v>
      </c>
      <c r="C481" s="2" t="s">
        <v>30</v>
      </c>
      <c r="D481" s="2" t="s">
        <v>13</v>
      </c>
      <c r="E481" s="2">
        <v>16</v>
      </c>
      <c r="F481" s="2">
        <v>12</v>
      </c>
      <c r="G481" s="2" t="s">
        <v>43</v>
      </c>
      <c r="H481" s="2" t="s">
        <v>40</v>
      </c>
      <c r="I481" s="2" t="s">
        <v>556</v>
      </c>
      <c r="J481" s="5">
        <v>81</v>
      </c>
    </row>
    <row r="482" spans="1:10" hidden="1" x14ac:dyDescent="0.3">
      <c r="A482" s="4" t="s">
        <v>906</v>
      </c>
      <c r="B482" s="2" t="s">
        <v>73</v>
      </c>
      <c r="C482" s="2" t="s">
        <v>36</v>
      </c>
      <c r="D482" s="2" t="s">
        <v>13</v>
      </c>
      <c r="E482" s="2">
        <v>17</v>
      </c>
      <c r="F482" s="2">
        <v>12</v>
      </c>
      <c r="G482" s="2" t="s">
        <v>25</v>
      </c>
      <c r="H482" s="2" t="s">
        <v>76</v>
      </c>
      <c r="I482" s="2" t="s">
        <v>907</v>
      </c>
      <c r="J482" s="5">
        <v>75</v>
      </c>
    </row>
    <row r="483" spans="1:10" hidden="1" x14ac:dyDescent="0.3">
      <c r="A483" s="4" t="s">
        <v>908</v>
      </c>
      <c r="B483" s="2" t="s">
        <v>11</v>
      </c>
      <c r="C483" s="2" t="s">
        <v>79</v>
      </c>
      <c r="D483" s="2" t="s">
        <v>31</v>
      </c>
      <c r="E483" s="2">
        <v>14</v>
      </c>
      <c r="F483" s="2">
        <v>10</v>
      </c>
      <c r="G483" s="2" t="s">
        <v>14</v>
      </c>
      <c r="H483" s="2" t="s">
        <v>46</v>
      </c>
      <c r="I483" s="2" t="s">
        <v>909</v>
      </c>
      <c r="J483" s="5">
        <v>55</v>
      </c>
    </row>
    <row r="484" spans="1:10" hidden="1" x14ac:dyDescent="0.3">
      <c r="A484" s="4" t="s">
        <v>910</v>
      </c>
      <c r="B484" s="2" t="s">
        <v>84</v>
      </c>
      <c r="C484" s="2" t="s">
        <v>12</v>
      </c>
      <c r="D484" s="2" t="s">
        <v>31</v>
      </c>
      <c r="E484" s="2">
        <v>18</v>
      </c>
      <c r="F484" s="2">
        <v>11</v>
      </c>
      <c r="G484" s="2" t="s">
        <v>25</v>
      </c>
      <c r="H484" s="2" t="s">
        <v>15</v>
      </c>
      <c r="I484" s="2" t="s">
        <v>911</v>
      </c>
      <c r="J484" s="5">
        <v>87</v>
      </c>
    </row>
    <row r="485" spans="1:10" hidden="1" x14ac:dyDescent="0.3">
      <c r="A485" s="4" t="s">
        <v>912</v>
      </c>
      <c r="B485" s="2" t="s">
        <v>23</v>
      </c>
      <c r="C485" s="2" t="s">
        <v>79</v>
      </c>
      <c r="D485" s="2" t="s">
        <v>31</v>
      </c>
      <c r="E485" s="2">
        <v>17</v>
      </c>
      <c r="F485" s="2">
        <v>12</v>
      </c>
      <c r="G485" s="2" t="s">
        <v>32</v>
      </c>
      <c r="H485" s="2" t="s">
        <v>46</v>
      </c>
      <c r="I485" s="2" t="s">
        <v>400</v>
      </c>
      <c r="J485" s="5">
        <v>70</v>
      </c>
    </row>
    <row r="486" spans="1:10" hidden="1" x14ac:dyDescent="0.3">
      <c r="A486" s="4" t="s">
        <v>913</v>
      </c>
      <c r="B486" s="2" t="s">
        <v>68</v>
      </c>
      <c r="C486" s="2" t="s">
        <v>58</v>
      </c>
      <c r="D486" s="2" t="s">
        <v>13</v>
      </c>
      <c r="E486" s="2">
        <v>14</v>
      </c>
      <c r="F486" s="2">
        <v>10</v>
      </c>
      <c r="G486" s="2" t="s">
        <v>14</v>
      </c>
      <c r="H486" s="2" t="s">
        <v>15</v>
      </c>
      <c r="I486" s="2" t="s">
        <v>914</v>
      </c>
      <c r="J486" s="5">
        <v>69</v>
      </c>
    </row>
    <row r="487" spans="1:10" hidden="1" x14ac:dyDescent="0.3">
      <c r="A487" s="4" t="s">
        <v>915</v>
      </c>
      <c r="B487" s="2" t="s">
        <v>23</v>
      </c>
      <c r="C487" s="2" t="s">
        <v>58</v>
      </c>
      <c r="D487" s="2" t="s">
        <v>31</v>
      </c>
      <c r="E487" s="2">
        <v>17</v>
      </c>
      <c r="F487" s="2">
        <v>9</v>
      </c>
      <c r="G487" s="2" t="s">
        <v>25</v>
      </c>
      <c r="H487" s="2" t="s">
        <v>46</v>
      </c>
      <c r="I487" s="2" t="s">
        <v>916</v>
      </c>
      <c r="J487" s="5">
        <v>85</v>
      </c>
    </row>
    <row r="488" spans="1:10" x14ac:dyDescent="0.3">
      <c r="A488" s="19" t="s">
        <v>917</v>
      </c>
      <c r="B488" s="15" t="s">
        <v>11</v>
      </c>
      <c r="C488" s="15" t="s">
        <v>96</v>
      </c>
      <c r="D488" s="15" t="s">
        <v>31</v>
      </c>
      <c r="E488" s="15">
        <v>19</v>
      </c>
      <c r="F488" s="15">
        <v>11</v>
      </c>
      <c r="G488" s="15" t="s">
        <v>43</v>
      </c>
      <c r="H488" s="59" t="s">
        <v>26</v>
      </c>
      <c r="I488" s="15" t="s">
        <v>918</v>
      </c>
      <c r="J488" s="20">
        <v>87</v>
      </c>
    </row>
    <row r="489" spans="1:10" hidden="1" x14ac:dyDescent="0.3">
      <c r="A489" s="4" t="s">
        <v>919</v>
      </c>
      <c r="B489" s="2" t="s">
        <v>23</v>
      </c>
      <c r="C489" s="2" t="s">
        <v>19</v>
      </c>
      <c r="D489" s="2" t="s">
        <v>13</v>
      </c>
      <c r="E489" s="2">
        <v>14</v>
      </c>
      <c r="F489" s="2">
        <v>12</v>
      </c>
      <c r="G489" s="2" t="s">
        <v>14</v>
      </c>
      <c r="H489" s="2" t="s">
        <v>15</v>
      </c>
      <c r="I489" s="2" t="s">
        <v>920</v>
      </c>
      <c r="J489" s="5">
        <v>92</v>
      </c>
    </row>
    <row r="490" spans="1:10" hidden="1" x14ac:dyDescent="0.3">
      <c r="A490" s="4" t="s">
        <v>921</v>
      </c>
      <c r="B490" s="2" t="s">
        <v>18</v>
      </c>
      <c r="C490" s="2" t="s">
        <v>24</v>
      </c>
      <c r="D490" s="2" t="s">
        <v>13</v>
      </c>
      <c r="E490" s="2">
        <v>19</v>
      </c>
      <c r="F490" s="2">
        <v>10</v>
      </c>
      <c r="G490" s="2" t="s">
        <v>14</v>
      </c>
      <c r="H490" s="2" t="s">
        <v>20</v>
      </c>
      <c r="I490" s="2" t="s">
        <v>922</v>
      </c>
      <c r="J490" s="5">
        <v>58</v>
      </c>
    </row>
    <row r="491" spans="1:10" hidden="1" x14ac:dyDescent="0.3">
      <c r="A491" s="4" t="s">
        <v>923</v>
      </c>
      <c r="B491" s="2" t="s">
        <v>68</v>
      </c>
      <c r="C491" s="2" t="s">
        <v>55</v>
      </c>
      <c r="D491" s="2" t="s">
        <v>31</v>
      </c>
      <c r="E491" s="2">
        <v>16</v>
      </c>
      <c r="F491" s="2">
        <v>12</v>
      </c>
      <c r="G491" s="2" t="s">
        <v>43</v>
      </c>
      <c r="H491" s="2" t="s">
        <v>37</v>
      </c>
      <c r="I491" s="2" t="s">
        <v>924</v>
      </c>
      <c r="J491" s="5">
        <v>77</v>
      </c>
    </row>
    <row r="492" spans="1:10" hidden="1" x14ac:dyDescent="0.3">
      <c r="A492" s="4" t="s">
        <v>925</v>
      </c>
      <c r="B492" s="2" t="s">
        <v>68</v>
      </c>
      <c r="C492" s="2" t="s">
        <v>30</v>
      </c>
      <c r="D492" s="2" t="s">
        <v>31</v>
      </c>
      <c r="E492" s="2">
        <v>18</v>
      </c>
      <c r="F492" s="2">
        <v>9</v>
      </c>
      <c r="G492" s="2" t="s">
        <v>32</v>
      </c>
      <c r="H492" s="2" t="s">
        <v>20</v>
      </c>
      <c r="I492" s="2" t="s">
        <v>732</v>
      </c>
      <c r="J492" s="5">
        <v>86</v>
      </c>
    </row>
    <row r="493" spans="1:10" hidden="1" x14ac:dyDescent="0.3">
      <c r="A493" s="4" t="s">
        <v>926</v>
      </c>
      <c r="B493" s="2" t="s">
        <v>73</v>
      </c>
      <c r="C493" s="2" t="s">
        <v>85</v>
      </c>
      <c r="D493" s="2" t="s">
        <v>13</v>
      </c>
      <c r="E493" s="2">
        <v>14</v>
      </c>
      <c r="F493" s="2">
        <v>9</v>
      </c>
      <c r="G493" s="2" t="s">
        <v>32</v>
      </c>
      <c r="H493" s="2" t="s">
        <v>20</v>
      </c>
      <c r="I493" s="2" t="s">
        <v>927</v>
      </c>
      <c r="J493" s="5">
        <v>94</v>
      </c>
    </row>
    <row r="494" spans="1:10" hidden="1" x14ac:dyDescent="0.3">
      <c r="A494" s="4" t="s">
        <v>928</v>
      </c>
      <c r="B494" s="2" t="s">
        <v>23</v>
      </c>
      <c r="C494" s="2" t="s">
        <v>55</v>
      </c>
      <c r="D494" s="2" t="s">
        <v>13</v>
      </c>
      <c r="E494" s="2">
        <v>20</v>
      </c>
      <c r="F494" s="2">
        <v>11</v>
      </c>
      <c r="G494" s="2" t="s">
        <v>14</v>
      </c>
      <c r="H494" s="2" t="s">
        <v>15</v>
      </c>
      <c r="I494" s="2" t="s">
        <v>608</v>
      </c>
      <c r="J494" s="5">
        <v>49</v>
      </c>
    </row>
    <row r="495" spans="1:10" x14ac:dyDescent="0.3">
      <c r="A495" s="19" t="s">
        <v>929</v>
      </c>
      <c r="B495" s="15" t="s">
        <v>35</v>
      </c>
      <c r="C495" s="15" t="s">
        <v>30</v>
      </c>
      <c r="D495" s="15" t="s">
        <v>13</v>
      </c>
      <c r="E495" s="15">
        <v>15</v>
      </c>
      <c r="F495" s="15">
        <v>12</v>
      </c>
      <c r="G495" s="15" t="s">
        <v>32</v>
      </c>
      <c r="H495" s="59" t="s">
        <v>26</v>
      </c>
      <c r="I495" s="15" t="s">
        <v>262</v>
      </c>
      <c r="J495" s="20">
        <v>55</v>
      </c>
    </row>
    <row r="496" spans="1:10" hidden="1" x14ac:dyDescent="0.3">
      <c r="A496" s="4" t="s">
        <v>930</v>
      </c>
      <c r="B496" s="2" t="s">
        <v>35</v>
      </c>
      <c r="C496" s="2" t="s">
        <v>96</v>
      </c>
      <c r="D496" s="2" t="s">
        <v>31</v>
      </c>
      <c r="E496" s="2">
        <v>20</v>
      </c>
      <c r="F496" s="2">
        <v>9</v>
      </c>
      <c r="G496" s="2" t="s">
        <v>25</v>
      </c>
      <c r="H496" s="2" t="s">
        <v>61</v>
      </c>
      <c r="I496" s="2" t="s">
        <v>342</v>
      </c>
      <c r="J496" s="5">
        <v>62</v>
      </c>
    </row>
    <row r="497" spans="1:10" hidden="1" x14ac:dyDescent="0.3">
      <c r="A497" s="4" t="s">
        <v>931</v>
      </c>
      <c r="B497" s="2" t="s">
        <v>23</v>
      </c>
      <c r="C497" s="2" t="s">
        <v>36</v>
      </c>
      <c r="D497" s="2" t="s">
        <v>13</v>
      </c>
      <c r="E497" s="2">
        <v>20</v>
      </c>
      <c r="F497" s="2">
        <v>9</v>
      </c>
      <c r="G497" s="2" t="s">
        <v>43</v>
      </c>
      <c r="H497" s="2" t="s">
        <v>40</v>
      </c>
      <c r="I497" s="2" t="s">
        <v>932</v>
      </c>
      <c r="J497" s="5">
        <v>85</v>
      </c>
    </row>
    <row r="498" spans="1:10" hidden="1" x14ac:dyDescent="0.3">
      <c r="A498" s="4" t="s">
        <v>933</v>
      </c>
      <c r="B498" s="2" t="s">
        <v>51</v>
      </c>
      <c r="C498" s="2" t="s">
        <v>96</v>
      </c>
      <c r="D498" s="2" t="s">
        <v>13</v>
      </c>
      <c r="E498" s="2">
        <v>20</v>
      </c>
      <c r="F498" s="2">
        <v>11</v>
      </c>
      <c r="G498" s="2" t="s">
        <v>25</v>
      </c>
      <c r="H498" s="2" t="s">
        <v>15</v>
      </c>
      <c r="I498" s="2" t="s">
        <v>494</v>
      </c>
      <c r="J498" s="5">
        <v>42</v>
      </c>
    </row>
    <row r="499" spans="1:10" hidden="1" x14ac:dyDescent="0.3">
      <c r="A499" s="4" t="s">
        <v>934</v>
      </c>
      <c r="B499" s="2" t="s">
        <v>51</v>
      </c>
      <c r="C499" s="2" t="s">
        <v>58</v>
      </c>
      <c r="D499" s="2" t="s">
        <v>31</v>
      </c>
      <c r="E499" s="2">
        <v>18</v>
      </c>
      <c r="F499" s="2">
        <v>11</v>
      </c>
      <c r="G499" s="2" t="s">
        <v>14</v>
      </c>
      <c r="H499" s="2" t="s">
        <v>37</v>
      </c>
      <c r="I499" s="2" t="s">
        <v>806</v>
      </c>
      <c r="J499" s="5">
        <v>88</v>
      </c>
    </row>
    <row r="500" spans="1:10" hidden="1" x14ac:dyDescent="0.3">
      <c r="A500" s="4" t="s">
        <v>935</v>
      </c>
      <c r="B500" s="2" t="s">
        <v>18</v>
      </c>
      <c r="C500" s="2" t="s">
        <v>12</v>
      </c>
      <c r="D500" s="2" t="s">
        <v>13</v>
      </c>
      <c r="E500" s="2">
        <v>20</v>
      </c>
      <c r="F500" s="2">
        <v>11</v>
      </c>
      <c r="G500" s="2" t="s">
        <v>43</v>
      </c>
      <c r="H500" s="2" t="s">
        <v>46</v>
      </c>
      <c r="I500" s="2" t="s">
        <v>936</v>
      </c>
      <c r="J500" s="5">
        <v>94</v>
      </c>
    </row>
    <row r="501" spans="1:10" hidden="1" x14ac:dyDescent="0.3">
      <c r="A501" s="4" t="s">
        <v>937</v>
      </c>
      <c r="B501" s="2" t="s">
        <v>73</v>
      </c>
      <c r="C501" s="2" t="s">
        <v>85</v>
      </c>
      <c r="D501" s="2" t="s">
        <v>31</v>
      </c>
      <c r="E501" s="2">
        <v>16</v>
      </c>
      <c r="F501" s="2">
        <v>10</v>
      </c>
      <c r="G501" s="2" t="s">
        <v>25</v>
      </c>
      <c r="H501" s="2" t="s">
        <v>76</v>
      </c>
      <c r="I501" s="2" t="s">
        <v>305</v>
      </c>
      <c r="J501" s="5">
        <v>90</v>
      </c>
    </row>
    <row r="502" spans="1:10" x14ac:dyDescent="0.3">
      <c r="A502" s="19" t="s">
        <v>938</v>
      </c>
      <c r="B502" s="15" t="s">
        <v>18</v>
      </c>
      <c r="C502" s="15" t="s">
        <v>58</v>
      </c>
      <c r="D502" s="15" t="s">
        <v>13</v>
      </c>
      <c r="E502" s="15">
        <v>16</v>
      </c>
      <c r="F502" s="15">
        <v>12</v>
      </c>
      <c r="G502" s="15" t="s">
        <v>25</v>
      </c>
      <c r="H502" s="59" t="s">
        <v>26</v>
      </c>
      <c r="I502" s="15" t="s">
        <v>939</v>
      </c>
      <c r="J502" s="20">
        <v>41</v>
      </c>
    </row>
    <row r="503" spans="1:10" hidden="1" x14ac:dyDescent="0.3">
      <c r="A503" s="9" t="s">
        <v>940</v>
      </c>
      <c r="B503" s="10" t="s">
        <v>51</v>
      </c>
      <c r="C503" s="10" t="s">
        <v>96</v>
      </c>
      <c r="D503" s="10" t="s">
        <v>31</v>
      </c>
      <c r="E503" s="10">
        <v>18</v>
      </c>
      <c r="F503" s="10">
        <v>9</v>
      </c>
      <c r="G503" s="10" t="s">
        <v>43</v>
      </c>
      <c r="H503" s="10" t="s">
        <v>76</v>
      </c>
      <c r="I503" s="10" t="s">
        <v>506</v>
      </c>
      <c r="J503" s="11">
        <v>36</v>
      </c>
    </row>
  </sheetData>
  <mergeCells count="1">
    <mergeCell ref="B1:J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C10D-64AA-4B26-855E-BEE5F42C12FF}">
  <sheetPr filterMode="1"/>
  <dimension ref="A1:L503"/>
  <sheetViews>
    <sheetView workbookViewId="0">
      <selection activeCell="P26" sqref="P26"/>
    </sheetView>
  </sheetViews>
  <sheetFormatPr defaultRowHeight="14.4" x14ac:dyDescent="0.3"/>
  <cols>
    <col min="1" max="2" width="10.44140625" bestFit="1" customWidth="1"/>
    <col min="3" max="3" width="10.33203125" bestFit="1" customWidth="1"/>
    <col min="4" max="4" width="7.109375" bestFit="1" customWidth="1"/>
    <col min="5" max="5" width="4.21875" bestFit="1" customWidth="1"/>
    <col min="6" max="6" width="5.109375" bestFit="1" customWidth="1"/>
    <col min="7" max="7" width="7.21875" bestFit="1" customWidth="1"/>
    <col min="8" max="8" width="9.77734375" bestFit="1" customWidth="1"/>
    <col min="9" max="9" width="14.6640625" bestFit="1" customWidth="1"/>
    <col min="10" max="10" width="6.21875" bestFit="1" customWidth="1"/>
    <col min="12" max="12" width="6.21875" bestFit="1" customWidth="1"/>
  </cols>
  <sheetData>
    <row r="1" spans="1:12" ht="18" x14ac:dyDescent="0.35">
      <c r="A1" s="16">
        <v>10</v>
      </c>
      <c r="B1" s="29" t="s">
        <v>983</v>
      </c>
      <c r="C1" s="29"/>
      <c r="D1" s="29"/>
      <c r="E1" s="29"/>
      <c r="F1" s="29"/>
      <c r="G1" s="29"/>
      <c r="H1" s="29"/>
      <c r="I1" s="29"/>
      <c r="J1" s="29"/>
      <c r="L1" s="26" t="s">
        <v>9</v>
      </c>
    </row>
    <row r="2" spans="1:12" x14ac:dyDescent="0.3">
      <c r="L2" s="26" t="s">
        <v>941</v>
      </c>
    </row>
    <row r="3" spans="1:12" x14ac:dyDescent="0.3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</row>
    <row r="4" spans="1:12" hidden="1" x14ac:dyDescent="0.3">
      <c r="A4" s="4" t="s">
        <v>10</v>
      </c>
      <c r="B4" s="2" t="s">
        <v>11</v>
      </c>
      <c r="C4" s="2" t="s">
        <v>12</v>
      </c>
      <c r="D4" s="2" t="s">
        <v>13</v>
      </c>
      <c r="E4" s="2">
        <v>16</v>
      </c>
      <c r="F4" s="2">
        <v>10</v>
      </c>
      <c r="G4" s="2" t="s">
        <v>14</v>
      </c>
      <c r="H4" s="2" t="s">
        <v>15</v>
      </c>
      <c r="I4" s="2" t="s">
        <v>16</v>
      </c>
      <c r="J4" s="5">
        <v>37</v>
      </c>
    </row>
    <row r="5" spans="1:12" x14ac:dyDescent="0.3">
      <c r="A5" s="19" t="s">
        <v>17</v>
      </c>
      <c r="B5" s="15" t="s">
        <v>18</v>
      </c>
      <c r="C5" s="15" t="s">
        <v>19</v>
      </c>
      <c r="D5" s="15" t="s">
        <v>13</v>
      </c>
      <c r="E5" s="15">
        <v>15</v>
      </c>
      <c r="F5" s="15">
        <v>12</v>
      </c>
      <c r="G5" s="15" t="s">
        <v>14</v>
      </c>
      <c r="H5" s="15" t="s">
        <v>20</v>
      </c>
      <c r="I5" s="15" t="s">
        <v>21</v>
      </c>
      <c r="J5" s="57">
        <v>98</v>
      </c>
    </row>
    <row r="6" spans="1:12" hidden="1" x14ac:dyDescent="0.3">
      <c r="A6" s="4" t="s">
        <v>22</v>
      </c>
      <c r="B6" s="2" t="s">
        <v>23</v>
      </c>
      <c r="C6" s="2" t="s">
        <v>24</v>
      </c>
      <c r="D6" s="2" t="s">
        <v>13</v>
      </c>
      <c r="E6" s="2">
        <v>14</v>
      </c>
      <c r="F6" s="2">
        <v>12</v>
      </c>
      <c r="G6" s="2" t="s">
        <v>25</v>
      </c>
      <c r="H6" s="2" t="s">
        <v>26</v>
      </c>
      <c r="I6" s="2" t="s">
        <v>27</v>
      </c>
      <c r="J6" s="5">
        <v>38</v>
      </c>
    </row>
    <row r="7" spans="1:12" x14ac:dyDescent="0.3">
      <c r="A7" s="19" t="s">
        <v>28</v>
      </c>
      <c r="B7" s="15" t="s">
        <v>29</v>
      </c>
      <c r="C7" s="15" t="s">
        <v>30</v>
      </c>
      <c r="D7" s="15" t="s">
        <v>31</v>
      </c>
      <c r="E7" s="15">
        <v>20</v>
      </c>
      <c r="F7" s="15">
        <v>9</v>
      </c>
      <c r="G7" s="15" t="s">
        <v>32</v>
      </c>
      <c r="H7" s="15" t="s">
        <v>26</v>
      </c>
      <c r="I7" s="15" t="s">
        <v>33</v>
      </c>
      <c r="J7" s="57">
        <v>84</v>
      </c>
    </row>
    <row r="8" spans="1:12" hidden="1" x14ac:dyDescent="0.3">
      <c r="A8" s="4" t="s">
        <v>34</v>
      </c>
      <c r="B8" s="2" t="s">
        <v>35</v>
      </c>
      <c r="C8" s="2" t="s">
        <v>36</v>
      </c>
      <c r="D8" s="2" t="s">
        <v>31</v>
      </c>
      <c r="E8" s="2">
        <v>17</v>
      </c>
      <c r="F8" s="2">
        <v>10</v>
      </c>
      <c r="G8" s="2" t="s">
        <v>32</v>
      </c>
      <c r="H8" s="2" t="s">
        <v>37</v>
      </c>
      <c r="I8" s="2" t="s">
        <v>38</v>
      </c>
      <c r="J8" s="5">
        <v>45</v>
      </c>
    </row>
    <row r="9" spans="1:12" hidden="1" x14ac:dyDescent="0.3">
      <c r="A9" s="4" t="s">
        <v>39</v>
      </c>
      <c r="B9" s="2" t="s">
        <v>11</v>
      </c>
      <c r="C9" s="2" t="s">
        <v>12</v>
      </c>
      <c r="D9" s="2" t="s">
        <v>31</v>
      </c>
      <c r="E9" s="2">
        <v>19</v>
      </c>
      <c r="F9" s="2">
        <v>10</v>
      </c>
      <c r="G9" s="2" t="s">
        <v>14</v>
      </c>
      <c r="H9" s="2" t="s">
        <v>40</v>
      </c>
      <c r="I9" s="2" t="s">
        <v>41</v>
      </c>
      <c r="J9" s="5">
        <v>36</v>
      </c>
    </row>
    <row r="10" spans="1:12" x14ac:dyDescent="0.3">
      <c r="A10" s="19" t="s">
        <v>42</v>
      </c>
      <c r="B10" s="15" t="s">
        <v>29</v>
      </c>
      <c r="C10" s="15" t="s">
        <v>24</v>
      </c>
      <c r="D10" s="15" t="s">
        <v>31</v>
      </c>
      <c r="E10" s="15">
        <v>20</v>
      </c>
      <c r="F10" s="15">
        <v>9</v>
      </c>
      <c r="G10" s="15" t="s">
        <v>43</v>
      </c>
      <c r="H10" s="15" t="s">
        <v>40</v>
      </c>
      <c r="I10" s="15" t="s">
        <v>44</v>
      </c>
      <c r="J10" s="57">
        <v>88</v>
      </c>
    </row>
    <row r="11" spans="1:12" hidden="1" x14ac:dyDescent="0.3">
      <c r="A11" s="4" t="s">
        <v>45</v>
      </c>
      <c r="B11" s="2" t="s">
        <v>35</v>
      </c>
      <c r="C11" s="2" t="s">
        <v>12</v>
      </c>
      <c r="D11" s="2" t="s">
        <v>13</v>
      </c>
      <c r="E11" s="2">
        <v>19</v>
      </c>
      <c r="F11" s="2">
        <v>12</v>
      </c>
      <c r="G11" s="2" t="s">
        <v>32</v>
      </c>
      <c r="H11" s="2" t="s">
        <v>46</v>
      </c>
      <c r="I11" s="2" t="s">
        <v>47</v>
      </c>
      <c r="J11" s="5">
        <v>60</v>
      </c>
    </row>
    <row r="12" spans="1:12" x14ac:dyDescent="0.3">
      <c r="A12" s="19" t="s">
        <v>48</v>
      </c>
      <c r="B12" s="15" t="s">
        <v>18</v>
      </c>
      <c r="C12" s="15" t="s">
        <v>30</v>
      </c>
      <c r="D12" s="15" t="s">
        <v>31</v>
      </c>
      <c r="E12" s="15">
        <v>19</v>
      </c>
      <c r="F12" s="15">
        <v>12</v>
      </c>
      <c r="G12" s="15" t="s">
        <v>14</v>
      </c>
      <c r="H12" s="15" t="s">
        <v>46</v>
      </c>
      <c r="I12" s="15" t="s">
        <v>49</v>
      </c>
      <c r="J12" s="57">
        <v>92</v>
      </c>
    </row>
    <row r="13" spans="1:12" x14ac:dyDescent="0.3">
      <c r="A13" s="19" t="s">
        <v>50</v>
      </c>
      <c r="B13" s="15" t="s">
        <v>51</v>
      </c>
      <c r="C13" s="15" t="s">
        <v>24</v>
      </c>
      <c r="D13" s="15" t="s">
        <v>31</v>
      </c>
      <c r="E13" s="15">
        <v>15</v>
      </c>
      <c r="F13" s="15">
        <v>9</v>
      </c>
      <c r="G13" s="15" t="s">
        <v>43</v>
      </c>
      <c r="H13" s="15" t="s">
        <v>15</v>
      </c>
      <c r="I13" s="15" t="s">
        <v>52</v>
      </c>
      <c r="J13" s="57">
        <v>90</v>
      </c>
    </row>
    <row r="14" spans="1:12" hidden="1" x14ac:dyDescent="0.3">
      <c r="A14" s="4" t="s">
        <v>53</v>
      </c>
      <c r="B14" s="2" t="s">
        <v>54</v>
      </c>
      <c r="C14" s="2" t="s">
        <v>55</v>
      </c>
      <c r="D14" s="2" t="s">
        <v>31</v>
      </c>
      <c r="E14" s="2">
        <v>20</v>
      </c>
      <c r="F14" s="2">
        <v>10</v>
      </c>
      <c r="G14" s="2" t="s">
        <v>25</v>
      </c>
      <c r="H14" s="2" t="s">
        <v>40</v>
      </c>
      <c r="I14" s="2" t="s">
        <v>56</v>
      </c>
      <c r="J14" s="5">
        <v>59</v>
      </c>
    </row>
    <row r="15" spans="1:12" hidden="1" x14ac:dyDescent="0.3">
      <c r="A15" s="4" t="s">
        <v>57</v>
      </c>
      <c r="B15" s="2" t="s">
        <v>51</v>
      </c>
      <c r="C15" s="2" t="s">
        <v>58</v>
      </c>
      <c r="D15" s="2" t="s">
        <v>13</v>
      </c>
      <c r="E15" s="2">
        <v>14</v>
      </c>
      <c r="F15" s="2">
        <v>12</v>
      </c>
      <c r="G15" s="2" t="s">
        <v>32</v>
      </c>
      <c r="H15" s="2" t="s">
        <v>40</v>
      </c>
      <c r="I15" s="2" t="s">
        <v>59</v>
      </c>
      <c r="J15" s="5">
        <v>43</v>
      </c>
    </row>
    <row r="16" spans="1:12" hidden="1" x14ac:dyDescent="0.3">
      <c r="A16" s="4" t="s">
        <v>60</v>
      </c>
      <c r="B16" s="2" t="s">
        <v>35</v>
      </c>
      <c r="C16" s="2" t="s">
        <v>55</v>
      </c>
      <c r="D16" s="2" t="s">
        <v>13</v>
      </c>
      <c r="E16" s="2">
        <v>15</v>
      </c>
      <c r="F16" s="2">
        <v>12</v>
      </c>
      <c r="G16" s="2" t="s">
        <v>14</v>
      </c>
      <c r="H16" s="2" t="s">
        <v>61</v>
      </c>
      <c r="I16" s="2" t="s">
        <v>62</v>
      </c>
      <c r="J16" s="5">
        <v>51</v>
      </c>
    </row>
    <row r="17" spans="1:10" hidden="1" x14ac:dyDescent="0.3">
      <c r="A17" s="4" t="s">
        <v>63</v>
      </c>
      <c r="B17" s="2" t="s">
        <v>11</v>
      </c>
      <c r="C17" s="2" t="s">
        <v>55</v>
      </c>
      <c r="D17" s="2" t="s">
        <v>13</v>
      </c>
      <c r="E17" s="2">
        <v>16</v>
      </c>
      <c r="F17" s="2">
        <v>10</v>
      </c>
      <c r="G17" s="2" t="s">
        <v>25</v>
      </c>
      <c r="H17" s="2" t="s">
        <v>26</v>
      </c>
      <c r="I17" s="2" t="s">
        <v>64</v>
      </c>
      <c r="J17" s="5">
        <v>42</v>
      </c>
    </row>
    <row r="18" spans="1:10" hidden="1" x14ac:dyDescent="0.3">
      <c r="A18" s="4" t="s">
        <v>65</v>
      </c>
      <c r="B18" s="2" t="s">
        <v>23</v>
      </c>
      <c r="C18" s="2" t="s">
        <v>30</v>
      </c>
      <c r="D18" s="2" t="s">
        <v>13</v>
      </c>
      <c r="E18" s="2">
        <v>20</v>
      </c>
      <c r="F18" s="2">
        <v>12</v>
      </c>
      <c r="G18" s="2" t="s">
        <v>14</v>
      </c>
      <c r="H18" s="2" t="s">
        <v>40</v>
      </c>
      <c r="I18" s="2" t="s">
        <v>66</v>
      </c>
      <c r="J18" s="5">
        <v>62</v>
      </c>
    </row>
    <row r="19" spans="1:10" hidden="1" x14ac:dyDescent="0.3">
      <c r="A19" s="4" t="s">
        <v>67</v>
      </c>
      <c r="B19" s="2" t="s">
        <v>68</v>
      </c>
      <c r="C19" s="2" t="s">
        <v>19</v>
      </c>
      <c r="D19" s="2" t="s">
        <v>13</v>
      </c>
      <c r="E19" s="2">
        <v>20</v>
      </c>
      <c r="F19" s="2">
        <v>9</v>
      </c>
      <c r="G19" s="2" t="s">
        <v>14</v>
      </c>
      <c r="H19" s="2" t="s">
        <v>20</v>
      </c>
      <c r="I19" s="2" t="s">
        <v>69</v>
      </c>
      <c r="J19" s="5">
        <v>55</v>
      </c>
    </row>
    <row r="20" spans="1:10" hidden="1" x14ac:dyDescent="0.3">
      <c r="A20" s="4" t="s">
        <v>70</v>
      </c>
      <c r="B20" s="2" t="s">
        <v>51</v>
      </c>
      <c r="C20" s="2" t="s">
        <v>36</v>
      </c>
      <c r="D20" s="2" t="s">
        <v>13</v>
      </c>
      <c r="E20" s="2">
        <v>14</v>
      </c>
      <c r="F20" s="2">
        <v>12</v>
      </c>
      <c r="G20" s="2" t="s">
        <v>25</v>
      </c>
      <c r="H20" s="2" t="s">
        <v>37</v>
      </c>
      <c r="I20" s="2" t="s">
        <v>71</v>
      </c>
      <c r="J20" s="5">
        <v>42</v>
      </c>
    </row>
    <row r="21" spans="1:10" hidden="1" x14ac:dyDescent="0.3">
      <c r="A21" s="4" t="s">
        <v>72</v>
      </c>
      <c r="B21" s="2" t="s">
        <v>73</v>
      </c>
      <c r="C21" s="2" t="s">
        <v>58</v>
      </c>
      <c r="D21" s="2" t="s">
        <v>31</v>
      </c>
      <c r="E21" s="2">
        <v>19</v>
      </c>
      <c r="F21" s="2">
        <v>9</v>
      </c>
      <c r="G21" s="2" t="s">
        <v>32</v>
      </c>
      <c r="H21" s="2" t="s">
        <v>46</v>
      </c>
      <c r="I21" s="2" t="s">
        <v>74</v>
      </c>
      <c r="J21" s="5">
        <v>76</v>
      </c>
    </row>
    <row r="22" spans="1:10" hidden="1" x14ac:dyDescent="0.3">
      <c r="A22" s="4" t="s">
        <v>75</v>
      </c>
      <c r="B22" s="2" t="s">
        <v>29</v>
      </c>
      <c r="C22" s="2" t="s">
        <v>58</v>
      </c>
      <c r="D22" s="2" t="s">
        <v>31</v>
      </c>
      <c r="E22" s="2">
        <v>17</v>
      </c>
      <c r="F22" s="2">
        <v>12</v>
      </c>
      <c r="G22" s="2" t="s">
        <v>32</v>
      </c>
      <c r="H22" s="2" t="s">
        <v>76</v>
      </c>
      <c r="I22" s="2" t="s">
        <v>77</v>
      </c>
      <c r="J22" s="5">
        <v>66</v>
      </c>
    </row>
    <row r="23" spans="1:10" hidden="1" x14ac:dyDescent="0.3">
      <c r="A23" s="4" t="s">
        <v>78</v>
      </c>
      <c r="B23" s="2" t="s">
        <v>68</v>
      </c>
      <c r="C23" s="2" t="s">
        <v>79</v>
      </c>
      <c r="D23" s="2" t="s">
        <v>31</v>
      </c>
      <c r="E23" s="2">
        <v>15</v>
      </c>
      <c r="F23" s="2">
        <v>10</v>
      </c>
      <c r="G23" s="2" t="s">
        <v>14</v>
      </c>
      <c r="H23" s="2" t="s">
        <v>20</v>
      </c>
      <c r="I23" s="2" t="s">
        <v>80</v>
      </c>
      <c r="J23" s="5">
        <v>59</v>
      </c>
    </row>
    <row r="24" spans="1:10" hidden="1" x14ac:dyDescent="0.3">
      <c r="A24" s="4" t="s">
        <v>81</v>
      </c>
      <c r="B24" s="2" t="s">
        <v>29</v>
      </c>
      <c r="C24" s="2" t="s">
        <v>58</v>
      </c>
      <c r="D24" s="2" t="s">
        <v>31</v>
      </c>
      <c r="E24" s="2">
        <v>19</v>
      </c>
      <c r="F24" s="2">
        <v>9</v>
      </c>
      <c r="G24" s="2" t="s">
        <v>14</v>
      </c>
      <c r="H24" s="2" t="s">
        <v>61</v>
      </c>
      <c r="I24" s="2" t="s">
        <v>82</v>
      </c>
      <c r="J24" s="5">
        <v>50</v>
      </c>
    </row>
    <row r="25" spans="1:10" hidden="1" x14ac:dyDescent="0.3">
      <c r="A25" s="4" t="s">
        <v>83</v>
      </c>
      <c r="B25" s="2" t="s">
        <v>84</v>
      </c>
      <c r="C25" s="2" t="s">
        <v>85</v>
      </c>
      <c r="D25" s="2" t="s">
        <v>31</v>
      </c>
      <c r="E25" s="2">
        <v>16</v>
      </c>
      <c r="F25" s="2">
        <v>9</v>
      </c>
      <c r="G25" s="2" t="s">
        <v>43</v>
      </c>
      <c r="H25" s="2" t="s">
        <v>37</v>
      </c>
      <c r="I25" s="2" t="s">
        <v>86</v>
      </c>
      <c r="J25" s="5">
        <v>52</v>
      </c>
    </row>
    <row r="26" spans="1:10" x14ac:dyDescent="0.3">
      <c r="A26" s="19" t="s">
        <v>87</v>
      </c>
      <c r="B26" s="15" t="s">
        <v>18</v>
      </c>
      <c r="C26" s="15" t="s">
        <v>12</v>
      </c>
      <c r="D26" s="15" t="s">
        <v>13</v>
      </c>
      <c r="E26" s="15">
        <v>20</v>
      </c>
      <c r="F26" s="15">
        <v>12</v>
      </c>
      <c r="G26" s="15" t="s">
        <v>32</v>
      </c>
      <c r="H26" s="15" t="s">
        <v>26</v>
      </c>
      <c r="I26" s="15" t="s">
        <v>88</v>
      </c>
      <c r="J26" s="57">
        <v>86</v>
      </c>
    </row>
    <row r="27" spans="1:10" hidden="1" x14ac:dyDescent="0.3">
      <c r="A27" s="4" t="s">
        <v>89</v>
      </c>
      <c r="B27" s="2" t="s">
        <v>68</v>
      </c>
      <c r="C27" s="2" t="s">
        <v>85</v>
      </c>
      <c r="D27" s="2" t="s">
        <v>31</v>
      </c>
      <c r="E27" s="2">
        <v>16</v>
      </c>
      <c r="F27" s="2">
        <v>9</v>
      </c>
      <c r="G27" s="2" t="s">
        <v>43</v>
      </c>
      <c r="H27" s="2" t="s">
        <v>20</v>
      </c>
      <c r="I27" s="2" t="s">
        <v>90</v>
      </c>
      <c r="J27" s="5">
        <v>52</v>
      </c>
    </row>
    <row r="28" spans="1:10" x14ac:dyDescent="0.3">
      <c r="A28" s="19" t="s">
        <v>91</v>
      </c>
      <c r="B28" s="15" t="s">
        <v>73</v>
      </c>
      <c r="C28" s="15" t="s">
        <v>12</v>
      </c>
      <c r="D28" s="15" t="s">
        <v>13</v>
      </c>
      <c r="E28" s="15">
        <v>20</v>
      </c>
      <c r="F28" s="15">
        <v>10</v>
      </c>
      <c r="G28" s="15" t="s">
        <v>43</v>
      </c>
      <c r="H28" s="15" t="s">
        <v>46</v>
      </c>
      <c r="I28" s="15" t="s">
        <v>92</v>
      </c>
      <c r="J28" s="57">
        <v>82</v>
      </c>
    </row>
    <row r="29" spans="1:10" hidden="1" x14ac:dyDescent="0.3">
      <c r="A29" s="4" t="s">
        <v>93</v>
      </c>
      <c r="B29" s="2" t="s">
        <v>29</v>
      </c>
      <c r="C29" s="2" t="s">
        <v>24</v>
      </c>
      <c r="D29" s="2" t="s">
        <v>31</v>
      </c>
      <c r="E29" s="2">
        <v>14</v>
      </c>
      <c r="F29" s="2">
        <v>12</v>
      </c>
      <c r="G29" s="2" t="s">
        <v>32</v>
      </c>
      <c r="H29" s="2" t="s">
        <v>61</v>
      </c>
      <c r="I29" s="2" t="s">
        <v>94</v>
      </c>
      <c r="J29" s="5">
        <v>72</v>
      </c>
    </row>
    <row r="30" spans="1:10" hidden="1" x14ac:dyDescent="0.3">
      <c r="A30" s="4" t="s">
        <v>95</v>
      </c>
      <c r="B30" s="2" t="s">
        <v>18</v>
      </c>
      <c r="C30" s="2" t="s">
        <v>96</v>
      </c>
      <c r="D30" s="2" t="s">
        <v>13</v>
      </c>
      <c r="E30" s="2">
        <v>19</v>
      </c>
      <c r="F30" s="2">
        <v>12</v>
      </c>
      <c r="G30" s="2" t="s">
        <v>14</v>
      </c>
      <c r="H30" s="2" t="s">
        <v>15</v>
      </c>
      <c r="I30" s="2" t="s">
        <v>97</v>
      </c>
      <c r="J30" s="5">
        <v>56</v>
      </c>
    </row>
    <row r="31" spans="1:10" hidden="1" x14ac:dyDescent="0.3">
      <c r="A31" s="4" t="s">
        <v>98</v>
      </c>
      <c r="B31" s="2" t="s">
        <v>68</v>
      </c>
      <c r="C31" s="2" t="s">
        <v>55</v>
      </c>
      <c r="D31" s="2" t="s">
        <v>13</v>
      </c>
      <c r="E31" s="2">
        <v>19</v>
      </c>
      <c r="F31" s="2">
        <v>11</v>
      </c>
      <c r="G31" s="2" t="s">
        <v>43</v>
      </c>
      <c r="H31" s="2" t="s">
        <v>15</v>
      </c>
      <c r="I31" s="2" t="s">
        <v>99</v>
      </c>
      <c r="J31" s="5">
        <v>56</v>
      </c>
    </row>
    <row r="32" spans="1:10" hidden="1" x14ac:dyDescent="0.3">
      <c r="A32" s="4" t="s">
        <v>100</v>
      </c>
      <c r="B32" s="2" t="s">
        <v>35</v>
      </c>
      <c r="C32" s="2" t="s">
        <v>12</v>
      </c>
      <c r="D32" s="2" t="s">
        <v>31</v>
      </c>
      <c r="E32" s="2">
        <v>19</v>
      </c>
      <c r="F32" s="2">
        <v>12</v>
      </c>
      <c r="G32" s="2" t="s">
        <v>25</v>
      </c>
      <c r="H32" s="2" t="s">
        <v>76</v>
      </c>
      <c r="I32" s="2" t="s">
        <v>101</v>
      </c>
      <c r="J32" s="5">
        <v>54</v>
      </c>
    </row>
    <row r="33" spans="1:10" hidden="1" x14ac:dyDescent="0.3">
      <c r="A33" s="4" t="s">
        <v>102</v>
      </c>
      <c r="B33" s="2" t="s">
        <v>35</v>
      </c>
      <c r="C33" s="2" t="s">
        <v>12</v>
      </c>
      <c r="D33" s="2" t="s">
        <v>13</v>
      </c>
      <c r="E33" s="2">
        <v>20</v>
      </c>
      <c r="F33" s="2">
        <v>11</v>
      </c>
      <c r="G33" s="2" t="s">
        <v>14</v>
      </c>
      <c r="H33" s="2" t="s">
        <v>26</v>
      </c>
      <c r="I33" s="2" t="s">
        <v>103</v>
      </c>
      <c r="J33" s="5">
        <v>70</v>
      </c>
    </row>
    <row r="34" spans="1:10" hidden="1" x14ac:dyDescent="0.3">
      <c r="A34" s="4" t="s">
        <v>104</v>
      </c>
      <c r="B34" s="2" t="s">
        <v>29</v>
      </c>
      <c r="C34" s="2" t="s">
        <v>79</v>
      </c>
      <c r="D34" s="2" t="s">
        <v>31</v>
      </c>
      <c r="E34" s="2">
        <v>18</v>
      </c>
      <c r="F34" s="2">
        <v>10</v>
      </c>
      <c r="G34" s="2" t="s">
        <v>25</v>
      </c>
      <c r="H34" s="2" t="s">
        <v>61</v>
      </c>
      <c r="I34" s="2" t="s">
        <v>105</v>
      </c>
      <c r="J34" s="5">
        <v>57</v>
      </c>
    </row>
    <row r="35" spans="1:10" x14ac:dyDescent="0.3">
      <c r="A35" s="19" t="s">
        <v>106</v>
      </c>
      <c r="B35" s="15" t="s">
        <v>51</v>
      </c>
      <c r="C35" s="15" t="s">
        <v>55</v>
      </c>
      <c r="D35" s="15" t="s">
        <v>13</v>
      </c>
      <c r="E35" s="15">
        <v>20</v>
      </c>
      <c r="F35" s="15">
        <v>9</v>
      </c>
      <c r="G35" s="15" t="s">
        <v>32</v>
      </c>
      <c r="H35" s="15" t="s">
        <v>26</v>
      </c>
      <c r="I35" s="15" t="s">
        <v>107</v>
      </c>
      <c r="J35" s="57">
        <v>91</v>
      </c>
    </row>
    <row r="36" spans="1:10" hidden="1" x14ac:dyDescent="0.3">
      <c r="A36" s="4" t="s">
        <v>108</v>
      </c>
      <c r="B36" s="2" t="s">
        <v>29</v>
      </c>
      <c r="C36" s="2" t="s">
        <v>96</v>
      </c>
      <c r="D36" s="2" t="s">
        <v>31</v>
      </c>
      <c r="E36" s="2">
        <v>15</v>
      </c>
      <c r="F36" s="2">
        <v>11</v>
      </c>
      <c r="G36" s="2" t="s">
        <v>43</v>
      </c>
      <c r="H36" s="2" t="s">
        <v>26</v>
      </c>
      <c r="I36" s="2" t="s">
        <v>109</v>
      </c>
      <c r="J36" s="5">
        <v>77</v>
      </c>
    </row>
    <row r="37" spans="1:10" hidden="1" x14ac:dyDescent="0.3">
      <c r="A37" s="4" t="s">
        <v>110</v>
      </c>
      <c r="B37" s="2" t="s">
        <v>51</v>
      </c>
      <c r="C37" s="2" t="s">
        <v>58</v>
      </c>
      <c r="D37" s="2" t="s">
        <v>31</v>
      </c>
      <c r="E37" s="2">
        <v>14</v>
      </c>
      <c r="F37" s="2">
        <v>10</v>
      </c>
      <c r="G37" s="2" t="s">
        <v>32</v>
      </c>
      <c r="H37" s="2" t="s">
        <v>76</v>
      </c>
      <c r="I37" s="2" t="s">
        <v>111</v>
      </c>
      <c r="J37" s="5">
        <v>60</v>
      </c>
    </row>
    <row r="38" spans="1:10" hidden="1" x14ac:dyDescent="0.3">
      <c r="A38" s="4" t="s">
        <v>112</v>
      </c>
      <c r="B38" s="2" t="s">
        <v>73</v>
      </c>
      <c r="C38" s="2" t="s">
        <v>30</v>
      </c>
      <c r="D38" s="2" t="s">
        <v>13</v>
      </c>
      <c r="E38" s="2">
        <v>15</v>
      </c>
      <c r="F38" s="2">
        <v>9</v>
      </c>
      <c r="G38" s="2" t="s">
        <v>14</v>
      </c>
      <c r="H38" s="2" t="s">
        <v>26</v>
      </c>
      <c r="I38" s="2" t="s">
        <v>113</v>
      </c>
      <c r="J38" s="5">
        <v>58</v>
      </c>
    </row>
    <row r="39" spans="1:10" hidden="1" x14ac:dyDescent="0.3">
      <c r="A39" s="4" t="s">
        <v>114</v>
      </c>
      <c r="B39" s="2" t="s">
        <v>73</v>
      </c>
      <c r="C39" s="2" t="s">
        <v>58</v>
      </c>
      <c r="D39" s="2" t="s">
        <v>13</v>
      </c>
      <c r="E39" s="2">
        <v>20</v>
      </c>
      <c r="F39" s="2">
        <v>9</v>
      </c>
      <c r="G39" s="2" t="s">
        <v>25</v>
      </c>
      <c r="H39" s="2" t="s">
        <v>46</v>
      </c>
      <c r="I39" s="2" t="s">
        <v>115</v>
      </c>
      <c r="J39" s="5">
        <v>40</v>
      </c>
    </row>
    <row r="40" spans="1:10" hidden="1" x14ac:dyDescent="0.3">
      <c r="A40" s="4" t="s">
        <v>116</v>
      </c>
      <c r="B40" s="2" t="s">
        <v>84</v>
      </c>
      <c r="C40" s="2" t="s">
        <v>19</v>
      </c>
      <c r="D40" s="2" t="s">
        <v>13</v>
      </c>
      <c r="E40" s="2">
        <v>19</v>
      </c>
      <c r="F40" s="2">
        <v>12</v>
      </c>
      <c r="G40" s="2" t="s">
        <v>14</v>
      </c>
      <c r="H40" s="2" t="s">
        <v>20</v>
      </c>
      <c r="I40" s="2" t="s">
        <v>117</v>
      </c>
      <c r="J40" s="5">
        <v>56</v>
      </c>
    </row>
    <row r="41" spans="1:10" hidden="1" x14ac:dyDescent="0.3">
      <c r="A41" s="4" t="s">
        <v>118</v>
      </c>
      <c r="B41" s="2" t="s">
        <v>84</v>
      </c>
      <c r="C41" s="2" t="s">
        <v>58</v>
      </c>
      <c r="D41" s="2" t="s">
        <v>31</v>
      </c>
      <c r="E41" s="2">
        <v>20</v>
      </c>
      <c r="F41" s="2">
        <v>10</v>
      </c>
      <c r="G41" s="2" t="s">
        <v>32</v>
      </c>
      <c r="H41" s="2" t="s">
        <v>26</v>
      </c>
      <c r="I41" s="2" t="s">
        <v>119</v>
      </c>
      <c r="J41" s="5">
        <v>52</v>
      </c>
    </row>
    <row r="42" spans="1:10" hidden="1" x14ac:dyDescent="0.3">
      <c r="A42" s="4" t="s">
        <v>120</v>
      </c>
      <c r="B42" s="2" t="s">
        <v>35</v>
      </c>
      <c r="C42" s="2" t="s">
        <v>36</v>
      </c>
      <c r="D42" s="2" t="s">
        <v>31</v>
      </c>
      <c r="E42" s="2">
        <v>20</v>
      </c>
      <c r="F42" s="2">
        <v>10</v>
      </c>
      <c r="G42" s="2" t="s">
        <v>43</v>
      </c>
      <c r="H42" s="2" t="s">
        <v>61</v>
      </c>
      <c r="I42" s="2" t="s">
        <v>121</v>
      </c>
      <c r="J42" s="5">
        <v>37</v>
      </c>
    </row>
    <row r="43" spans="1:10" hidden="1" x14ac:dyDescent="0.3">
      <c r="A43" s="4" t="s">
        <v>122</v>
      </c>
      <c r="B43" s="2" t="s">
        <v>18</v>
      </c>
      <c r="C43" s="2" t="s">
        <v>19</v>
      </c>
      <c r="D43" s="2" t="s">
        <v>13</v>
      </c>
      <c r="E43" s="2">
        <v>15</v>
      </c>
      <c r="F43" s="2">
        <v>10</v>
      </c>
      <c r="G43" s="2" t="s">
        <v>32</v>
      </c>
      <c r="H43" s="2" t="s">
        <v>20</v>
      </c>
      <c r="I43" s="2" t="s">
        <v>123</v>
      </c>
      <c r="J43" s="5">
        <v>51</v>
      </c>
    </row>
    <row r="44" spans="1:10" hidden="1" x14ac:dyDescent="0.3">
      <c r="A44" s="4" t="s">
        <v>124</v>
      </c>
      <c r="B44" s="2" t="s">
        <v>68</v>
      </c>
      <c r="C44" s="2" t="s">
        <v>36</v>
      </c>
      <c r="D44" s="2" t="s">
        <v>13</v>
      </c>
      <c r="E44" s="2">
        <v>18</v>
      </c>
      <c r="F44" s="2">
        <v>10</v>
      </c>
      <c r="G44" s="2" t="s">
        <v>43</v>
      </c>
      <c r="H44" s="2" t="s">
        <v>20</v>
      </c>
      <c r="I44" s="2" t="s">
        <v>125</v>
      </c>
      <c r="J44" s="5">
        <v>66</v>
      </c>
    </row>
    <row r="45" spans="1:10" hidden="1" x14ac:dyDescent="0.3">
      <c r="A45" s="4" t="s">
        <v>126</v>
      </c>
      <c r="B45" s="2" t="s">
        <v>18</v>
      </c>
      <c r="C45" s="2" t="s">
        <v>24</v>
      </c>
      <c r="D45" s="2" t="s">
        <v>13</v>
      </c>
      <c r="E45" s="2">
        <v>15</v>
      </c>
      <c r="F45" s="2">
        <v>9</v>
      </c>
      <c r="G45" s="2" t="s">
        <v>25</v>
      </c>
      <c r="H45" s="2" t="s">
        <v>76</v>
      </c>
      <c r="I45" s="2" t="s">
        <v>127</v>
      </c>
      <c r="J45" s="5">
        <v>59</v>
      </c>
    </row>
    <row r="46" spans="1:10" hidden="1" x14ac:dyDescent="0.3">
      <c r="A46" s="4" t="s">
        <v>128</v>
      </c>
      <c r="B46" s="2" t="s">
        <v>11</v>
      </c>
      <c r="C46" s="2" t="s">
        <v>24</v>
      </c>
      <c r="D46" s="2" t="s">
        <v>31</v>
      </c>
      <c r="E46" s="2">
        <v>17</v>
      </c>
      <c r="F46" s="2">
        <v>12</v>
      </c>
      <c r="G46" s="2" t="s">
        <v>32</v>
      </c>
      <c r="H46" s="2" t="s">
        <v>15</v>
      </c>
      <c r="I46" s="2" t="s">
        <v>129</v>
      </c>
      <c r="J46" s="5">
        <v>68</v>
      </c>
    </row>
    <row r="47" spans="1:10" x14ac:dyDescent="0.3">
      <c r="A47" s="19" t="s">
        <v>130</v>
      </c>
      <c r="B47" s="15" t="s">
        <v>73</v>
      </c>
      <c r="C47" s="15" t="s">
        <v>30</v>
      </c>
      <c r="D47" s="15" t="s">
        <v>13</v>
      </c>
      <c r="E47" s="15">
        <v>17</v>
      </c>
      <c r="F47" s="15">
        <v>12</v>
      </c>
      <c r="G47" s="15" t="s">
        <v>25</v>
      </c>
      <c r="H47" s="15" t="s">
        <v>40</v>
      </c>
      <c r="I47" s="15" t="s">
        <v>131</v>
      </c>
      <c r="J47" s="57">
        <v>82</v>
      </c>
    </row>
    <row r="48" spans="1:10" x14ac:dyDescent="0.3">
      <c r="A48" s="19" t="s">
        <v>132</v>
      </c>
      <c r="B48" s="15" t="s">
        <v>29</v>
      </c>
      <c r="C48" s="15" t="s">
        <v>12</v>
      </c>
      <c r="D48" s="15" t="s">
        <v>13</v>
      </c>
      <c r="E48" s="15">
        <v>17</v>
      </c>
      <c r="F48" s="15">
        <v>10</v>
      </c>
      <c r="G48" s="15" t="s">
        <v>25</v>
      </c>
      <c r="H48" s="15" t="s">
        <v>37</v>
      </c>
      <c r="I48" s="15" t="s">
        <v>133</v>
      </c>
      <c r="J48" s="57">
        <v>88</v>
      </c>
    </row>
    <row r="49" spans="1:10" hidden="1" x14ac:dyDescent="0.3">
      <c r="A49" s="4" t="s">
        <v>134</v>
      </c>
      <c r="B49" s="2" t="s">
        <v>23</v>
      </c>
      <c r="C49" s="2" t="s">
        <v>30</v>
      </c>
      <c r="D49" s="2" t="s">
        <v>31</v>
      </c>
      <c r="E49" s="2">
        <v>20</v>
      </c>
      <c r="F49" s="2">
        <v>9</v>
      </c>
      <c r="G49" s="2" t="s">
        <v>14</v>
      </c>
      <c r="H49" s="2" t="s">
        <v>15</v>
      </c>
      <c r="I49" s="2" t="s">
        <v>135</v>
      </c>
      <c r="J49" s="5">
        <v>50</v>
      </c>
    </row>
    <row r="50" spans="1:10" hidden="1" x14ac:dyDescent="0.3">
      <c r="A50" s="4" t="s">
        <v>136</v>
      </c>
      <c r="B50" s="2" t="s">
        <v>11</v>
      </c>
      <c r="C50" s="2" t="s">
        <v>79</v>
      </c>
      <c r="D50" s="2" t="s">
        <v>13</v>
      </c>
      <c r="E50" s="2">
        <v>14</v>
      </c>
      <c r="F50" s="2">
        <v>10</v>
      </c>
      <c r="G50" s="2" t="s">
        <v>43</v>
      </c>
      <c r="H50" s="2" t="s">
        <v>61</v>
      </c>
      <c r="I50" s="2" t="s">
        <v>137</v>
      </c>
      <c r="J50" s="5">
        <v>65</v>
      </c>
    </row>
    <row r="51" spans="1:10" x14ac:dyDescent="0.3">
      <c r="A51" s="19" t="s">
        <v>138</v>
      </c>
      <c r="B51" s="15" t="s">
        <v>51</v>
      </c>
      <c r="C51" s="15" t="s">
        <v>85</v>
      </c>
      <c r="D51" s="15" t="s">
        <v>13</v>
      </c>
      <c r="E51" s="15">
        <v>18</v>
      </c>
      <c r="F51" s="15">
        <v>11</v>
      </c>
      <c r="G51" s="15" t="s">
        <v>43</v>
      </c>
      <c r="H51" s="15" t="s">
        <v>61</v>
      </c>
      <c r="I51" s="15" t="s">
        <v>139</v>
      </c>
      <c r="J51" s="57">
        <v>100</v>
      </c>
    </row>
    <row r="52" spans="1:10" x14ac:dyDescent="0.3">
      <c r="A52" s="19" t="s">
        <v>140</v>
      </c>
      <c r="B52" s="15" t="s">
        <v>35</v>
      </c>
      <c r="C52" s="15" t="s">
        <v>30</v>
      </c>
      <c r="D52" s="15" t="s">
        <v>31</v>
      </c>
      <c r="E52" s="15">
        <v>19</v>
      </c>
      <c r="F52" s="15">
        <v>10</v>
      </c>
      <c r="G52" s="15" t="s">
        <v>32</v>
      </c>
      <c r="H52" s="15" t="s">
        <v>76</v>
      </c>
      <c r="I52" s="15" t="s">
        <v>141</v>
      </c>
      <c r="J52" s="57">
        <v>93</v>
      </c>
    </row>
    <row r="53" spans="1:10" x14ac:dyDescent="0.3">
      <c r="A53" s="19" t="s">
        <v>142</v>
      </c>
      <c r="B53" s="15" t="s">
        <v>29</v>
      </c>
      <c r="C53" s="15" t="s">
        <v>96</v>
      </c>
      <c r="D53" s="15" t="s">
        <v>31</v>
      </c>
      <c r="E53" s="15">
        <v>16</v>
      </c>
      <c r="F53" s="15">
        <v>12</v>
      </c>
      <c r="G53" s="15" t="s">
        <v>14</v>
      </c>
      <c r="H53" s="15" t="s">
        <v>37</v>
      </c>
      <c r="I53" s="15" t="s">
        <v>143</v>
      </c>
      <c r="J53" s="57">
        <v>85</v>
      </c>
    </row>
    <row r="54" spans="1:10" hidden="1" x14ac:dyDescent="0.3">
      <c r="A54" s="4" t="s">
        <v>144</v>
      </c>
      <c r="B54" s="2" t="s">
        <v>73</v>
      </c>
      <c r="C54" s="2" t="s">
        <v>12</v>
      </c>
      <c r="D54" s="2" t="s">
        <v>31</v>
      </c>
      <c r="E54" s="2">
        <v>20</v>
      </c>
      <c r="F54" s="2">
        <v>10</v>
      </c>
      <c r="G54" s="2" t="s">
        <v>14</v>
      </c>
      <c r="H54" s="2" t="s">
        <v>26</v>
      </c>
      <c r="I54" s="2" t="s">
        <v>145</v>
      </c>
      <c r="J54" s="5">
        <v>71</v>
      </c>
    </row>
    <row r="55" spans="1:10" hidden="1" x14ac:dyDescent="0.3">
      <c r="A55" s="4" t="s">
        <v>146</v>
      </c>
      <c r="B55" s="2" t="s">
        <v>35</v>
      </c>
      <c r="C55" s="2" t="s">
        <v>30</v>
      </c>
      <c r="D55" s="2" t="s">
        <v>31</v>
      </c>
      <c r="E55" s="2">
        <v>20</v>
      </c>
      <c r="F55" s="2">
        <v>9</v>
      </c>
      <c r="G55" s="2" t="s">
        <v>43</v>
      </c>
      <c r="H55" s="2" t="s">
        <v>15</v>
      </c>
      <c r="I55" s="2" t="s">
        <v>147</v>
      </c>
      <c r="J55" s="5">
        <v>40</v>
      </c>
    </row>
    <row r="56" spans="1:10" x14ac:dyDescent="0.3">
      <c r="A56" s="19" t="s">
        <v>148</v>
      </c>
      <c r="B56" s="15" t="s">
        <v>51</v>
      </c>
      <c r="C56" s="15" t="s">
        <v>96</v>
      </c>
      <c r="D56" s="15" t="s">
        <v>13</v>
      </c>
      <c r="E56" s="15">
        <v>19</v>
      </c>
      <c r="F56" s="15">
        <v>11</v>
      </c>
      <c r="G56" s="15" t="s">
        <v>14</v>
      </c>
      <c r="H56" s="15" t="s">
        <v>76</v>
      </c>
      <c r="I56" s="15" t="s">
        <v>149</v>
      </c>
      <c r="J56" s="57">
        <v>83</v>
      </c>
    </row>
    <row r="57" spans="1:10" hidden="1" x14ac:dyDescent="0.3">
      <c r="A57" s="4" t="s">
        <v>150</v>
      </c>
      <c r="B57" s="2" t="s">
        <v>23</v>
      </c>
      <c r="C57" s="2" t="s">
        <v>55</v>
      </c>
      <c r="D57" s="2" t="s">
        <v>31</v>
      </c>
      <c r="E57" s="2">
        <v>17</v>
      </c>
      <c r="F57" s="2">
        <v>9</v>
      </c>
      <c r="G57" s="2" t="s">
        <v>25</v>
      </c>
      <c r="H57" s="2" t="s">
        <v>20</v>
      </c>
      <c r="I57" s="2" t="s">
        <v>151</v>
      </c>
      <c r="J57" s="5">
        <v>55</v>
      </c>
    </row>
    <row r="58" spans="1:10" hidden="1" x14ac:dyDescent="0.3">
      <c r="A58" s="4" t="s">
        <v>152</v>
      </c>
      <c r="B58" s="2" t="s">
        <v>23</v>
      </c>
      <c r="C58" s="2" t="s">
        <v>55</v>
      </c>
      <c r="D58" s="2" t="s">
        <v>13</v>
      </c>
      <c r="E58" s="2">
        <v>17</v>
      </c>
      <c r="F58" s="2">
        <v>12</v>
      </c>
      <c r="G58" s="2" t="s">
        <v>32</v>
      </c>
      <c r="H58" s="2" t="s">
        <v>46</v>
      </c>
      <c r="I58" s="2" t="s">
        <v>153</v>
      </c>
      <c r="J58" s="5">
        <v>39</v>
      </c>
    </row>
    <row r="59" spans="1:10" hidden="1" x14ac:dyDescent="0.3">
      <c r="A59" s="4" t="s">
        <v>154</v>
      </c>
      <c r="B59" s="2" t="s">
        <v>51</v>
      </c>
      <c r="C59" s="2" t="s">
        <v>36</v>
      </c>
      <c r="D59" s="2" t="s">
        <v>31</v>
      </c>
      <c r="E59" s="2">
        <v>18</v>
      </c>
      <c r="F59" s="2">
        <v>12</v>
      </c>
      <c r="G59" s="2" t="s">
        <v>43</v>
      </c>
      <c r="H59" s="2" t="s">
        <v>76</v>
      </c>
      <c r="I59" s="2" t="s">
        <v>155</v>
      </c>
      <c r="J59" s="5">
        <v>77</v>
      </c>
    </row>
    <row r="60" spans="1:10" hidden="1" x14ac:dyDescent="0.3">
      <c r="A60" s="4" t="s">
        <v>156</v>
      </c>
      <c r="B60" s="2" t="s">
        <v>35</v>
      </c>
      <c r="C60" s="2" t="s">
        <v>55</v>
      </c>
      <c r="D60" s="2" t="s">
        <v>13</v>
      </c>
      <c r="E60" s="2">
        <v>19</v>
      </c>
      <c r="F60" s="2">
        <v>11</v>
      </c>
      <c r="G60" s="2" t="s">
        <v>14</v>
      </c>
      <c r="H60" s="2" t="s">
        <v>40</v>
      </c>
      <c r="I60" s="2" t="s">
        <v>157</v>
      </c>
      <c r="J60" s="5">
        <v>63</v>
      </c>
    </row>
    <row r="61" spans="1:10" hidden="1" x14ac:dyDescent="0.3">
      <c r="A61" s="4" t="s">
        <v>158</v>
      </c>
      <c r="B61" s="2" t="s">
        <v>18</v>
      </c>
      <c r="C61" s="2" t="s">
        <v>19</v>
      </c>
      <c r="D61" s="2" t="s">
        <v>13</v>
      </c>
      <c r="E61" s="2">
        <v>16</v>
      </c>
      <c r="F61" s="2">
        <v>12</v>
      </c>
      <c r="G61" s="2" t="s">
        <v>43</v>
      </c>
      <c r="H61" s="2" t="s">
        <v>40</v>
      </c>
      <c r="I61" s="2" t="s">
        <v>159</v>
      </c>
      <c r="J61" s="5">
        <v>36</v>
      </c>
    </row>
    <row r="62" spans="1:10" x14ac:dyDescent="0.3">
      <c r="A62" s="19" t="s">
        <v>160</v>
      </c>
      <c r="B62" s="15" t="s">
        <v>51</v>
      </c>
      <c r="C62" s="15" t="s">
        <v>85</v>
      </c>
      <c r="D62" s="15" t="s">
        <v>31</v>
      </c>
      <c r="E62" s="15">
        <v>17</v>
      </c>
      <c r="F62" s="15">
        <v>11</v>
      </c>
      <c r="G62" s="15" t="s">
        <v>43</v>
      </c>
      <c r="H62" s="15" t="s">
        <v>37</v>
      </c>
      <c r="I62" s="15" t="s">
        <v>161</v>
      </c>
      <c r="J62" s="57">
        <v>99</v>
      </c>
    </row>
    <row r="63" spans="1:10" hidden="1" x14ac:dyDescent="0.3">
      <c r="A63" s="4" t="s">
        <v>162</v>
      </c>
      <c r="B63" s="2" t="s">
        <v>73</v>
      </c>
      <c r="C63" s="2" t="s">
        <v>36</v>
      </c>
      <c r="D63" s="2" t="s">
        <v>31</v>
      </c>
      <c r="E63" s="2">
        <v>20</v>
      </c>
      <c r="F63" s="2">
        <v>9</v>
      </c>
      <c r="G63" s="2" t="s">
        <v>32</v>
      </c>
      <c r="H63" s="2" t="s">
        <v>20</v>
      </c>
      <c r="I63" s="2" t="s">
        <v>163</v>
      </c>
      <c r="J63" s="5">
        <v>49</v>
      </c>
    </row>
    <row r="64" spans="1:10" hidden="1" x14ac:dyDescent="0.3">
      <c r="A64" s="4" t="s">
        <v>164</v>
      </c>
      <c r="B64" s="2" t="s">
        <v>23</v>
      </c>
      <c r="C64" s="2" t="s">
        <v>19</v>
      </c>
      <c r="D64" s="2" t="s">
        <v>31</v>
      </c>
      <c r="E64" s="2">
        <v>17</v>
      </c>
      <c r="F64" s="2">
        <v>9</v>
      </c>
      <c r="G64" s="2" t="s">
        <v>25</v>
      </c>
      <c r="H64" s="2" t="s">
        <v>15</v>
      </c>
      <c r="I64" s="2" t="s">
        <v>165</v>
      </c>
      <c r="J64" s="5">
        <v>64</v>
      </c>
    </row>
    <row r="65" spans="1:10" hidden="1" x14ac:dyDescent="0.3">
      <c r="A65" s="4" t="s">
        <v>166</v>
      </c>
      <c r="B65" s="2" t="s">
        <v>84</v>
      </c>
      <c r="C65" s="2" t="s">
        <v>24</v>
      </c>
      <c r="D65" s="2" t="s">
        <v>13</v>
      </c>
      <c r="E65" s="2">
        <v>14</v>
      </c>
      <c r="F65" s="2">
        <v>10</v>
      </c>
      <c r="G65" s="2" t="s">
        <v>43</v>
      </c>
      <c r="H65" s="2" t="s">
        <v>15</v>
      </c>
      <c r="I65" s="2" t="s">
        <v>167</v>
      </c>
      <c r="J65" s="5">
        <v>45</v>
      </c>
    </row>
    <row r="66" spans="1:10" x14ac:dyDescent="0.3">
      <c r="A66" s="19" t="s">
        <v>168</v>
      </c>
      <c r="B66" s="15" t="s">
        <v>18</v>
      </c>
      <c r="C66" s="15" t="s">
        <v>79</v>
      </c>
      <c r="D66" s="15" t="s">
        <v>13</v>
      </c>
      <c r="E66" s="15">
        <v>17</v>
      </c>
      <c r="F66" s="15">
        <v>12</v>
      </c>
      <c r="G66" s="15" t="s">
        <v>25</v>
      </c>
      <c r="H66" s="15" t="s">
        <v>26</v>
      </c>
      <c r="I66" s="15" t="s">
        <v>137</v>
      </c>
      <c r="J66" s="57">
        <v>82</v>
      </c>
    </row>
    <row r="67" spans="1:10" hidden="1" x14ac:dyDescent="0.3">
      <c r="A67" s="4" t="s">
        <v>169</v>
      </c>
      <c r="B67" s="2" t="s">
        <v>11</v>
      </c>
      <c r="C67" s="2" t="s">
        <v>30</v>
      </c>
      <c r="D67" s="2" t="s">
        <v>31</v>
      </c>
      <c r="E67" s="2">
        <v>18</v>
      </c>
      <c r="F67" s="2">
        <v>9</v>
      </c>
      <c r="G67" s="2" t="s">
        <v>25</v>
      </c>
      <c r="H67" s="2" t="s">
        <v>46</v>
      </c>
      <c r="I67" s="2" t="s">
        <v>170</v>
      </c>
      <c r="J67" s="5">
        <v>60</v>
      </c>
    </row>
    <row r="68" spans="1:10" hidden="1" x14ac:dyDescent="0.3">
      <c r="A68" s="4" t="s">
        <v>171</v>
      </c>
      <c r="B68" s="2" t="s">
        <v>29</v>
      </c>
      <c r="C68" s="2" t="s">
        <v>85</v>
      </c>
      <c r="D68" s="2" t="s">
        <v>13</v>
      </c>
      <c r="E68" s="2">
        <v>14</v>
      </c>
      <c r="F68" s="2">
        <v>10</v>
      </c>
      <c r="G68" s="2" t="s">
        <v>32</v>
      </c>
      <c r="H68" s="2" t="s">
        <v>61</v>
      </c>
      <c r="I68" s="2" t="s">
        <v>172</v>
      </c>
      <c r="J68" s="5">
        <v>51</v>
      </c>
    </row>
    <row r="69" spans="1:10" hidden="1" x14ac:dyDescent="0.3">
      <c r="A69" s="4" t="s">
        <v>173</v>
      </c>
      <c r="B69" s="2" t="s">
        <v>54</v>
      </c>
      <c r="C69" s="2" t="s">
        <v>30</v>
      </c>
      <c r="D69" s="2" t="s">
        <v>31</v>
      </c>
      <c r="E69" s="2">
        <v>18</v>
      </c>
      <c r="F69" s="2">
        <v>9</v>
      </c>
      <c r="G69" s="2" t="s">
        <v>32</v>
      </c>
      <c r="H69" s="2" t="s">
        <v>40</v>
      </c>
      <c r="I69" s="2" t="s">
        <v>174</v>
      </c>
      <c r="J69" s="5">
        <v>54</v>
      </c>
    </row>
    <row r="70" spans="1:10" hidden="1" x14ac:dyDescent="0.3">
      <c r="A70" s="4" t="s">
        <v>175</v>
      </c>
      <c r="B70" s="2" t="s">
        <v>35</v>
      </c>
      <c r="C70" s="2" t="s">
        <v>30</v>
      </c>
      <c r="D70" s="2" t="s">
        <v>31</v>
      </c>
      <c r="E70" s="2">
        <v>20</v>
      </c>
      <c r="F70" s="2">
        <v>9</v>
      </c>
      <c r="G70" s="2" t="s">
        <v>14</v>
      </c>
      <c r="H70" s="2" t="s">
        <v>61</v>
      </c>
      <c r="I70" s="2" t="s">
        <v>176</v>
      </c>
      <c r="J70" s="5">
        <v>76</v>
      </c>
    </row>
    <row r="71" spans="1:10" x14ac:dyDescent="0.3">
      <c r="A71" s="19" t="s">
        <v>177</v>
      </c>
      <c r="B71" s="15" t="s">
        <v>29</v>
      </c>
      <c r="C71" s="15" t="s">
        <v>58</v>
      </c>
      <c r="D71" s="15" t="s">
        <v>31</v>
      </c>
      <c r="E71" s="15">
        <v>19</v>
      </c>
      <c r="F71" s="15">
        <v>12</v>
      </c>
      <c r="G71" s="15" t="s">
        <v>43</v>
      </c>
      <c r="H71" s="15" t="s">
        <v>61</v>
      </c>
      <c r="I71" s="15" t="s">
        <v>178</v>
      </c>
      <c r="J71" s="57">
        <v>99</v>
      </c>
    </row>
    <row r="72" spans="1:10" hidden="1" x14ac:dyDescent="0.3">
      <c r="A72" s="4" t="s">
        <v>179</v>
      </c>
      <c r="B72" s="2" t="s">
        <v>29</v>
      </c>
      <c r="C72" s="2" t="s">
        <v>58</v>
      </c>
      <c r="D72" s="2" t="s">
        <v>31</v>
      </c>
      <c r="E72" s="2">
        <v>16</v>
      </c>
      <c r="F72" s="2">
        <v>11</v>
      </c>
      <c r="G72" s="2" t="s">
        <v>25</v>
      </c>
      <c r="H72" s="2" t="s">
        <v>26</v>
      </c>
      <c r="I72" s="2" t="s">
        <v>180</v>
      </c>
      <c r="J72" s="5">
        <v>75</v>
      </c>
    </row>
    <row r="73" spans="1:10" x14ac:dyDescent="0.3">
      <c r="A73" s="19" t="s">
        <v>181</v>
      </c>
      <c r="B73" s="15" t="s">
        <v>11</v>
      </c>
      <c r="C73" s="15" t="s">
        <v>55</v>
      </c>
      <c r="D73" s="15" t="s">
        <v>31</v>
      </c>
      <c r="E73" s="15">
        <v>18</v>
      </c>
      <c r="F73" s="15">
        <v>10</v>
      </c>
      <c r="G73" s="15" t="s">
        <v>25</v>
      </c>
      <c r="H73" s="15" t="s">
        <v>46</v>
      </c>
      <c r="I73" s="15" t="s">
        <v>182</v>
      </c>
      <c r="J73" s="57">
        <v>98</v>
      </c>
    </row>
    <row r="74" spans="1:10" hidden="1" x14ac:dyDescent="0.3">
      <c r="A74" s="4" t="s">
        <v>183</v>
      </c>
      <c r="B74" s="2" t="s">
        <v>11</v>
      </c>
      <c r="C74" s="2" t="s">
        <v>30</v>
      </c>
      <c r="D74" s="2" t="s">
        <v>31</v>
      </c>
      <c r="E74" s="2">
        <v>17</v>
      </c>
      <c r="F74" s="2">
        <v>12</v>
      </c>
      <c r="G74" s="2" t="s">
        <v>14</v>
      </c>
      <c r="H74" s="2" t="s">
        <v>37</v>
      </c>
      <c r="I74" s="2" t="s">
        <v>184</v>
      </c>
      <c r="J74" s="5">
        <v>49</v>
      </c>
    </row>
    <row r="75" spans="1:10" hidden="1" x14ac:dyDescent="0.3">
      <c r="A75" s="4" t="s">
        <v>185</v>
      </c>
      <c r="B75" s="2" t="s">
        <v>35</v>
      </c>
      <c r="C75" s="2" t="s">
        <v>30</v>
      </c>
      <c r="D75" s="2" t="s">
        <v>31</v>
      </c>
      <c r="E75" s="2">
        <v>14</v>
      </c>
      <c r="F75" s="2">
        <v>12</v>
      </c>
      <c r="G75" s="2" t="s">
        <v>43</v>
      </c>
      <c r="H75" s="2" t="s">
        <v>61</v>
      </c>
      <c r="I75" s="2" t="s">
        <v>186</v>
      </c>
      <c r="J75" s="5">
        <v>45</v>
      </c>
    </row>
    <row r="76" spans="1:10" hidden="1" x14ac:dyDescent="0.3">
      <c r="A76" s="4" t="s">
        <v>187</v>
      </c>
      <c r="B76" s="2" t="s">
        <v>51</v>
      </c>
      <c r="C76" s="2" t="s">
        <v>12</v>
      </c>
      <c r="D76" s="2" t="s">
        <v>31</v>
      </c>
      <c r="E76" s="2">
        <v>17</v>
      </c>
      <c r="F76" s="2">
        <v>10</v>
      </c>
      <c r="G76" s="2" t="s">
        <v>43</v>
      </c>
      <c r="H76" s="2" t="s">
        <v>46</v>
      </c>
      <c r="I76" s="2" t="s">
        <v>101</v>
      </c>
      <c r="J76" s="5">
        <v>66</v>
      </c>
    </row>
    <row r="77" spans="1:10" x14ac:dyDescent="0.3">
      <c r="A77" s="19" t="s">
        <v>188</v>
      </c>
      <c r="B77" s="15" t="s">
        <v>23</v>
      </c>
      <c r="C77" s="15" t="s">
        <v>55</v>
      </c>
      <c r="D77" s="15" t="s">
        <v>31</v>
      </c>
      <c r="E77" s="15">
        <v>15</v>
      </c>
      <c r="F77" s="15">
        <v>9</v>
      </c>
      <c r="G77" s="15" t="s">
        <v>43</v>
      </c>
      <c r="H77" s="15" t="s">
        <v>20</v>
      </c>
      <c r="I77" s="15" t="s">
        <v>189</v>
      </c>
      <c r="J77" s="57">
        <v>88</v>
      </c>
    </row>
    <row r="78" spans="1:10" hidden="1" x14ac:dyDescent="0.3">
      <c r="A78" s="4" t="s">
        <v>190</v>
      </c>
      <c r="B78" s="2" t="s">
        <v>18</v>
      </c>
      <c r="C78" s="2" t="s">
        <v>19</v>
      </c>
      <c r="D78" s="2" t="s">
        <v>31</v>
      </c>
      <c r="E78" s="2">
        <v>14</v>
      </c>
      <c r="F78" s="2">
        <v>12</v>
      </c>
      <c r="G78" s="2" t="s">
        <v>32</v>
      </c>
      <c r="H78" s="2" t="s">
        <v>37</v>
      </c>
      <c r="I78" s="2" t="s">
        <v>191</v>
      </c>
      <c r="J78" s="5">
        <v>63</v>
      </c>
    </row>
    <row r="79" spans="1:10" hidden="1" x14ac:dyDescent="0.3">
      <c r="A79" s="4" t="s">
        <v>192</v>
      </c>
      <c r="B79" s="2" t="s">
        <v>68</v>
      </c>
      <c r="C79" s="2" t="s">
        <v>85</v>
      </c>
      <c r="D79" s="2" t="s">
        <v>13</v>
      </c>
      <c r="E79" s="2">
        <v>19</v>
      </c>
      <c r="F79" s="2">
        <v>11</v>
      </c>
      <c r="G79" s="2" t="s">
        <v>43</v>
      </c>
      <c r="H79" s="2" t="s">
        <v>61</v>
      </c>
      <c r="I79" s="2" t="s">
        <v>193</v>
      </c>
      <c r="J79" s="5">
        <v>78</v>
      </c>
    </row>
    <row r="80" spans="1:10" hidden="1" x14ac:dyDescent="0.3">
      <c r="A80" s="4" t="s">
        <v>194</v>
      </c>
      <c r="B80" s="2" t="s">
        <v>23</v>
      </c>
      <c r="C80" s="2" t="s">
        <v>19</v>
      </c>
      <c r="D80" s="2" t="s">
        <v>31</v>
      </c>
      <c r="E80" s="2">
        <v>20</v>
      </c>
      <c r="F80" s="2">
        <v>9</v>
      </c>
      <c r="G80" s="2" t="s">
        <v>25</v>
      </c>
      <c r="H80" s="2" t="s">
        <v>76</v>
      </c>
      <c r="I80" s="2" t="s">
        <v>195</v>
      </c>
      <c r="J80" s="5">
        <v>76</v>
      </c>
    </row>
    <row r="81" spans="1:10" hidden="1" x14ac:dyDescent="0.3">
      <c r="A81" s="4" t="s">
        <v>196</v>
      </c>
      <c r="B81" s="2" t="s">
        <v>23</v>
      </c>
      <c r="C81" s="2" t="s">
        <v>79</v>
      </c>
      <c r="D81" s="2" t="s">
        <v>13</v>
      </c>
      <c r="E81" s="2">
        <v>18</v>
      </c>
      <c r="F81" s="2">
        <v>12</v>
      </c>
      <c r="G81" s="2" t="s">
        <v>43</v>
      </c>
      <c r="H81" s="2" t="s">
        <v>76</v>
      </c>
      <c r="I81" s="2" t="s">
        <v>197</v>
      </c>
      <c r="J81" s="5">
        <v>67</v>
      </c>
    </row>
    <row r="82" spans="1:10" x14ac:dyDescent="0.3">
      <c r="A82" s="19" t="s">
        <v>198</v>
      </c>
      <c r="B82" s="15" t="s">
        <v>11</v>
      </c>
      <c r="C82" s="15" t="s">
        <v>85</v>
      </c>
      <c r="D82" s="15" t="s">
        <v>31</v>
      </c>
      <c r="E82" s="15">
        <v>14</v>
      </c>
      <c r="F82" s="15">
        <v>10</v>
      </c>
      <c r="G82" s="15" t="s">
        <v>25</v>
      </c>
      <c r="H82" s="15" t="s">
        <v>61</v>
      </c>
      <c r="I82" s="15" t="s">
        <v>199</v>
      </c>
      <c r="J82" s="57">
        <v>97</v>
      </c>
    </row>
    <row r="83" spans="1:10" x14ac:dyDescent="0.3">
      <c r="A83" s="19" t="s">
        <v>200</v>
      </c>
      <c r="B83" s="15" t="s">
        <v>29</v>
      </c>
      <c r="C83" s="15" t="s">
        <v>12</v>
      </c>
      <c r="D83" s="15" t="s">
        <v>13</v>
      </c>
      <c r="E83" s="15">
        <v>18</v>
      </c>
      <c r="F83" s="15">
        <v>12</v>
      </c>
      <c r="G83" s="15" t="s">
        <v>25</v>
      </c>
      <c r="H83" s="15" t="s">
        <v>26</v>
      </c>
      <c r="I83" s="15" t="s">
        <v>201</v>
      </c>
      <c r="J83" s="57">
        <v>89</v>
      </c>
    </row>
    <row r="84" spans="1:10" hidden="1" x14ac:dyDescent="0.3">
      <c r="A84" s="4" t="s">
        <v>202</v>
      </c>
      <c r="B84" s="2" t="s">
        <v>51</v>
      </c>
      <c r="C84" s="2" t="s">
        <v>55</v>
      </c>
      <c r="D84" s="2" t="s">
        <v>31</v>
      </c>
      <c r="E84" s="2">
        <v>15</v>
      </c>
      <c r="F84" s="2">
        <v>9</v>
      </c>
      <c r="G84" s="2" t="s">
        <v>14</v>
      </c>
      <c r="H84" s="2" t="s">
        <v>40</v>
      </c>
      <c r="I84" s="2" t="s">
        <v>111</v>
      </c>
      <c r="J84" s="5">
        <v>70</v>
      </c>
    </row>
    <row r="85" spans="1:10" x14ac:dyDescent="0.3">
      <c r="A85" s="19" t="s">
        <v>203</v>
      </c>
      <c r="B85" s="15" t="s">
        <v>35</v>
      </c>
      <c r="C85" s="15" t="s">
        <v>96</v>
      </c>
      <c r="D85" s="15" t="s">
        <v>13</v>
      </c>
      <c r="E85" s="15">
        <v>17</v>
      </c>
      <c r="F85" s="15">
        <v>12</v>
      </c>
      <c r="G85" s="15" t="s">
        <v>25</v>
      </c>
      <c r="H85" s="15" t="s">
        <v>20</v>
      </c>
      <c r="I85" s="15" t="s">
        <v>204</v>
      </c>
      <c r="J85" s="57">
        <v>90</v>
      </c>
    </row>
    <row r="86" spans="1:10" hidden="1" x14ac:dyDescent="0.3">
      <c r="A86" s="4" t="s">
        <v>205</v>
      </c>
      <c r="B86" s="2" t="s">
        <v>73</v>
      </c>
      <c r="C86" s="2" t="s">
        <v>24</v>
      </c>
      <c r="D86" s="2" t="s">
        <v>13</v>
      </c>
      <c r="E86" s="2">
        <v>17</v>
      </c>
      <c r="F86" s="2">
        <v>9</v>
      </c>
      <c r="G86" s="2" t="s">
        <v>14</v>
      </c>
      <c r="H86" s="2" t="s">
        <v>46</v>
      </c>
      <c r="I86" s="2" t="s">
        <v>206</v>
      </c>
      <c r="J86" s="5">
        <v>59</v>
      </c>
    </row>
    <row r="87" spans="1:10" hidden="1" x14ac:dyDescent="0.3">
      <c r="A87" s="4" t="s">
        <v>207</v>
      </c>
      <c r="B87" s="2" t="s">
        <v>54</v>
      </c>
      <c r="C87" s="2" t="s">
        <v>19</v>
      </c>
      <c r="D87" s="2" t="s">
        <v>31</v>
      </c>
      <c r="E87" s="2">
        <v>19</v>
      </c>
      <c r="F87" s="2">
        <v>9</v>
      </c>
      <c r="G87" s="2" t="s">
        <v>14</v>
      </c>
      <c r="H87" s="2" t="s">
        <v>61</v>
      </c>
      <c r="I87" s="2" t="s">
        <v>208</v>
      </c>
      <c r="J87" s="5">
        <v>76</v>
      </c>
    </row>
    <row r="88" spans="1:10" hidden="1" x14ac:dyDescent="0.3">
      <c r="A88" s="4" t="s">
        <v>209</v>
      </c>
      <c r="B88" s="2" t="s">
        <v>29</v>
      </c>
      <c r="C88" s="2" t="s">
        <v>30</v>
      </c>
      <c r="D88" s="2" t="s">
        <v>31</v>
      </c>
      <c r="E88" s="2">
        <v>18</v>
      </c>
      <c r="F88" s="2">
        <v>11</v>
      </c>
      <c r="G88" s="2" t="s">
        <v>43</v>
      </c>
      <c r="H88" s="2" t="s">
        <v>20</v>
      </c>
      <c r="I88" s="2" t="s">
        <v>210</v>
      </c>
      <c r="J88" s="5">
        <v>78</v>
      </c>
    </row>
    <row r="89" spans="1:10" hidden="1" x14ac:dyDescent="0.3">
      <c r="A89" s="4" t="s">
        <v>211</v>
      </c>
      <c r="B89" s="2" t="s">
        <v>35</v>
      </c>
      <c r="C89" s="2" t="s">
        <v>19</v>
      </c>
      <c r="D89" s="2" t="s">
        <v>31</v>
      </c>
      <c r="E89" s="2">
        <v>16</v>
      </c>
      <c r="F89" s="2">
        <v>9</v>
      </c>
      <c r="G89" s="2" t="s">
        <v>14</v>
      </c>
      <c r="H89" s="2" t="s">
        <v>37</v>
      </c>
      <c r="I89" s="2" t="s">
        <v>212</v>
      </c>
      <c r="J89" s="5">
        <v>57</v>
      </c>
    </row>
    <row r="90" spans="1:10" hidden="1" x14ac:dyDescent="0.3">
      <c r="A90" s="4" t="s">
        <v>213</v>
      </c>
      <c r="B90" s="2" t="s">
        <v>29</v>
      </c>
      <c r="C90" s="2" t="s">
        <v>24</v>
      </c>
      <c r="D90" s="2" t="s">
        <v>31</v>
      </c>
      <c r="E90" s="2">
        <v>17</v>
      </c>
      <c r="F90" s="2">
        <v>11</v>
      </c>
      <c r="G90" s="2" t="s">
        <v>14</v>
      </c>
      <c r="H90" s="2" t="s">
        <v>76</v>
      </c>
      <c r="I90" s="2" t="s">
        <v>214</v>
      </c>
      <c r="J90" s="5">
        <v>74</v>
      </c>
    </row>
    <row r="91" spans="1:10" x14ac:dyDescent="0.3">
      <c r="A91" s="19" t="s">
        <v>215</v>
      </c>
      <c r="B91" s="15" t="s">
        <v>84</v>
      </c>
      <c r="C91" s="15" t="s">
        <v>36</v>
      </c>
      <c r="D91" s="15" t="s">
        <v>31</v>
      </c>
      <c r="E91" s="15">
        <v>19</v>
      </c>
      <c r="F91" s="15">
        <v>12</v>
      </c>
      <c r="G91" s="15" t="s">
        <v>14</v>
      </c>
      <c r="H91" s="15" t="s">
        <v>37</v>
      </c>
      <c r="I91" s="15" t="s">
        <v>216</v>
      </c>
      <c r="J91" s="57">
        <v>84</v>
      </c>
    </row>
    <row r="92" spans="1:10" hidden="1" x14ac:dyDescent="0.3">
      <c r="A92" s="4" t="s">
        <v>217</v>
      </c>
      <c r="B92" s="2" t="s">
        <v>84</v>
      </c>
      <c r="C92" s="2" t="s">
        <v>96</v>
      </c>
      <c r="D92" s="2" t="s">
        <v>31</v>
      </c>
      <c r="E92" s="2">
        <v>17</v>
      </c>
      <c r="F92" s="2">
        <v>10</v>
      </c>
      <c r="G92" s="2" t="s">
        <v>43</v>
      </c>
      <c r="H92" s="2" t="s">
        <v>46</v>
      </c>
      <c r="I92" s="2" t="s">
        <v>218</v>
      </c>
      <c r="J92" s="5">
        <v>46</v>
      </c>
    </row>
    <row r="93" spans="1:10" hidden="1" x14ac:dyDescent="0.3">
      <c r="A93" s="4" t="s">
        <v>219</v>
      </c>
      <c r="B93" s="2" t="s">
        <v>68</v>
      </c>
      <c r="C93" s="2" t="s">
        <v>19</v>
      </c>
      <c r="D93" s="2" t="s">
        <v>13</v>
      </c>
      <c r="E93" s="2">
        <v>19</v>
      </c>
      <c r="F93" s="2">
        <v>9</v>
      </c>
      <c r="G93" s="2" t="s">
        <v>14</v>
      </c>
      <c r="H93" s="2" t="s">
        <v>40</v>
      </c>
      <c r="I93" s="2" t="s">
        <v>220</v>
      </c>
      <c r="J93" s="5">
        <v>63</v>
      </c>
    </row>
    <row r="94" spans="1:10" hidden="1" x14ac:dyDescent="0.3">
      <c r="A94" s="4" t="s">
        <v>221</v>
      </c>
      <c r="B94" s="2" t="s">
        <v>51</v>
      </c>
      <c r="C94" s="2" t="s">
        <v>55</v>
      </c>
      <c r="D94" s="2" t="s">
        <v>13</v>
      </c>
      <c r="E94" s="2">
        <v>14</v>
      </c>
      <c r="F94" s="2">
        <v>10</v>
      </c>
      <c r="G94" s="2" t="s">
        <v>43</v>
      </c>
      <c r="H94" s="2" t="s">
        <v>61</v>
      </c>
      <c r="I94" s="2" t="s">
        <v>222</v>
      </c>
      <c r="J94" s="5">
        <v>72</v>
      </c>
    </row>
    <row r="95" spans="1:10" x14ac:dyDescent="0.3">
      <c r="A95" s="19" t="s">
        <v>223</v>
      </c>
      <c r="B95" s="15" t="s">
        <v>68</v>
      </c>
      <c r="C95" s="15" t="s">
        <v>24</v>
      </c>
      <c r="D95" s="15" t="s">
        <v>13</v>
      </c>
      <c r="E95" s="15">
        <v>18</v>
      </c>
      <c r="F95" s="15">
        <v>11</v>
      </c>
      <c r="G95" s="15" t="s">
        <v>32</v>
      </c>
      <c r="H95" s="15" t="s">
        <v>40</v>
      </c>
      <c r="I95" s="15" t="s">
        <v>224</v>
      </c>
      <c r="J95" s="57">
        <v>87</v>
      </c>
    </row>
    <row r="96" spans="1:10" hidden="1" x14ac:dyDescent="0.3">
      <c r="A96" s="4" t="s">
        <v>225</v>
      </c>
      <c r="B96" s="2" t="s">
        <v>35</v>
      </c>
      <c r="C96" s="2" t="s">
        <v>85</v>
      </c>
      <c r="D96" s="2" t="s">
        <v>13</v>
      </c>
      <c r="E96" s="2">
        <v>20</v>
      </c>
      <c r="F96" s="2">
        <v>9</v>
      </c>
      <c r="G96" s="2" t="s">
        <v>14</v>
      </c>
      <c r="H96" s="2" t="s">
        <v>40</v>
      </c>
      <c r="I96" s="2" t="s">
        <v>226</v>
      </c>
      <c r="J96" s="5">
        <v>55</v>
      </c>
    </row>
    <row r="97" spans="1:10" hidden="1" x14ac:dyDescent="0.3">
      <c r="A97" s="4" t="s">
        <v>227</v>
      </c>
      <c r="B97" s="2" t="s">
        <v>68</v>
      </c>
      <c r="C97" s="2" t="s">
        <v>58</v>
      </c>
      <c r="D97" s="2" t="s">
        <v>13</v>
      </c>
      <c r="E97" s="2">
        <v>17</v>
      </c>
      <c r="F97" s="2">
        <v>12</v>
      </c>
      <c r="G97" s="2" t="s">
        <v>32</v>
      </c>
      <c r="H97" s="2" t="s">
        <v>26</v>
      </c>
      <c r="I97" s="2" t="s">
        <v>228</v>
      </c>
      <c r="J97" s="5">
        <v>37</v>
      </c>
    </row>
    <row r="98" spans="1:10" hidden="1" x14ac:dyDescent="0.3">
      <c r="A98" s="4" t="s">
        <v>229</v>
      </c>
      <c r="B98" s="2" t="s">
        <v>68</v>
      </c>
      <c r="C98" s="2" t="s">
        <v>24</v>
      </c>
      <c r="D98" s="2" t="s">
        <v>13</v>
      </c>
      <c r="E98" s="2">
        <v>17</v>
      </c>
      <c r="F98" s="2">
        <v>11</v>
      </c>
      <c r="G98" s="2" t="s">
        <v>43</v>
      </c>
      <c r="H98" s="2" t="s">
        <v>26</v>
      </c>
      <c r="I98" s="2" t="s">
        <v>230</v>
      </c>
      <c r="J98" s="5">
        <v>53</v>
      </c>
    </row>
    <row r="99" spans="1:10" x14ac:dyDescent="0.3">
      <c r="A99" s="19" t="s">
        <v>231</v>
      </c>
      <c r="B99" s="15" t="s">
        <v>23</v>
      </c>
      <c r="C99" s="15" t="s">
        <v>24</v>
      </c>
      <c r="D99" s="15" t="s">
        <v>31</v>
      </c>
      <c r="E99" s="15">
        <v>18</v>
      </c>
      <c r="F99" s="15">
        <v>9</v>
      </c>
      <c r="G99" s="15" t="s">
        <v>25</v>
      </c>
      <c r="H99" s="15" t="s">
        <v>61</v>
      </c>
      <c r="I99" s="15" t="s">
        <v>232</v>
      </c>
      <c r="J99" s="57">
        <v>88</v>
      </c>
    </row>
    <row r="100" spans="1:10" hidden="1" x14ac:dyDescent="0.3">
      <c r="A100" s="4" t="s">
        <v>233</v>
      </c>
      <c r="B100" s="2" t="s">
        <v>11</v>
      </c>
      <c r="C100" s="2" t="s">
        <v>55</v>
      </c>
      <c r="D100" s="2" t="s">
        <v>13</v>
      </c>
      <c r="E100" s="2">
        <v>14</v>
      </c>
      <c r="F100" s="2">
        <v>9</v>
      </c>
      <c r="G100" s="2" t="s">
        <v>25</v>
      </c>
      <c r="H100" s="2" t="s">
        <v>37</v>
      </c>
      <c r="I100" s="2" t="s">
        <v>234</v>
      </c>
      <c r="J100" s="5">
        <v>66</v>
      </c>
    </row>
    <row r="101" spans="1:10" hidden="1" x14ac:dyDescent="0.3">
      <c r="A101" s="4" t="s">
        <v>235</v>
      </c>
      <c r="B101" s="2" t="s">
        <v>11</v>
      </c>
      <c r="C101" s="2" t="s">
        <v>36</v>
      </c>
      <c r="D101" s="2" t="s">
        <v>31</v>
      </c>
      <c r="E101" s="2">
        <v>14</v>
      </c>
      <c r="F101" s="2">
        <v>12</v>
      </c>
      <c r="G101" s="2" t="s">
        <v>43</v>
      </c>
      <c r="H101" s="2" t="s">
        <v>40</v>
      </c>
      <c r="I101" s="2" t="s">
        <v>236</v>
      </c>
      <c r="J101" s="5">
        <v>65</v>
      </c>
    </row>
    <row r="102" spans="1:10" hidden="1" x14ac:dyDescent="0.3">
      <c r="A102" s="4" t="s">
        <v>237</v>
      </c>
      <c r="B102" s="2" t="s">
        <v>23</v>
      </c>
      <c r="C102" s="2" t="s">
        <v>24</v>
      </c>
      <c r="D102" s="2" t="s">
        <v>31</v>
      </c>
      <c r="E102" s="2">
        <v>16</v>
      </c>
      <c r="F102" s="2">
        <v>10</v>
      </c>
      <c r="G102" s="2" t="s">
        <v>43</v>
      </c>
      <c r="H102" s="2" t="s">
        <v>20</v>
      </c>
      <c r="I102" s="2" t="s">
        <v>238</v>
      </c>
      <c r="J102" s="5">
        <v>71</v>
      </c>
    </row>
    <row r="103" spans="1:10" hidden="1" x14ac:dyDescent="0.3">
      <c r="A103" s="4" t="s">
        <v>239</v>
      </c>
      <c r="B103" s="2" t="s">
        <v>68</v>
      </c>
      <c r="C103" s="2" t="s">
        <v>58</v>
      </c>
      <c r="D103" s="2" t="s">
        <v>13</v>
      </c>
      <c r="E103" s="2">
        <v>18</v>
      </c>
      <c r="F103" s="2">
        <v>11</v>
      </c>
      <c r="G103" s="2" t="s">
        <v>25</v>
      </c>
      <c r="H103" s="2" t="s">
        <v>15</v>
      </c>
      <c r="I103" s="2" t="s">
        <v>240</v>
      </c>
      <c r="J103" s="5">
        <v>48</v>
      </c>
    </row>
    <row r="104" spans="1:10" x14ac:dyDescent="0.3">
      <c r="A104" s="19" t="s">
        <v>241</v>
      </c>
      <c r="B104" s="15" t="s">
        <v>54</v>
      </c>
      <c r="C104" s="15" t="s">
        <v>85</v>
      </c>
      <c r="D104" s="15" t="s">
        <v>31</v>
      </c>
      <c r="E104" s="15">
        <v>15</v>
      </c>
      <c r="F104" s="15">
        <v>12</v>
      </c>
      <c r="G104" s="15" t="s">
        <v>14</v>
      </c>
      <c r="H104" s="15" t="s">
        <v>40</v>
      </c>
      <c r="I104" s="15" t="s">
        <v>242</v>
      </c>
      <c r="J104" s="57">
        <v>100</v>
      </c>
    </row>
    <row r="105" spans="1:10" hidden="1" x14ac:dyDescent="0.3">
      <c r="A105" s="4" t="s">
        <v>243</v>
      </c>
      <c r="B105" s="2" t="s">
        <v>23</v>
      </c>
      <c r="C105" s="2" t="s">
        <v>96</v>
      </c>
      <c r="D105" s="2" t="s">
        <v>31</v>
      </c>
      <c r="E105" s="2">
        <v>15</v>
      </c>
      <c r="F105" s="2">
        <v>11</v>
      </c>
      <c r="G105" s="2" t="s">
        <v>25</v>
      </c>
      <c r="H105" s="2" t="s">
        <v>61</v>
      </c>
      <c r="I105" s="2" t="s">
        <v>244</v>
      </c>
      <c r="J105" s="5">
        <v>72</v>
      </c>
    </row>
    <row r="106" spans="1:10" hidden="1" x14ac:dyDescent="0.3">
      <c r="A106" s="4" t="s">
        <v>245</v>
      </c>
      <c r="B106" s="2" t="s">
        <v>54</v>
      </c>
      <c r="C106" s="2" t="s">
        <v>19</v>
      </c>
      <c r="D106" s="2" t="s">
        <v>31</v>
      </c>
      <c r="E106" s="2">
        <v>18</v>
      </c>
      <c r="F106" s="2">
        <v>12</v>
      </c>
      <c r="G106" s="2" t="s">
        <v>32</v>
      </c>
      <c r="H106" s="2" t="s">
        <v>26</v>
      </c>
      <c r="I106" s="2" t="s">
        <v>246</v>
      </c>
      <c r="J106" s="5">
        <v>74</v>
      </c>
    </row>
    <row r="107" spans="1:10" hidden="1" x14ac:dyDescent="0.3">
      <c r="A107" s="4" t="s">
        <v>247</v>
      </c>
      <c r="B107" s="2" t="s">
        <v>29</v>
      </c>
      <c r="C107" s="2" t="s">
        <v>58</v>
      </c>
      <c r="D107" s="2" t="s">
        <v>31</v>
      </c>
      <c r="E107" s="2">
        <v>14</v>
      </c>
      <c r="F107" s="2">
        <v>12</v>
      </c>
      <c r="G107" s="2" t="s">
        <v>14</v>
      </c>
      <c r="H107" s="2" t="s">
        <v>40</v>
      </c>
      <c r="I107" s="2" t="s">
        <v>248</v>
      </c>
      <c r="J107" s="5">
        <v>66</v>
      </c>
    </row>
    <row r="108" spans="1:10" x14ac:dyDescent="0.3">
      <c r="A108" s="19" t="s">
        <v>249</v>
      </c>
      <c r="B108" s="15" t="s">
        <v>68</v>
      </c>
      <c r="C108" s="15" t="s">
        <v>30</v>
      </c>
      <c r="D108" s="15" t="s">
        <v>31</v>
      </c>
      <c r="E108" s="15">
        <v>16</v>
      </c>
      <c r="F108" s="15">
        <v>11</v>
      </c>
      <c r="G108" s="15" t="s">
        <v>32</v>
      </c>
      <c r="H108" s="15" t="s">
        <v>20</v>
      </c>
      <c r="I108" s="15" t="s">
        <v>250</v>
      </c>
      <c r="J108" s="57">
        <v>90</v>
      </c>
    </row>
    <row r="109" spans="1:10" hidden="1" x14ac:dyDescent="0.3">
      <c r="A109" s="4" t="s">
        <v>251</v>
      </c>
      <c r="B109" s="2" t="s">
        <v>23</v>
      </c>
      <c r="C109" s="2" t="s">
        <v>24</v>
      </c>
      <c r="D109" s="2" t="s">
        <v>13</v>
      </c>
      <c r="E109" s="2">
        <v>16</v>
      </c>
      <c r="F109" s="2">
        <v>12</v>
      </c>
      <c r="G109" s="2" t="s">
        <v>43</v>
      </c>
      <c r="H109" s="2" t="s">
        <v>40</v>
      </c>
      <c r="I109" s="2" t="s">
        <v>252</v>
      </c>
      <c r="J109" s="5">
        <v>50</v>
      </c>
    </row>
    <row r="110" spans="1:10" hidden="1" x14ac:dyDescent="0.3">
      <c r="A110" s="4" t="s">
        <v>253</v>
      </c>
      <c r="B110" s="2" t="s">
        <v>18</v>
      </c>
      <c r="C110" s="2" t="s">
        <v>24</v>
      </c>
      <c r="D110" s="2" t="s">
        <v>13</v>
      </c>
      <c r="E110" s="2">
        <v>15</v>
      </c>
      <c r="F110" s="2">
        <v>9</v>
      </c>
      <c r="G110" s="2" t="s">
        <v>25</v>
      </c>
      <c r="H110" s="2" t="s">
        <v>20</v>
      </c>
      <c r="I110" s="2" t="s">
        <v>254</v>
      </c>
      <c r="J110" s="5">
        <v>36</v>
      </c>
    </row>
    <row r="111" spans="1:10" hidden="1" x14ac:dyDescent="0.3">
      <c r="A111" s="4" t="s">
        <v>255</v>
      </c>
      <c r="B111" s="2" t="s">
        <v>51</v>
      </c>
      <c r="C111" s="2" t="s">
        <v>79</v>
      </c>
      <c r="D111" s="2" t="s">
        <v>31</v>
      </c>
      <c r="E111" s="2">
        <v>20</v>
      </c>
      <c r="F111" s="2">
        <v>12</v>
      </c>
      <c r="G111" s="2" t="s">
        <v>43</v>
      </c>
      <c r="H111" s="2" t="s">
        <v>40</v>
      </c>
      <c r="I111" s="2" t="s">
        <v>256</v>
      </c>
      <c r="J111" s="5">
        <v>48</v>
      </c>
    </row>
    <row r="112" spans="1:10" hidden="1" x14ac:dyDescent="0.3">
      <c r="A112" s="4" t="s">
        <v>257</v>
      </c>
      <c r="B112" s="2" t="s">
        <v>68</v>
      </c>
      <c r="C112" s="2" t="s">
        <v>79</v>
      </c>
      <c r="D112" s="2" t="s">
        <v>31</v>
      </c>
      <c r="E112" s="2">
        <v>20</v>
      </c>
      <c r="F112" s="2">
        <v>11</v>
      </c>
      <c r="G112" s="2" t="s">
        <v>43</v>
      </c>
      <c r="H112" s="2" t="s">
        <v>46</v>
      </c>
      <c r="I112" s="2" t="s">
        <v>258</v>
      </c>
      <c r="J112" s="5">
        <v>52</v>
      </c>
    </row>
    <row r="113" spans="1:10" hidden="1" x14ac:dyDescent="0.3">
      <c r="A113" s="4" t="s">
        <v>259</v>
      </c>
      <c r="B113" s="2" t="s">
        <v>54</v>
      </c>
      <c r="C113" s="2" t="s">
        <v>85</v>
      </c>
      <c r="D113" s="2" t="s">
        <v>13</v>
      </c>
      <c r="E113" s="2">
        <v>14</v>
      </c>
      <c r="F113" s="2">
        <v>11</v>
      </c>
      <c r="G113" s="2" t="s">
        <v>43</v>
      </c>
      <c r="H113" s="2" t="s">
        <v>46</v>
      </c>
      <c r="I113" s="2" t="s">
        <v>260</v>
      </c>
      <c r="J113" s="5">
        <v>62</v>
      </c>
    </row>
    <row r="114" spans="1:10" hidden="1" x14ac:dyDescent="0.3">
      <c r="A114" s="4" t="s">
        <v>261</v>
      </c>
      <c r="B114" s="2" t="s">
        <v>23</v>
      </c>
      <c r="C114" s="2" t="s">
        <v>36</v>
      </c>
      <c r="D114" s="2" t="s">
        <v>13</v>
      </c>
      <c r="E114" s="2">
        <v>15</v>
      </c>
      <c r="F114" s="2">
        <v>11</v>
      </c>
      <c r="G114" s="2" t="s">
        <v>25</v>
      </c>
      <c r="H114" s="2" t="s">
        <v>26</v>
      </c>
      <c r="I114" s="2" t="s">
        <v>262</v>
      </c>
      <c r="J114" s="5">
        <v>63</v>
      </c>
    </row>
    <row r="115" spans="1:10" hidden="1" x14ac:dyDescent="0.3">
      <c r="A115" s="4" t="s">
        <v>263</v>
      </c>
      <c r="B115" s="2" t="s">
        <v>29</v>
      </c>
      <c r="C115" s="2" t="s">
        <v>19</v>
      </c>
      <c r="D115" s="2" t="s">
        <v>13</v>
      </c>
      <c r="E115" s="2">
        <v>15</v>
      </c>
      <c r="F115" s="2">
        <v>11</v>
      </c>
      <c r="G115" s="2" t="s">
        <v>25</v>
      </c>
      <c r="H115" s="2" t="s">
        <v>46</v>
      </c>
      <c r="I115" s="2" t="s">
        <v>264</v>
      </c>
      <c r="J115" s="5">
        <v>58</v>
      </c>
    </row>
    <row r="116" spans="1:10" hidden="1" x14ac:dyDescent="0.3">
      <c r="A116" s="4" t="s">
        <v>265</v>
      </c>
      <c r="B116" s="2" t="s">
        <v>11</v>
      </c>
      <c r="C116" s="2" t="s">
        <v>85</v>
      </c>
      <c r="D116" s="2" t="s">
        <v>31</v>
      </c>
      <c r="E116" s="2">
        <v>14</v>
      </c>
      <c r="F116" s="2">
        <v>9</v>
      </c>
      <c r="G116" s="2" t="s">
        <v>43</v>
      </c>
      <c r="H116" s="2" t="s">
        <v>61</v>
      </c>
      <c r="I116" s="2" t="s">
        <v>56</v>
      </c>
      <c r="J116" s="5">
        <v>41</v>
      </c>
    </row>
    <row r="117" spans="1:10" hidden="1" x14ac:dyDescent="0.3">
      <c r="A117" s="4" t="s">
        <v>266</v>
      </c>
      <c r="B117" s="2" t="s">
        <v>54</v>
      </c>
      <c r="C117" s="2" t="s">
        <v>58</v>
      </c>
      <c r="D117" s="2" t="s">
        <v>13</v>
      </c>
      <c r="E117" s="2">
        <v>19</v>
      </c>
      <c r="F117" s="2">
        <v>11</v>
      </c>
      <c r="G117" s="2" t="s">
        <v>14</v>
      </c>
      <c r="H117" s="2" t="s">
        <v>40</v>
      </c>
      <c r="I117" s="2" t="s">
        <v>267</v>
      </c>
      <c r="J117" s="5">
        <v>41</v>
      </c>
    </row>
    <row r="118" spans="1:10" hidden="1" x14ac:dyDescent="0.3">
      <c r="A118" s="4" t="s">
        <v>268</v>
      </c>
      <c r="B118" s="2" t="s">
        <v>68</v>
      </c>
      <c r="C118" s="2" t="s">
        <v>24</v>
      </c>
      <c r="D118" s="2" t="s">
        <v>31</v>
      </c>
      <c r="E118" s="2">
        <v>16</v>
      </c>
      <c r="F118" s="2">
        <v>12</v>
      </c>
      <c r="G118" s="2" t="s">
        <v>43</v>
      </c>
      <c r="H118" s="2" t="s">
        <v>26</v>
      </c>
      <c r="I118" s="2" t="s">
        <v>269</v>
      </c>
      <c r="J118" s="5">
        <v>47</v>
      </c>
    </row>
    <row r="119" spans="1:10" hidden="1" x14ac:dyDescent="0.3">
      <c r="A119" s="4" t="s">
        <v>270</v>
      </c>
      <c r="B119" s="2" t="s">
        <v>73</v>
      </c>
      <c r="C119" s="2" t="s">
        <v>30</v>
      </c>
      <c r="D119" s="2" t="s">
        <v>31</v>
      </c>
      <c r="E119" s="2">
        <v>15</v>
      </c>
      <c r="F119" s="2">
        <v>9</v>
      </c>
      <c r="G119" s="2" t="s">
        <v>43</v>
      </c>
      <c r="H119" s="2" t="s">
        <v>26</v>
      </c>
      <c r="I119" s="2" t="s">
        <v>271</v>
      </c>
      <c r="J119" s="5">
        <v>76</v>
      </c>
    </row>
    <row r="120" spans="1:10" hidden="1" x14ac:dyDescent="0.3">
      <c r="A120" s="4" t="s">
        <v>272</v>
      </c>
      <c r="B120" s="2" t="s">
        <v>54</v>
      </c>
      <c r="C120" s="2" t="s">
        <v>24</v>
      </c>
      <c r="D120" s="2" t="s">
        <v>13</v>
      </c>
      <c r="E120" s="2">
        <v>15</v>
      </c>
      <c r="F120" s="2">
        <v>9</v>
      </c>
      <c r="G120" s="2" t="s">
        <v>43</v>
      </c>
      <c r="H120" s="2" t="s">
        <v>20</v>
      </c>
      <c r="I120" s="2" t="s">
        <v>273</v>
      </c>
      <c r="J120" s="5">
        <v>50</v>
      </c>
    </row>
    <row r="121" spans="1:10" hidden="1" x14ac:dyDescent="0.3">
      <c r="A121" s="4" t="s">
        <v>274</v>
      </c>
      <c r="B121" s="2" t="s">
        <v>35</v>
      </c>
      <c r="C121" s="2" t="s">
        <v>36</v>
      </c>
      <c r="D121" s="2" t="s">
        <v>13</v>
      </c>
      <c r="E121" s="2">
        <v>19</v>
      </c>
      <c r="F121" s="2">
        <v>9</v>
      </c>
      <c r="G121" s="2" t="s">
        <v>32</v>
      </c>
      <c r="H121" s="2" t="s">
        <v>61</v>
      </c>
      <c r="I121" s="2" t="s">
        <v>275</v>
      </c>
      <c r="J121" s="5">
        <v>63</v>
      </c>
    </row>
    <row r="122" spans="1:10" hidden="1" x14ac:dyDescent="0.3">
      <c r="A122" s="4" t="s">
        <v>276</v>
      </c>
      <c r="B122" s="2" t="s">
        <v>84</v>
      </c>
      <c r="C122" s="2" t="s">
        <v>30</v>
      </c>
      <c r="D122" s="2" t="s">
        <v>31</v>
      </c>
      <c r="E122" s="2">
        <v>14</v>
      </c>
      <c r="F122" s="2">
        <v>12</v>
      </c>
      <c r="G122" s="2" t="s">
        <v>14</v>
      </c>
      <c r="H122" s="2" t="s">
        <v>26</v>
      </c>
      <c r="I122" s="2" t="s">
        <v>277</v>
      </c>
      <c r="J122" s="5">
        <v>62</v>
      </c>
    </row>
    <row r="123" spans="1:10" hidden="1" x14ac:dyDescent="0.3">
      <c r="A123" s="4" t="s">
        <v>278</v>
      </c>
      <c r="B123" s="2" t="s">
        <v>73</v>
      </c>
      <c r="C123" s="2" t="s">
        <v>36</v>
      </c>
      <c r="D123" s="2" t="s">
        <v>13</v>
      </c>
      <c r="E123" s="2">
        <v>14</v>
      </c>
      <c r="F123" s="2">
        <v>11</v>
      </c>
      <c r="G123" s="2" t="s">
        <v>32</v>
      </c>
      <c r="H123" s="2" t="s">
        <v>37</v>
      </c>
      <c r="I123" s="2" t="s">
        <v>279</v>
      </c>
      <c r="J123" s="5">
        <v>51</v>
      </c>
    </row>
    <row r="124" spans="1:10" x14ac:dyDescent="0.3">
      <c r="A124" s="19" t="s">
        <v>280</v>
      </c>
      <c r="B124" s="15" t="s">
        <v>84</v>
      </c>
      <c r="C124" s="15" t="s">
        <v>58</v>
      </c>
      <c r="D124" s="15" t="s">
        <v>13</v>
      </c>
      <c r="E124" s="15">
        <v>18</v>
      </c>
      <c r="F124" s="15">
        <v>12</v>
      </c>
      <c r="G124" s="15" t="s">
        <v>32</v>
      </c>
      <c r="H124" s="15" t="s">
        <v>76</v>
      </c>
      <c r="I124" s="15" t="s">
        <v>159</v>
      </c>
      <c r="J124" s="57">
        <v>98</v>
      </c>
    </row>
    <row r="125" spans="1:10" hidden="1" x14ac:dyDescent="0.3">
      <c r="A125" s="4" t="s">
        <v>281</v>
      </c>
      <c r="B125" s="2" t="s">
        <v>51</v>
      </c>
      <c r="C125" s="2" t="s">
        <v>36</v>
      </c>
      <c r="D125" s="2" t="s">
        <v>31</v>
      </c>
      <c r="E125" s="2">
        <v>15</v>
      </c>
      <c r="F125" s="2">
        <v>11</v>
      </c>
      <c r="G125" s="2" t="s">
        <v>43</v>
      </c>
      <c r="H125" s="2" t="s">
        <v>37</v>
      </c>
      <c r="I125" s="2" t="s">
        <v>282</v>
      </c>
      <c r="J125" s="5">
        <v>66</v>
      </c>
    </row>
    <row r="126" spans="1:10" x14ac:dyDescent="0.3">
      <c r="A126" s="19" t="s">
        <v>283</v>
      </c>
      <c r="B126" s="15" t="s">
        <v>68</v>
      </c>
      <c r="C126" s="15" t="s">
        <v>79</v>
      </c>
      <c r="D126" s="15" t="s">
        <v>31</v>
      </c>
      <c r="E126" s="15">
        <v>16</v>
      </c>
      <c r="F126" s="15">
        <v>11</v>
      </c>
      <c r="G126" s="15" t="s">
        <v>32</v>
      </c>
      <c r="H126" s="15" t="s">
        <v>40</v>
      </c>
      <c r="I126" s="15" t="s">
        <v>284</v>
      </c>
      <c r="J126" s="57">
        <v>95</v>
      </c>
    </row>
    <row r="127" spans="1:10" hidden="1" x14ac:dyDescent="0.3">
      <c r="A127" s="4" t="s">
        <v>285</v>
      </c>
      <c r="B127" s="2" t="s">
        <v>18</v>
      </c>
      <c r="C127" s="2" t="s">
        <v>36</v>
      </c>
      <c r="D127" s="2" t="s">
        <v>31</v>
      </c>
      <c r="E127" s="2">
        <v>14</v>
      </c>
      <c r="F127" s="2">
        <v>11</v>
      </c>
      <c r="G127" s="2" t="s">
        <v>25</v>
      </c>
      <c r="H127" s="2" t="s">
        <v>46</v>
      </c>
      <c r="I127" s="2" t="s">
        <v>286</v>
      </c>
      <c r="J127" s="5">
        <v>64</v>
      </c>
    </row>
    <row r="128" spans="1:10" hidden="1" x14ac:dyDescent="0.3">
      <c r="A128" s="4" t="s">
        <v>287</v>
      </c>
      <c r="B128" s="2" t="s">
        <v>54</v>
      </c>
      <c r="C128" s="2" t="s">
        <v>24</v>
      </c>
      <c r="D128" s="2" t="s">
        <v>31</v>
      </c>
      <c r="E128" s="2">
        <v>14</v>
      </c>
      <c r="F128" s="2">
        <v>12</v>
      </c>
      <c r="G128" s="2" t="s">
        <v>32</v>
      </c>
      <c r="H128" s="2" t="s">
        <v>76</v>
      </c>
      <c r="I128" s="2" t="s">
        <v>288</v>
      </c>
      <c r="J128" s="5">
        <v>48</v>
      </c>
    </row>
    <row r="129" spans="1:10" hidden="1" x14ac:dyDescent="0.3">
      <c r="A129" s="4" t="s">
        <v>289</v>
      </c>
      <c r="B129" s="2" t="s">
        <v>23</v>
      </c>
      <c r="C129" s="2" t="s">
        <v>79</v>
      </c>
      <c r="D129" s="2" t="s">
        <v>31</v>
      </c>
      <c r="E129" s="2">
        <v>17</v>
      </c>
      <c r="F129" s="2">
        <v>9</v>
      </c>
      <c r="G129" s="2" t="s">
        <v>25</v>
      </c>
      <c r="H129" s="2" t="s">
        <v>37</v>
      </c>
      <c r="I129" s="2" t="s">
        <v>290</v>
      </c>
      <c r="J129" s="5">
        <v>62</v>
      </c>
    </row>
    <row r="130" spans="1:10" x14ac:dyDescent="0.3">
      <c r="A130" s="19" t="s">
        <v>291</v>
      </c>
      <c r="B130" s="15" t="s">
        <v>11</v>
      </c>
      <c r="C130" s="15" t="s">
        <v>30</v>
      </c>
      <c r="D130" s="15" t="s">
        <v>31</v>
      </c>
      <c r="E130" s="15">
        <v>16</v>
      </c>
      <c r="F130" s="15">
        <v>9</v>
      </c>
      <c r="G130" s="15" t="s">
        <v>25</v>
      </c>
      <c r="H130" s="15" t="s">
        <v>61</v>
      </c>
      <c r="I130" s="15" t="s">
        <v>292</v>
      </c>
      <c r="J130" s="57">
        <v>97</v>
      </c>
    </row>
    <row r="131" spans="1:10" x14ac:dyDescent="0.3">
      <c r="A131" s="19" t="s">
        <v>293</v>
      </c>
      <c r="B131" s="15" t="s">
        <v>73</v>
      </c>
      <c r="C131" s="15" t="s">
        <v>96</v>
      </c>
      <c r="D131" s="15" t="s">
        <v>31</v>
      </c>
      <c r="E131" s="15">
        <v>20</v>
      </c>
      <c r="F131" s="15">
        <v>9</v>
      </c>
      <c r="G131" s="15" t="s">
        <v>43</v>
      </c>
      <c r="H131" s="15" t="s">
        <v>26</v>
      </c>
      <c r="I131" s="15" t="s">
        <v>74</v>
      </c>
      <c r="J131" s="57">
        <v>100</v>
      </c>
    </row>
    <row r="132" spans="1:10" x14ac:dyDescent="0.3">
      <c r="A132" s="19" t="s">
        <v>294</v>
      </c>
      <c r="B132" s="15" t="s">
        <v>35</v>
      </c>
      <c r="C132" s="15" t="s">
        <v>55</v>
      </c>
      <c r="D132" s="15" t="s">
        <v>13</v>
      </c>
      <c r="E132" s="15">
        <v>20</v>
      </c>
      <c r="F132" s="15">
        <v>9</v>
      </c>
      <c r="G132" s="15" t="s">
        <v>25</v>
      </c>
      <c r="H132" s="15" t="s">
        <v>46</v>
      </c>
      <c r="I132" s="15" t="s">
        <v>295</v>
      </c>
      <c r="J132" s="57">
        <v>99</v>
      </c>
    </row>
    <row r="133" spans="1:10" x14ac:dyDescent="0.3">
      <c r="A133" s="19" t="s">
        <v>296</v>
      </c>
      <c r="B133" s="15" t="s">
        <v>84</v>
      </c>
      <c r="C133" s="15" t="s">
        <v>19</v>
      </c>
      <c r="D133" s="15" t="s">
        <v>31</v>
      </c>
      <c r="E133" s="15">
        <v>20</v>
      </c>
      <c r="F133" s="15">
        <v>10</v>
      </c>
      <c r="G133" s="15" t="s">
        <v>43</v>
      </c>
      <c r="H133" s="15" t="s">
        <v>20</v>
      </c>
      <c r="I133" s="15" t="s">
        <v>297</v>
      </c>
      <c r="J133" s="57">
        <v>100</v>
      </c>
    </row>
    <row r="134" spans="1:10" hidden="1" x14ac:dyDescent="0.3">
      <c r="A134" s="4" t="s">
        <v>298</v>
      </c>
      <c r="B134" s="2" t="s">
        <v>29</v>
      </c>
      <c r="C134" s="2" t="s">
        <v>96</v>
      </c>
      <c r="D134" s="2" t="s">
        <v>31</v>
      </c>
      <c r="E134" s="2">
        <v>20</v>
      </c>
      <c r="F134" s="2">
        <v>10</v>
      </c>
      <c r="G134" s="2" t="s">
        <v>32</v>
      </c>
      <c r="H134" s="2" t="s">
        <v>26</v>
      </c>
      <c r="I134" s="2" t="s">
        <v>299</v>
      </c>
      <c r="J134" s="5">
        <v>56</v>
      </c>
    </row>
    <row r="135" spans="1:10" hidden="1" x14ac:dyDescent="0.3">
      <c r="A135" s="4" t="s">
        <v>300</v>
      </c>
      <c r="B135" s="2" t="s">
        <v>11</v>
      </c>
      <c r="C135" s="2" t="s">
        <v>79</v>
      </c>
      <c r="D135" s="2" t="s">
        <v>31</v>
      </c>
      <c r="E135" s="2">
        <v>18</v>
      </c>
      <c r="F135" s="2">
        <v>9</v>
      </c>
      <c r="G135" s="2" t="s">
        <v>14</v>
      </c>
      <c r="H135" s="2" t="s">
        <v>20</v>
      </c>
      <c r="I135" s="2" t="s">
        <v>301</v>
      </c>
      <c r="J135" s="5">
        <v>66</v>
      </c>
    </row>
    <row r="136" spans="1:10" hidden="1" x14ac:dyDescent="0.3">
      <c r="A136" s="4" t="s">
        <v>302</v>
      </c>
      <c r="B136" s="2" t="s">
        <v>29</v>
      </c>
      <c r="C136" s="2" t="s">
        <v>79</v>
      </c>
      <c r="D136" s="2" t="s">
        <v>13</v>
      </c>
      <c r="E136" s="2">
        <v>14</v>
      </c>
      <c r="F136" s="2">
        <v>12</v>
      </c>
      <c r="G136" s="2" t="s">
        <v>14</v>
      </c>
      <c r="H136" s="2" t="s">
        <v>20</v>
      </c>
      <c r="I136" s="2" t="s">
        <v>303</v>
      </c>
      <c r="J136" s="5">
        <v>66</v>
      </c>
    </row>
    <row r="137" spans="1:10" hidden="1" x14ac:dyDescent="0.3">
      <c r="A137" s="4" t="s">
        <v>304</v>
      </c>
      <c r="B137" s="2" t="s">
        <v>51</v>
      </c>
      <c r="C137" s="2" t="s">
        <v>36</v>
      </c>
      <c r="D137" s="2" t="s">
        <v>31</v>
      </c>
      <c r="E137" s="2">
        <v>15</v>
      </c>
      <c r="F137" s="2">
        <v>12</v>
      </c>
      <c r="G137" s="2" t="s">
        <v>32</v>
      </c>
      <c r="H137" s="2" t="s">
        <v>46</v>
      </c>
      <c r="I137" s="2" t="s">
        <v>305</v>
      </c>
      <c r="J137" s="5">
        <v>77</v>
      </c>
    </row>
    <row r="138" spans="1:10" hidden="1" x14ac:dyDescent="0.3">
      <c r="A138" s="4" t="s">
        <v>306</v>
      </c>
      <c r="B138" s="2" t="s">
        <v>23</v>
      </c>
      <c r="C138" s="2" t="s">
        <v>19</v>
      </c>
      <c r="D138" s="2" t="s">
        <v>31</v>
      </c>
      <c r="E138" s="2">
        <v>16</v>
      </c>
      <c r="F138" s="2">
        <v>10</v>
      </c>
      <c r="G138" s="2" t="s">
        <v>43</v>
      </c>
      <c r="H138" s="2" t="s">
        <v>61</v>
      </c>
      <c r="I138" s="2" t="s">
        <v>307</v>
      </c>
      <c r="J138" s="5">
        <v>47</v>
      </c>
    </row>
    <row r="139" spans="1:10" hidden="1" x14ac:dyDescent="0.3">
      <c r="A139" s="4" t="s">
        <v>308</v>
      </c>
      <c r="B139" s="2" t="s">
        <v>23</v>
      </c>
      <c r="C139" s="2" t="s">
        <v>36</v>
      </c>
      <c r="D139" s="2" t="s">
        <v>13</v>
      </c>
      <c r="E139" s="2">
        <v>18</v>
      </c>
      <c r="F139" s="2">
        <v>10</v>
      </c>
      <c r="G139" s="2" t="s">
        <v>43</v>
      </c>
      <c r="H139" s="2" t="s">
        <v>40</v>
      </c>
      <c r="I139" s="2" t="s">
        <v>309</v>
      </c>
      <c r="J139" s="5">
        <v>57</v>
      </c>
    </row>
    <row r="140" spans="1:10" hidden="1" x14ac:dyDescent="0.3">
      <c r="A140" s="4" t="s">
        <v>310</v>
      </c>
      <c r="B140" s="2" t="s">
        <v>29</v>
      </c>
      <c r="C140" s="2" t="s">
        <v>96</v>
      </c>
      <c r="D140" s="2" t="s">
        <v>31</v>
      </c>
      <c r="E140" s="2">
        <v>16</v>
      </c>
      <c r="F140" s="2">
        <v>9</v>
      </c>
      <c r="G140" s="2" t="s">
        <v>32</v>
      </c>
      <c r="H140" s="2" t="s">
        <v>46</v>
      </c>
      <c r="I140" s="2" t="s">
        <v>311</v>
      </c>
      <c r="J140" s="5">
        <v>67</v>
      </c>
    </row>
    <row r="141" spans="1:10" hidden="1" x14ac:dyDescent="0.3">
      <c r="A141" s="4" t="s">
        <v>312</v>
      </c>
      <c r="B141" s="2" t="s">
        <v>29</v>
      </c>
      <c r="C141" s="2" t="s">
        <v>12</v>
      </c>
      <c r="D141" s="2" t="s">
        <v>31</v>
      </c>
      <c r="E141" s="2">
        <v>14</v>
      </c>
      <c r="F141" s="2">
        <v>12</v>
      </c>
      <c r="G141" s="2" t="s">
        <v>43</v>
      </c>
      <c r="H141" s="2" t="s">
        <v>61</v>
      </c>
      <c r="I141" s="2" t="s">
        <v>313</v>
      </c>
      <c r="J141" s="5">
        <v>44</v>
      </c>
    </row>
    <row r="142" spans="1:10" hidden="1" x14ac:dyDescent="0.3">
      <c r="A142" s="4" t="s">
        <v>314</v>
      </c>
      <c r="B142" s="2" t="s">
        <v>68</v>
      </c>
      <c r="C142" s="2" t="s">
        <v>79</v>
      </c>
      <c r="D142" s="2" t="s">
        <v>13</v>
      </c>
      <c r="E142" s="2">
        <v>15</v>
      </c>
      <c r="F142" s="2">
        <v>11</v>
      </c>
      <c r="G142" s="2" t="s">
        <v>14</v>
      </c>
      <c r="H142" s="2" t="s">
        <v>46</v>
      </c>
      <c r="I142" s="2" t="s">
        <v>315</v>
      </c>
      <c r="J142" s="5">
        <v>35</v>
      </c>
    </row>
    <row r="143" spans="1:10" hidden="1" x14ac:dyDescent="0.3">
      <c r="A143" s="4" t="s">
        <v>316</v>
      </c>
      <c r="B143" s="2" t="s">
        <v>23</v>
      </c>
      <c r="C143" s="2" t="s">
        <v>36</v>
      </c>
      <c r="D143" s="2" t="s">
        <v>31</v>
      </c>
      <c r="E143" s="2">
        <v>20</v>
      </c>
      <c r="F143" s="2">
        <v>11</v>
      </c>
      <c r="G143" s="2" t="s">
        <v>14</v>
      </c>
      <c r="H143" s="2" t="s">
        <v>37</v>
      </c>
      <c r="I143" s="2" t="s">
        <v>317</v>
      </c>
      <c r="J143" s="5">
        <v>52</v>
      </c>
    </row>
    <row r="144" spans="1:10" x14ac:dyDescent="0.3">
      <c r="A144" s="19" t="s">
        <v>318</v>
      </c>
      <c r="B144" s="15" t="s">
        <v>54</v>
      </c>
      <c r="C144" s="15" t="s">
        <v>96</v>
      </c>
      <c r="D144" s="15" t="s">
        <v>13</v>
      </c>
      <c r="E144" s="15">
        <v>18</v>
      </c>
      <c r="F144" s="15">
        <v>9</v>
      </c>
      <c r="G144" s="15" t="s">
        <v>32</v>
      </c>
      <c r="H144" s="15" t="s">
        <v>76</v>
      </c>
      <c r="I144" s="15" t="s">
        <v>319</v>
      </c>
      <c r="J144" s="57">
        <v>86</v>
      </c>
    </row>
    <row r="145" spans="1:10" hidden="1" x14ac:dyDescent="0.3">
      <c r="A145" s="4" t="s">
        <v>320</v>
      </c>
      <c r="B145" s="2" t="s">
        <v>84</v>
      </c>
      <c r="C145" s="2" t="s">
        <v>55</v>
      </c>
      <c r="D145" s="2" t="s">
        <v>31</v>
      </c>
      <c r="E145" s="2">
        <v>16</v>
      </c>
      <c r="F145" s="2">
        <v>12</v>
      </c>
      <c r="G145" s="2" t="s">
        <v>32</v>
      </c>
      <c r="H145" s="2" t="s">
        <v>76</v>
      </c>
      <c r="I145" s="2" t="s">
        <v>321</v>
      </c>
      <c r="J145" s="5">
        <v>66</v>
      </c>
    </row>
    <row r="146" spans="1:10" x14ac:dyDescent="0.3">
      <c r="A146" s="19" t="s">
        <v>322</v>
      </c>
      <c r="B146" s="15" t="s">
        <v>35</v>
      </c>
      <c r="C146" s="15" t="s">
        <v>12</v>
      </c>
      <c r="D146" s="15" t="s">
        <v>13</v>
      </c>
      <c r="E146" s="15">
        <v>14</v>
      </c>
      <c r="F146" s="15">
        <v>11</v>
      </c>
      <c r="G146" s="15" t="s">
        <v>14</v>
      </c>
      <c r="H146" s="15" t="s">
        <v>26</v>
      </c>
      <c r="I146" s="15" t="s">
        <v>323</v>
      </c>
      <c r="J146" s="57">
        <v>93</v>
      </c>
    </row>
    <row r="147" spans="1:10" hidden="1" x14ac:dyDescent="0.3">
      <c r="A147" s="4" t="s">
        <v>324</v>
      </c>
      <c r="B147" s="2" t="s">
        <v>23</v>
      </c>
      <c r="C147" s="2" t="s">
        <v>85</v>
      </c>
      <c r="D147" s="2" t="s">
        <v>31</v>
      </c>
      <c r="E147" s="2">
        <v>16</v>
      </c>
      <c r="F147" s="2">
        <v>9</v>
      </c>
      <c r="G147" s="2" t="s">
        <v>32</v>
      </c>
      <c r="H147" s="2" t="s">
        <v>61</v>
      </c>
      <c r="I147" s="2" t="s">
        <v>325</v>
      </c>
      <c r="J147" s="5">
        <v>54</v>
      </c>
    </row>
    <row r="148" spans="1:10" hidden="1" x14ac:dyDescent="0.3">
      <c r="A148" s="4" t="s">
        <v>326</v>
      </c>
      <c r="B148" s="2" t="s">
        <v>54</v>
      </c>
      <c r="C148" s="2" t="s">
        <v>55</v>
      </c>
      <c r="D148" s="2" t="s">
        <v>13</v>
      </c>
      <c r="E148" s="2">
        <v>20</v>
      </c>
      <c r="F148" s="2">
        <v>9</v>
      </c>
      <c r="G148" s="2" t="s">
        <v>32</v>
      </c>
      <c r="H148" s="2" t="s">
        <v>15</v>
      </c>
      <c r="I148" s="2" t="s">
        <v>77</v>
      </c>
      <c r="J148" s="5">
        <v>75</v>
      </c>
    </row>
    <row r="149" spans="1:10" hidden="1" x14ac:dyDescent="0.3">
      <c r="A149" s="4" t="s">
        <v>327</v>
      </c>
      <c r="B149" s="2" t="s">
        <v>73</v>
      </c>
      <c r="C149" s="2" t="s">
        <v>96</v>
      </c>
      <c r="D149" s="2" t="s">
        <v>13</v>
      </c>
      <c r="E149" s="2">
        <v>20</v>
      </c>
      <c r="F149" s="2">
        <v>9</v>
      </c>
      <c r="G149" s="2" t="s">
        <v>32</v>
      </c>
      <c r="H149" s="2" t="s">
        <v>61</v>
      </c>
      <c r="I149" s="2" t="s">
        <v>328</v>
      </c>
      <c r="J149" s="5">
        <v>40</v>
      </c>
    </row>
    <row r="150" spans="1:10" x14ac:dyDescent="0.3">
      <c r="A150" s="19" t="s">
        <v>329</v>
      </c>
      <c r="B150" s="15" t="s">
        <v>11</v>
      </c>
      <c r="C150" s="15" t="s">
        <v>24</v>
      </c>
      <c r="D150" s="15" t="s">
        <v>31</v>
      </c>
      <c r="E150" s="15">
        <v>15</v>
      </c>
      <c r="F150" s="15">
        <v>9</v>
      </c>
      <c r="G150" s="15" t="s">
        <v>43</v>
      </c>
      <c r="H150" s="15" t="s">
        <v>61</v>
      </c>
      <c r="I150" s="15" t="s">
        <v>330</v>
      </c>
      <c r="J150" s="57">
        <v>83</v>
      </c>
    </row>
    <row r="151" spans="1:10" x14ac:dyDescent="0.3">
      <c r="A151" s="19" t="s">
        <v>331</v>
      </c>
      <c r="B151" s="15" t="s">
        <v>73</v>
      </c>
      <c r="C151" s="15" t="s">
        <v>30</v>
      </c>
      <c r="D151" s="15" t="s">
        <v>31</v>
      </c>
      <c r="E151" s="15">
        <v>19</v>
      </c>
      <c r="F151" s="15">
        <v>10</v>
      </c>
      <c r="G151" s="15" t="s">
        <v>43</v>
      </c>
      <c r="H151" s="15" t="s">
        <v>20</v>
      </c>
      <c r="I151" s="15" t="s">
        <v>191</v>
      </c>
      <c r="J151" s="57">
        <v>93</v>
      </c>
    </row>
    <row r="152" spans="1:10" hidden="1" x14ac:dyDescent="0.3">
      <c r="A152" s="4" t="s">
        <v>332</v>
      </c>
      <c r="B152" s="2" t="s">
        <v>29</v>
      </c>
      <c r="C152" s="2" t="s">
        <v>12</v>
      </c>
      <c r="D152" s="2" t="s">
        <v>31</v>
      </c>
      <c r="E152" s="2">
        <v>16</v>
      </c>
      <c r="F152" s="2">
        <v>11</v>
      </c>
      <c r="G152" s="2" t="s">
        <v>32</v>
      </c>
      <c r="H152" s="2" t="s">
        <v>76</v>
      </c>
      <c r="I152" s="2" t="s">
        <v>333</v>
      </c>
      <c r="J152" s="5">
        <v>42</v>
      </c>
    </row>
    <row r="153" spans="1:10" x14ac:dyDescent="0.3">
      <c r="A153" s="19" t="s">
        <v>334</v>
      </c>
      <c r="B153" s="15" t="s">
        <v>73</v>
      </c>
      <c r="C153" s="15" t="s">
        <v>12</v>
      </c>
      <c r="D153" s="15" t="s">
        <v>31</v>
      </c>
      <c r="E153" s="15">
        <v>18</v>
      </c>
      <c r="F153" s="15">
        <v>11</v>
      </c>
      <c r="G153" s="15" t="s">
        <v>32</v>
      </c>
      <c r="H153" s="15" t="s">
        <v>76</v>
      </c>
      <c r="I153" s="15" t="s">
        <v>335</v>
      </c>
      <c r="J153" s="57">
        <v>97</v>
      </c>
    </row>
    <row r="154" spans="1:10" hidden="1" x14ac:dyDescent="0.3">
      <c r="A154" s="4" t="s">
        <v>336</v>
      </c>
      <c r="B154" s="2" t="s">
        <v>11</v>
      </c>
      <c r="C154" s="2" t="s">
        <v>58</v>
      </c>
      <c r="D154" s="2" t="s">
        <v>31</v>
      </c>
      <c r="E154" s="2">
        <v>19</v>
      </c>
      <c r="F154" s="2">
        <v>12</v>
      </c>
      <c r="G154" s="2" t="s">
        <v>25</v>
      </c>
      <c r="H154" s="2" t="s">
        <v>61</v>
      </c>
      <c r="I154" s="2" t="s">
        <v>218</v>
      </c>
      <c r="J154" s="5">
        <v>68</v>
      </c>
    </row>
    <row r="155" spans="1:10" hidden="1" x14ac:dyDescent="0.3">
      <c r="A155" s="4" t="s">
        <v>337</v>
      </c>
      <c r="B155" s="2" t="s">
        <v>23</v>
      </c>
      <c r="C155" s="2" t="s">
        <v>30</v>
      </c>
      <c r="D155" s="2" t="s">
        <v>31</v>
      </c>
      <c r="E155" s="2">
        <v>19</v>
      </c>
      <c r="F155" s="2">
        <v>9</v>
      </c>
      <c r="G155" s="2" t="s">
        <v>32</v>
      </c>
      <c r="H155" s="2" t="s">
        <v>61</v>
      </c>
      <c r="I155" s="2" t="s">
        <v>338</v>
      </c>
      <c r="J155" s="5">
        <v>51</v>
      </c>
    </row>
    <row r="156" spans="1:10" hidden="1" x14ac:dyDescent="0.3">
      <c r="A156" s="4" t="s">
        <v>339</v>
      </c>
      <c r="B156" s="2" t="s">
        <v>23</v>
      </c>
      <c r="C156" s="2" t="s">
        <v>36</v>
      </c>
      <c r="D156" s="2" t="s">
        <v>13</v>
      </c>
      <c r="E156" s="2">
        <v>18</v>
      </c>
      <c r="F156" s="2">
        <v>9</v>
      </c>
      <c r="G156" s="2" t="s">
        <v>32</v>
      </c>
      <c r="H156" s="2" t="s">
        <v>37</v>
      </c>
      <c r="I156" s="2" t="s">
        <v>340</v>
      </c>
      <c r="J156" s="5">
        <v>64</v>
      </c>
    </row>
    <row r="157" spans="1:10" x14ac:dyDescent="0.3">
      <c r="A157" s="19" t="s">
        <v>341</v>
      </c>
      <c r="B157" s="15" t="s">
        <v>54</v>
      </c>
      <c r="C157" s="15" t="s">
        <v>55</v>
      </c>
      <c r="D157" s="15" t="s">
        <v>13</v>
      </c>
      <c r="E157" s="15">
        <v>14</v>
      </c>
      <c r="F157" s="15">
        <v>9</v>
      </c>
      <c r="G157" s="15" t="s">
        <v>25</v>
      </c>
      <c r="H157" s="15" t="s">
        <v>37</v>
      </c>
      <c r="I157" s="15" t="s">
        <v>342</v>
      </c>
      <c r="J157" s="57">
        <v>82</v>
      </c>
    </row>
    <row r="158" spans="1:10" hidden="1" x14ac:dyDescent="0.3">
      <c r="A158" s="4" t="s">
        <v>343</v>
      </c>
      <c r="B158" s="2" t="s">
        <v>68</v>
      </c>
      <c r="C158" s="2" t="s">
        <v>79</v>
      </c>
      <c r="D158" s="2" t="s">
        <v>13</v>
      </c>
      <c r="E158" s="2">
        <v>19</v>
      </c>
      <c r="F158" s="2">
        <v>11</v>
      </c>
      <c r="G158" s="2" t="s">
        <v>14</v>
      </c>
      <c r="H158" s="2" t="s">
        <v>40</v>
      </c>
      <c r="I158" s="2" t="s">
        <v>344</v>
      </c>
      <c r="J158" s="5">
        <v>35</v>
      </c>
    </row>
    <row r="159" spans="1:10" hidden="1" x14ac:dyDescent="0.3">
      <c r="A159" s="4" t="s">
        <v>345</v>
      </c>
      <c r="B159" s="2" t="s">
        <v>29</v>
      </c>
      <c r="C159" s="2" t="s">
        <v>24</v>
      </c>
      <c r="D159" s="2" t="s">
        <v>31</v>
      </c>
      <c r="E159" s="2">
        <v>15</v>
      </c>
      <c r="F159" s="2">
        <v>9</v>
      </c>
      <c r="G159" s="2" t="s">
        <v>14</v>
      </c>
      <c r="H159" s="2" t="s">
        <v>26</v>
      </c>
      <c r="I159" s="2" t="s">
        <v>346</v>
      </c>
      <c r="J159" s="5">
        <v>49</v>
      </c>
    </row>
    <row r="160" spans="1:10" hidden="1" x14ac:dyDescent="0.3">
      <c r="A160" s="4" t="s">
        <v>347</v>
      </c>
      <c r="B160" s="2" t="s">
        <v>23</v>
      </c>
      <c r="C160" s="2" t="s">
        <v>85</v>
      </c>
      <c r="D160" s="2" t="s">
        <v>31</v>
      </c>
      <c r="E160" s="2">
        <v>15</v>
      </c>
      <c r="F160" s="2">
        <v>11</v>
      </c>
      <c r="G160" s="2" t="s">
        <v>32</v>
      </c>
      <c r="H160" s="2" t="s">
        <v>26</v>
      </c>
      <c r="I160" s="2" t="s">
        <v>348</v>
      </c>
      <c r="J160" s="5">
        <v>37</v>
      </c>
    </row>
    <row r="161" spans="1:10" hidden="1" x14ac:dyDescent="0.3">
      <c r="A161" s="4" t="s">
        <v>349</v>
      </c>
      <c r="B161" s="2" t="s">
        <v>35</v>
      </c>
      <c r="C161" s="2" t="s">
        <v>30</v>
      </c>
      <c r="D161" s="2" t="s">
        <v>31</v>
      </c>
      <c r="E161" s="2">
        <v>18</v>
      </c>
      <c r="F161" s="2">
        <v>12</v>
      </c>
      <c r="G161" s="2" t="s">
        <v>43</v>
      </c>
      <c r="H161" s="2" t="s">
        <v>37</v>
      </c>
      <c r="I161" s="2" t="s">
        <v>350</v>
      </c>
      <c r="J161" s="5">
        <v>53</v>
      </c>
    </row>
    <row r="162" spans="1:10" hidden="1" x14ac:dyDescent="0.3">
      <c r="A162" s="4" t="s">
        <v>351</v>
      </c>
      <c r="B162" s="2" t="s">
        <v>68</v>
      </c>
      <c r="C162" s="2" t="s">
        <v>96</v>
      </c>
      <c r="D162" s="2" t="s">
        <v>13</v>
      </c>
      <c r="E162" s="2">
        <v>15</v>
      </c>
      <c r="F162" s="2">
        <v>10</v>
      </c>
      <c r="G162" s="2" t="s">
        <v>25</v>
      </c>
      <c r="H162" s="2" t="s">
        <v>20</v>
      </c>
      <c r="I162" s="2" t="s">
        <v>352</v>
      </c>
      <c r="J162" s="5">
        <v>50</v>
      </c>
    </row>
    <row r="163" spans="1:10" hidden="1" x14ac:dyDescent="0.3">
      <c r="A163" s="4" t="s">
        <v>353</v>
      </c>
      <c r="B163" s="2" t="s">
        <v>51</v>
      </c>
      <c r="C163" s="2" t="s">
        <v>55</v>
      </c>
      <c r="D163" s="2" t="s">
        <v>31</v>
      </c>
      <c r="E163" s="2">
        <v>20</v>
      </c>
      <c r="F163" s="2">
        <v>9</v>
      </c>
      <c r="G163" s="2" t="s">
        <v>25</v>
      </c>
      <c r="H163" s="2" t="s">
        <v>46</v>
      </c>
      <c r="I163" s="2" t="s">
        <v>354</v>
      </c>
      <c r="J163" s="5">
        <v>53</v>
      </c>
    </row>
    <row r="164" spans="1:10" hidden="1" x14ac:dyDescent="0.3">
      <c r="A164" s="4" t="s">
        <v>355</v>
      </c>
      <c r="B164" s="2" t="s">
        <v>68</v>
      </c>
      <c r="C164" s="2" t="s">
        <v>79</v>
      </c>
      <c r="D164" s="2" t="s">
        <v>13</v>
      </c>
      <c r="E164" s="2">
        <v>15</v>
      </c>
      <c r="F164" s="2">
        <v>12</v>
      </c>
      <c r="G164" s="2" t="s">
        <v>14</v>
      </c>
      <c r="H164" s="2" t="s">
        <v>20</v>
      </c>
      <c r="I164" s="2" t="s">
        <v>356</v>
      </c>
      <c r="J164" s="5">
        <v>37</v>
      </c>
    </row>
    <row r="165" spans="1:10" hidden="1" x14ac:dyDescent="0.3">
      <c r="A165" s="4" t="s">
        <v>357</v>
      </c>
      <c r="B165" s="2" t="s">
        <v>23</v>
      </c>
      <c r="C165" s="2" t="s">
        <v>24</v>
      </c>
      <c r="D165" s="2" t="s">
        <v>13</v>
      </c>
      <c r="E165" s="2">
        <v>16</v>
      </c>
      <c r="F165" s="2">
        <v>9</v>
      </c>
      <c r="G165" s="2" t="s">
        <v>25</v>
      </c>
      <c r="H165" s="2" t="s">
        <v>20</v>
      </c>
      <c r="I165" s="2" t="s">
        <v>358</v>
      </c>
      <c r="J165" s="5">
        <v>66</v>
      </c>
    </row>
    <row r="166" spans="1:10" hidden="1" x14ac:dyDescent="0.3">
      <c r="A166" s="4" t="s">
        <v>359</v>
      </c>
      <c r="B166" s="2" t="s">
        <v>68</v>
      </c>
      <c r="C166" s="2" t="s">
        <v>85</v>
      </c>
      <c r="D166" s="2" t="s">
        <v>13</v>
      </c>
      <c r="E166" s="2">
        <v>19</v>
      </c>
      <c r="F166" s="2">
        <v>11</v>
      </c>
      <c r="G166" s="2" t="s">
        <v>43</v>
      </c>
      <c r="H166" s="2" t="s">
        <v>76</v>
      </c>
      <c r="I166" s="2" t="s">
        <v>360</v>
      </c>
      <c r="J166" s="5">
        <v>64</v>
      </c>
    </row>
    <row r="167" spans="1:10" hidden="1" x14ac:dyDescent="0.3">
      <c r="A167" s="4" t="s">
        <v>361</v>
      </c>
      <c r="B167" s="2" t="s">
        <v>11</v>
      </c>
      <c r="C167" s="2" t="s">
        <v>30</v>
      </c>
      <c r="D167" s="2" t="s">
        <v>13</v>
      </c>
      <c r="E167" s="2">
        <v>20</v>
      </c>
      <c r="F167" s="2">
        <v>10</v>
      </c>
      <c r="G167" s="2" t="s">
        <v>32</v>
      </c>
      <c r="H167" s="2" t="s">
        <v>15</v>
      </c>
      <c r="I167" s="2" t="s">
        <v>362</v>
      </c>
      <c r="J167" s="5">
        <v>49</v>
      </c>
    </row>
    <row r="168" spans="1:10" hidden="1" x14ac:dyDescent="0.3">
      <c r="A168" s="4" t="s">
        <v>363</v>
      </c>
      <c r="B168" s="2" t="s">
        <v>11</v>
      </c>
      <c r="C168" s="2" t="s">
        <v>85</v>
      </c>
      <c r="D168" s="2" t="s">
        <v>31</v>
      </c>
      <c r="E168" s="2">
        <v>15</v>
      </c>
      <c r="F168" s="2">
        <v>10</v>
      </c>
      <c r="G168" s="2" t="s">
        <v>14</v>
      </c>
      <c r="H168" s="2" t="s">
        <v>37</v>
      </c>
      <c r="I168" s="2" t="s">
        <v>364</v>
      </c>
      <c r="J168" s="5">
        <v>71</v>
      </c>
    </row>
    <row r="169" spans="1:10" hidden="1" x14ac:dyDescent="0.3">
      <c r="A169" s="4" t="s">
        <v>365</v>
      </c>
      <c r="B169" s="2" t="s">
        <v>11</v>
      </c>
      <c r="C169" s="2" t="s">
        <v>55</v>
      </c>
      <c r="D169" s="2" t="s">
        <v>13</v>
      </c>
      <c r="E169" s="2">
        <v>16</v>
      </c>
      <c r="F169" s="2">
        <v>10</v>
      </c>
      <c r="G169" s="2" t="s">
        <v>32</v>
      </c>
      <c r="H169" s="2" t="s">
        <v>15</v>
      </c>
      <c r="I169" s="2" t="s">
        <v>366</v>
      </c>
      <c r="J169" s="5">
        <v>72</v>
      </c>
    </row>
    <row r="170" spans="1:10" x14ac:dyDescent="0.3">
      <c r="A170" s="19" t="s">
        <v>367</v>
      </c>
      <c r="B170" s="15" t="s">
        <v>35</v>
      </c>
      <c r="C170" s="15" t="s">
        <v>12</v>
      </c>
      <c r="D170" s="15" t="s">
        <v>31</v>
      </c>
      <c r="E170" s="15">
        <v>15</v>
      </c>
      <c r="F170" s="15">
        <v>10</v>
      </c>
      <c r="G170" s="15" t="s">
        <v>32</v>
      </c>
      <c r="H170" s="15" t="s">
        <v>20</v>
      </c>
      <c r="I170" s="15" t="s">
        <v>368</v>
      </c>
      <c r="J170" s="57">
        <v>99</v>
      </c>
    </row>
    <row r="171" spans="1:10" x14ac:dyDescent="0.3">
      <c r="A171" s="19" t="s">
        <v>369</v>
      </c>
      <c r="B171" s="15" t="s">
        <v>23</v>
      </c>
      <c r="C171" s="15" t="s">
        <v>24</v>
      </c>
      <c r="D171" s="15" t="s">
        <v>31</v>
      </c>
      <c r="E171" s="15">
        <v>17</v>
      </c>
      <c r="F171" s="15">
        <v>12</v>
      </c>
      <c r="G171" s="15" t="s">
        <v>43</v>
      </c>
      <c r="H171" s="15" t="s">
        <v>61</v>
      </c>
      <c r="I171" s="15" t="s">
        <v>370</v>
      </c>
      <c r="J171" s="57">
        <v>96</v>
      </c>
    </row>
    <row r="172" spans="1:10" x14ac:dyDescent="0.3">
      <c r="A172" s="19" t="s">
        <v>371</v>
      </c>
      <c r="B172" s="15" t="s">
        <v>35</v>
      </c>
      <c r="C172" s="15" t="s">
        <v>58</v>
      </c>
      <c r="D172" s="15" t="s">
        <v>31</v>
      </c>
      <c r="E172" s="15">
        <v>19</v>
      </c>
      <c r="F172" s="15">
        <v>9</v>
      </c>
      <c r="G172" s="15" t="s">
        <v>14</v>
      </c>
      <c r="H172" s="15" t="s">
        <v>20</v>
      </c>
      <c r="I172" s="15" t="s">
        <v>372</v>
      </c>
      <c r="J172" s="57">
        <v>87</v>
      </c>
    </row>
    <row r="173" spans="1:10" hidden="1" x14ac:dyDescent="0.3">
      <c r="A173" s="4" t="s">
        <v>373</v>
      </c>
      <c r="B173" s="2" t="s">
        <v>51</v>
      </c>
      <c r="C173" s="2" t="s">
        <v>19</v>
      </c>
      <c r="D173" s="2" t="s">
        <v>13</v>
      </c>
      <c r="E173" s="2">
        <v>15</v>
      </c>
      <c r="F173" s="2">
        <v>11</v>
      </c>
      <c r="G173" s="2" t="s">
        <v>14</v>
      </c>
      <c r="H173" s="2" t="s">
        <v>61</v>
      </c>
      <c r="I173" s="2" t="s">
        <v>374</v>
      </c>
      <c r="J173" s="5">
        <v>78</v>
      </c>
    </row>
    <row r="174" spans="1:10" hidden="1" x14ac:dyDescent="0.3">
      <c r="A174" s="4" t="s">
        <v>375</v>
      </c>
      <c r="B174" s="2" t="s">
        <v>35</v>
      </c>
      <c r="C174" s="2" t="s">
        <v>36</v>
      </c>
      <c r="D174" s="2" t="s">
        <v>13</v>
      </c>
      <c r="E174" s="2">
        <v>18</v>
      </c>
      <c r="F174" s="2">
        <v>11</v>
      </c>
      <c r="G174" s="2" t="s">
        <v>25</v>
      </c>
      <c r="H174" s="2" t="s">
        <v>40</v>
      </c>
      <c r="I174" s="2" t="s">
        <v>376</v>
      </c>
      <c r="J174" s="5">
        <v>62</v>
      </c>
    </row>
    <row r="175" spans="1:10" hidden="1" x14ac:dyDescent="0.3">
      <c r="A175" s="4" t="s">
        <v>377</v>
      </c>
      <c r="B175" s="2" t="s">
        <v>35</v>
      </c>
      <c r="C175" s="2" t="s">
        <v>30</v>
      </c>
      <c r="D175" s="2" t="s">
        <v>13</v>
      </c>
      <c r="E175" s="2">
        <v>20</v>
      </c>
      <c r="F175" s="2">
        <v>11</v>
      </c>
      <c r="G175" s="2" t="s">
        <v>32</v>
      </c>
      <c r="H175" s="2" t="s">
        <v>37</v>
      </c>
      <c r="I175" s="2" t="s">
        <v>189</v>
      </c>
      <c r="J175" s="5">
        <v>79</v>
      </c>
    </row>
    <row r="176" spans="1:10" hidden="1" x14ac:dyDescent="0.3">
      <c r="A176" s="4" t="s">
        <v>378</v>
      </c>
      <c r="B176" s="2" t="s">
        <v>18</v>
      </c>
      <c r="C176" s="2" t="s">
        <v>55</v>
      </c>
      <c r="D176" s="2" t="s">
        <v>31</v>
      </c>
      <c r="E176" s="2">
        <v>17</v>
      </c>
      <c r="F176" s="2">
        <v>9</v>
      </c>
      <c r="G176" s="2" t="s">
        <v>32</v>
      </c>
      <c r="H176" s="2" t="s">
        <v>26</v>
      </c>
      <c r="I176" s="2" t="s">
        <v>379</v>
      </c>
      <c r="J176" s="5">
        <v>66</v>
      </c>
    </row>
    <row r="177" spans="1:10" hidden="1" x14ac:dyDescent="0.3">
      <c r="A177" s="4" t="s">
        <v>380</v>
      </c>
      <c r="B177" s="2" t="s">
        <v>11</v>
      </c>
      <c r="C177" s="2" t="s">
        <v>24</v>
      </c>
      <c r="D177" s="2" t="s">
        <v>31</v>
      </c>
      <c r="E177" s="2">
        <v>18</v>
      </c>
      <c r="F177" s="2">
        <v>11</v>
      </c>
      <c r="G177" s="2" t="s">
        <v>32</v>
      </c>
      <c r="H177" s="2" t="s">
        <v>61</v>
      </c>
      <c r="I177" s="2" t="s">
        <v>381</v>
      </c>
      <c r="J177" s="5">
        <v>67</v>
      </c>
    </row>
    <row r="178" spans="1:10" hidden="1" x14ac:dyDescent="0.3">
      <c r="A178" s="4" t="s">
        <v>382</v>
      </c>
      <c r="B178" s="2" t="s">
        <v>51</v>
      </c>
      <c r="C178" s="2" t="s">
        <v>85</v>
      </c>
      <c r="D178" s="2" t="s">
        <v>13</v>
      </c>
      <c r="E178" s="2">
        <v>16</v>
      </c>
      <c r="F178" s="2">
        <v>10</v>
      </c>
      <c r="G178" s="2" t="s">
        <v>43</v>
      </c>
      <c r="H178" s="2" t="s">
        <v>61</v>
      </c>
      <c r="I178" s="2" t="s">
        <v>383</v>
      </c>
      <c r="J178" s="5">
        <v>72</v>
      </c>
    </row>
    <row r="179" spans="1:10" hidden="1" x14ac:dyDescent="0.3">
      <c r="A179" s="4" t="s">
        <v>384</v>
      </c>
      <c r="B179" s="2" t="s">
        <v>54</v>
      </c>
      <c r="C179" s="2" t="s">
        <v>19</v>
      </c>
      <c r="D179" s="2" t="s">
        <v>31</v>
      </c>
      <c r="E179" s="2">
        <v>16</v>
      </c>
      <c r="F179" s="2">
        <v>12</v>
      </c>
      <c r="G179" s="2" t="s">
        <v>25</v>
      </c>
      <c r="H179" s="2" t="s">
        <v>20</v>
      </c>
      <c r="I179" s="2" t="s">
        <v>385</v>
      </c>
      <c r="J179" s="5">
        <v>39</v>
      </c>
    </row>
    <row r="180" spans="1:10" hidden="1" x14ac:dyDescent="0.3">
      <c r="A180" s="4" t="s">
        <v>386</v>
      </c>
      <c r="B180" s="2" t="s">
        <v>68</v>
      </c>
      <c r="C180" s="2" t="s">
        <v>96</v>
      </c>
      <c r="D180" s="2" t="s">
        <v>13</v>
      </c>
      <c r="E180" s="2">
        <v>18</v>
      </c>
      <c r="F180" s="2">
        <v>9</v>
      </c>
      <c r="G180" s="2" t="s">
        <v>25</v>
      </c>
      <c r="H180" s="2" t="s">
        <v>46</v>
      </c>
      <c r="I180" s="2" t="s">
        <v>387</v>
      </c>
      <c r="J180" s="5">
        <v>74</v>
      </c>
    </row>
    <row r="181" spans="1:10" x14ac:dyDescent="0.3">
      <c r="A181" s="19" t="s">
        <v>388</v>
      </c>
      <c r="B181" s="15" t="s">
        <v>73</v>
      </c>
      <c r="C181" s="15" t="s">
        <v>12</v>
      </c>
      <c r="D181" s="15" t="s">
        <v>31</v>
      </c>
      <c r="E181" s="15">
        <v>19</v>
      </c>
      <c r="F181" s="15">
        <v>11</v>
      </c>
      <c r="G181" s="15" t="s">
        <v>43</v>
      </c>
      <c r="H181" s="15" t="s">
        <v>61</v>
      </c>
      <c r="I181" s="15" t="s">
        <v>214</v>
      </c>
      <c r="J181" s="57">
        <v>88</v>
      </c>
    </row>
    <row r="182" spans="1:10" hidden="1" x14ac:dyDescent="0.3">
      <c r="A182" s="4" t="s">
        <v>389</v>
      </c>
      <c r="B182" s="2" t="s">
        <v>54</v>
      </c>
      <c r="C182" s="2" t="s">
        <v>58</v>
      </c>
      <c r="D182" s="2" t="s">
        <v>31</v>
      </c>
      <c r="E182" s="2">
        <v>14</v>
      </c>
      <c r="F182" s="2">
        <v>11</v>
      </c>
      <c r="G182" s="2" t="s">
        <v>32</v>
      </c>
      <c r="H182" s="2" t="s">
        <v>76</v>
      </c>
      <c r="I182" s="2" t="s">
        <v>390</v>
      </c>
      <c r="J182" s="5">
        <v>54</v>
      </c>
    </row>
    <row r="183" spans="1:10" hidden="1" x14ac:dyDescent="0.3">
      <c r="A183" s="4" t="s">
        <v>391</v>
      </c>
      <c r="B183" s="2" t="s">
        <v>68</v>
      </c>
      <c r="C183" s="2" t="s">
        <v>19</v>
      </c>
      <c r="D183" s="2" t="s">
        <v>13</v>
      </c>
      <c r="E183" s="2">
        <v>19</v>
      </c>
      <c r="F183" s="2">
        <v>12</v>
      </c>
      <c r="G183" s="2" t="s">
        <v>25</v>
      </c>
      <c r="H183" s="2" t="s">
        <v>46</v>
      </c>
      <c r="I183" s="2" t="s">
        <v>392</v>
      </c>
      <c r="J183" s="5">
        <v>46</v>
      </c>
    </row>
    <row r="184" spans="1:10" x14ac:dyDescent="0.3">
      <c r="A184" s="19" t="s">
        <v>393</v>
      </c>
      <c r="B184" s="15" t="s">
        <v>68</v>
      </c>
      <c r="C184" s="15" t="s">
        <v>85</v>
      </c>
      <c r="D184" s="15" t="s">
        <v>13</v>
      </c>
      <c r="E184" s="15">
        <v>15</v>
      </c>
      <c r="F184" s="15">
        <v>10</v>
      </c>
      <c r="G184" s="15" t="s">
        <v>32</v>
      </c>
      <c r="H184" s="15" t="s">
        <v>37</v>
      </c>
      <c r="I184" s="15" t="s">
        <v>394</v>
      </c>
      <c r="J184" s="57">
        <v>89</v>
      </c>
    </row>
    <row r="185" spans="1:10" hidden="1" x14ac:dyDescent="0.3">
      <c r="A185" s="4" t="s">
        <v>395</v>
      </c>
      <c r="B185" s="2" t="s">
        <v>11</v>
      </c>
      <c r="C185" s="2" t="s">
        <v>96</v>
      </c>
      <c r="D185" s="2" t="s">
        <v>13</v>
      </c>
      <c r="E185" s="2">
        <v>18</v>
      </c>
      <c r="F185" s="2">
        <v>11</v>
      </c>
      <c r="G185" s="2" t="s">
        <v>25</v>
      </c>
      <c r="H185" s="2" t="s">
        <v>37</v>
      </c>
      <c r="I185" s="2" t="s">
        <v>396</v>
      </c>
      <c r="J185" s="5">
        <v>65</v>
      </c>
    </row>
    <row r="186" spans="1:10" x14ac:dyDescent="0.3">
      <c r="A186" s="19" t="s">
        <v>397</v>
      </c>
      <c r="B186" s="15" t="s">
        <v>23</v>
      </c>
      <c r="C186" s="15" t="s">
        <v>12</v>
      </c>
      <c r="D186" s="15" t="s">
        <v>13</v>
      </c>
      <c r="E186" s="15">
        <v>20</v>
      </c>
      <c r="F186" s="15">
        <v>9</v>
      </c>
      <c r="G186" s="15" t="s">
        <v>25</v>
      </c>
      <c r="H186" s="15" t="s">
        <v>46</v>
      </c>
      <c r="I186" s="15" t="s">
        <v>398</v>
      </c>
      <c r="J186" s="57">
        <v>91</v>
      </c>
    </row>
    <row r="187" spans="1:10" hidden="1" x14ac:dyDescent="0.3">
      <c r="A187" s="4" t="s">
        <v>399</v>
      </c>
      <c r="B187" s="2" t="s">
        <v>35</v>
      </c>
      <c r="C187" s="2" t="s">
        <v>79</v>
      </c>
      <c r="D187" s="2" t="s">
        <v>13</v>
      </c>
      <c r="E187" s="2">
        <v>17</v>
      </c>
      <c r="F187" s="2">
        <v>10</v>
      </c>
      <c r="G187" s="2" t="s">
        <v>43</v>
      </c>
      <c r="H187" s="2" t="s">
        <v>37</v>
      </c>
      <c r="I187" s="2" t="s">
        <v>400</v>
      </c>
      <c r="J187" s="5">
        <v>78</v>
      </c>
    </row>
    <row r="188" spans="1:10" x14ac:dyDescent="0.3">
      <c r="A188" s="19" t="s">
        <v>401</v>
      </c>
      <c r="B188" s="15" t="s">
        <v>11</v>
      </c>
      <c r="C188" s="15" t="s">
        <v>79</v>
      </c>
      <c r="D188" s="15" t="s">
        <v>31</v>
      </c>
      <c r="E188" s="15">
        <v>15</v>
      </c>
      <c r="F188" s="15">
        <v>11</v>
      </c>
      <c r="G188" s="15" t="s">
        <v>43</v>
      </c>
      <c r="H188" s="15" t="s">
        <v>40</v>
      </c>
      <c r="I188" s="15" t="s">
        <v>402</v>
      </c>
      <c r="J188" s="57">
        <v>84</v>
      </c>
    </row>
    <row r="189" spans="1:10" hidden="1" x14ac:dyDescent="0.3">
      <c r="A189" s="4" t="s">
        <v>403</v>
      </c>
      <c r="B189" s="2" t="s">
        <v>11</v>
      </c>
      <c r="C189" s="2" t="s">
        <v>12</v>
      </c>
      <c r="D189" s="2" t="s">
        <v>31</v>
      </c>
      <c r="E189" s="2">
        <v>19</v>
      </c>
      <c r="F189" s="2">
        <v>9</v>
      </c>
      <c r="G189" s="2" t="s">
        <v>43</v>
      </c>
      <c r="H189" s="2" t="s">
        <v>46</v>
      </c>
      <c r="I189" s="2" t="s">
        <v>404</v>
      </c>
      <c r="J189" s="5">
        <v>37</v>
      </c>
    </row>
    <row r="190" spans="1:10" hidden="1" x14ac:dyDescent="0.3">
      <c r="A190" s="4" t="s">
        <v>405</v>
      </c>
      <c r="B190" s="2" t="s">
        <v>18</v>
      </c>
      <c r="C190" s="2" t="s">
        <v>19</v>
      </c>
      <c r="D190" s="2" t="s">
        <v>31</v>
      </c>
      <c r="E190" s="2">
        <v>18</v>
      </c>
      <c r="F190" s="2">
        <v>12</v>
      </c>
      <c r="G190" s="2" t="s">
        <v>25</v>
      </c>
      <c r="H190" s="2" t="s">
        <v>37</v>
      </c>
      <c r="I190" s="2" t="s">
        <v>406</v>
      </c>
      <c r="J190" s="5">
        <v>70</v>
      </c>
    </row>
    <row r="191" spans="1:10" x14ac:dyDescent="0.3">
      <c r="A191" s="19" t="s">
        <v>407</v>
      </c>
      <c r="B191" s="15" t="s">
        <v>29</v>
      </c>
      <c r="C191" s="15" t="s">
        <v>12</v>
      </c>
      <c r="D191" s="15" t="s">
        <v>31</v>
      </c>
      <c r="E191" s="15">
        <v>16</v>
      </c>
      <c r="F191" s="15">
        <v>10</v>
      </c>
      <c r="G191" s="15" t="s">
        <v>14</v>
      </c>
      <c r="H191" s="15" t="s">
        <v>40</v>
      </c>
      <c r="I191" s="15" t="s">
        <v>71</v>
      </c>
      <c r="J191" s="57">
        <v>100</v>
      </c>
    </row>
    <row r="192" spans="1:10" hidden="1" x14ac:dyDescent="0.3">
      <c r="A192" s="4" t="s">
        <v>408</v>
      </c>
      <c r="B192" s="2" t="s">
        <v>51</v>
      </c>
      <c r="C192" s="2" t="s">
        <v>85</v>
      </c>
      <c r="D192" s="2" t="s">
        <v>13</v>
      </c>
      <c r="E192" s="2">
        <v>17</v>
      </c>
      <c r="F192" s="2">
        <v>11</v>
      </c>
      <c r="G192" s="2" t="s">
        <v>25</v>
      </c>
      <c r="H192" s="2" t="s">
        <v>46</v>
      </c>
      <c r="I192" s="2" t="s">
        <v>52</v>
      </c>
      <c r="J192" s="5">
        <v>42</v>
      </c>
    </row>
    <row r="193" spans="1:10" hidden="1" x14ac:dyDescent="0.3">
      <c r="A193" s="4" t="s">
        <v>409</v>
      </c>
      <c r="B193" s="2" t="s">
        <v>84</v>
      </c>
      <c r="C193" s="2" t="s">
        <v>24</v>
      </c>
      <c r="D193" s="2" t="s">
        <v>13</v>
      </c>
      <c r="E193" s="2">
        <v>20</v>
      </c>
      <c r="F193" s="2">
        <v>9</v>
      </c>
      <c r="G193" s="2" t="s">
        <v>25</v>
      </c>
      <c r="H193" s="2" t="s">
        <v>46</v>
      </c>
      <c r="I193" s="2" t="s">
        <v>290</v>
      </c>
      <c r="J193" s="5">
        <v>68</v>
      </c>
    </row>
    <row r="194" spans="1:10" hidden="1" x14ac:dyDescent="0.3">
      <c r="A194" s="4" t="s">
        <v>410</v>
      </c>
      <c r="B194" s="2" t="s">
        <v>18</v>
      </c>
      <c r="C194" s="2" t="s">
        <v>55</v>
      </c>
      <c r="D194" s="2" t="s">
        <v>31</v>
      </c>
      <c r="E194" s="2">
        <v>20</v>
      </c>
      <c r="F194" s="2">
        <v>10</v>
      </c>
      <c r="G194" s="2" t="s">
        <v>43</v>
      </c>
      <c r="H194" s="2" t="s">
        <v>40</v>
      </c>
      <c r="I194" s="2" t="s">
        <v>411</v>
      </c>
      <c r="J194" s="5">
        <v>59</v>
      </c>
    </row>
    <row r="195" spans="1:10" x14ac:dyDescent="0.3">
      <c r="A195" s="19" t="s">
        <v>412</v>
      </c>
      <c r="B195" s="15" t="s">
        <v>73</v>
      </c>
      <c r="C195" s="15" t="s">
        <v>55</v>
      </c>
      <c r="D195" s="15" t="s">
        <v>13</v>
      </c>
      <c r="E195" s="15">
        <v>16</v>
      </c>
      <c r="F195" s="15">
        <v>12</v>
      </c>
      <c r="G195" s="15" t="s">
        <v>32</v>
      </c>
      <c r="H195" s="15" t="s">
        <v>46</v>
      </c>
      <c r="I195" s="15" t="s">
        <v>413</v>
      </c>
      <c r="J195" s="57">
        <v>85</v>
      </c>
    </row>
    <row r="196" spans="1:10" hidden="1" x14ac:dyDescent="0.3">
      <c r="A196" s="4" t="s">
        <v>414</v>
      </c>
      <c r="B196" s="2" t="s">
        <v>11</v>
      </c>
      <c r="C196" s="2" t="s">
        <v>55</v>
      </c>
      <c r="D196" s="2" t="s">
        <v>13</v>
      </c>
      <c r="E196" s="2">
        <v>16</v>
      </c>
      <c r="F196" s="2">
        <v>12</v>
      </c>
      <c r="G196" s="2" t="s">
        <v>32</v>
      </c>
      <c r="H196" s="2" t="s">
        <v>37</v>
      </c>
      <c r="I196" s="2" t="s">
        <v>415</v>
      </c>
      <c r="J196" s="5">
        <v>47</v>
      </c>
    </row>
    <row r="197" spans="1:10" hidden="1" x14ac:dyDescent="0.3">
      <c r="A197" s="4" t="s">
        <v>416</v>
      </c>
      <c r="B197" s="2" t="s">
        <v>18</v>
      </c>
      <c r="C197" s="2" t="s">
        <v>79</v>
      </c>
      <c r="D197" s="2" t="s">
        <v>31</v>
      </c>
      <c r="E197" s="2">
        <v>20</v>
      </c>
      <c r="F197" s="2">
        <v>9</v>
      </c>
      <c r="G197" s="2" t="s">
        <v>25</v>
      </c>
      <c r="H197" s="2" t="s">
        <v>37</v>
      </c>
      <c r="I197" s="2" t="s">
        <v>417</v>
      </c>
      <c r="J197" s="5">
        <v>53</v>
      </c>
    </row>
    <row r="198" spans="1:10" hidden="1" x14ac:dyDescent="0.3">
      <c r="A198" s="4" t="s">
        <v>418</v>
      </c>
      <c r="B198" s="2" t="s">
        <v>84</v>
      </c>
      <c r="C198" s="2" t="s">
        <v>24</v>
      </c>
      <c r="D198" s="2" t="s">
        <v>13</v>
      </c>
      <c r="E198" s="2">
        <v>15</v>
      </c>
      <c r="F198" s="2">
        <v>9</v>
      </c>
      <c r="G198" s="2" t="s">
        <v>25</v>
      </c>
      <c r="H198" s="2" t="s">
        <v>20</v>
      </c>
      <c r="I198" s="2" t="s">
        <v>419</v>
      </c>
      <c r="J198" s="5">
        <v>63</v>
      </c>
    </row>
    <row r="199" spans="1:10" hidden="1" x14ac:dyDescent="0.3">
      <c r="A199" s="4" t="s">
        <v>420</v>
      </c>
      <c r="B199" s="2" t="s">
        <v>73</v>
      </c>
      <c r="C199" s="2" t="s">
        <v>85</v>
      </c>
      <c r="D199" s="2" t="s">
        <v>13</v>
      </c>
      <c r="E199" s="2">
        <v>16</v>
      </c>
      <c r="F199" s="2">
        <v>11</v>
      </c>
      <c r="G199" s="2" t="s">
        <v>43</v>
      </c>
      <c r="H199" s="2" t="s">
        <v>46</v>
      </c>
      <c r="I199" s="2" t="s">
        <v>421</v>
      </c>
      <c r="J199" s="5">
        <v>55</v>
      </c>
    </row>
    <row r="200" spans="1:10" x14ac:dyDescent="0.3">
      <c r="A200" s="19" t="s">
        <v>422</v>
      </c>
      <c r="B200" s="15" t="s">
        <v>73</v>
      </c>
      <c r="C200" s="15" t="s">
        <v>96</v>
      </c>
      <c r="D200" s="15" t="s">
        <v>13</v>
      </c>
      <c r="E200" s="15">
        <v>14</v>
      </c>
      <c r="F200" s="15">
        <v>10</v>
      </c>
      <c r="G200" s="15" t="s">
        <v>25</v>
      </c>
      <c r="H200" s="15" t="s">
        <v>15</v>
      </c>
      <c r="I200" s="15" t="s">
        <v>423</v>
      </c>
      <c r="J200" s="57">
        <v>99</v>
      </c>
    </row>
    <row r="201" spans="1:10" x14ac:dyDescent="0.3">
      <c r="A201" s="19" t="s">
        <v>424</v>
      </c>
      <c r="B201" s="15" t="s">
        <v>29</v>
      </c>
      <c r="C201" s="15" t="s">
        <v>36</v>
      </c>
      <c r="D201" s="15" t="s">
        <v>31</v>
      </c>
      <c r="E201" s="15">
        <v>16</v>
      </c>
      <c r="F201" s="15">
        <v>12</v>
      </c>
      <c r="G201" s="15" t="s">
        <v>32</v>
      </c>
      <c r="H201" s="15" t="s">
        <v>37</v>
      </c>
      <c r="I201" s="15" t="s">
        <v>180</v>
      </c>
      <c r="J201" s="57">
        <v>89</v>
      </c>
    </row>
    <row r="202" spans="1:10" hidden="1" x14ac:dyDescent="0.3">
      <c r="A202" s="4" t="s">
        <v>425</v>
      </c>
      <c r="B202" s="2" t="s">
        <v>73</v>
      </c>
      <c r="C202" s="2" t="s">
        <v>30</v>
      </c>
      <c r="D202" s="2" t="s">
        <v>31</v>
      </c>
      <c r="E202" s="2">
        <v>15</v>
      </c>
      <c r="F202" s="2">
        <v>9</v>
      </c>
      <c r="G202" s="2" t="s">
        <v>14</v>
      </c>
      <c r="H202" s="2" t="s">
        <v>76</v>
      </c>
      <c r="I202" s="2" t="s">
        <v>149</v>
      </c>
      <c r="J202" s="5">
        <v>54</v>
      </c>
    </row>
    <row r="203" spans="1:10" x14ac:dyDescent="0.3">
      <c r="A203" s="19" t="s">
        <v>426</v>
      </c>
      <c r="B203" s="15" t="s">
        <v>54</v>
      </c>
      <c r="C203" s="15" t="s">
        <v>96</v>
      </c>
      <c r="D203" s="15" t="s">
        <v>31</v>
      </c>
      <c r="E203" s="15">
        <v>16</v>
      </c>
      <c r="F203" s="15">
        <v>12</v>
      </c>
      <c r="G203" s="15" t="s">
        <v>25</v>
      </c>
      <c r="H203" s="15" t="s">
        <v>20</v>
      </c>
      <c r="I203" s="15" t="s">
        <v>427</v>
      </c>
      <c r="J203" s="57">
        <v>82</v>
      </c>
    </row>
    <row r="204" spans="1:10" x14ac:dyDescent="0.3">
      <c r="A204" s="19" t="s">
        <v>428</v>
      </c>
      <c r="B204" s="15" t="s">
        <v>54</v>
      </c>
      <c r="C204" s="15" t="s">
        <v>55</v>
      </c>
      <c r="D204" s="15" t="s">
        <v>13</v>
      </c>
      <c r="E204" s="15">
        <v>16</v>
      </c>
      <c r="F204" s="15">
        <v>11</v>
      </c>
      <c r="G204" s="15" t="s">
        <v>25</v>
      </c>
      <c r="H204" s="15" t="s">
        <v>15</v>
      </c>
      <c r="I204" s="15" t="s">
        <v>429</v>
      </c>
      <c r="J204" s="57">
        <v>86</v>
      </c>
    </row>
    <row r="205" spans="1:10" x14ac:dyDescent="0.3">
      <c r="A205" s="19" t="s">
        <v>430</v>
      </c>
      <c r="B205" s="15" t="s">
        <v>54</v>
      </c>
      <c r="C205" s="15" t="s">
        <v>30</v>
      </c>
      <c r="D205" s="15" t="s">
        <v>13</v>
      </c>
      <c r="E205" s="15">
        <v>18</v>
      </c>
      <c r="F205" s="15">
        <v>11</v>
      </c>
      <c r="G205" s="15" t="s">
        <v>25</v>
      </c>
      <c r="H205" s="15" t="s">
        <v>26</v>
      </c>
      <c r="I205" s="15" t="s">
        <v>431</v>
      </c>
      <c r="J205" s="57">
        <v>91</v>
      </c>
    </row>
    <row r="206" spans="1:10" hidden="1" x14ac:dyDescent="0.3">
      <c r="A206" s="4" t="s">
        <v>432</v>
      </c>
      <c r="B206" s="2" t="s">
        <v>51</v>
      </c>
      <c r="C206" s="2" t="s">
        <v>24</v>
      </c>
      <c r="D206" s="2" t="s">
        <v>31</v>
      </c>
      <c r="E206" s="2">
        <v>17</v>
      </c>
      <c r="F206" s="2">
        <v>11</v>
      </c>
      <c r="G206" s="2" t="s">
        <v>43</v>
      </c>
      <c r="H206" s="2" t="s">
        <v>15</v>
      </c>
      <c r="I206" s="2" t="s">
        <v>400</v>
      </c>
      <c r="J206" s="5">
        <v>53</v>
      </c>
    </row>
    <row r="207" spans="1:10" hidden="1" x14ac:dyDescent="0.3">
      <c r="A207" s="4" t="s">
        <v>433</v>
      </c>
      <c r="B207" s="2" t="s">
        <v>84</v>
      </c>
      <c r="C207" s="2" t="s">
        <v>36</v>
      </c>
      <c r="D207" s="2" t="s">
        <v>13</v>
      </c>
      <c r="E207" s="2">
        <v>14</v>
      </c>
      <c r="F207" s="2">
        <v>9</v>
      </c>
      <c r="G207" s="2" t="s">
        <v>32</v>
      </c>
      <c r="H207" s="2" t="s">
        <v>15</v>
      </c>
      <c r="I207" s="2" t="s">
        <v>434</v>
      </c>
      <c r="J207" s="5">
        <v>47</v>
      </c>
    </row>
    <row r="208" spans="1:10" hidden="1" x14ac:dyDescent="0.3">
      <c r="A208" s="4" t="s">
        <v>435</v>
      </c>
      <c r="B208" s="2" t="s">
        <v>29</v>
      </c>
      <c r="C208" s="2" t="s">
        <v>30</v>
      </c>
      <c r="D208" s="2" t="s">
        <v>31</v>
      </c>
      <c r="E208" s="2">
        <v>20</v>
      </c>
      <c r="F208" s="2">
        <v>12</v>
      </c>
      <c r="G208" s="2" t="s">
        <v>43</v>
      </c>
      <c r="H208" s="2" t="s">
        <v>26</v>
      </c>
      <c r="I208" s="2" t="s">
        <v>436</v>
      </c>
      <c r="J208" s="5">
        <v>36</v>
      </c>
    </row>
    <row r="209" spans="1:10" hidden="1" x14ac:dyDescent="0.3">
      <c r="A209" s="4" t="s">
        <v>437</v>
      </c>
      <c r="B209" s="2" t="s">
        <v>73</v>
      </c>
      <c r="C209" s="2" t="s">
        <v>30</v>
      </c>
      <c r="D209" s="2" t="s">
        <v>13</v>
      </c>
      <c r="E209" s="2">
        <v>14</v>
      </c>
      <c r="F209" s="2">
        <v>11</v>
      </c>
      <c r="G209" s="2" t="s">
        <v>32</v>
      </c>
      <c r="H209" s="2" t="s">
        <v>76</v>
      </c>
      <c r="I209" s="2" t="s">
        <v>438</v>
      </c>
      <c r="J209" s="5">
        <v>62</v>
      </c>
    </row>
    <row r="210" spans="1:10" x14ac:dyDescent="0.3">
      <c r="A210" s="19" t="s">
        <v>439</v>
      </c>
      <c r="B210" s="15" t="s">
        <v>11</v>
      </c>
      <c r="C210" s="15" t="s">
        <v>12</v>
      </c>
      <c r="D210" s="15" t="s">
        <v>13</v>
      </c>
      <c r="E210" s="15">
        <v>15</v>
      </c>
      <c r="F210" s="15">
        <v>9</v>
      </c>
      <c r="G210" s="15" t="s">
        <v>25</v>
      </c>
      <c r="H210" s="15" t="s">
        <v>15</v>
      </c>
      <c r="I210" s="15" t="s">
        <v>440</v>
      </c>
      <c r="J210" s="57">
        <v>90</v>
      </c>
    </row>
    <row r="211" spans="1:10" x14ac:dyDescent="0.3">
      <c r="A211" s="19" t="s">
        <v>441</v>
      </c>
      <c r="B211" s="15" t="s">
        <v>35</v>
      </c>
      <c r="C211" s="15" t="s">
        <v>12</v>
      </c>
      <c r="D211" s="15" t="s">
        <v>13</v>
      </c>
      <c r="E211" s="15">
        <v>17</v>
      </c>
      <c r="F211" s="15">
        <v>10</v>
      </c>
      <c r="G211" s="15" t="s">
        <v>32</v>
      </c>
      <c r="H211" s="15" t="s">
        <v>15</v>
      </c>
      <c r="I211" s="15" t="s">
        <v>442</v>
      </c>
      <c r="J211" s="57">
        <v>91</v>
      </c>
    </row>
    <row r="212" spans="1:10" hidden="1" x14ac:dyDescent="0.3">
      <c r="A212" s="4" t="s">
        <v>443</v>
      </c>
      <c r="B212" s="2" t="s">
        <v>18</v>
      </c>
      <c r="C212" s="2" t="s">
        <v>96</v>
      </c>
      <c r="D212" s="2" t="s">
        <v>13</v>
      </c>
      <c r="E212" s="2">
        <v>17</v>
      </c>
      <c r="F212" s="2">
        <v>9</v>
      </c>
      <c r="G212" s="2" t="s">
        <v>43</v>
      </c>
      <c r="H212" s="2" t="s">
        <v>37</v>
      </c>
      <c r="I212" s="2" t="s">
        <v>444</v>
      </c>
      <c r="J212" s="5">
        <v>60</v>
      </c>
    </row>
    <row r="213" spans="1:10" x14ac:dyDescent="0.3">
      <c r="A213" s="19" t="s">
        <v>445</v>
      </c>
      <c r="B213" s="15" t="s">
        <v>54</v>
      </c>
      <c r="C213" s="15" t="s">
        <v>96</v>
      </c>
      <c r="D213" s="15" t="s">
        <v>13</v>
      </c>
      <c r="E213" s="15">
        <v>20</v>
      </c>
      <c r="F213" s="15">
        <v>10</v>
      </c>
      <c r="G213" s="15" t="s">
        <v>32</v>
      </c>
      <c r="H213" s="15" t="s">
        <v>46</v>
      </c>
      <c r="I213" s="15" t="s">
        <v>182</v>
      </c>
      <c r="J213" s="57">
        <v>85</v>
      </c>
    </row>
    <row r="214" spans="1:10" hidden="1" x14ac:dyDescent="0.3">
      <c r="A214" s="4" t="s">
        <v>446</v>
      </c>
      <c r="B214" s="2" t="s">
        <v>73</v>
      </c>
      <c r="C214" s="2" t="s">
        <v>24</v>
      </c>
      <c r="D214" s="2" t="s">
        <v>13</v>
      </c>
      <c r="E214" s="2">
        <v>17</v>
      </c>
      <c r="F214" s="2">
        <v>10</v>
      </c>
      <c r="G214" s="2" t="s">
        <v>14</v>
      </c>
      <c r="H214" s="2" t="s">
        <v>20</v>
      </c>
      <c r="I214" s="2" t="s">
        <v>447</v>
      </c>
      <c r="J214" s="5">
        <v>58</v>
      </c>
    </row>
    <row r="215" spans="1:10" hidden="1" x14ac:dyDescent="0.3">
      <c r="A215" s="4" t="s">
        <v>448</v>
      </c>
      <c r="B215" s="2" t="s">
        <v>73</v>
      </c>
      <c r="C215" s="2" t="s">
        <v>36</v>
      </c>
      <c r="D215" s="2" t="s">
        <v>31</v>
      </c>
      <c r="E215" s="2">
        <v>19</v>
      </c>
      <c r="F215" s="2">
        <v>12</v>
      </c>
      <c r="G215" s="2" t="s">
        <v>14</v>
      </c>
      <c r="H215" s="2" t="s">
        <v>37</v>
      </c>
      <c r="I215" s="2" t="s">
        <v>449</v>
      </c>
      <c r="J215" s="5">
        <v>65</v>
      </c>
    </row>
    <row r="216" spans="1:10" hidden="1" x14ac:dyDescent="0.3">
      <c r="A216" s="4" t="s">
        <v>450</v>
      </c>
      <c r="B216" s="2" t="s">
        <v>54</v>
      </c>
      <c r="C216" s="2" t="s">
        <v>55</v>
      </c>
      <c r="D216" s="2" t="s">
        <v>31</v>
      </c>
      <c r="E216" s="2">
        <v>19</v>
      </c>
      <c r="F216" s="2">
        <v>12</v>
      </c>
      <c r="G216" s="2" t="s">
        <v>43</v>
      </c>
      <c r="H216" s="2" t="s">
        <v>20</v>
      </c>
      <c r="I216" s="2" t="s">
        <v>451</v>
      </c>
      <c r="J216" s="5">
        <v>58</v>
      </c>
    </row>
    <row r="217" spans="1:10" hidden="1" x14ac:dyDescent="0.3">
      <c r="A217" s="4" t="s">
        <v>452</v>
      </c>
      <c r="B217" s="2" t="s">
        <v>51</v>
      </c>
      <c r="C217" s="2" t="s">
        <v>12</v>
      </c>
      <c r="D217" s="2" t="s">
        <v>13</v>
      </c>
      <c r="E217" s="2">
        <v>18</v>
      </c>
      <c r="F217" s="2">
        <v>9</v>
      </c>
      <c r="G217" s="2" t="s">
        <v>32</v>
      </c>
      <c r="H217" s="2" t="s">
        <v>76</v>
      </c>
      <c r="I217" s="2" t="s">
        <v>453</v>
      </c>
      <c r="J217" s="5">
        <v>35</v>
      </c>
    </row>
    <row r="218" spans="1:10" hidden="1" x14ac:dyDescent="0.3">
      <c r="A218" s="4" t="s">
        <v>454</v>
      </c>
      <c r="B218" s="2" t="s">
        <v>29</v>
      </c>
      <c r="C218" s="2" t="s">
        <v>12</v>
      </c>
      <c r="D218" s="2" t="s">
        <v>31</v>
      </c>
      <c r="E218" s="2">
        <v>16</v>
      </c>
      <c r="F218" s="2">
        <v>11</v>
      </c>
      <c r="G218" s="2" t="s">
        <v>43</v>
      </c>
      <c r="H218" s="2" t="s">
        <v>61</v>
      </c>
      <c r="I218" s="2" t="s">
        <v>385</v>
      </c>
      <c r="J218" s="5">
        <v>40</v>
      </c>
    </row>
    <row r="219" spans="1:10" hidden="1" x14ac:dyDescent="0.3">
      <c r="A219" s="4" t="s">
        <v>455</v>
      </c>
      <c r="B219" s="2" t="s">
        <v>29</v>
      </c>
      <c r="C219" s="2" t="s">
        <v>30</v>
      </c>
      <c r="D219" s="2" t="s">
        <v>13</v>
      </c>
      <c r="E219" s="2">
        <v>16</v>
      </c>
      <c r="F219" s="2">
        <v>9</v>
      </c>
      <c r="G219" s="2" t="s">
        <v>14</v>
      </c>
      <c r="H219" s="2" t="s">
        <v>61</v>
      </c>
      <c r="I219" s="2" t="s">
        <v>447</v>
      </c>
      <c r="J219" s="5">
        <v>60</v>
      </c>
    </row>
    <row r="220" spans="1:10" x14ac:dyDescent="0.3">
      <c r="A220" s="19" t="s">
        <v>456</v>
      </c>
      <c r="B220" s="15" t="s">
        <v>11</v>
      </c>
      <c r="C220" s="15" t="s">
        <v>55</v>
      </c>
      <c r="D220" s="15" t="s">
        <v>13</v>
      </c>
      <c r="E220" s="15">
        <v>15</v>
      </c>
      <c r="F220" s="15">
        <v>9</v>
      </c>
      <c r="G220" s="15" t="s">
        <v>32</v>
      </c>
      <c r="H220" s="15" t="s">
        <v>61</v>
      </c>
      <c r="I220" s="15" t="s">
        <v>457</v>
      </c>
      <c r="J220" s="57">
        <v>97</v>
      </c>
    </row>
    <row r="221" spans="1:10" x14ac:dyDescent="0.3">
      <c r="A221" s="19" t="s">
        <v>458</v>
      </c>
      <c r="B221" s="15" t="s">
        <v>11</v>
      </c>
      <c r="C221" s="15" t="s">
        <v>55</v>
      </c>
      <c r="D221" s="15" t="s">
        <v>13</v>
      </c>
      <c r="E221" s="15">
        <v>19</v>
      </c>
      <c r="F221" s="15">
        <v>11</v>
      </c>
      <c r="G221" s="15" t="s">
        <v>14</v>
      </c>
      <c r="H221" s="15" t="s">
        <v>46</v>
      </c>
      <c r="I221" s="15" t="s">
        <v>459</v>
      </c>
      <c r="J221" s="57">
        <v>81</v>
      </c>
    </row>
    <row r="222" spans="1:10" hidden="1" x14ac:dyDescent="0.3">
      <c r="A222" s="4" t="s">
        <v>460</v>
      </c>
      <c r="B222" s="2" t="s">
        <v>51</v>
      </c>
      <c r="C222" s="2" t="s">
        <v>96</v>
      </c>
      <c r="D222" s="2" t="s">
        <v>31</v>
      </c>
      <c r="E222" s="2">
        <v>16</v>
      </c>
      <c r="F222" s="2">
        <v>12</v>
      </c>
      <c r="G222" s="2" t="s">
        <v>43</v>
      </c>
      <c r="H222" s="2" t="s">
        <v>15</v>
      </c>
      <c r="I222" s="2" t="s">
        <v>461</v>
      </c>
      <c r="J222" s="5">
        <v>65</v>
      </c>
    </row>
    <row r="223" spans="1:10" hidden="1" x14ac:dyDescent="0.3">
      <c r="A223" s="4" t="s">
        <v>462</v>
      </c>
      <c r="B223" s="2" t="s">
        <v>11</v>
      </c>
      <c r="C223" s="2" t="s">
        <v>24</v>
      </c>
      <c r="D223" s="2" t="s">
        <v>31</v>
      </c>
      <c r="E223" s="2">
        <v>19</v>
      </c>
      <c r="F223" s="2">
        <v>12</v>
      </c>
      <c r="G223" s="2" t="s">
        <v>43</v>
      </c>
      <c r="H223" s="2" t="s">
        <v>37</v>
      </c>
      <c r="I223" s="2" t="s">
        <v>463</v>
      </c>
      <c r="J223" s="5">
        <v>45</v>
      </c>
    </row>
    <row r="224" spans="1:10" hidden="1" x14ac:dyDescent="0.3">
      <c r="A224" s="4" t="s">
        <v>464</v>
      </c>
      <c r="B224" s="2" t="s">
        <v>11</v>
      </c>
      <c r="C224" s="2" t="s">
        <v>36</v>
      </c>
      <c r="D224" s="2" t="s">
        <v>13</v>
      </c>
      <c r="E224" s="2">
        <v>16</v>
      </c>
      <c r="F224" s="2">
        <v>11</v>
      </c>
      <c r="G224" s="2" t="s">
        <v>25</v>
      </c>
      <c r="H224" s="2" t="s">
        <v>40</v>
      </c>
      <c r="I224" s="2" t="s">
        <v>465</v>
      </c>
      <c r="J224" s="5">
        <v>79</v>
      </c>
    </row>
    <row r="225" spans="1:10" hidden="1" x14ac:dyDescent="0.3">
      <c r="A225" s="4" t="s">
        <v>466</v>
      </c>
      <c r="B225" s="2" t="s">
        <v>11</v>
      </c>
      <c r="C225" s="2" t="s">
        <v>55</v>
      </c>
      <c r="D225" s="2" t="s">
        <v>31</v>
      </c>
      <c r="E225" s="2">
        <v>20</v>
      </c>
      <c r="F225" s="2">
        <v>11</v>
      </c>
      <c r="G225" s="2" t="s">
        <v>32</v>
      </c>
      <c r="H225" s="2" t="s">
        <v>40</v>
      </c>
      <c r="I225" s="2" t="s">
        <v>467</v>
      </c>
      <c r="J225" s="5">
        <v>46</v>
      </c>
    </row>
    <row r="226" spans="1:10" hidden="1" x14ac:dyDescent="0.3">
      <c r="A226" s="4" t="s">
        <v>468</v>
      </c>
      <c r="B226" s="2" t="s">
        <v>73</v>
      </c>
      <c r="C226" s="2" t="s">
        <v>12</v>
      </c>
      <c r="D226" s="2" t="s">
        <v>13</v>
      </c>
      <c r="E226" s="2">
        <v>17</v>
      </c>
      <c r="F226" s="2">
        <v>10</v>
      </c>
      <c r="G226" s="2" t="s">
        <v>43</v>
      </c>
      <c r="H226" s="2" t="s">
        <v>15</v>
      </c>
      <c r="I226" s="2" t="s">
        <v>469</v>
      </c>
      <c r="J226" s="5">
        <v>75</v>
      </c>
    </row>
    <row r="227" spans="1:10" hidden="1" x14ac:dyDescent="0.3">
      <c r="A227" s="4" t="s">
        <v>470</v>
      </c>
      <c r="B227" s="2" t="s">
        <v>35</v>
      </c>
      <c r="C227" s="2" t="s">
        <v>96</v>
      </c>
      <c r="D227" s="2" t="s">
        <v>31</v>
      </c>
      <c r="E227" s="2">
        <v>16</v>
      </c>
      <c r="F227" s="2">
        <v>11</v>
      </c>
      <c r="G227" s="2" t="s">
        <v>32</v>
      </c>
      <c r="H227" s="2" t="s">
        <v>61</v>
      </c>
      <c r="I227" s="2" t="s">
        <v>471</v>
      </c>
      <c r="J227" s="5">
        <v>65</v>
      </c>
    </row>
    <row r="228" spans="1:10" hidden="1" x14ac:dyDescent="0.3">
      <c r="A228" s="4" t="s">
        <v>472</v>
      </c>
      <c r="B228" s="2" t="s">
        <v>84</v>
      </c>
      <c r="C228" s="2" t="s">
        <v>79</v>
      </c>
      <c r="D228" s="2" t="s">
        <v>31</v>
      </c>
      <c r="E228" s="2">
        <v>15</v>
      </c>
      <c r="F228" s="2">
        <v>11</v>
      </c>
      <c r="G228" s="2" t="s">
        <v>14</v>
      </c>
      <c r="H228" s="2" t="s">
        <v>40</v>
      </c>
      <c r="I228" s="2" t="s">
        <v>317</v>
      </c>
      <c r="J228" s="5">
        <v>72</v>
      </c>
    </row>
    <row r="229" spans="1:10" hidden="1" x14ac:dyDescent="0.3">
      <c r="A229" s="4" t="s">
        <v>473</v>
      </c>
      <c r="B229" s="2" t="s">
        <v>18</v>
      </c>
      <c r="C229" s="2" t="s">
        <v>19</v>
      </c>
      <c r="D229" s="2" t="s">
        <v>31</v>
      </c>
      <c r="E229" s="2">
        <v>16</v>
      </c>
      <c r="F229" s="2">
        <v>11</v>
      </c>
      <c r="G229" s="2" t="s">
        <v>14</v>
      </c>
      <c r="H229" s="2" t="s">
        <v>61</v>
      </c>
      <c r="I229" s="2" t="s">
        <v>474</v>
      </c>
      <c r="J229" s="5">
        <v>75</v>
      </c>
    </row>
    <row r="230" spans="1:10" hidden="1" x14ac:dyDescent="0.3">
      <c r="A230" s="4" t="s">
        <v>475</v>
      </c>
      <c r="B230" s="2" t="s">
        <v>35</v>
      </c>
      <c r="C230" s="2" t="s">
        <v>79</v>
      </c>
      <c r="D230" s="2" t="s">
        <v>13</v>
      </c>
      <c r="E230" s="2">
        <v>17</v>
      </c>
      <c r="F230" s="2">
        <v>9</v>
      </c>
      <c r="G230" s="2" t="s">
        <v>32</v>
      </c>
      <c r="H230" s="2" t="s">
        <v>15</v>
      </c>
      <c r="I230" s="2" t="s">
        <v>248</v>
      </c>
      <c r="J230" s="5">
        <v>50</v>
      </c>
    </row>
    <row r="231" spans="1:10" x14ac:dyDescent="0.3">
      <c r="A231" s="19" t="s">
        <v>476</v>
      </c>
      <c r="B231" s="15" t="s">
        <v>29</v>
      </c>
      <c r="C231" s="15" t="s">
        <v>55</v>
      </c>
      <c r="D231" s="15" t="s">
        <v>13</v>
      </c>
      <c r="E231" s="15">
        <v>19</v>
      </c>
      <c r="F231" s="15">
        <v>10</v>
      </c>
      <c r="G231" s="15" t="s">
        <v>43</v>
      </c>
      <c r="H231" s="15" t="s">
        <v>26</v>
      </c>
      <c r="I231" s="15" t="s">
        <v>477</v>
      </c>
      <c r="J231" s="57">
        <v>88</v>
      </c>
    </row>
    <row r="232" spans="1:10" hidden="1" x14ac:dyDescent="0.3">
      <c r="A232" s="4" t="s">
        <v>478</v>
      </c>
      <c r="B232" s="2" t="s">
        <v>11</v>
      </c>
      <c r="C232" s="2" t="s">
        <v>36</v>
      </c>
      <c r="D232" s="2" t="s">
        <v>13</v>
      </c>
      <c r="E232" s="2">
        <v>17</v>
      </c>
      <c r="F232" s="2">
        <v>12</v>
      </c>
      <c r="G232" s="2" t="s">
        <v>14</v>
      </c>
      <c r="H232" s="2" t="s">
        <v>37</v>
      </c>
      <c r="I232" s="2" t="s">
        <v>479</v>
      </c>
      <c r="J232" s="5">
        <v>63</v>
      </c>
    </row>
    <row r="233" spans="1:10" hidden="1" x14ac:dyDescent="0.3">
      <c r="A233" s="4" t="s">
        <v>480</v>
      </c>
      <c r="B233" s="2" t="s">
        <v>35</v>
      </c>
      <c r="C233" s="2" t="s">
        <v>12</v>
      </c>
      <c r="D233" s="2" t="s">
        <v>31</v>
      </c>
      <c r="E233" s="2">
        <v>18</v>
      </c>
      <c r="F233" s="2">
        <v>10</v>
      </c>
      <c r="G233" s="2" t="s">
        <v>14</v>
      </c>
      <c r="H233" s="2" t="s">
        <v>37</v>
      </c>
      <c r="I233" s="2" t="s">
        <v>481</v>
      </c>
      <c r="J233" s="5">
        <v>36</v>
      </c>
    </row>
    <row r="234" spans="1:10" x14ac:dyDescent="0.3">
      <c r="A234" s="19" t="s">
        <v>482</v>
      </c>
      <c r="B234" s="15" t="s">
        <v>35</v>
      </c>
      <c r="C234" s="15" t="s">
        <v>24</v>
      </c>
      <c r="D234" s="15" t="s">
        <v>13</v>
      </c>
      <c r="E234" s="15">
        <v>18</v>
      </c>
      <c r="F234" s="15">
        <v>11</v>
      </c>
      <c r="G234" s="15" t="s">
        <v>14</v>
      </c>
      <c r="H234" s="15" t="s">
        <v>61</v>
      </c>
      <c r="I234" s="15" t="s">
        <v>483</v>
      </c>
      <c r="J234" s="57">
        <v>86</v>
      </c>
    </row>
    <row r="235" spans="1:10" hidden="1" x14ac:dyDescent="0.3">
      <c r="A235" s="4" t="s">
        <v>484</v>
      </c>
      <c r="B235" s="2" t="s">
        <v>29</v>
      </c>
      <c r="C235" s="2" t="s">
        <v>79</v>
      </c>
      <c r="D235" s="2" t="s">
        <v>31</v>
      </c>
      <c r="E235" s="2">
        <v>14</v>
      </c>
      <c r="F235" s="2">
        <v>11</v>
      </c>
      <c r="G235" s="2" t="s">
        <v>32</v>
      </c>
      <c r="H235" s="2" t="s">
        <v>40</v>
      </c>
      <c r="I235" s="2" t="s">
        <v>184</v>
      </c>
      <c r="J235" s="5">
        <v>42</v>
      </c>
    </row>
    <row r="236" spans="1:10" hidden="1" x14ac:dyDescent="0.3">
      <c r="A236" s="4" t="s">
        <v>485</v>
      </c>
      <c r="B236" s="2" t="s">
        <v>18</v>
      </c>
      <c r="C236" s="2" t="s">
        <v>12</v>
      </c>
      <c r="D236" s="2" t="s">
        <v>31</v>
      </c>
      <c r="E236" s="2">
        <v>16</v>
      </c>
      <c r="F236" s="2">
        <v>12</v>
      </c>
      <c r="G236" s="2" t="s">
        <v>14</v>
      </c>
      <c r="H236" s="2" t="s">
        <v>76</v>
      </c>
      <c r="I236" s="2" t="s">
        <v>486</v>
      </c>
      <c r="J236" s="5">
        <v>70</v>
      </c>
    </row>
    <row r="237" spans="1:10" x14ac:dyDescent="0.3">
      <c r="A237" s="19" t="s">
        <v>487</v>
      </c>
      <c r="B237" s="15" t="s">
        <v>18</v>
      </c>
      <c r="C237" s="15" t="s">
        <v>79</v>
      </c>
      <c r="D237" s="15" t="s">
        <v>13</v>
      </c>
      <c r="E237" s="15">
        <v>16</v>
      </c>
      <c r="F237" s="15">
        <v>11</v>
      </c>
      <c r="G237" s="15" t="s">
        <v>43</v>
      </c>
      <c r="H237" s="15" t="s">
        <v>61</v>
      </c>
      <c r="I237" s="15" t="s">
        <v>488</v>
      </c>
      <c r="J237" s="57">
        <v>86</v>
      </c>
    </row>
    <row r="238" spans="1:10" x14ac:dyDescent="0.3">
      <c r="A238" s="19" t="s">
        <v>489</v>
      </c>
      <c r="B238" s="15" t="s">
        <v>68</v>
      </c>
      <c r="C238" s="15" t="s">
        <v>58</v>
      </c>
      <c r="D238" s="15" t="s">
        <v>31</v>
      </c>
      <c r="E238" s="15">
        <v>20</v>
      </c>
      <c r="F238" s="15">
        <v>10</v>
      </c>
      <c r="G238" s="15" t="s">
        <v>32</v>
      </c>
      <c r="H238" s="15" t="s">
        <v>20</v>
      </c>
      <c r="I238" s="15" t="s">
        <v>370</v>
      </c>
      <c r="J238" s="57">
        <v>93</v>
      </c>
    </row>
    <row r="239" spans="1:10" hidden="1" x14ac:dyDescent="0.3">
      <c r="A239" s="4" t="s">
        <v>490</v>
      </c>
      <c r="B239" s="2" t="s">
        <v>73</v>
      </c>
      <c r="C239" s="2" t="s">
        <v>96</v>
      </c>
      <c r="D239" s="2" t="s">
        <v>13</v>
      </c>
      <c r="E239" s="2">
        <v>17</v>
      </c>
      <c r="F239" s="2">
        <v>10</v>
      </c>
      <c r="G239" s="2" t="s">
        <v>32</v>
      </c>
      <c r="H239" s="2" t="s">
        <v>61</v>
      </c>
      <c r="I239" s="2" t="s">
        <v>491</v>
      </c>
      <c r="J239" s="5">
        <v>60</v>
      </c>
    </row>
    <row r="240" spans="1:10" hidden="1" x14ac:dyDescent="0.3">
      <c r="A240" s="4" t="s">
        <v>492</v>
      </c>
      <c r="B240" s="2" t="s">
        <v>18</v>
      </c>
      <c r="C240" s="2" t="s">
        <v>85</v>
      </c>
      <c r="D240" s="2" t="s">
        <v>31</v>
      </c>
      <c r="E240" s="2">
        <v>19</v>
      </c>
      <c r="F240" s="2">
        <v>11</v>
      </c>
      <c r="G240" s="2" t="s">
        <v>43</v>
      </c>
      <c r="H240" s="2" t="s">
        <v>15</v>
      </c>
      <c r="I240" s="2" t="s">
        <v>394</v>
      </c>
      <c r="J240" s="5">
        <v>50</v>
      </c>
    </row>
    <row r="241" spans="1:10" hidden="1" x14ac:dyDescent="0.3">
      <c r="A241" s="4" t="s">
        <v>493</v>
      </c>
      <c r="B241" s="2" t="s">
        <v>51</v>
      </c>
      <c r="C241" s="2" t="s">
        <v>96</v>
      </c>
      <c r="D241" s="2" t="s">
        <v>31</v>
      </c>
      <c r="E241" s="2">
        <v>14</v>
      </c>
      <c r="F241" s="2">
        <v>12</v>
      </c>
      <c r="G241" s="2" t="s">
        <v>14</v>
      </c>
      <c r="H241" s="2" t="s">
        <v>26</v>
      </c>
      <c r="I241" s="2" t="s">
        <v>494</v>
      </c>
      <c r="J241" s="5">
        <v>47</v>
      </c>
    </row>
    <row r="242" spans="1:10" hidden="1" x14ac:dyDescent="0.3">
      <c r="A242" s="4" t="s">
        <v>495</v>
      </c>
      <c r="B242" s="2" t="s">
        <v>35</v>
      </c>
      <c r="C242" s="2" t="s">
        <v>12</v>
      </c>
      <c r="D242" s="2" t="s">
        <v>13</v>
      </c>
      <c r="E242" s="2">
        <v>15</v>
      </c>
      <c r="F242" s="2">
        <v>12</v>
      </c>
      <c r="G242" s="2" t="s">
        <v>43</v>
      </c>
      <c r="H242" s="2" t="s">
        <v>20</v>
      </c>
      <c r="I242" s="2" t="s">
        <v>496</v>
      </c>
      <c r="J242" s="5">
        <v>49</v>
      </c>
    </row>
    <row r="243" spans="1:10" hidden="1" x14ac:dyDescent="0.3">
      <c r="A243" s="4" t="s">
        <v>497</v>
      </c>
      <c r="B243" s="2" t="s">
        <v>51</v>
      </c>
      <c r="C243" s="2" t="s">
        <v>96</v>
      </c>
      <c r="D243" s="2" t="s">
        <v>13</v>
      </c>
      <c r="E243" s="2">
        <v>16</v>
      </c>
      <c r="F243" s="2">
        <v>9</v>
      </c>
      <c r="G243" s="2" t="s">
        <v>25</v>
      </c>
      <c r="H243" s="2" t="s">
        <v>26</v>
      </c>
      <c r="I243" s="2" t="s">
        <v>498</v>
      </c>
      <c r="J243" s="5">
        <v>42</v>
      </c>
    </row>
    <row r="244" spans="1:10" hidden="1" x14ac:dyDescent="0.3">
      <c r="A244" s="4" t="s">
        <v>499</v>
      </c>
      <c r="B244" s="2" t="s">
        <v>54</v>
      </c>
      <c r="C244" s="2" t="s">
        <v>19</v>
      </c>
      <c r="D244" s="2" t="s">
        <v>31</v>
      </c>
      <c r="E244" s="2">
        <v>20</v>
      </c>
      <c r="F244" s="2">
        <v>9</v>
      </c>
      <c r="G244" s="2" t="s">
        <v>32</v>
      </c>
      <c r="H244" s="2" t="s">
        <v>46</v>
      </c>
      <c r="I244" s="2" t="s">
        <v>500</v>
      </c>
      <c r="J244" s="5">
        <v>42</v>
      </c>
    </row>
    <row r="245" spans="1:10" hidden="1" x14ac:dyDescent="0.3">
      <c r="A245" s="4" t="s">
        <v>501</v>
      </c>
      <c r="B245" s="2" t="s">
        <v>84</v>
      </c>
      <c r="C245" s="2" t="s">
        <v>19</v>
      </c>
      <c r="D245" s="2" t="s">
        <v>13</v>
      </c>
      <c r="E245" s="2">
        <v>18</v>
      </c>
      <c r="F245" s="2">
        <v>10</v>
      </c>
      <c r="G245" s="2" t="s">
        <v>14</v>
      </c>
      <c r="H245" s="2" t="s">
        <v>61</v>
      </c>
      <c r="I245" s="2" t="s">
        <v>502</v>
      </c>
      <c r="J245" s="5">
        <v>76</v>
      </c>
    </row>
    <row r="246" spans="1:10" hidden="1" x14ac:dyDescent="0.3">
      <c r="A246" s="4" t="s">
        <v>503</v>
      </c>
      <c r="B246" s="2" t="s">
        <v>84</v>
      </c>
      <c r="C246" s="2" t="s">
        <v>19</v>
      </c>
      <c r="D246" s="2" t="s">
        <v>31</v>
      </c>
      <c r="E246" s="2">
        <v>15</v>
      </c>
      <c r="F246" s="2">
        <v>10</v>
      </c>
      <c r="G246" s="2" t="s">
        <v>43</v>
      </c>
      <c r="H246" s="2" t="s">
        <v>61</v>
      </c>
      <c r="I246" s="2" t="s">
        <v>504</v>
      </c>
      <c r="J246" s="5">
        <v>44</v>
      </c>
    </row>
    <row r="247" spans="1:10" hidden="1" x14ac:dyDescent="0.3">
      <c r="A247" s="4" t="s">
        <v>505</v>
      </c>
      <c r="B247" s="2" t="s">
        <v>11</v>
      </c>
      <c r="C247" s="2" t="s">
        <v>12</v>
      </c>
      <c r="D247" s="2" t="s">
        <v>31</v>
      </c>
      <c r="E247" s="2">
        <v>19</v>
      </c>
      <c r="F247" s="2">
        <v>10</v>
      </c>
      <c r="G247" s="2" t="s">
        <v>14</v>
      </c>
      <c r="H247" s="2" t="s">
        <v>40</v>
      </c>
      <c r="I247" s="2" t="s">
        <v>506</v>
      </c>
      <c r="J247" s="5">
        <v>77</v>
      </c>
    </row>
    <row r="248" spans="1:10" hidden="1" x14ac:dyDescent="0.3">
      <c r="A248" s="4" t="s">
        <v>507</v>
      </c>
      <c r="B248" s="2" t="s">
        <v>54</v>
      </c>
      <c r="C248" s="2" t="s">
        <v>12</v>
      </c>
      <c r="D248" s="2" t="s">
        <v>31</v>
      </c>
      <c r="E248" s="2">
        <v>16</v>
      </c>
      <c r="F248" s="2">
        <v>12</v>
      </c>
      <c r="G248" s="2" t="s">
        <v>43</v>
      </c>
      <c r="H248" s="2" t="s">
        <v>61</v>
      </c>
      <c r="I248" s="2" t="s">
        <v>483</v>
      </c>
      <c r="J248" s="5">
        <v>45</v>
      </c>
    </row>
    <row r="249" spans="1:10" hidden="1" x14ac:dyDescent="0.3">
      <c r="A249" s="4" t="s">
        <v>508</v>
      </c>
      <c r="B249" s="2" t="s">
        <v>73</v>
      </c>
      <c r="C249" s="2" t="s">
        <v>55</v>
      </c>
      <c r="D249" s="2" t="s">
        <v>13</v>
      </c>
      <c r="E249" s="2">
        <v>15</v>
      </c>
      <c r="F249" s="2">
        <v>11</v>
      </c>
      <c r="G249" s="2" t="s">
        <v>43</v>
      </c>
      <c r="H249" s="2" t="s">
        <v>46</v>
      </c>
      <c r="I249" s="2" t="s">
        <v>509</v>
      </c>
      <c r="J249" s="5">
        <v>54</v>
      </c>
    </row>
    <row r="250" spans="1:10" hidden="1" x14ac:dyDescent="0.3">
      <c r="A250" s="4" t="s">
        <v>510</v>
      </c>
      <c r="B250" s="2" t="s">
        <v>54</v>
      </c>
      <c r="C250" s="2" t="s">
        <v>79</v>
      </c>
      <c r="D250" s="2" t="s">
        <v>31</v>
      </c>
      <c r="E250" s="2">
        <v>15</v>
      </c>
      <c r="F250" s="2">
        <v>9</v>
      </c>
      <c r="G250" s="2" t="s">
        <v>14</v>
      </c>
      <c r="H250" s="2" t="s">
        <v>40</v>
      </c>
      <c r="I250" s="2" t="s">
        <v>479</v>
      </c>
      <c r="J250" s="5">
        <v>66</v>
      </c>
    </row>
    <row r="251" spans="1:10" x14ac:dyDescent="0.3">
      <c r="A251" s="19" t="s">
        <v>511</v>
      </c>
      <c r="B251" s="15" t="s">
        <v>35</v>
      </c>
      <c r="C251" s="15" t="s">
        <v>19</v>
      </c>
      <c r="D251" s="15" t="s">
        <v>31</v>
      </c>
      <c r="E251" s="15">
        <v>15</v>
      </c>
      <c r="F251" s="15">
        <v>9</v>
      </c>
      <c r="G251" s="15" t="s">
        <v>25</v>
      </c>
      <c r="H251" s="15" t="s">
        <v>15</v>
      </c>
      <c r="I251" s="15" t="s">
        <v>512</v>
      </c>
      <c r="J251" s="57">
        <v>95</v>
      </c>
    </row>
    <row r="252" spans="1:10" hidden="1" x14ac:dyDescent="0.3">
      <c r="A252" s="4" t="s">
        <v>513</v>
      </c>
      <c r="B252" s="2" t="s">
        <v>11</v>
      </c>
      <c r="C252" s="2" t="s">
        <v>19</v>
      </c>
      <c r="D252" s="2" t="s">
        <v>31</v>
      </c>
      <c r="E252" s="2">
        <v>14</v>
      </c>
      <c r="F252" s="2">
        <v>12</v>
      </c>
      <c r="G252" s="2" t="s">
        <v>32</v>
      </c>
      <c r="H252" s="2" t="s">
        <v>15</v>
      </c>
      <c r="I252" s="2" t="s">
        <v>381</v>
      </c>
      <c r="J252" s="5">
        <v>65</v>
      </c>
    </row>
    <row r="253" spans="1:10" hidden="1" x14ac:dyDescent="0.3">
      <c r="A253" s="4" t="s">
        <v>514</v>
      </c>
      <c r="B253" s="2" t="s">
        <v>11</v>
      </c>
      <c r="C253" s="2" t="s">
        <v>12</v>
      </c>
      <c r="D253" s="2" t="s">
        <v>31</v>
      </c>
      <c r="E253" s="2">
        <v>15</v>
      </c>
      <c r="F253" s="2">
        <v>11</v>
      </c>
      <c r="G253" s="2" t="s">
        <v>25</v>
      </c>
      <c r="H253" s="2" t="s">
        <v>20</v>
      </c>
      <c r="I253" s="2" t="s">
        <v>515</v>
      </c>
      <c r="J253" s="5">
        <v>61</v>
      </c>
    </row>
    <row r="254" spans="1:10" x14ac:dyDescent="0.3">
      <c r="A254" s="19" t="s">
        <v>516</v>
      </c>
      <c r="B254" s="15" t="s">
        <v>18</v>
      </c>
      <c r="C254" s="15" t="s">
        <v>96</v>
      </c>
      <c r="D254" s="15" t="s">
        <v>31</v>
      </c>
      <c r="E254" s="15">
        <v>14</v>
      </c>
      <c r="F254" s="15">
        <v>11</v>
      </c>
      <c r="G254" s="15" t="s">
        <v>32</v>
      </c>
      <c r="H254" s="15" t="s">
        <v>46</v>
      </c>
      <c r="I254" s="15" t="s">
        <v>517</v>
      </c>
      <c r="J254" s="57">
        <v>86</v>
      </c>
    </row>
    <row r="255" spans="1:10" hidden="1" x14ac:dyDescent="0.3">
      <c r="A255" s="4" t="s">
        <v>518</v>
      </c>
      <c r="B255" s="2" t="s">
        <v>51</v>
      </c>
      <c r="C255" s="2" t="s">
        <v>96</v>
      </c>
      <c r="D255" s="2" t="s">
        <v>31</v>
      </c>
      <c r="E255" s="2">
        <v>17</v>
      </c>
      <c r="F255" s="2">
        <v>11</v>
      </c>
      <c r="G255" s="2" t="s">
        <v>25</v>
      </c>
      <c r="H255" s="2" t="s">
        <v>61</v>
      </c>
      <c r="I255" s="2" t="s">
        <v>519</v>
      </c>
      <c r="J255" s="5">
        <v>52</v>
      </c>
    </row>
    <row r="256" spans="1:10" hidden="1" x14ac:dyDescent="0.3">
      <c r="A256" s="4" t="s">
        <v>520</v>
      </c>
      <c r="B256" s="2" t="s">
        <v>68</v>
      </c>
      <c r="C256" s="2" t="s">
        <v>12</v>
      </c>
      <c r="D256" s="2" t="s">
        <v>31</v>
      </c>
      <c r="E256" s="2">
        <v>20</v>
      </c>
      <c r="F256" s="2">
        <v>10</v>
      </c>
      <c r="G256" s="2" t="s">
        <v>32</v>
      </c>
      <c r="H256" s="2" t="s">
        <v>26</v>
      </c>
      <c r="I256" s="2" t="s">
        <v>521</v>
      </c>
      <c r="J256" s="5">
        <v>42</v>
      </c>
    </row>
    <row r="257" spans="1:10" x14ac:dyDescent="0.3">
      <c r="A257" s="19" t="s">
        <v>522</v>
      </c>
      <c r="B257" s="15" t="s">
        <v>54</v>
      </c>
      <c r="C257" s="15" t="s">
        <v>79</v>
      </c>
      <c r="D257" s="15" t="s">
        <v>31</v>
      </c>
      <c r="E257" s="15">
        <v>18</v>
      </c>
      <c r="F257" s="15">
        <v>10</v>
      </c>
      <c r="G257" s="15" t="s">
        <v>14</v>
      </c>
      <c r="H257" s="15" t="s">
        <v>61</v>
      </c>
      <c r="I257" s="15" t="s">
        <v>523</v>
      </c>
      <c r="J257" s="57">
        <v>82</v>
      </c>
    </row>
    <row r="258" spans="1:10" x14ac:dyDescent="0.3">
      <c r="A258" s="19" t="s">
        <v>524</v>
      </c>
      <c r="B258" s="15" t="s">
        <v>35</v>
      </c>
      <c r="C258" s="15" t="s">
        <v>85</v>
      </c>
      <c r="D258" s="15" t="s">
        <v>13</v>
      </c>
      <c r="E258" s="15">
        <v>20</v>
      </c>
      <c r="F258" s="15">
        <v>10</v>
      </c>
      <c r="G258" s="15" t="s">
        <v>14</v>
      </c>
      <c r="H258" s="15" t="s">
        <v>40</v>
      </c>
      <c r="I258" s="15" t="s">
        <v>525</v>
      </c>
      <c r="J258" s="57">
        <v>92</v>
      </c>
    </row>
    <row r="259" spans="1:10" hidden="1" x14ac:dyDescent="0.3">
      <c r="A259" s="4" t="s">
        <v>526</v>
      </c>
      <c r="B259" s="2" t="s">
        <v>18</v>
      </c>
      <c r="C259" s="2" t="s">
        <v>12</v>
      </c>
      <c r="D259" s="2" t="s">
        <v>31</v>
      </c>
      <c r="E259" s="2">
        <v>18</v>
      </c>
      <c r="F259" s="2">
        <v>9</v>
      </c>
      <c r="G259" s="2" t="s">
        <v>14</v>
      </c>
      <c r="H259" s="2" t="s">
        <v>15</v>
      </c>
      <c r="I259" s="2" t="s">
        <v>346</v>
      </c>
      <c r="J259" s="5">
        <v>59</v>
      </c>
    </row>
    <row r="260" spans="1:10" x14ac:dyDescent="0.3">
      <c r="A260" s="19" t="s">
        <v>527</v>
      </c>
      <c r="B260" s="15" t="s">
        <v>11</v>
      </c>
      <c r="C260" s="15" t="s">
        <v>85</v>
      </c>
      <c r="D260" s="15" t="s">
        <v>13</v>
      </c>
      <c r="E260" s="15">
        <v>20</v>
      </c>
      <c r="F260" s="15">
        <v>12</v>
      </c>
      <c r="G260" s="15" t="s">
        <v>25</v>
      </c>
      <c r="H260" s="15" t="s">
        <v>46</v>
      </c>
      <c r="I260" s="15" t="s">
        <v>451</v>
      </c>
      <c r="J260" s="57">
        <v>86</v>
      </c>
    </row>
    <row r="261" spans="1:10" hidden="1" x14ac:dyDescent="0.3">
      <c r="A261" s="4" t="s">
        <v>528</v>
      </c>
      <c r="B261" s="2" t="s">
        <v>51</v>
      </c>
      <c r="C261" s="2" t="s">
        <v>19</v>
      </c>
      <c r="D261" s="2" t="s">
        <v>13</v>
      </c>
      <c r="E261" s="2">
        <v>19</v>
      </c>
      <c r="F261" s="2">
        <v>9</v>
      </c>
      <c r="G261" s="2" t="s">
        <v>43</v>
      </c>
      <c r="H261" s="2" t="s">
        <v>46</v>
      </c>
      <c r="I261" s="2" t="s">
        <v>222</v>
      </c>
      <c r="J261" s="5">
        <v>46</v>
      </c>
    </row>
    <row r="262" spans="1:10" hidden="1" x14ac:dyDescent="0.3">
      <c r="A262" s="4" t="s">
        <v>529</v>
      </c>
      <c r="B262" s="2" t="s">
        <v>84</v>
      </c>
      <c r="C262" s="2" t="s">
        <v>24</v>
      </c>
      <c r="D262" s="2" t="s">
        <v>31</v>
      </c>
      <c r="E262" s="2">
        <v>20</v>
      </c>
      <c r="F262" s="2">
        <v>12</v>
      </c>
      <c r="G262" s="2" t="s">
        <v>25</v>
      </c>
      <c r="H262" s="2" t="s">
        <v>76</v>
      </c>
      <c r="I262" s="2" t="s">
        <v>186</v>
      </c>
      <c r="J262" s="5">
        <v>51</v>
      </c>
    </row>
    <row r="263" spans="1:10" hidden="1" x14ac:dyDescent="0.3">
      <c r="A263" s="4" t="s">
        <v>530</v>
      </c>
      <c r="B263" s="2" t="s">
        <v>54</v>
      </c>
      <c r="C263" s="2" t="s">
        <v>58</v>
      </c>
      <c r="D263" s="2" t="s">
        <v>13</v>
      </c>
      <c r="E263" s="2">
        <v>17</v>
      </c>
      <c r="F263" s="2">
        <v>10</v>
      </c>
      <c r="G263" s="2" t="s">
        <v>32</v>
      </c>
      <c r="H263" s="2" t="s">
        <v>15</v>
      </c>
      <c r="I263" s="2" t="s">
        <v>64</v>
      </c>
      <c r="J263" s="5">
        <v>46</v>
      </c>
    </row>
    <row r="264" spans="1:10" hidden="1" x14ac:dyDescent="0.3">
      <c r="A264" s="4" t="s">
        <v>531</v>
      </c>
      <c r="B264" s="2" t="s">
        <v>23</v>
      </c>
      <c r="C264" s="2" t="s">
        <v>36</v>
      </c>
      <c r="D264" s="2" t="s">
        <v>13</v>
      </c>
      <c r="E264" s="2">
        <v>20</v>
      </c>
      <c r="F264" s="2">
        <v>11</v>
      </c>
      <c r="G264" s="2" t="s">
        <v>43</v>
      </c>
      <c r="H264" s="2" t="s">
        <v>20</v>
      </c>
      <c r="I264" s="2" t="s">
        <v>178</v>
      </c>
      <c r="J264" s="5">
        <v>44</v>
      </c>
    </row>
    <row r="265" spans="1:10" x14ac:dyDescent="0.3">
      <c r="A265" s="19" t="s">
        <v>532</v>
      </c>
      <c r="B265" s="15" t="s">
        <v>51</v>
      </c>
      <c r="C265" s="15" t="s">
        <v>19</v>
      </c>
      <c r="D265" s="15" t="s">
        <v>31</v>
      </c>
      <c r="E265" s="15">
        <v>14</v>
      </c>
      <c r="F265" s="15">
        <v>11</v>
      </c>
      <c r="G265" s="15" t="s">
        <v>43</v>
      </c>
      <c r="H265" s="15" t="s">
        <v>20</v>
      </c>
      <c r="I265" s="15" t="s">
        <v>533</v>
      </c>
      <c r="J265" s="57">
        <v>93</v>
      </c>
    </row>
    <row r="266" spans="1:10" hidden="1" x14ac:dyDescent="0.3">
      <c r="A266" s="4" t="s">
        <v>534</v>
      </c>
      <c r="B266" s="2" t="s">
        <v>23</v>
      </c>
      <c r="C266" s="2" t="s">
        <v>19</v>
      </c>
      <c r="D266" s="2" t="s">
        <v>13</v>
      </c>
      <c r="E266" s="2">
        <v>20</v>
      </c>
      <c r="F266" s="2">
        <v>11</v>
      </c>
      <c r="G266" s="2" t="s">
        <v>32</v>
      </c>
      <c r="H266" s="2" t="s">
        <v>76</v>
      </c>
      <c r="I266" s="2" t="s">
        <v>358</v>
      </c>
      <c r="J266" s="5">
        <v>41</v>
      </c>
    </row>
    <row r="267" spans="1:10" hidden="1" x14ac:dyDescent="0.3">
      <c r="A267" s="4" t="s">
        <v>535</v>
      </c>
      <c r="B267" s="2" t="s">
        <v>84</v>
      </c>
      <c r="C267" s="2" t="s">
        <v>58</v>
      </c>
      <c r="D267" s="2" t="s">
        <v>13</v>
      </c>
      <c r="E267" s="2">
        <v>20</v>
      </c>
      <c r="F267" s="2">
        <v>9</v>
      </c>
      <c r="G267" s="2" t="s">
        <v>25</v>
      </c>
      <c r="H267" s="2" t="s">
        <v>46</v>
      </c>
      <c r="I267" s="2" t="s">
        <v>536</v>
      </c>
      <c r="J267" s="5">
        <v>58</v>
      </c>
    </row>
    <row r="268" spans="1:10" hidden="1" x14ac:dyDescent="0.3">
      <c r="A268" s="4" t="s">
        <v>537</v>
      </c>
      <c r="B268" s="2" t="s">
        <v>68</v>
      </c>
      <c r="C268" s="2" t="s">
        <v>36</v>
      </c>
      <c r="D268" s="2" t="s">
        <v>31</v>
      </c>
      <c r="E268" s="2">
        <v>16</v>
      </c>
      <c r="F268" s="2">
        <v>12</v>
      </c>
      <c r="G268" s="2" t="s">
        <v>25</v>
      </c>
      <c r="H268" s="2" t="s">
        <v>26</v>
      </c>
      <c r="I268" s="2" t="s">
        <v>538</v>
      </c>
      <c r="J268" s="5">
        <v>42</v>
      </c>
    </row>
    <row r="269" spans="1:10" hidden="1" x14ac:dyDescent="0.3">
      <c r="A269" s="4" t="s">
        <v>539</v>
      </c>
      <c r="B269" s="2" t="s">
        <v>73</v>
      </c>
      <c r="C269" s="2" t="s">
        <v>36</v>
      </c>
      <c r="D269" s="2" t="s">
        <v>31</v>
      </c>
      <c r="E269" s="2">
        <v>14</v>
      </c>
      <c r="F269" s="2">
        <v>12</v>
      </c>
      <c r="G269" s="2" t="s">
        <v>43</v>
      </c>
      <c r="H269" s="2" t="s">
        <v>61</v>
      </c>
      <c r="I269" s="2" t="s">
        <v>387</v>
      </c>
      <c r="J269" s="5">
        <v>37</v>
      </c>
    </row>
    <row r="270" spans="1:10" hidden="1" x14ac:dyDescent="0.3">
      <c r="A270" s="4" t="s">
        <v>540</v>
      </c>
      <c r="B270" s="2" t="s">
        <v>51</v>
      </c>
      <c r="C270" s="2" t="s">
        <v>85</v>
      </c>
      <c r="D270" s="2" t="s">
        <v>13</v>
      </c>
      <c r="E270" s="2">
        <v>18</v>
      </c>
      <c r="F270" s="2">
        <v>10</v>
      </c>
      <c r="G270" s="2" t="s">
        <v>14</v>
      </c>
      <c r="H270" s="2" t="s">
        <v>46</v>
      </c>
      <c r="I270" s="2" t="s">
        <v>541</v>
      </c>
      <c r="J270" s="5">
        <v>63</v>
      </c>
    </row>
    <row r="271" spans="1:10" hidden="1" x14ac:dyDescent="0.3">
      <c r="A271" s="4" t="s">
        <v>542</v>
      </c>
      <c r="B271" s="2" t="s">
        <v>84</v>
      </c>
      <c r="C271" s="2" t="s">
        <v>55</v>
      </c>
      <c r="D271" s="2" t="s">
        <v>31</v>
      </c>
      <c r="E271" s="2">
        <v>18</v>
      </c>
      <c r="F271" s="2">
        <v>12</v>
      </c>
      <c r="G271" s="2" t="s">
        <v>32</v>
      </c>
      <c r="H271" s="2" t="s">
        <v>40</v>
      </c>
      <c r="I271" s="2" t="s">
        <v>543</v>
      </c>
      <c r="J271" s="5">
        <v>51</v>
      </c>
    </row>
    <row r="272" spans="1:10" hidden="1" x14ac:dyDescent="0.3">
      <c r="A272" s="4" t="s">
        <v>544</v>
      </c>
      <c r="B272" s="2" t="s">
        <v>68</v>
      </c>
      <c r="C272" s="2" t="s">
        <v>19</v>
      </c>
      <c r="D272" s="2" t="s">
        <v>31</v>
      </c>
      <c r="E272" s="2">
        <v>16</v>
      </c>
      <c r="F272" s="2">
        <v>9</v>
      </c>
      <c r="G272" s="2" t="s">
        <v>14</v>
      </c>
      <c r="H272" s="2" t="s">
        <v>40</v>
      </c>
      <c r="I272" s="2" t="s">
        <v>545</v>
      </c>
      <c r="J272" s="5">
        <v>37</v>
      </c>
    </row>
    <row r="273" spans="1:10" x14ac:dyDescent="0.3">
      <c r="A273" s="19" t="s">
        <v>546</v>
      </c>
      <c r="B273" s="15" t="s">
        <v>51</v>
      </c>
      <c r="C273" s="15" t="s">
        <v>36</v>
      </c>
      <c r="D273" s="15" t="s">
        <v>31</v>
      </c>
      <c r="E273" s="15">
        <v>14</v>
      </c>
      <c r="F273" s="15">
        <v>9</v>
      </c>
      <c r="G273" s="15" t="s">
        <v>14</v>
      </c>
      <c r="H273" s="15" t="s">
        <v>46</v>
      </c>
      <c r="I273" s="15" t="s">
        <v>547</v>
      </c>
      <c r="J273" s="57">
        <v>81</v>
      </c>
    </row>
    <row r="274" spans="1:10" x14ac:dyDescent="0.3">
      <c r="A274" s="19" t="s">
        <v>548</v>
      </c>
      <c r="B274" s="15" t="s">
        <v>51</v>
      </c>
      <c r="C274" s="15" t="s">
        <v>24</v>
      </c>
      <c r="D274" s="15" t="s">
        <v>31</v>
      </c>
      <c r="E274" s="15">
        <v>15</v>
      </c>
      <c r="F274" s="15">
        <v>11</v>
      </c>
      <c r="G274" s="15" t="s">
        <v>32</v>
      </c>
      <c r="H274" s="15" t="s">
        <v>40</v>
      </c>
      <c r="I274" s="15" t="s">
        <v>549</v>
      </c>
      <c r="J274" s="57">
        <v>90</v>
      </c>
    </row>
    <row r="275" spans="1:10" x14ac:dyDescent="0.3">
      <c r="A275" s="19" t="s">
        <v>550</v>
      </c>
      <c r="B275" s="15" t="s">
        <v>73</v>
      </c>
      <c r="C275" s="15" t="s">
        <v>19</v>
      </c>
      <c r="D275" s="15" t="s">
        <v>13</v>
      </c>
      <c r="E275" s="15">
        <v>14</v>
      </c>
      <c r="F275" s="15">
        <v>11</v>
      </c>
      <c r="G275" s="15" t="s">
        <v>32</v>
      </c>
      <c r="H275" s="15" t="s">
        <v>26</v>
      </c>
      <c r="I275" s="15" t="s">
        <v>551</v>
      </c>
      <c r="J275" s="57">
        <v>90</v>
      </c>
    </row>
    <row r="276" spans="1:10" x14ac:dyDescent="0.3">
      <c r="A276" s="19" t="s">
        <v>552</v>
      </c>
      <c r="B276" s="15" t="s">
        <v>35</v>
      </c>
      <c r="C276" s="15" t="s">
        <v>30</v>
      </c>
      <c r="D276" s="15" t="s">
        <v>13</v>
      </c>
      <c r="E276" s="15">
        <v>19</v>
      </c>
      <c r="F276" s="15">
        <v>11</v>
      </c>
      <c r="G276" s="15" t="s">
        <v>14</v>
      </c>
      <c r="H276" s="15" t="s">
        <v>76</v>
      </c>
      <c r="I276" s="15" t="s">
        <v>553</v>
      </c>
      <c r="J276" s="57">
        <v>81</v>
      </c>
    </row>
    <row r="277" spans="1:10" hidden="1" x14ac:dyDescent="0.3">
      <c r="A277" s="4" t="s">
        <v>554</v>
      </c>
      <c r="B277" s="2" t="s">
        <v>29</v>
      </c>
      <c r="C277" s="2" t="s">
        <v>79</v>
      </c>
      <c r="D277" s="2" t="s">
        <v>13</v>
      </c>
      <c r="E277" s="2">
        <v>15</v>
      </c>
      <c r="F277" s="2">
        <v>9</v>
      </c>
      <c r="G277" s="2" t="s">
        <v>32</v>
      </c>
      <c r="H277" s="2" t="s">
        <v>76</v>
      </c>
      <c r="I277" s="2" t="s">
        <v>184</v>
      </c>
      <c r="J277" s="5">
        <v>53</v>
      </c>
    </row>
    <row r="278" spans="1:10" x14ac:dyDescent="0.3">
      <c r="A278" s="19" t="s">
        <v>555</v>
      </c>
      <c r="B278" s="15" t="s">
        <v>73</v>
      </c>
      <c r="C278" s="15" t="s">
        <v>55</v>
      </c>
      <c r="D278" s="15" t="s">
        <v>31</v>
      </c>
      <c r="E278" s="15">
        <v>16</v>
      </c>
      <c r="F278" s="15">
        <v>9</v>
      </c>
      <c r="G278" s="15" t="s">
        <v>14</v>
      </c>
      <c r="H278" s="15" t="s">
        <v>76</v>
      </c>
      <c r="I278" s="15" t="s">
        <v>556</v>
      </c>
      <c r="J278" s="57">
        <v>93</v>
      </c>
    </row>
    <row r="279" spans="1:10" hidden="1" x14ac:dyDescent="0.3">
      <c r="A279" s="4" t="s">
        <v>557</v>
      </c>
      <c r="B279" s="2" t="s">
        <v>23</v>
      </c>
      <c r="C279" s="2" t="s">
        <v>96</v>
      </c>
      <c r="D279" s="2" t="s">
        <v>13</v>
      </c>
      <c r="E279" s="2">
        <v>18</v>
      </c>
      <c r="F279" s="2">
        <v>11</v>
      </c>
      <c r="G279" s="2" t="s">
        <v>25</v>
      </c>
      <c r="H279" s="2" t="s">
        <v>76</v>
      </c>
      <c r="I279" s="2" t="s">
        <v>182</v>
      </c>
      <c r="J279" s="5">
        <v>77</v>
      </c>
    </row>
    <row r="280" spans="1:10" hidden="1" x14ac:dyDescent="0.3">
      <c r="A280" s="4" t="s">
        <v>558</v>
      </c>
      <c r="B280" s="2" t="s">
        <v>54</v>
      </c>
      <c r="C280" s="2" t="s">
        <v>30</v>
      </c>
      <c r="D280" s="2" t="s">
        <v>31</v>
      </c>
      <c r="E280" s="2">
        <v>19</v>
      </c>
      <c r="F280" s="2">
        <v>10</v>
      </c>
      <c r="G280" s="2" t="s">
        <v>43</v>
      </c>
      <c r="H280" s="2" t="s">
        <v>76</v>
      </c>
      <c r="I280" s="2" t="s">
        <v>559</v>
      </c>
      <c r="J280" s="5">
        <v>40</v>
      </c>
    </row>
    <row r="281" spans="1:10" hidden="1" x14ac:dyDescent="0.3">
      <c r="A281" s="4" t="s">
        <v>560</v>
      </c>
      <c r="B281" s="2" t="s">
        <v>68</v>
      </c>
      <c r="C281" s="2" t="s">
        <v>85</v>
      </c>
      <c r="D281" s="2" t="s">
        <v>31</v>
      </c>
      <c r="E281" s="2">
        <v>15</v>
      </c>
      <c r="F281" s="2">
        <v>10</v>
      </c>
      <c r="G281" s="2" t="s">
        <v>43</v>
      </c>
      <c r="H281" s="2" t="s">
        <v>26</v>
      </c>
      <c r="I281" s="2" t="s">
        <v>561</v>
      </c>
      <c r="J281" s="5">
        <v>63</v>
      </c>
    </row>
    <row r="282" spans="1:10" hidden="1" x14ac:dyDescent="0.3">
      <c r="A282" s="4" t="s">
        <v>562</v>
      </c>
      <c r="B282" s="2" t="s">
        <v>29</v>
      </c>
      <c r="C282" s="2" t="s">
        <v>79</v>
      </c>
      <c r="D282" s="2" t="s">
        <v>31</v>
      </c>
      <c r="E282" s="2">
        <v>15</v>
      </c>
      <c r="F282" s="2">
        <v>12</v>
      </c>
      <c r="G282" s="2" t="s">
        <v>32</v>
      </c>
      <c r="H282" s="2" t="s">
        <v>46</v>
      </c>
      <c r="I282" s="2" t="s">
        <v>121</v>
      </c>
      <c r="J282" s="5">
        <v>53</v>
      </c>
    </row>
    <row r="283" spans="1:10" hidden="1" x14ac:dyDescent="0.3">
      <c r="A283" s="4" t="s">
        <v>563</v>
      </c>
      <c r="B283" s="2" t="s">
        <v>35</v>
      </c>
      <c r="C283" s="2" t="s">
        <v>55</v>
      </c>
      <c r="D283" s="2" t="s">
        <v>31</v>
      </c>
      <c r="E283" s="2">
        <v>19</v>
      </c>
      <c r="F283" s="2">
        <v>10</v>
      </c>
      <c r="G283" s="2" t="s">
        <v>43</v>
      </c>
      <c r="H283" s="2" t="s">
        <v>46</v>
      </c>
      <c r="I283" s="2" t="s">
        <v>564</v>
      </c>
      <c r="J283" s="5">
        <v>72</v>
      </c>
    </row>
    <row r="284" spans="1:10" hidden="1" x14ac:dyDescent="0.3">
      <c r="A284" s="4" t="s">
        <v>565</v>
      </c>
      <c r="B284" s="2" t="s">
        <v>54</v>
      </c>
      <c r="C284" s="2" t="s">
        <v>79</v>
      </c>
      <c r="D284" s="2" t="s">
        <v>31</v>
      </c>
      <c r="E284" s="2">
        <v>20</v>
      </c>
      <c r="F284" s="2">
        <v>9</v>
      </c>
      <c r="G284" s="2" t="s">
        <v>43</v>
      </c>
      <c r="H284" s="2" t="s">
        <v>20</v>
      </c>
      <c r="I284" s="2" t="s">
        <v>566</v>
      </c>
      <c r="J284" s="5">
        <v>67</v>
      </c>
    </row>
    <row r="285" spans="1:10" x14ac:dyDescent="0.3">
      <c r="A285" s="19" t="s">
        <v>567</v>
      </c>
      <c r="B285" s="15" t="s">
        <v>54</v>
      </c>
      <c r="C285" s="15" t="s">
        <v>12</v>
      </c>
      <c r="D285" s="15" t="s">
        <v>31</v>
      </c>
      <c r="E285" s="15">
        <v>18</v>
      </c>
      <c r="F285" s="15">
        <v>12</v>
      </c>
      <c r="G285" s="15" t="s">
        <v>25</v>
      </c>
      <c r="H285" s="15" t="s">
        <v>26</v>
      </c>
      <c r="I285" s="15" t="s">
        <v>568</v>
      </c>
      <c r="J285" s="57">
        <v>96</v>
      </c>
    </row>
    <row r="286" spans="1:10" x14ac:dyDescent="0.3">
      <c r="A286" s="19" t="s">
        <v>569</v>
      </c>
      <c r="B286" s="15" t="s">
        <v>54</v>
      </c>
      <c r="C286" s="15" t="s">
        <v>12</v>
      </c>
      <c r="D286" s="15" t="s">
        <v>31</v>
      </c>
      <c r="E286" s="15">
        <v>17</v>
      </c>
      <c r="F286" s="15">
        <v>9</v>
      </c>
      <c r="G286" s="15" t="s">
        <v>25</v>
      </c>
      <c r="H286" s="15" t="s">
        <v>37</v>
      </c>
      <c r="I286" s="15" t="s">
        <v>570</v>
      </c>
      <c r="J286" s="57">
        <v>100</v>
      </c>
    </row>
    <row r="287" spans="1:10" hidden="1" x14ac:dyDescent="0.3">
      <c r="A287" s="4" t="s">
        <v>571</v>
      </c>
      <c r="B287" s="2" t="s">
        <v>68</v>
      </c>
      <c r="C287" s="2" t="s">
        <v>12</v>
      </c>
      <c r="D287" s="2" t="s">
        <v>13</v>
      </c>
      <c r="E287" s="2">
        <v>16</v>
      </c>
      <c r="F287" s="2">
        <v>10</v>
      </c>
      <c r="G287" s="2" t="s">
        <v>25</v>
      </c>
      <c r="H287" s="2" t="s">
        <v>26</v>
      </c>
      <c r="I287" s="2" t="s">
        <v>434</v>
      </c>
      <c r="J287" s="5">
        <v>63</v>
      </c>
    </row>
    <row r="288" spans="1:10" hidden="1" x14ac:dyDescent="0.3">
      <c r="A288" s="4" t="s">
        <v>572</v>
      </c>
      <c r="B288" s="2" t="s">
        <v>23</v>
      </c>
      <c r="C288" s="2" t="s">
        <v>19</v>
      </c>
      <c r="D288" s="2" t="s">
        <v>31</v>
      </c>
      <c r="E288" s="2">
        <v>19</v>
      </c>
      <c r="F288" s="2">
        <v>10</v>
      </c>
      <c r="G288" s="2" t="s">
        <v>32</v>
      </c>
      <c r="H288" s="2" t="s">
        <v>20</v>
      </c>
      <c r="I288" s="2" t="s">
        <v>400</v>
      </c>
      <c r="J288" s="5">
        <v>53</v>
      </c>
    </row>
    <row r="289" spans="1:10" x14ac:dyDescent="0.3">
      <c r="A289" s="19" t="s">
        <v>573</v>
      </c>
      <c r="B289" s="15" t="s">
        <v>54</v>
      </c>
      <c r="C289" s="15" t="s">
        <v>24</v>
      </c>
      <c r="D289" s="15" t="s">
        <v>13</v>
      </c>
      <c r="E289" s="15">
        <v>19</v>
      </c>
      <c r="F289" s="15">
        <v>9</v>
      </c>
      <c r="G289" s="15" t="s">
        <v>43</v>
      </c>
      <c r="H289" s="15" t="s">
        <v>46</v>
      </c>
      <c r="I289" s="15" t="s">
        <v>574</v>
      </c>
      <c r="J289" s="57">
        <v>94</v>
      </c>
    </row>
    <row r="290" spans="1:10" hidden="1" x14ac:dyDescent="0.3">
      <c r="A290" s="4" t="s">
        <v>575</v>
      </c>
      <c r="B290" s="2" t="s">
        <v>35</v>
      </c>
      <c r="C290" s="2" t="s">
        <v>30</v>
      </c>
      <c r="D290" s="2" t="s">
        <v>31</v>
      </c>
      <c r="E290" s="2">
        <v>14</v>
      </c>
      <c r="F290" s="2">
        <v>10</v>
      </c>
      <c r="G290" s="2" t="s">
        <v>32</v>
      </c>
      <c r="H290" s="2" t="s">
        <v>40</v>
      </c>
      <c r="I290" s="2" t="s">
        <v>576</v>
      </c>
      <c r="J290" s="5">
        <v>50</v>
      </c>
    </row>
    <row r="291" spans="1:10" hidden="1" x14ac:dyDescent="0.3">
      <c r="A291" s="4" t="s">
        <v>577</v>
      </c>
      <c r="B291" s="2" t="s">
        <v>84</v>
      </c>
      <c r="C291" s="2" t="s">
        <v>79</v>
      </c>
      <c r="D291" s="2" t="s">
        <v>31</v>
      </c>
      <c r="E291" s="2">
        <v>15</v>
      </c>
      <c r="F291" s="2">
        <v>11</v>
      </c>
      <c r="G291" s="2" t="s">
        <v>25</v>
      </c>
      <c r="H291" s="2" t="s">
        <v>40</v>
      </c>
      <c r="I291" s="2" t="s">
        <v>578</v>
      </c>
      <c r="J291" s="5">
        <v>72</v>
      </c>
    </row>
    <row r="292" spans="1:10" hidden="1" x14ac:dyDescent="0.3">
      <c r="A292" s="4" t="s">
        <v>579</v>
      </c>
      <c r="B292" s="2" t="s">
        <v>51</v>
      </c>
      <c r="C292" s="2" t="s">
        <v>55</v>
      </c>
      <c r="D292" s="2" t="s">
        <v>31</v>
      </c>
      <c r="E292" s="2">
        <v>20</v>
      </c>
      <c r="F292" s="2">
        <v>9</v>
      </c>
      <c r="G292" s="2" t="s">
        <v>25</v>
      </c>
      <c r="H292" s="2" t="s">
        <v>26</v>
      </c>
      <c r="I292" s="2" t="s">
        <v>212</v>
      </c>
      <c r="J292" s="5">
        <v>35</v>
      </c>
    </row>
    <row r="293" spans="1:10" hidden="1" x14ac:dyDescent="0.3">
      <c r="A293" s="4" t="s">
        <v>580</v>
      </c>
      <c r="B293" s="2" t="s">
        <v>29</v>
      </c>
      <c r="C293" s="2" t="s">
        <v>36</v>
      </c>
      <c r="D293" s="2" t="s">
        <v>13</v>
      </c>
      <c r="E293" s="2">
        <v>17</v>
      </c>
      <c r="F293" s="2">
        <v>10</v>
      </c>
      <c r="G293" s="2" t="s">
        <v>32</v>
      </c>
      <c r="H293" s="2" t="s">
        <v>15</v>
      </c>
      <c r="I293" s="2" t="s">
        <v>581</v>
      </c>
      <c r="J293" s="5">
        <v>37</v>
      </c>
    </row>
    <row r="294" spans="1:10" hidden="1" x14ac:dyDescent="0.3">
      <c r="A294" s="4" t="s">
        <v>582</v>
      </c>
      <c r="B294" s="2" t="s">
        <v>51</v>
      </c>
      <c r="C294" s="2" t="s">
        <v>55</v>
      </c>
      <c r="D294" s="2" t="s">
        <v>31</v>
      </c>
      <c r="E294" s="2">
        <v>14</v>
      </c>
      <c r="F294" s="2">
        <v>11</v>
      </c>
      <c r="G294" s="2" t="s">
        <v>25</v>
      </c>
      <c r="H294" s="2" t="s">
        <v>37</v>
      </c>
      <c r="I294" s="2" t="s">
        <v>583</v>
      </c>
      <c r="J294" s="5">
        <v>47</v>
      </c>
    </row>
    <row r="295" spans="1:10" hidden="1" x14ac:dyDescent="0.3">
      <c r="A295" s="4" t="s">
        <v>584</v>
      </c>
      <c r="B295" s="2" t="s">
        <v>68</v>
      </c>
      <c r="C295" s="2" t="s">
        <v>55</v>
      </c>
      <c r="D295" s="2" t="s">
        <v>31</v>
      </c>
      <c r="E295" s="2">
        <v>16</v>
      </c>
      <c r="F295" s="2">
        <v>9</v>
      </c>
      <c r="G295" s="2" t="s">
        <v>14</v>
      </c>
      <c r="H295" s="2" t="s">
        <v>61</v>
      </c>
      <c r="I295" s="2" t="s">
        <v>585</v>
      </c>
      <c r="J295" s="5">
        <v>59</v>
      </c>
    </row>
    <row r="296" spans="1:10" hidden="1" x14ac:dyDescent="0.3">
      <c r="A296" s="4" t="s">
        <v>586</v>
      </c>
      <c r="B296" s="2" t="s">
        <v>11</v>
      </c>
      <c r="C296" s="2" t="s">
        <v>24</v>
      </c>
      <c r="D296" s="2" t="s">
        <v>31</v>
      </c>
      <c r="E296" s="2">
        <v>17</v>
      </c>
      <c r="F296" s="2">
        <v>11</v>
      </c>
      <c r="G296" s="2" t="s">
        <v>43</v>
      </c>
      <c r="H296" s="2" t="s">
        <v>61</v>
      </c>
      <c r="I296" s="2" t="s">
        <v>587</v>
      </c>
      <c r="J296" s="5">
        <v>73</v>
      </c>
    </row>
    <row r="297" spans="1:10" hidden="1" x14ac:dyDescent="0.3">
      <c r="A297" s="4" t="s">
        <v>588</v>
      </c>
      <c r="B297" s="2" t="s">
        <v>68</v>
      </c>
      <c r="C297" s="2" t="s">
        <v>85</v>
      </c>
      <c r="D297" s="2" t="s">
        <v>31</v>
      </c>
      <c r="E297" s="2">
        <v>17</v>
      </c>
      <c r="F297" s="2">
        <v>9</v>
      </c>
      <c r="G297" s="2" t="s">
        <v>25</v>
      </c>
      <c r="H297" s="2" t="s">
        <v>61</v>
      </c>
      <c r="I297" s="2" t="s">
        <v>589</v>
      </c>
      <c r="J297" s="5">
        <v>45</v>
      </c>
    </row>
    <row r="298" spans="1:10" hidden="1" x14ac:dyDescent="0.3">
      <c r="A298" s="4" t="s">
        <v>590</v>
      </c>
      <c r="B298" s="2" t="s">
        <v>35</v>
      </c>
      <c r="C298" s="2" t="s">
        <v>12</v>
      </c>
      <c r="D298" s="2" t="s">
        <v>13</v>
      </c>
      <c r="E298" s="2">
        <v>14</v>
      </c>
      <c r="F298" s="2">
        <v>11</v>
      </c>
      <c r="G298" s="2" t="s">
        <v>25</v>
      </c>
      <c r="H298" s="2" t="s">
        <v>20</v>
      </c>
      <c r="I298" s="2" t="s">
        <v>591</v>
      </c>
      <c r="J298" s="5">
        <v>64</v>
      </c>
    </row>
    <row r="299" spans="1:10" x14ac:dyDescent="0.3">
      <c r="A299" s="19" t="s">
        <v>592</v>
      </c>
      <c r="B299" s="15" t="s">
        <v>51</v>
      </c>
      <c r="C299" s="15" t="s">
        <v>19</v>
      </c>
      <c r="D299" s="15" t="s">
        <v>31</v>
      </c>
      <c r="E299" s="15">
        <v>18</v>
      </c>
      <c r="F299" s="15">
        <v>10</v>
      </c>
      <c r="G299" s="15" t="s">
        <v>43</v>
      </c>
      <c r="H299" s="15" t="s">
        <v>76</v>
      </c>
      <c r="I299" s="15" t="s">
        <v>593</v>
      </c>
      <c r="J299" s="57">
        <v>98</v>
      </c>
    </row>
    <row r="300" spans="1:10" x14ac:dyDescent="0.3">
      <c r="A300" s="19" t="s">
        <v>594</v>
      </c>
      <c r="B300" s="15" t="s">
        <v>54</v>
      </c>
      <c r="C300" s="15" t="s">
        <v>55</v>
      </c>
      <c r="D300" s="15" t="s">
        <v>13</v>
      </c>
      <c r="E300" s="15">
        <v>20</v>
      </c>
      <c r="F300" s="15">
        <v>11</v>
      </c>
      <c r="G300" s="15" t="s">
        <v>43</v>
      </c>
      <c r="H300" s="15" t="s">
        <v>40</v>
      </c>
      <c r="I300" s="15" t="s">
        <v>595</v>
      </c>
      <c r="J300" s="57">
        <v>84</v>
      </c>
    </row>
    <row r="301" spans="1:10" hidden="1" x14ac:dyDescent="0.3">
      <c r="A301" s="4" t="s">
        <v>596</v>
      </c>
      <c r="B301" s="2" t="s">
        <v>11</v>
      </c>
      <c r="C301" s="2" t="s">
        <v>30</v>
      </c>
      <c r="D301" s="2" t="s">
        <v>13</v>
      </c>
      <c r="E301" s="2">
        <v>14</v>
      </c>
      <c r="F301" s="2">
        <v>9</v>
      </c>
      <c r="G301" s="2" t="s">
        <v>25</v>
      </c>
      <c r="H301" s="2" t="s">
        <v>76</v>
      </c>
      <c r="I301" s="2" t="s">
        <v>447</v>
      </c>
      <c r="J301" s="5">
        <v>62</v>
      </c>
    </row>
    <row r="302" spans="1:10" hidden="1" x14ac:dyDescent="0.3">
      <c r="A302" s="4" t="s">
        <v>597</v>
      </c>
      <c r="B302" s="2" t="s">
        <v>18</v>
      </c>
      <c r="C302" s="2" t="s">
        <v>85</v>
      </c>
      <c r="D302" s="2" t="s">
        <v>31</v>
      </c>
      <c r="E302" s="2">
        <v>18</v>
      </c>
      <c r="F302" s="2">
        <v>11</v>
      </c>
      <c r="G302" s="2" t="s">
        <v>43</v>
      </c>
      <c r="H302" s="2" t="s">
        <v>40</v>
      </c>
      <c r="I302" s="2" t="s">
        <v>598</v>
      </c>
      <c r="J302" s="5">
        <v>55</v>
      </c>
    </row>
    <row r="303" spans="1:10" hidden="1" x14ac:dyDescent="0.3">
      <c r="A303" s="4" t="s">
        <v>599</v>
      </c>
      <c r="B303" s="2" t="s">
        <v>84</v>
      </c>
      <c r="C303" s="2" t="s">
        <v>30</v>
      </c>
      <c r="D303" s="2" t="s">
        <v>13</v>
      </c>
      <c r="E303" s="2">
        <v>17</v>
      </c>
      <c r="F303" s="2">
        <v>11</v>
      </c>
      <c r="G303" s="2" t="s">
        <v>43</v>
      </c>
      <c r="H303" s="2" t="s">
        <v>15</v>
      </c>
      <c r="I303" s="2" t="s">
        <v>600</v>
      </c>
      <c r="J303" s="5">
        <v>73</v>
      </c>
    </row>
    <row r="304" spans="1:10" hidden="1" x14ac:dyDescent="0.3">
      <c r="A304" s="4" t="s">
        <v>601</v>
      </c>
      <c r="B304" s="2" t="s">
        <v>73</v>
      </c>
      <c r="C304" s="2" t="s">
        <v>55</v>
      </c>
      <c r="D304" s="2" t="s">
        <v>31</v>
      </c>
      <c r="E304" s="2">
        <v>17</v>
      </c>
      <c r="F304" s="2">
        <v>11</v>
      </c>
      <c r="G304" s="2" t="s">
        <v>43</v>
      </c>
      <c r="H304" s="2" t="s">
        <v>61</v>
      </c>
      <c r="I304" s="2" t="s">
        <v>502</v>
      </c>
      <c r="J304" s="5">
        <v>76</v>
      </c>
    </row>
    <row r="305" spans="1:10" hidden="1" x14ac:dyDescent="0.3">
      <c r="A305" s="4" t="s">
        <v>602</v>
      </c>
      <c r="B305" s="2" t="s">
        <v>23</v>
      </c>
      <c r="C305" s="2" t="s">
        <v>19</v>
      </c>
      <c r="D305" s="2" t="s">
        <v>13</v>
      </c>
      <c r="E305" s="2">
        <v>15</v>
      </c>
      <c r="F305" s="2">
        <v>12</v>
      </c>
      <c r="G305" s="2" t="s">
        <v>14</v>
      </c>
      <c r="H305" s="2" t="s">
        <v>61</v>
      </c>
      <c r="I305" s="2" t="s">
        <v>603</v>
      </c>
      <c r="J305" s="5">
        <v>54</v>
      </c>
    </row>
    <row r="306" spans="1:10" hidden="1" x14ac:dyDescent="0.3">
      <c r="A306" s="4" t="s">
        <v>604</v>
      </c>
      <c r="B306" s="2" t="s">
        <v>51</v>
      </c>
      <c r="C306" s="2" t="s">
        <v>85</v>
      </c>
      <c r="D306" s="2" t="s">
        <v>31</v>
      </c>
      <c r="E306" s="2">
        <v>20</v>
      </c>
      <c r="F306" s="2">
        <v>12</v>
      </c>
      <c r="G306" s="2" t="s">
        <v>25</v>
      </c>
      <c r="H306" s="2" t="s">
        <v>26</v>
      </c>
      <c r="I306" s="2" t="s">
        <v>299</v>
      </c>
      <c r="J306" s="5">
        <v>69</v>
      </c>
    </row>
    <row r="307" spans="1:10" x14ac:dyDescent="0.3">
      <c r="A307" s="19" t="s">
        <v>605</v>
      </c>
      <c r="B307" s="15" t="s">
        <v>54</v>
      </c>
      <c r="C307" s="15" t="s">
        <v>19</v>
      </c>
      <c r="D307" s="15" t="s">
        <v>31</v>
      </c>
      <c r="E307" s="15">
        <v>20</v>
      </c>
      <c r="F307" s="15">
        <v>10</v>
      </c>
      <c r="G307" s="15" t="s">
        <v>43</v>
      </c>
      <c r="H307" s="15" t="s">
        <v>37</v>
      </c>
      <c r="I307" s="15" t="s">
        <v>606</v>
      </c>
      <c r="J307" s="57">
        <v>99</v>
      </c>
    </row>
    <row r="308" spans="1:10" hidden="1" x14ac:dyDescent="0.3">
      <c r="A308" s="4" t="s">
        <v>607</v>
      </c>
      <c r="B308" s="2" t="s">
        <v>68</v>
      </c>
      <c r="C308" s="2" t="s">
        <v>55</v>
      </c>
      <c r="D308" s="2" t="s">
        <v>13</v>
      </c>
      <c r="E308" s="2">
        <v>19</v>
      </c>
      <c r="F308" s="2">
        <v>11</v>
      </c>
      <c r="G308" s="2" t="s">
        <v>25</v>
      </c>
      <c r="H308" s="2" t="s">
        <v>20</v>
      </c>
      <c r="I308" s="2" t="s">
        <v>608</v>
      </c>
      <c r="J308" s="5">
        <v>43</v>
      </c>
    </row>
    <row r="309" spans="1:10" x14ac:dyDescent="0.3">
      <c r="A309" s="19" t="s">
        <v>609</v>
      </c>
      <c r="B309" s="15" t="s">
        <v>68</v>
      </c>
      <c r="C309" s="15" t="s">
        <v>58</v>
      </c>
      <c r="D309" s="15" t="s">
        <v>13</v>
      </c>
      <c r="E309" s="15">
        <v>14</v>
      </c>
      <c r="F309" s="15">
        <v>10</v>
      </c>
      <c r="G309" s="15" t="s">
        <v>25</v>
      </c>
      <c r="H309" s="15" t="s">
        <v>37</v>
      </c>
      <c r="I309" s="15" t="s">
        <v>610</v>
      </c>
      <c r="J309" s="57">
        <v>90</v>
      </c>
    </row>
    <row r="310" spans="1:10" x14ac:dyDescent="0.3">
      <c r="A310" s="19" t="s">
        <v>611</v>
      </c>
      <c r="B310" s="15" t="s">
        <v>18</v>
      </c>
      <c r="C310" s="15" t="s">
        <v>24</v>
      </c>
      <c r="D310" s="15" t="s">
        <v>31</v>
      </c>
      <c r="E310" s="15">
        <v>19</v>
      </c>
      <c r="F310" s="15">
        <v>12</v>
      </c>
      <c r="G310" s="15" t="s">
        <v>43</v>
      </c>
      <c r="H310" s="15" t="s">
        <v>26</v>
      </c>
      <c r="I310" s="15" t="s">
        <v>612</v>
      </c>
      <c r="J310" s="57">
        <v>82</v>
      </c>
    </row>
    <row r="311" spans="1:10" hidden="1" x14ac:dyDescent="0.3">
      <c r="A311" s="4" t="s">
        <v>613</v>
      </c>
      <c r="B311" s="2" t="s">
        <v>68</v>
      </c>
      <c r="C311" s="2" t="s">
        <v>85</v>
      </c>
      <c r="D311" s="2" t="s">
        <v>31</v>
      </c>
      <c r="E311" s="2">
        <v>15</v>
      </c>
      <c r="F311" s="2">
        <v>9</v>
      </c>
      <c r="G311" s="2" t="s">
        <v>32</v>
      </c>
      <c r="H311" s="2" t="s">
        <v>37</v>
      </c>
      <c r="I311" s="2" t="s">
        <v>614</v>
      </c>
      <c r="J311" s="5">
        <v>39</v>
      </c>
    </row>
    <row r="312" spans="1:10" x14ac:dyDescent="0.3">
      <c r="A312" s="19" t="s">
        <v>615</v>
      </c>
      <c r="B312" s="15" t="s">
        <v>18</v>
      </c>
      <c r="C312" s="15" t="s">
        <v>12</v>
      </c>
      <c r="D312" s="15" t="s">
        <v>13</v>
      </c>
      <c r="E312" s="15">
        <v>17</v>
      </c>
      <c r="F312" s="15">
        <v>12</v>
      </c>
      <c r="G312" s="15" t="s">
        <v>14</v>
      </c>
      <c r="H312" s="15" t="s">
        <v>61</v>
      </c>
      <c r="I312" s="15" t="s">
        <v>616</v>
      </c>
      <c r="J312" s="57">
        <v>99</v>
      </c>
    </row>
    <row r="313" spans="1:10" x14ac:dyDescent="0.3">
      <c r="A313" s="19" t="s">
        <v>617</v>
      </c>
      <c r="B313" s="15" t="s">
        <v>35</v>
      </c>
      <c r="C313" s="15" t="s">
        <v>12</v>
      </c>
      <c r="D313" s="15" t="s">
        <v>13</v>
      </c>
      <c r="E313" s="15">
        <v>15</v>
      </c>
      <c r="F313" s="15">
        <v>9</v>
      </c>
      <c r="G313" s="15" t="s">
        <v>25</v>
      </c>
      <c r="H313" s="15" t="s">
        <v>46</v>
      </c>
      <c r="I313" s="15" t="s">
        <v>155</v>
      </c>
      <c r="J313" s="57">
        <v>85</v>
      </c>
    </row>
    <row r="314" spans="1:10" hidden="1" x14ac:dyDescent="0.3">
      <c r="A314" s="4" t="s">
        <v>618</v>
      </c>
      <c r="B314" s="2" t="s">
        <v>73</v>
      </c>
      <c r="C314" s="2" t="s">
        <v>85</v>
      </c>
      <c r="D314" s="2" t="s">
        <v>31</v>
      </c>
      <c r="E314" s="2">
        <v>14</v>
      </c>
      <c r="F314" s="2">
        <v>11</v>
      </c>
      <c r="G314" s="2" t="s">
        <v>25</v>
      </c>
      <c r="H314" s="2" t="s">
        <v>20</v>
      </c>
      <c r="I314" s="2" t="s">
        <v>619</v>
      </c>
      <c r="J314" s="5">
        <v>67</v>
      </c>
    </row>
    <row r="315" spans="1:10" hidden="1" x14ac:dyDescent="0.3">
      <c r="A315" s="4" t="s">
        <v>620</v>
      </c>
      <c r="B315" s="2" t="s">
        <v>84</v>
      </c>
      <c r="C315" s="2" t="s">
        <v>24</v>
      </c>
      <c r="D315" s="2" t="s">
        <v>31</v>
      </c>
      <c r="E315" s="2">
        <v>19</v>
      </c>
      <c r="F315" s="2">
        <v>12</v>
      </c>
      <c r="G315" s="2" t="s">
        <v>14</v>
      </c>
      <c r="H315" s="2" t="s">
        <v>61</v>
      </c>
      <c r="I315" s="2" t="s">
        <v>621</v>
      </c>
      <c r="J315" s="5">
        <v>77</v>
      </c>
    </row>
    <row r="316" spans="1:10" hidden="1" x14ac:dyDescent="0.3">
      <c r="A316" s="4" t="s">
        <v>622</v>
      </c>
      <c r="B316" s="2" t="s">
        <v>23</v>
      </c>
      <c r="C316" s="2" t="s">
        <v>96</v>
      </c>
      <c r="D316" s="2" t="s">
        <v>31</v>
      </c>
      <c r="E316" s="2">
        <v>17</v>
      </c>
      <c r="F316" s="2">
        <v>12</v>
      </c>
      <c r="G316" s="2" t="s">
        <v>43</v>
      </c>
      <c r="H316" s="2" t="s">
        <v>46</v>
      </c>
      <c r="I316" s="2" t="s">
        <v>170</v>
      </c>
      <c r="J316" s="5">
        <v>62</v>
      </c>
    </row>
    <row r="317" spans="1:10" hidden="1" x14ac:dyDescent="0.3">
      <c r="A317" s="4" t="s">
        <v>623</v>
      </c>
      <c r="B317" s="2" t="s">
        <v>29</v>
      </c>
      <c r="C317" s="2" t="s">
        <v>12</v>
      </c>
      <c r="D317" s="2" t="s">
        <v>31</v>
      </c>
      <c r="E317" s="2">
        <v>19</v>
      </c>
      <c r="F317" s="2">
        <v>11</v>
      </c>
      <c r="G317" s="2" t="s">
        <v>25</v>
      </c>
      <c r="H317" s="2" t="s">
        <v>76</v>
      </c>
      <c r="I317" s="2" t="s">
        <v>624</v>
      </c>
      <c r="J317" s="5">
        <v>49</v>
      </c>
    </row>
    <row r="318" spans="1:10" x14ac:dyDescent="0.3">
      <c r="A318" s="19" t="s">
        <v>625</v>
      </c>
      <c r="B318" s="15" t="s">
        <v>68</v>
      </c>
      <c r="C318" s="15" t="s">
        <v>96</v>
      </c>
      <c r="D318" s="15" t="s">
        <v>31</v>
      </c>
      <c r="E318" s="15">
        <v>19</v>
      </c>
      <c r="F318" s="15">
        <v>12</v>
      </c>
      <c r="G318" s="15" t="s">
        <v>32</v>
      </c>
      <c r="H318" s="15" t="s">
        <v>15</v>
      </c>
      <c r="I318" s="15" t="s">
        <v>626</v>
      </c>
      <c r="J318" s="57">
        <v>86</v>
      </c>
    </row>
    <row r="319" spans="1:10" x14ac:dyDescent="0.3">
      <c r="A319" s="19" t="s">
        <v>627</v>
      </c>
      <c r="B319" s="15" t="s">
        <v>35</v>
      </c>
      <c r="C319" s="15" t="s">
        <v>85</v>
      </c>
      <c r="D319" s="15" t="s">
        <v>31</v>
      </c>
      <c r="E319" s="15">
        <v>16</v>
      </c>
      <c r="F319" s="15">
        <v>9</v>
      </c>
      <c r="G319" s="15" t="s">
        <v>43</v>
      </c>
      <c r="H319" s="15" t="s">
        <v>20</v>
      </c>
      <c r="I319" s="15" t="s">
        <v>628</v>
      </c>
      <c r="J319" s="57">
        <v>84</v>
      </c>
    </row>
    <row r="320" spans="1:10" x14ac:dyDescent="0.3">
      <c r="A320" s="19" t="s">
        <v>629</v>
      </c>
      <c r="B320" s="15" t="s">
        <v>35</v>
      </c>
      <c r="C320" s="15" t="s">
        <v>58</v>
      </c>
      <c r="D320" s="15" t="s">
        <v>13</v>
      </c>
      <c r="E320" s="15">
        <v>18</v>
      </c>
      <c r="F320" s="15">
        <v>9</v>
      </c>
      <c r="G320" s="15" t="s">
        <v>25</v>
      </c>
      <c r="H320" s="15" t="s">
        <v>76</v>
      </c>
      <c r="I320" s="15" t="s">
        <v>105</v>
      </c>
      <c r="J320" s="57">
        <v>82</v>
      </c>
    </row>
    <row r="321" spans="1:10" hidden="1" x14ac:dyDescent="0.3">
      <c r="A321" s="4" t="s">
        <v>630</v>
      </c>
      <c r="B321" s="2" t="s">
        <v>84</v>
      </c>
      <c r="C321" s="2" t="s">
        <v>96</v>
      </c>
      <c r="D321" s="2" t="s">
        <v>31</v>
      </c>
      <c r="E321" s="2">
        <v>19</v>
      </c>
      <c r="F321" s="2">
        <v>10</v>
      </c>
      <c r="G321" s="2" t="s">
        <v>43</v>
      </c>
      <c r="H321" s="2" t="s">
        <v>20</v>
      </c>
      <c r="I321" s="2" t="s">
        <v>631</v>
      </c>
      <c r="J321" s="5">
        <v>63</v>
      </c>
    </row>
    <row r="322" spans="1:10" x14ac:dyDescent="0.3">
      <c r="A322" s="19" t="s">
        <v>632</v>
      </c>
      <c r="B322" s="15" t="s">
        <v>54</v>
      </c>
      <c r="C322" s="15" t="s">
        <v>55</v>
      </c>
      <c r="D322" s="15" t="s">
        <v>31</v>
      </c>
      <c r="E322" s="15">
        <v>19</v>
      </c>
      <c r="F322" s="15">
        <v>11</v>
      </c>
      <c r="G322" s="15" t="s">
        <v>25</v>
      </c>
      <c r="H322" s="15" t="s">
        <v>61</v>
      </c>
      <c r="I322" s="15" t="s">
        <v>633</v>
      </c>
      <c r="J322" s="57">
        <v>82</v>
      </c>
    </row>
    <row r="323" spans="1:10" hidden="1" x14ac:dyDescent="0.3">
      <c r="A323" s="4" t="s">
        <v>634</v>
      </c>
      <c r="B323" s="2" t="s">
        <v>54</v>
      </c>
      <c r="C323" s="2" t="s">
        <v>30</v>
      </c>
      <c r="D323" s="2" t="s">
        <v>31</v>
      </c>
      <c r="E323" s="2">
        <v>15</v>
      </c>
      <c r="F323" s="2">
        <v>9</v>
      </c>
      <c r="G323" s="2" t="s">
        <v>25</v>
      </c>
      <c r="H323" s="2" t="s">
        <v>40</v>
      </c>
      <c r="I323" s="2" t="s">
        <v>635</v>
      </c>
      <c r="J323" s="5">
        <v>53</v>
      </c>
    </row>
    <row r="324" spans="1:10" x14ac:dyDescent="0.3">
      <c r="A324" s="19" t="s">
        <v>636</v>
      </c>
      <c r="B324" s="15" t="s">
        <v>11</v>
      </c>
      <c r="C324" s="15" t="s">
        <v>79</v>
      </c>
      <c r="D324" s="15" t="s">
        <v>13</v>
      </c>
      <c r="E324" s="15">
        <v>19</v>
      </c>
      <c r="F324" s="15">
        <v>9</v>
      </c>
      <c r="G324" s="15" t="s">
        <v>32</v>
      </c>
      <c r="H324" s="15" t="s">
        <v>76</v>
      </c>
      <c r="I324" s="15" t="s">
        <v>637</v>
      </c>
      <c r="J324" s="57">
        <v>97</v>
      </c>
    </row>
    <row r="325" spans="1:10" hidden="1" x14ac:dyDescent="0.3">
      <c r="A325" s="4" t="s">
        <v>638</v>
      </c>
      <c r="B325" s="2" t="s">
        <v>54</v>
      </c>
      <c r="C325" s="2" t="s">
        <v>12</v>
      </c>
      <c r="D325" s="2" t="s">
        <v>31</v>
      </c>
      <c r="E325" s="2">
        <v>15</v>
      </c>
      <c r="F325" s="2">
        <v>12</v>
      </c>
      <c r="G325" s="2" t="s">
        <v>43</v>
      </c>
      <c r="H325" s="2" t="s">
        <v>76</v>
      </c>
      <c r="I325" s="2" t="s">
        <v>639</v>
      </c>
      <c r="J325" s="5">
        <v>51</v>
      </c>
    </row>
    <row r="326" spans="1:10" hidden="1" x14ac:dyDescent="0.3">
      <c r="A326" s="4" t="s">
        <v>640</v>
      </c>
      <c r="B326" s="2" t="s">
        <v>84</v>
      </c>
      <c r="C326" s="2" t="s">
        <v>79</v>
      </c>
      <c r="D326" s="2" t="s">
        <v>31</v>
      </c>
      <c r="E326" s="2">
        <v>14</v>
      </c>
      <c r="F326" s="2">
        <v>9</v>
      </c>
      <c r="G326" s="2" t="s">
        <v>14</v>
      </c>
      <c r="H326" s="2" t="s">
        <v>37</v>
      </c>
      <c r="I326" s="2" t="s">
        <v>641</v>
      </c>
      <c r="J326" s="5">
        <v>43</v>
      </c>
    </row>
    <row r="327" spans="1:10" hidden="1" x14ac:dyDescent="0.3">
      <c r="A327" s="4" t="s">
        <v>642</v>
      </c>
      <c r="B327" s="2" t="s">
        <v>18</v>
      </c>
      <c r="C327" s="2" t="s">
        <v>19</v>
      </c>
      <c r="D327" s="2" t="s">
        <v>13</v>
      </c>
      <c r="E327" s="2">
        <v>14</v>
      </c>
      <c r="F327" s="2">
        <v>9</v>
      </c>
      <c r="G327" s="2" t="s">
        <v>43</v>
      </c>
      <c r="H327" s="2" t="s">
        <v>20</v>
      </c>
      <c r="I327" s="2" t="s">
        <v>643</v>
      </c>
      <c r="J327" s="5">
        <v>57</v>
      </c>
    </row>
    <row r="328" spans="1:10" x14ac:dyDescent="0.3">
      <c r="A328" s="19" t="s">
        <v>644</v>
      </c>
      <c r="B328" s="15" t="s">
        <v>51</v>
      </c>
      <c r="C328" s="15" t="s">
        <v>36</v>
      </c>
      <c r="D328" s="15" t="s">
        <v>31</v>
      </c>
      <c r="E328" s="15">
        <v>16</v>
      </c>
      <c r="F328" s="15">
        <v>11</v>
      </c>
      <c r="G328" s="15" t="s">
        <v>43</v>
      </c>
      <c r="H328" s="15" t="s">
        <v>20</v>
      </c>
      <c r="I328" s="15" t="s">
        <v>645</v>
      </c>
      <c r="J328" s="57">
        <v>81</v>
      </c>
    </row>
    <row r="329" spans="1:10" x14ac:dyDescent="0.3">
      <c r="A329" s="19" t="s">
        <v>646</v>
      </c>
      <c r="B329" s="15" t="s">
        <v>84</v>
      </c>
      <c r="C329" s="15" t="s">
        <v>12</v>
      </c>
      <c r="D329" s="15" t="s">
        <v>31</v>
      </c>
      <c r="E329" s="15">
        <v>17</v>
      </c>
      <c r="F329" s="15">
        <v>12</v>
      </c>
      <c r="G329" s="15" t="s">
        <v>25</v>
      </c>
      <c r="H329" s="15" t="s">
        <v>76</v>
      </c>
      <c r="I329" s="15" t="s">
        <v>647</v>
      </c>
      <c r="J329" s="57">
        <v>83</v>
      </c>
    </row>
    <row r="330" spans="1:10" hidden="1" x14ac:dyDescent="0.3">
      <c r="A330" s="4" t="s">
        <v>648</v>
      </c>
      <c r="B330" s="2" t="s">
        <v>51</v>
      </c>
      <c r="C330" s="2" t="s">
        <v>79</v>
      </c>
      <c r="D330" s="2" t="s">
        <v>13</v>
      </c>
      <c r="E330" s="2">
        <v>14</v>
      </c>
      <c r="F330" s="2">
        <v>9</v>
      </c>
      <c r="G330" s="2" t="s">
        <v>25</v>
      </c>
      <c r="H330" s="2" t="s">
        <v>15</v>
      </c>
      <c r="I330" s="2" t="s">
        <v>649</v>
      </c>
      <c r="J330" s="5">
        <v>77</v>
      </c>
    </row>
    <row r="331" spans="1:10" hidden="1" x14ac:dyDescent="0.3">
      <c r="A331" s="4" t="s">
        <v>650</v>
      </c>
      <c r="B331" s="2" t="s">
        <v>23</v>
      </c>
      <c r="C331" s="2" t="s">
        <v>24</v>
      </c>
      <c r="D331" s="2" t="s">
        <v>13</v>
      </c>
      <c r="E331" s="2">
        <v>17</v>
      </c>
      <c r="F331" s="2">
        <v>12</v>
      </c>
      <c r="G331" s="2" t="s">
        <v>25</v>
      </c>
      <c r="H331" s="2" t="s">
        <v>46</v>
      </c>
      <c r="I331" s="2" t="s">
        <v>651</v>
      </c>
      <c r="J331" s="5">
        <v>45</v>
      </c>
    </row>
    <row r="332" spans="1:10" hidden="1" x14ac:dyDescent="0.3">
      <c r="A332" s="4" t="s">
        <v>652</v>
      </c>
      <c r="B332" s="2" t="s">
        <v>51</v>
      </c>
      <c r="C332" s="2" t="s">
        <v>55</v>
      </c>
      <c r="D332" s="2" t="s">
        <v>13</v>
      </c>
      <c r="E332" s="2">
        <v>16</v>
      </c>
      <c r="F332" s="2">
        <v>12</v>
      </c>
      <c r="G332" s="2" t="s">
        <v>32</v>
      </c>
      <c r="H332" s="2" t="s">
        <v>61</v>
      </c>
      <c r="I332" s="2" t="s">
        <v>653</v>
      </c>
      <c r="J332" s="5">
        <v>45</v>
      </c>
    </row>
    <row r="333" spans="1:10" hidden="1" x14ac:dyDescent="0.3">
      <c r="A333" s="4" t="s">
        <v>654</v>
      </c>
      <c r="B333" s="2" t="s">
        <v>18</v>
      </c>
      <c r="C333" s="2" t="s">
        <v>24</v>
      </c>
      <c r="D333" s="2" t="s">
        <v>31</v>
      </c>
      <c r="E333" s="2">
        <v>14</v>
      </c>
      <c r="F333" s="2">
        <v>12</v>
      </c>
      <c r="G333" s="2" t="s">
        <v>14</v>
      </c>
      <c r="H333" s="2" t="s">
        <v>46</v>
      </c>
      <c r="I333" s="2" t="s">
        <v>655</v>
      </c>
      <c r="J333" s="5">
        <v>42</v>
      </c>
    </row>
    <row r="334" spans="1:10" x14ac:dyDescent="0.3">
      <c r="A334" s="19" t="s">
        <v>656</v>
      </c>
      <c r="B334" s="15" t="s">
        <v>29</v>
      </c>
      <c r="C334" s="15" t="s">
        <v>30</v>
      </c>
      <c r="D334" s="15" t="s">
        <v>13</v>
      </c>
      <c r="E334" s="15">
        <v>19</v>
      </c>
      <c r="F334" s="15">
        <v>10</v>
      </c>
      <c r="G334" s="15" t="s">
        <v>43</v>
      </c>
      <c r="H334" s="15" t="s">
        <v>15</v>
      </c>
      <c r="I334" s="15" t="s">
        <v>657</v>
      </c>
      <c r="J334" s="57">
        <v>85</v>
      </c>
    </row>
    <row r="335" spans="1:10" hidden="1" x14ac:dyDescent="0.3">
      <c r="A335" s="4" t="s">
        <v>658</v>
      </c>
      <c r="B335" s="2" t="s">
        <v>11</v>
      </c>
      <c r="C335" s="2" t="s">
        <v>96</v>
      </c>
      <c r="D335" s="2" t="s">
        <v>31</v>
      </c>
      <c r="E335" s="2">
        <v>20</v>
      </c>
      <c r="F335" s="2">
        <v>10</v>
      </c>
      <c r="G335" s="2" t="s">
        <v>43</v>
      </c>
      <c r="H335" s="2" t="s">
        <v>37</v>
      </c>
      <c r="I335" s="2" t="s">
        <v>659</v>
      </c>
      <c r="J335" s="5">
        <v>62</v>
      </c>
    </row>
    <row r="336" spans="1:10" x14ac:dyDescent="0.3">
      <c r="A336" s="19" t="s">
        <v>660</v>
      </c>
      <c r="B336" s="15" t="s">
        <v>23</v>
      </c>
      <c r="C336" s="15" t="s">
        <v>12</v>
      </c>
      <c r="D336" s="15" t="s">
        <v>13</v>
      </c>
      <c r="E336" s="15">
        <v>16</v>
      </c>
      <c r="F336" s="15">
        <v>11</v>
      </c>
      <c r="G336" s="15" t="s">
        <v>25</v>
      </c>
      <c r="H336" s="15" t="s">
        <v>40</v>
      </c>
      <c r="I336" s="15" t="s">
        <v>41</v>
      </c>
      <c r="J336" s="57">
        <v>86</v>
      </c>
    </row>
    <row r="337" spans="1:10" hidden="1" x14ac:dyDescent="0.3">
      <c r="A337" s="4" t="s">
        <v>661</v>
      </c>
      <c r="B337" s="2" t="s">
        <v>54</v>
      </c>
      <c r="C337" s="2" t="s">
        <v>12</v>
      </c>
      <c r="D337" s="2" t="s">
        <v>31</v>
      </c>
      <c r="E337" s="2">
        <v>19</v>
      </c>
      <c r="F337" s="2">
        <v>10</v>
      </c>
      <c r="G337" s="2" t="s">
        <v>14</v>
      </c>
      <c r="H337" s="2" t="s">
        <v>76</v>
      </c>
      <c r="I337" s="2" t="s">
        <v>662</v>
      </c>
      <c r="J337" s="5">
        <v>54</v>
      </c>
    </row>
    <row r="338" spans="1:10" hidden="1" x14ac:dyDescent="0.3">
      <c r="A338" s="4" t="s">
        <v>663</v>
      </c>
      <c r="B338" s="2" t="s">
        <v>73</v>
      </c>
      <c r="C338" s="2" t="s">
        <v>36</v>
      </c>
      <c r="D338" s="2" t="s">
        <v>13</v>
      </c>
      <c r="E338" s="2">
        <v>20</v>
      </c>
      <c r="F338" s="2">
        <v>12</v>
      </c>
      <c r="G338" s="2" t="s">
        <v>25</v>
      </c>
      <c r="H338" s="2" t="s">
        <v>40</v>
      </c>
      <c r="I338" s="2" t="s">
        <v>664</v>
      </c>
      <c r="J338" s="5">
        <v>50</v>
      </c>
    </row>
    <row r="339" spans="1:10" hidden="1" x14ac:dyDescent="0.3">
      <c r="A339" s="4" t="s">
        <v>665</v>
      </c>
      <c r="B339" s="2" t="s">
        <v>51</v>
      </c>
      <c r="C339" s="2" t="s">
        <v>96</v>
      </c>
      <c r="D339" s="2" t="s">
        <v>13</v>
      </c>
      <c r="E339" s="2">
        <v>14</v>
      </c>
      <c r="F339" s="2">
        <v>10</v>
      </c>
      <c r="G339" s="2" t="s">
        <v>14</v>
      </c>
      <c r="H339" s="2" t="s">
        <v>37</v>
      </c>
      <c r="I339" s="2" t="s">
        <v>666</v>
      </c>
      <c r="J339" s="5">
        <v>68</v>
      </c>
    </row>
    <row r="340" spans="1:10" x14ac:dyDescent="0.3">
      <c r="A340" s="19" t="s">
        <v>667</v>
      </c>
      <c r="B340" s="15" t="s">
        <v>35</v>
      </c>
      <c r="C340" s="15" t="s">
        <v>12</v>
      </c>
      <c r="D340" s="15" t="s">
        <v>31</v>
      </c>
      <c r="E340" s="15">
        <v>15</v>
      </c>
      <c r="F340" s="15">
        <v>12</v>
      </c>
      <c r="G340" s="15" t="s">
        <v>14</v>
      </c>
      <c r="H340" s="15" t="s">
        <v>46</v>
      </c>
      <c r="I340" s="15" t="s">
        <v>668</v>
      </c>
      <c r="J340" s="57">
        <v>82</v>
      </c>
    </row>
    <row r="341" spans="1:10" hidden="1" x14ac:dyDescent="0.3">
      <c r="A341" s="4" t="s">
        <v>669</v>
      </c>
      <c r="B341" s="2" t="s">
        <v>11</v>
      </c>
      <c r="C341" s="2" t="s">
        <v>24</v>
      </c>
      <c r="D341" s="2" t="s">
        <v>13</v>
      </c>
      <c r="E341" s="2">
        <v>19</v>
      </c>
      <c r="F341" s="2">
        <v>9</v>
      </c>
      <c r="G341" s="2" t="s">
        <v>32</v>
      </c>
      <c r="H341" s="2" t="s">
        <v>40</v>
      </c>
      <c r="I341" s="2" t="s">
        <v>670</v>
      </c>
      <c r="J341" s="5">
        <v>51</v>
      </c>
    </row>
    <row r="342" spans="1:10" hidden="1" x14ac:dyDescent="0.3">
      <c r="A342" s="4" t="s">
        <v>671</v>
      </c>
      <c r="B342" s="2" t="s">
        <v>11</v>
      </c>
      <c r="C342" s="2" t="s">
        <v>36</v>
      </c>
      <c r="D342" s="2" t="s">
        <v>13</v>
      </c>
      <c r="E342" s="2">
        <v>14</v>
      </c>
      <c r="F342" s="2">
        <v>10</v>
      </c>
      <c r="G342" s="2" t="s">
        <v>32</v>
      </c>
      <c r="H342" s="2" t="s">
        <v>40</v>
      </c>
      <c r="I342" s="2" t="s">
        <v>672</v>
      </c>
      <c r="J342" s="5">
        <v>64</v>
      </c>
    </row>
    <row r="343" spans="1:10" x14ac:dyDescent="0.3">
      <c r="A343" s="19" t="s">
        <v>673</v>
      </c>
      <c r="B343" s="15" t="s">
        <v>11</v>
      </c>
      <c r="C343" s="15" t="s">
        <v>19</v>
      </c>
      <c r="D343" s="15" t="s">
        <v>31</v>
      </c>
      <c r="E343" s="15">
        <v>17</v>
      </c>
      <c r="F343" s="15">
        <v>10</v>
      </c>
      <c r="G343" s="15" t="s">
        <v>32</v>
      </c>
      <c r="H343" s="15" t="s">
        <v>46</v>
      </c>
      <c r="I343" s="15" t="s">
        <v>674</v>
      </c>
      <c r="J343" s="57">
        <v>85</v>
      </c>
    </row>
    <row r="344" spans="1:10" hidden="1" x14ac:dyDescent="0.3">
      <c r="A344" s="4" t="s">
        <v>675</v>
      </c>
      <c r="B344" s="2" t="s">
        <v>73</v>
      </c>
      <c r="C344" s="2" t="s">
        <v>24</v>
      </c>
      <c r="D344" s="2" t="s">
        <v>13</v>
      </c>
      <c r="E344" s="2">
        <v>19</v>
      </c>
      <c r="F344" s="2">
        <v>11</v>
      </c>
      <c r="G344" s="2" t="s">
        <v>14</v>
      </c>
      <c r="H344" s="2" t="s">
        <v>37</v>
      </c>
      <c r="I344" s="2" t="s">
        <v>676</v>
      </c>
      <c r="J344" s="5">
        <v>51</v>
      </c>
    </row>
    <row r="345" spans="1:10" hidden="1" x14ac:dyDescent="0.3">
      <c r="A345" s="4" t="s">
        <v>677</v>
      </c>
      <c r="B345" s="2" t="s">
        <v>23</v>
      </c>
      <c r="C345" s="2" t="s">
        <v>85</v>
      </c>
      <c r="D345" s="2" t="s">
        <v>13</v>
      </c>
      <c r="E345" s="2">
        <v>20</v>
      </c>
      <c r="F345" s="2">
        <v>10</v>
      </c>
      <c r="G345" s="2" t="s">
        <v>32</v>
      </c>
      <c r="H345" s="2" t="s">
        <v>40</v>
      </c>
      <c r="I345" s="2" t="s">
        <v>678</v>
      </c>
      <c r="J345" s="5">
        <v>56</v>
      </c>
    </row>
    <row r="346" spans="1:10" hidden="1" x14ac:dyDescent="0.3">
      <c r="A346" s="4" t="s">
        <v>679</v>
      </c>
      <c r="B346" s="2" t="s">
        <v>18</v>
      </c>
      <c r="C346" s="2" t="s">
        <v>96</v>
      </c>
      <c r="D346" s="2" t="s">
        <v>13</v>
      </c>
      <c r="E346" s="2">
        <v>14</v>
      </c>
      <c r="F346" s="2">
        <v>12</v>
      </c>
      <c r="G346" s="2" t="s">
        <v>32</v>
      </c>
      <c r="H346" s="2" t="s">
        <v>46</v>
      </c>
      <c r="I346" s="2" t="s">
        <v>680</v>
      </c>
      <c r="J346" s="5">
        <v>44</v>
      </c>
    </row>
    <row r="347" spans="1:10" hidden="1" x14ac:dyDescent="0.3">
      <c r="A347" s="4" t="s">
        <v>681</v>
      </c>
      <c r="B347" s="2" t="s">
        <v>35</v>
      </c>
      <c r="C347" s="2" t="s">
        <v>36</v>
      </c>
      <c r="D347" s="2" t="s">
        <v>13</v>
      </c>
      <c r="E347" s="2">
        <v>14</v>
      </c>
      <c r="F347" s="2">
        <v>9</v>
      </c>
      <c r="G347" s="2" t="s">
        <v>43</v>
      </c>
      <c r="H347" s="2" t="s">
        <v>46</v>
      </c>
      <c r="I347" s="2" t="s">
        <v>682</v>
      </c>
      <c r="J347" s="5">
        <v>67</v>
      </c>
    </row>
    <row r="348" spans="1:10" hidden="1" x14ac:dyDescent="0.3">
      <c r="A348" s="4" t="s">
        <v>683</v>
      </c>
      <c r="B348" s="2" t="s">
        <v>84</v>
      </c>
      <c r="C348" s="2" t="s">
        <v>55</v>
      </c>
      <c r="D348" s="2" t="s">
        <v>31</v>
      </c>
      <c r="E348" s="2">
        <v>16</v>
      </c>
      <c r="F348" s="2">
        <v>12</v>
      </c>
      <c r="G348" s="2" t="s">
        <v>14</v>
      </c>
      <c r="H348" s="2" t="s">
        <v>76</v>
      </c>
      <c r="I348" s="2" t="s">
        <v>125</v>
      </c>
      <c r="J348" s="5">
        <v>60</v>
      </c>
    </row>
    <row r="349" spans="1:10" hidden="1" x14ac:dyDescent="0.3">
      <c r="A349" s="4" t="s">
        <v>684</v>
      </c>
      <c r="B349" s="2" t="s">
        <v>54</v>
      </c>
      <c r="C349" s="2" t="s">
        <v>24</v>
      </c>
      <c r="D349" s="2" t="s">
        <v>31</v>
      </c>
      <c r="E349" s="2">
        <v>17</v>
      </c>
      <c r="F349" s="2">
        <v>10</v>
      </c>
      <c r="G349" s="2" t="s">
        <v>43</v>
      </c>
      <c r="H349" s="2" t="s">
        <v>46</v>
      </c>
      <c r="I349" s="2" t="s">
        <v>685</v>
      </c>
      <c r="J349" s="5">
        <v>74</v>
      </c>
    </row>
    <row r="350" spans="1:10" hidden="1" x14ac:dyDescent="0.3">
      <c r="A350" s="4" t="s">
        <v>686</v>
      </c>
      <c r="B350" s="2" t="s">
        <v>23</v>
      </c>
      <c r="C350" s="2" t="s">
        <v>96</v>
      </c>
      <c r="D350" s="2" t="s">
        <v>31</v>
      </c>
      <c r="E350" s="2">
        <v>16</v>
      </c>
      <c r="F350" s="2">
        <v>9</v>
      </c>
      <c r="G350" s="2" t="s">
        <v>25</v>
      </c>
      <c r="H350" s="2" t="s">
        <v>20</v>
      </c>
      <c r="I350" s="2" t="s">
        <v>277</v>
      </c>
      <c r="J350" s="5">
        <v>71</v>
      </c>
    </row>
    <row r="351" spans="1:10" hidden="1" x14ac:dyDescent="0.3">
      <c r="A351" s="4" t="s">
        <v>687</v>
      </c>
      <c r="B351" s="2" t="s">
        <v>84</v>
      </c>
      <c r="C351" s="2" t="s">
        <v>19</v>
      </c>
      <c r="D351" s="2" t="s">
        <v>13</v>
      </c>
      <c r="E351" s="2">
        <v>16</v>
      </c>
      <c r="F351" s="2">
        <v>10</v>
      </c>
      <c r="G351" s="2" t="s">
        <v>25</v>
      </c>
      <c r="H351" s="2" t="s">
        <v>46</v>
      </c>
      <c r="I351" s="2" t="s">
        <v>564</v>
      </c>
      <c r="J351" s="5">
        <v>52</v>
      </c>
    </row>
    <row r="352" spans="1:10" hidden="1" x14ac:dyDescent="0.3">
      <c r="A352" s="4" t="s">
        <v>688</v>
      </c>
      <c r="B352" s="2" t="s">
        <v>23</v>
      </c>
      <c r="C352" s="2" t="s">
        <v>96</v>
      </c>
      <c r="D352" s="2" t="s">
        <v>31</v>
      </c>
      <c r="E352" s="2">
        <v>19</v>
      </c>
      <c r="F352" s="2">
        <v>10</v>
      </c>
      <c r="G352" s="2" t="s">
        <v>25</v>
      </c>
      <c r="H352" s="2" t="s">
        <v>40</v>
      </c>
      <c r="I352" s="2" t="s">
        <v>195</v>
      </c>
      <c r="J352" s="5">
        <v>55</v>
      </c>
    </row>
    <row r="353" spans="1:10" hidden="1" x14ac:dyDescent="0.3">
      <c r="A353" s="4" t="s">
        <v>689</v>
      </c>
      <c r="B353" s="2" t="s">
        <v>68</v>
      </c>
      <c r="C353" s="2" t="s">
        <v>96</v>
      </c>
      <c r="D353" s="2" t="s">
        <v>13</v>
      </c>
      <c r="E353" s="2">
        <v>20</v>
      </c>
      <c r="F353" s="2">
        <v>12</v>
      </c>
      <c r="G353" s="2" t="s">
        <v>43</v>
      </c>
      <c r="H353" s="2" t="s">
        <v>20</v>
      </c>
      <c r="I353" s="2" t="s">
        <v>626</v>
      </c>
      <c r="J353" s="5">
        <v>48</v>
      </c>
    </row>
    <row r="354" spans="1:10" x14ac:dyDescent="0.3">
      <c r="A354" s="19" t="s">
        <v>690</v>
      </c>
      <c r="B354" s="15" t="s">
        <v>23</v>
      </c>
      <c r="C354" s="15" t="s">
        <v>85</v>
      </c>
      <c r="D354" s="15" t="s">
        <v>13</v>
      </c>
      <c r="E354" s="15">
        <v>19</v>
      </c>
      <c r="F354" s="15">
        <v>9</v>
      </c>
      <c r="G354" s="15" t="s">
        <v>14</v>
      </c>
      <c r="H354" s="15" t="s">
        <v>76</v>
      </c>
      <c r="I354" s="15" t="s">
        <v>635</v>
      </c>
      <c r="J354" s="57">
        <v>91</v>
      </c>
    </row>
    <row r="355" spans="1:10" x14ac:dyDescent="0.3">
      <c r="A355" s="19" t="s">
        <v>691</v>
      </c>
      <c r="B355" s="15" t="s">
        <v>84</v>
      </c>
      <c r="C355" s="15" t="s">
        <v>55</v>
      </c>
      <c r="D355" s="15" t="s">
        <v>13</v>
      </c>
      <c r="E355" s="15">
        <v>16</v>
      </c>
      <c r="F355" s="15">
        <v>10</v>
      </c>
      <c r="G355" s="15" t="s">
        <v>43</v>
      </c>
      <c r="H355" s="15" t="s">
        <v>46</v>
      </c>
      <c r="I355" s="15" t="s">
        <v>692</v>
      </c>
      <c r="J355" s="57">
        <v>91</v>
      </c>
    </row>
    <row r="356" spans="1:10" hidden="1" x14ac:dyDescent="0.3">
      <c r="A356" s="4" t="s">
        <v>693</v>
      </c>
      <c r="B356" s="2" t="s">
        <v>73</v>
      </c>
      <c r="C356" s="2" t="s">
        <v>58</v>
      </c>
      <c r="D356" s="2" t="s">
        <v>31</v>
      </c>
      <c r="E356" s="2">
        <v>16</v>
      </c>
      <c r="F356" s="2">
        <v>11</v>
      </c>
      <c r="G356" s="2" t="s">
        <v>25</v>
      </c>
      <c r="H356" s="2" t="s">
        <v>37</v>
      </c>
      <c r="I356" s="2" t="s">
        <v>694</v>
      </c>
      <c r="J356" s="5">
        <v>65</v>
      </c>
    </row>
    <row r="357" spans="1:10" hidden="1" x14ac:dyDescent="0.3">
      <c r="A357" s="4" t="s">
        <v>695</v>
      </c>
      <c r="B357" s="2" t="s">
        <v>51</v>
      </c>
      <c r="C357" s="2" t="s">
        <v>24</v>
      </c>
      <c r="D357" s="2" t="s">
        <v>13</v>
      </c>
      <c r="E357" s="2">
        <v>17</v>
      </c>
      <c r="F357" s="2">
        <v>9</v>
      </c>
      <c r="G357" s="2" t="s">
        <v>32</v>
      </c>
      <c r="H357" s="2" t="s">
        <v>15</v>
      </c>
      <c r="I357" s="2" t="s">
        <v>696</v>
      </c>
      <c r="J357" s="5">
        <v>69</v>
      </c>
    </row>
    <row r="358" spans="1:10" hidden="1" x14ac:dyDescent="0.3">
      <c r="A358" s="4" t="s">
        <v>697</v>
      </c>
      <c r="B358" s="2" t="s">
        <v>29</v>
      </c>
      <c r="C358" s="2" t="s">
        <v>30</v>
      </c>
      <c r="D358" s="2" t="s">
        <v>31</v>
      </c>
      <c r="E358" s="2">
        <v>19</v>
      </c>
      <c r="F358" s="2">
        <v>10</v>
      </c>
      <c r="G358" s="2" t="s">
        <v>25</v>
      </c>
      <c r="H358" s="2" t="s">
        <v>61</v>
      </c>
      <c r="I358" s="2" t="s">
        <v>698</v>
      </c>
      <c r="J358" s="5">
        <v>75</v>
      </c>
    </row>
    <row r="359" spans="1:10" hidden="1" x14ac:dyDescent="0.3">
      <c r="A359" s="4" t="s">
        <v>699</v>
      </c>
      <c r="B359" s="2" t="s">
        <v>11</v>
      </c>
      <c r="C359" s="2" t="s">
        <v>30</v>
      </c>
      <c r="D359" s="2" t="s">
        <v>31</v>
      </c>
      <c r="E359" s="2">
        <v>16</v>
      </c>
      <c r="F359" s="2">
        <v>11</v>
      </c>
      <c r="G359" s="2" t="s">
        <v>43</v>
      </c>
      <c r="H359" s="2" t="s">
        <v>40</v>
      </c>
      <c r="I359" s="2" t="s">
        <v>97</v>
      </c>
      <c r="J359" s="5">
        <v>72</v>
      </c>
    </row>
    <row r="360" spans="1:10" hidden="1" x14ac:dyDescent="0.3">
      <c r="A360" s="4" t="s">
        <v>700</v>
      </c>
      <c r="B360" s="2" t="s">
        <v>23</v>
      </c>
      <c r="C360" s="2" t="s">
        <v>55</v>
      </c>
      <c r="D360" s="2" t="s">
        <v>31</v>
      </c>
      <c r="E360" s="2">
        <v>20</v>
      </c>
      <c r="F360" s="2">
        <v>10</v>
      </c>
      <c r="G360" s="2" t="s">
        <v>14</v>
      </c>
      <c r="H360" s="2" t="s">
        <v>15</v>
      </c>
      <c r="I360" s="2" t="s">
        <v>678</v>
      </c>
      <c r="J360" s="5">
        <v>59</v>
      </c>
    </row>
    <row r="361" spans="1:10" hidden="1" x14ac:dyDescent="0.3">
      <c r="A361" s="4" t="s">
        <v>701</v>
      </c>
      <c r="B361" s="2" t="s">
        <v>54</v>
      </c>
      <c r="C361" s="2" t="s">
        <v>30</v>
      </c>
      <c r="D361" s="2" t="s">
        <v>31</v>
      </c>
      <c r="E361" s="2">
        <v>15</v>
      </c>
      <c r="F361" s="2">
        <v>11</v>
      </c>
      <c r="G361" s="2" t="s">
        <v>14</v>
      </c>
      <c r="H361" s="2" t="s">
        <v>76</v>
      </c>
      <c r="I361" s="2" t="s">
        <v>702</v>
      </c>
      <c r="J361" s="5">
        <v>42</v>
      </c>
    </row>
    <row r="362" spans="1:10" x14ac:dyDescent="0.3">
      <c r="A362" s="19" t="s">
        <v>703</v>
      </c>
      <c r="B362" s="15" t="s">
        <v>73</v>
      </c>
      <c r="C362" s="15" t="s">
        <v>30</v>
      </c>
      <c r="D362" s="15" t="s">
        <v>31</v>
      </c>
      <c r="E362" s="15">
        <v>17</v>
      </c>
      <c r="F362" s="15">
        <v>12</v>
      </c>
      <c r="G362" s="15" t="s">
        <v>32</v>
      </c>
      <c r="H362" s="15" t="s">
        <v>40</v>
      </c>
      <c r="I362" s="15" t="s">
        <v>704</v>
      </c>
      <c r="J362" s="57">
        <v>93</v>
      </c>
    </row>
    <row r="363" spans="1:10" hidden="1" x14ac:dyDescent="0.3">
      <c r="A363" s="4" t="s">
        <v>705</v>
      </c>
      <c r="B363" s="2" t="s">
        <v>84</v>
      </c>
      <c r="C363" s="2" t="s">
        <v>55</v>
      </c>
      <c r="D363" s="2" t="s">
        <v>31</v>
      </c>
      <c r="E363" s="2">
        <v>14</v>
      </c>
      <c r="F363" s="2">
        <v>12</v>
      </c>
      <c r="G363" s="2" t="s">
        <v>43</v>
      </c>
      <c r="H363" s="2" t="s">
        <v>76</v>
      </c>
      <c r="I363" s="2" t="s">
        <v>706</v>
      </c>
      <c r="J363" s="5">
        <v>63</v>
      </c>
    </row>
    <row r="364" spans="1:10" hidden="1" x14ac:dyDescent="0.3">
      <c r="A364" s="4" t="s">
        <v>707</v>
      </c>
      <c r="B364" s="2" t="s">
        <v>68</v>
      </c>
      <c r="C364" s="2" t="s">
        <v>96</v>
      </c>
      <c r="D364" s="2" t="s">
        <v>31</v>
      </c>
      <c r="E364" s="2">
        <v>20</v>
      </c>
      <c r="F364" s="2">
        <v>12</v>
      </c>
      <c r="G364" s="2" t="s">
        <v>43</v>
      </c>
      <c r="H364" s="2" t="s">
        <v>37</v>
      </c>
      <c r="I364" s="2" t="s">
        <v>708</v>
      </c>
      <c r="J364" s="5">
        <v>35</v>
      </c>
    </row>
    <row r="365" spans="1:10" x14ac:dyDescent="0.3">
      <c r="A365" s="19" t="s">
        <v>709</v>
      </c>
      <c r="B365" s="15" t="s">
        <v>54</v>
      </c>
      <c r="C365" s="15" t="s">
        <v>19</v>
      </c>
      <c r="D365" s="15" t="s">
        <v>31</v>
      </c>
      <c r="E365" s="15">
        <v>18</v>
      </c>
      <c r="F365" s="15">
        <v>10</v>
      </c>
      <c r="G365" s="15" t="s">
        <v>43</v>
      </c>
      <c r="H365" s="15" t="s">
        <v>37</v>
      </c>
      <c r="I365" s="15" t="s">
        <v>710</v>
      </c>
      <c r="J365" s="57">
        <v>89</v>
      </c>
    </row>
    <row r="366" spans="1:10" hidden="1" x14ac:dyDescent="0.3">
      <c r="A366" s="4" t="s">
        <v>711</v>
      </c>
      <c r="B366" s="2" t="s">
        <v>29</v>
      </c>
      <c r="C366" s="2" t="s">
        <v>79</v>
      </c>
      <c r="D366" s="2" t="s">
        <v>13</v>
      </c>
      <c r="E366" s="2">
        <v>14</v>
      </c>
      <c r="F366" s="2">
        <v>9</v>
      </c>
      <c r="G366" s="2" t="s">
        <v>32</v>
      </c>
      <c r="H366" s="2" t="s">
        <v>15</v>
      </c>
      <c r="I366" s="2" t="s">
        <v>712</v>
      </c>
      <c r="J366" s="5">
        <v>72</v>
      </c>
    </row>
    <row r="367" spans="1:10" hidden="1" x14ac:dyDescent="0.3">
      <c r="A367" s="4" t="s">
        <v>713</v>
      </c>
      <c r="B367" s="2" t="s">
        <v>29</v>
      </c>
      <c r="C367" s="2" t="s">
        <v>24</v>
      </c>
      <c r="D367" s="2" t="s">
        <v>31</v>
      </c>
      <c r="E367" s="2">
        <v>16</v>
      </c>
      <c r="F367" s="2">
        <v>12</v>
      </c>
      <c r="G367" s="2" t="s">
        <v>32</v>
      </c>
      <c r="H367" s="2" t="s">
        <v>26</v>
      </c>
      <c r="I367" s="2" t="s">
        <v>714</v>
      </c>
      <c r="J367" s="5">
        <v>57</v>
      </c>
    </row>
    <row r="368" spans="1:10" x14ac:dyDescent="0.3">
      <c r="A368" s="19" t="s">
        <v>715</v>
      </c>
      <c r="B368" s="15" t="s">
        <v>51</v>
      </c>
      <c r="C368" s="15" t="s">
        <v>79</v>
      </c>
      <c r="D368" s="15" t="s">
        <v>13</v>
      </c>
      <c r="E368" s="15">
        <v>19</v>
      </c>
      <c r="F368" s="15">
        <v>10</v>
      </c>
      <c r="G368" s="15" t="s">
        <v>32</v>
      </c>
      <c r="H368" s="15" t="s">
        <v>40</v>
      </c>
      <c r="I368" s="15" t="s">
        <v>702</v>
      </c>
      <c r="J368" s="57">
        <v>84</v>
      </c>
    </row>
    <row r="369" spans="1:10" hidden="1" x14ac:dyDescent="0.3">
      <c r="A369" s="4" t="s">
        <v>716</v>
      </c>
      <c r="B369" s="2" t="s">
        <v>23</v>
      </c>
      <c r="C369" s="2" t="s">
        <v>58</v>
      </c>
      <c r="D369" s="2" t="s">
        <v>31</v>
      </c>
      <c r="E369" s="2">
        <v>17</v>
      </c>
      <c r="F369" s="2">
        <v>9</v>
      </c>
      <c r="G369" s="2" t="s">
        <v>25</v>
      </c>
      <c r="H369" s="2" t="s">
        <v>15</v>
      </c>
      <c r="I369" s="2" t="s">
        <v>717</v>
      </c>
      <c r="J369" s="5">
        <v>51</v>
      </c>
    </row>
    <row r="370" spans="1:10" hidden="1" x14ac:dyDescent="0.3">
      <c r="A370" s="4" t="s">
        <v>718</v>
      </c>
      <c r="B370" s="2" t="s">
        <v>84</v>
      </c>
      <c r="C370" s="2" t="s">
        <v>12</v>
      </c>
      <c r="D370" s="2" t="s">
        <v>31</v>
      </c>
      <c r="E370" s="2">
        <v>20</v>
      </c>
      <c r="F370" s="2">
        <v>10</v>
      </c>
      <c r="G370" s="2" t="s">
        <v>25</v>
      </c>
      <c r="H370" s="2" t="s">
        <v>61</v>
      </c>
      <c r="I370" s="2" t="s">
        <v>639</v>
      </c>
      <c r="J370" s="5">
        <v>35</v>
      </c>
    </row>
    <row r="371" spans="1:10" x14ac:dyDescent="0.3">
      <c r="A371" s="19" t="s">
        <v>719</v>
      </c>
      <c r="B371" s="15" t="s">
        <v>18</v>
      </c>
      <c r="C371" s="15" t="s">
        <v>24</v>
      </c>
      <c r="D371" s="15" t="s">
        <v>31</v>
      </c>
      <c r="E371" s="15">
        <v>18</v>
      </c>
      <c r="F371" s="15">
        <v>11</v>
      </c>
      <c r="G371" s="15" t="s">
        <v>43</v>
      </c>
      <c r="H371" s="15" t="s">
        <v>40</v>
      </c>
      <c r="I371" s="15" t="s">
        <v>720</v>
      </c>
      <c r="J371" s="57">
        <v>83</v>
      </c>
    </row>
    <row r="372" spans="1:10" hidden="1" x14ac:dyDescent="0.3">
      <c r="A372" s="4" t="s">
        <v>721</v>
      </c>
      <c r="B372" s="2" t="s">
        <v>23</v>
      </c>
      <c r="C372" s="2" t="s">
        <v>19</v>
      </c>
      <c r="D372" s="2" t="s">
        <v>31</v>
      </c>
      <c r="E372" s="2">
        <v>18</v>
      </c>
      <c r="F372" s="2">
        <v>10</v>
      </c>
      <c r="G372" s="2" t="s">
        <v>14</v>
      </c>
      <c r="H372" s="2" t="s">
        <v>26</v>
      </c>
      <c r="I372" s="2" t="s">
        <v>722</v>
      </c>
      <c r="J372" s="5">
        <v>43</v>
      </c>
    </row>
    <row r="373" spans="1:10" hidden="1" x14ac:dyDescent="0.3">
      <c r="A373" s="4" t="s">
        <v>723</v>
      </c>
      <c r="B373" s="2" t="s">
        <v>68</v>
      </c>
      <c r="C373" s="2" t="s">
        <v>79</v>
      </c>
      <c r="D373" s="2" t="s">
        <v>31</v>
      </c>
      <c r="E373" s="2">
        <v>19</v>
      </c>
      <c r="F373" s="2">
        <v>12</v>
      </c>
      <c r="G373" s="2" t="s">
        <v>25</v>
      </c>
      <c r="H373" s="2" t="s">
        <v>40</v>
      </c>
      <c r="I373" s="2" t="s">
        <v>724</v>
      </c>
      <c r="J373" s="5">
        <v>65</v>
      </c>
    </row>
    <row r="374" spans="1:10" hidden="1" x14ac:dyDescent="0.3">
      <c r="A374" s="4" t="s">
        <v>725</v>
      </c>
      <c r="B374" s="2" t="s">
        <v>11</v>
      </c>
      <c r="C374" s="2" t="s">
        <v>55</v>
      </c>
      <c r="D374" s="2" t="s">
        <v>31</v>
      </c>
      <c r="E374" s="2">
        <v>15</v>
      </c>
      <c r="F374" s="2">
        <v>9</v>
      </c>
      <c r="G374" s="2" t="s">
        <v>25</v>
      </c>
      <c r="H374" s="2" t="s">
        <v>37</v>
      </c>
      <c r="I374" s="2" t="s">
        <v>726</v>
      </c>
      <c r="J374" s="5">
        <v>72</v>
      </c>
    </row>
    <row r="375" spans="1:10" hidden="1" x14ac:dyDescent="0.3">
      <c r="A375" s="4" t="s">
        <v>727</v>
      </c>
      <c r="B375" s="2" t="s">
        <v>68</v>
      </c>
      <c r="C375" s="2" t="s">
        <v>12</v>
      </c>
      <c r="D375" s="2" t="s">
        <v>13</v>
      </c>
      <c r="E375" s="2">
        <v>14</v>
      </c>
      <c r="F375" s="2">
        <v>9</v>
      </c>
      <c r="G375" s="2" t="s">
        <v>14</v>
      </c>
      <c r="H375" s="2" t="s">
        <v>20</v>
      </c>
      <c r="I375" s="2" t="s">
        <v>728</v>
      </c>
      <c r="J375" s="5">
        <v>68</v>
      </c>
    </row>
    <row r="376" spans="1:10" hidden="1" x14ac:dyDescent="0.3">
      <c r="A376" s="4" t="s">
        <v>729</v>
      </c>
      <c r="B376" s="2" t="s">
        <v>35</v>
      </c>
      <c r="C376" s="2" t="s">
        <v>79</v>
      </c>
      <c r="D376" s="2" t="s">
        <v>13</v>
      </c>
      <c r="E376" s="2">
        <v>15</v>
      </c>
      <c r="F376" s="2">
        <v>9</v>
      </c>
      <c r="G376" s="2" t="s">
        <v>43</v>
      </c>
      <c r="H376" s="2" t="s">
        <v>76</v>
      </c>
      <c r="I376" s="2" t="s">
        <v>730</v>
      </c>
      <c r="J376" s="5">
        <v>39</v>
      </c>
    </row>
    <row r="377" spans="1:10" x14ac:dyDescent="0.3">
      <c r="A377" s="19" t="s">
        <v>731</v>
      </c>
      <c r="B377" s="15" t="s">
        <v>84</v>
      </c>
      <c r="C377" s="15" t="s">
        <v>85</v>
      </c>
      <c r="D377" s="15" t="s">
        <v>31</v>
      </c>
      <c r="E377" s="15">
        <v>17</v>
      </c>
      <c r="F377" s="15">
        <v>9</v>
      </c>
      <c r="G377" s="15" t="s">
        <v>43</v>
      </c>
      <c r="H377" s="15" t="s">
        <v>76</v>
      </c>
      <c r="I377" s="15" t="s">
        <v>732</v>
      </c>
      <c r="J377" s="57">
        <v>97</v>
      </c>
    </row>
    <row r="378" spans="1:10" hidden="1" x14ac:dyDescent="0.3">
      <c r="A378" s="4" t="s">
        <v>733</v>
      </c>
      <c r="B378" s="2" t="s">
        <v>84</v>
      </c>
      <c r="C378" s="2" t="s">
        <v>85</v>
      </c>
      <c r="D378" s="2" t="s">
        <v>31</v>
      </c>
      <c r="E378" s="2">
        <v>17</v>
      </c>
      <c r="F378" s="2">
        <v>12</v>
      </c>
      <c r="G378" s="2" t="s">
        <v>43</v>
      </c>
      <c r="H378" s="2" t="s">
        <v>15</v>
      </c>
      <c r="I378" s="2" t="s">
        <v>734</v>
      </c>
      <c r="J378" s="5">
        <v>77</v>
      </c>
    </row>
    <row r="379" spans="1:10" x14ac:dyDescent="0.3">
      <c r="A379" s="19" t="s">
        <v>735</v>
      </c>
      <c r="B379" s="15" t="s">
        <v>68</v>
      </c>
      <c r="C379" s="15" t="s">
        <v>24</v>
      </c>
      <c r="D379" s="15" t="s">
        <v>31</v>
      </c>
      <c r="E379" s="15">
        <v>16</v>
      </c>
      <c r="F379" s="15">
        <v>12</v>
      </c>
      <c r="G379" s="15" t="s">
        <v>43</v>
      </c>
      <c r="H379" s="15" t="s">
        <v>26</v>
      </c>
      <c r="I379" s="15" t="s">
        <v>736</v>
      </c>
      <c r="J379" s="57">
        <v>85</v>
      </c>
    </row>
    <row r="380" spans="1:10" x14ac:dyDescent="0.3">
      <c r="A380" s="19" t="s">
        <v>737</v>
      </c>
      <c r="B380" s="15" t="s">
        <v>54</v>
      </c>
      <c r="C380" s="15" t="s">
        <v>96</v>
      </c>
      <c r="D380" s="15" t="s">
        <v>13</v>
      </c>
      <c r="E380" s="15">
        <v>19</v>
      </c>
      <c r="F380" s="15">
        <v>12</v>
      </c>
      <c r="G380" s="15" t="s">
        <v>25</v>
      </c>
      <c r="H380" s="15" t="s">
        <v>20</v>
      </c>
      <c r="I380" s="15" t="s">
        <v>738</v>
      </c>
      <c r="J380" s="57">
        <v>85</v>
      </c>
    </row>
    <row r="381" spans="1:10" x14ac:dyDescent="0.3">
      <c r="A381" s="19" t="s">
        <v>739</v>
      </c>
      <c r="B381" s="15" t="s">
        <v>18</v>
      </c>
      <c r="C381" s="15" t="s">
        <v>79</v>
      </c>
      <c r="D381" s="15" t="s">
        <v>31</v>
      </c>
      <c r="E381" s="15">
        <v>14</v>
      </c>
      <c r="F381" s="15">
        <v>10</v>
      </c>
      <c r="G381" s="15" t="s">
        <v>32</v>
      </c>
      <c r="H381" s="15" t="s">
        <v>20</v>
      </c>
      <c r="I381" s="15" t="s">
        <v>740</v>
      </c>
      <c r="J381" s="57">
        <v>99</v>
      </c>
    </row>
    <row r="382" spans="1:10" hidden="1" x14ac:dyDescent="0.3">
      <c r="A382" s="4" t="s">
        <v>741</v>
      </c>
      <c r="B382" s="2" t="s">
        <v>54</v>
      </c>
      <c r="C382" s="2" t="s">
        <v>24</v>
      </c>
      <c r="D382" s="2" t="s">
        <v>13</v>
      </c>
      <c r="E382" s="2">
        <v>14</v>
      </c>
      <c r="F382" s="2">
        <v>9</v>
      </c>
      <c r="G382" s="2" t="s">
        <v>14</v>
      </c>
      <c r="H382" s="2" t="s">
        <v>76</v>
      </c>
      <c r="I382" s="2" t="s">
        <v>742</v>
      </c>
      <c r="J382" s="5">
        <v>55</v>
      </c>
    </row>
    <row r="383" spans="1:10" hidden="1" x14ac:dyDescent="0.3">
      <c r="A383" s="4" t="s">
        <v>743</v>
      </c>
      <c r="B383" s="2" t="s">
        <v>84</v>
      </c>
      <c r="C383" s="2" t="s">
        <v>19</v>
      </c>
      <c r="D383" s="2" t="s">
        <v>13</v>
      </c>
      <c r="E383" s="2">
        <v>15</v>
      </c>
      <c r="F383" s="2">
        <v>10</v>
      </c>
      <c r="G383" s="2" t="s">
        <v>43</v>
      </c>
      <c r="H383" s="2" t="s">
        <v>26</v>
      </c>
      <c r="I383" s="2" t="s">
        <v>744</v>
      </c>
      <c r="J383" s="5">
        <v>60</v>
      </c>
    </row>
    <row r="384" spans="1:10" hidden="1" x14ac:dyDescent="0.3">
      <c r="A384" s="4" t="s">
        <v>745</v>
      </c>
      <c r="B384" s="2" t="s">
        <v>73</v>
      </c>
      <c r="C384" s="2" t="s">
        <v>36</v>
      </c>
      <c r="D384" s="2" t="s">
        <v>13</v>
      </c>
      <c r="E384" s="2">
        <v>16</v>
      </c>
      <c r="F384" s="2">
        <v>9</v>
      </c>
      <c r="G384" s="2" t="s">
        <v>32</v>
      </c>
      <c r="H384" s="2" t="s">
        <v>76</v>
      </c>
      <c r="I384" s="2" t="s">
        <v>746</v>
      </c>
      <c r="J384" s="5">
        <v>38</v>
      </c>
    </row>
    <row r="385" spans="1:10" hidden="1" x14ac:dyDescent="0.3">
      <c r="A385" s="4" t="s">
        <v>747</v>
      </c>
      <c r="B385" s="2" t="s">
        <v>51</v>
      </c>
      <c r="C385" s="2" t="s">
        <v>96</v>
      </c>
      <c r="D385" s="2" t="s">
        <v>13</v>
      </c>
      <c r="E385" s="2">
        <v>17</v>
      </c>
      <c r="F385" s="2">
        <v>12</v>
      </c>
      <c r="G385" s="2" t="s">
        <v>14</v>
      </c>
      <c r="H385" s="2" t="s">
        <v>26</v>
      </c>
      <c r="I385" s="2" t="s">
        <v>748</v>
      </c>
      <c r="J385" s="5">
        <v>67</v>
      </c>
    </row>
    <row r="386" spans="1:10" x14ac:dyDescent="0.3">
      <c r="A386" s="19" t="s">
        <v>749</v>
      </c>
      <c r="B386" s="15" t="s">
        <v>84</v>
      </c>
      <c r="C386" s="15" t="s">
        <v>30</v>
      </c>
      <c r="D386" s="15" t="s">
        <v>13</v>
      </c>
      <c r="E386" s="15">
        <v>15</v>
      </c>
      <c r="F386" s="15">
        <v>12</v>
      </c>
      <c r="G386" s="15" t="s">
        <v>25</v>
      </c>
      <c r="H386" s="15" t="s">
        <v>61</v>
      </c>
      <c r="I386" s="15" t="s">
        <v>750</v>
      </c>
      <c r="J386" s="57">
        <v>95</v>
      </c>
    </row>
    <row r="387" spans="1:10" x14ac:dyDescent="0.3">
      <c r="A387" s="19" t="s">
        <v>751</v>
      </c>
      <c r="B387" s="15" t="s">
        <v>73</v>
      </c>
      <c r="C387" s="15" t="s">
        <v>79</v>
      </c>
      <c r="D387" s="15" t="s">
        <v>31</v>
      </c>
      <c r="E387" s="15">
        <v>20</v>
      </c>
      <c r="F387" s="15">
        <v>12</v>
      </c>
      <c r="G387" s="15" t="s">
        <v>25</v>
      </c>
      <c r="H387" s="15" t="s">
        <v>76</v>
      </c>
      <c r="I387" s="15" t="s">
        <v>752</v>
      </c>
      <c r="J387" s="57">
        <v>91</v>
      </c>
    </row>
    <row r="388" spans="1:10" hidden="1" x14ac:dyDescent="0.3">
      <c r="A388" s="4" t="s">
        <v>753</v>
      </c>
      <c r="B388" s="2" t="s">
        <v>73</v>
      </c>
      <c r="C388" s="2" t="s">
        <v>24</v>
      </c>
      <c r="D388" s="2" t="s">
        <v>13</v>
      </c>
      <c r="E388" s="2">
        <v>18</v>
      </c>
      <c r="F388" s="2">
        <v>11</v>
      </c>
      <c r="G388" s="2" t="s">
        <v>32</v>
      </c>
      <c r="H388" s="2" t="s">
        <v>40</v>
      </c>
      <c r="I388" s="2" t="s">
        <v>313</v>
      </c>
      <c r="J388" s="5">
        <v>58</v>
      </c>
    </row>
    <row r="389" spans="1:10" x14ac:dyDescent="0.3">
      <c r="A389" s="19" t="s">
        <v>754</v>
      </c>
      <c r="B389" s="15" t="s">
        <v>54</v>
      </c>
      <c r="C389" s="15" t="s">
        <v>12</v>
      </c>
      <c r="D389" s="15" t="s">
        <v>13</v>
      </c>
      <c r="E389" s="15">
        <v>14</v>
      </c>
      <c r="F389" s="15">
        <v>12</v>
      </c>
      <c r="G389" s="15" t="s">
        <v>32</v>
      </c>
      <c r="H389" s="15" t="s">
        <v>20</v>
      </c>
      <c r="I389" s="15" t="s">
        <v>755</v>
      </c>
      <c r="J389" s="57">
        <v>98</v>
      </c>
    </row>
    <row r="390" spans="1:10" hidden="1" x14ac:dyDescent="0.3">
      <c r="A390" s="4" t="s">
        <v>756</v>
      </c>
      <c r="B390" s="2" t="s">
        <v>11</v>
      </c>
      <c r="C390" s="2" t="s">
        <v>30</v>
      </c>
      <c r="D390" s="2" t="s">
        <v>13</v>
      </c>
      <c r="E390" s="2">
        <v>15</v>
      </c>
      <c r="F390" s="2">
        <v>11</v>
      </c>
      <c r="G390" s="2" t="s">
        <v>14</v>
      </c>
      <c r="H390" s="2" t="s">
        <v>76</v>
      </c>
      <c r="I390" s="2" t="s">
        <v>757</v>
      </c>
      <c r="J390" s="5">
        <v>39</v>
      </c>
    </row>
    <row r="391" spans="1:10" hidden="1" x14ac:dyDescent="0.3">
      <c r="A391" s="4" t="s">
        <v>758</v>
      </c>
      <c r="B391" s="2" t="s">
        <v>73</v>
      </c>
      <c r="C391" s="2" t="s">
        <v>12</v>
      </c>
      <c r="D391" s="2" t="s">
        <v>31</v>
      </c>
      <c r="E391" s="2">
        <v>16</v>
      </c>
      <c r="F391" s="2">
        <v>11</v>
      </c>
      <c r="G391" s="2" t="s">
        <v>43</v>
      </c>
      <c r="H391" s="2" t="s">
        <v>40</v>
      </c>
      <c r="I391" s="2" t="s">
        <v>759</v>
      </c>
      <c r="J391" s="5">
        <v>70</v>
      </c>
    </row>
    <row r="392" spans="1:10" x14ac:dyDescent="0.3">
      <c r="A392" s="19" t="s">
        <v>760</v>
      </c>
      <c r="B392" s="15" t="s">
        <v>84</v>
      </c>
      <c r="C392" s="15" t="s">
        <v>96</v>
      </c>
      <c r="D392" s="15" t="s">
        <v>31</v>
      </c>
      <c r="E392" s="15">
        <v>16</v>
      </c>
      <c r="F392" s="15">
        <v>11</v>
      </c>
      <c r="G392" s="15" t="s">
        <v>32</v>
      </c>
      <c r="H392" s="15" t="s">
        <v>76</v>
      </c>
      <c r="I392" s="15" t="s">
        <v>761</v>
      </c>
      <c r="J392" s="57">
        <v>83</v>
      </c>
    </row>
    <row r="393" spans="1:10" x14ac:dyDescent="0.3">
      <c r="A393" s="19" t="s">
        <v>762</v>
      </c>
      <c r="B393" s="15" t="s">
        <v>68</v>
      </c>
      <c r="C393" s="15" t="s">
        <v>85</v>
      </c>
      <c r="D393" s="15" t="s">
        <v>31</v>
      </c>
      <c r="E393" s="15">
        <v>20</v>
      </c>
      <c r="F393" s="15">
        <v>12</v>
      </c>
      <c r="G393" s="15" t="s">
        <v>43</v>
      </c>
      <c r="H393" s="15" t="s">
        <v>20</v>
      </c>
      <c r="I393" s="15" t="s">
        <v>763</v>
      </c>
      <c r="J393" s="57">
        <v>82</v>
      </c>
    </row>
    <row r="394" spans="1:10" hidden="1" x14ac:dyDescent="0.3">
      <c r="A394" s="4" t="s">
        <v>764</v>
      </c>
      <c r="B394" s="2" t="s">
        <v>18</v>
      </c>
      <c r="C394" s="2" t="s">
        <v>55</v>
      </c>
      <c r="D394" s="2" t="s">
        <v>13</v>
      </c>
      <c r="E394" s="2">
        <v>16</v>
      </c>
      <c r="F394" s="2">
        <v>12</v>
      </c>
      <c r="G394" s="2" t="s">
        <v>14</v>
      </c>
      <c r="H394" s="2" t="s">
        <v>40</v>
      </c>
      <c r="I394" s="2" t="s">
        <v>765</v>
      </c>
      <c r="J394" s="5">
        <v>61</v>
      </c>
    </row>
    <row r="395" spans="1:10" hidden="1" x14ac:dyDescent="0.3">
      <c r="A395" s="4" t="s">
        <v>766</v>
      </c>
      <c r="B395" s="2" t="s">
        <v>35</v>
      </c>
      <c r="C395" s="2" t="s">
        <v>58</v>
      </c>
      <c r="D395" s="2" t="s">
        <v>13</v>
      </c>
      <c r="E395" s="2">
        <v>20</v>
      </c>
      <c r="F395" s="2">
        <v>11</v>
      </c>
      <c r="G395" s="2" t="s">
        <v>32</v>
      </c>
      <c r="H395" s="2" t="s">
        <v>46</v>
      </c>
      <c r="I395" s="2" t="s">
        <v>767</v>
      </c>
      <c r="J395" s="5">
        <v>54</v>
      </c>
    </row>
    <row r="396" spans="1:10" hidden="1" x14ac:dyDescent="0.3">
      <c r="A396" s="4" t="s">
        <v>768</v>
      </c>
      <c r="B396" s="2" t="s">
        <v>23</v>
      </c>
      <c r="C396" s="2" t="s">
        <v>24</v>
      </c>
      <c r="D396" s="2" t="s">
        <v>13</v>
      </c>
      <c r="E396" s="2">
        <v>17</v>
      </c>
      <c r="F396" s="2">
        <v>11</v>
      </c>
      <c r="G396" s="2" t="s">
        <v>25</v>
      </c>
      <c r="H396" s="2" t="s">
        <v>40</v>
      </c>
      <c r="I396" s="2" t="s">
        <v>258</v>
      </c>
      <c r="J396" s="5">
        <v>61</v>
      </c>
    </row>
    <row r="397" spans="1:10" x14ac:dyDescent="0.3">
      <c r="A397" s="19" t="s">
        <v>769</v>
      </c>
      <c r="B397" s="15" t="s">
        <v>35</v>
      </c>
      <c r="C397" s="15" t="s">
        <v>30</v>
      </c>
      <c r="D397" s="15" t="s">
        <v>13</v>
      </c>
      <c r="E397" s="15">
        <v>16</v>
      </c>
      <c r="F397" s="15">
        <v>11</v>
      </c>
      <c r="G397" s="15" t="s">
        <v>32</v>
      </c>
      <c r="H397" s="15" t="s">
        <v>46</v>
      </c>
      <c r="I397" s="15" t="s">
        <v>770</v>
      </c>
      <c r="J397" s="57">
        <v>85</v>
      </c>
    </row>
    <row r="398" spans="1:10" x14ac:dyDescent="0.3">
      <c r="A398" s="19" t="s">
        <v>771</v>
      </c>
      <c r="B398" s="15" t="s">
        <v>23</v>
      </c>
      <c r="C398" s="15" t="s">
        <v>24</v>
      </c>
      <c r="D398" s="15" t="s">
        <v>31</v>
      </c>
      <c r="E398" s="15">
        <v>18</v>
      </c>
      <c r="F398" s="15">
        <v>11</v>
      </c>
      <c r="G398" s="15" t="s">
        <v>25</v>
      </c>
      <c r="H398" s="15" t="s">
        <v>46</v>
      </c>
      <c r="I398" s="15" t="s">
        <v>772</v>
      </c>
      <c r="J398" s="57">
        <v>89</v>
      </c>
    </row>
    <row r="399" spans="1:10" hidden="1" x14ac:dyDescent="0.3">
      <c r="A399" s="4" t="s">
        <v>773</v>
      </c>
      <c r="B399" s="2" t="s">
        <v>68</v>
      </c>
      <c r="C399" s="2" t="s">
        <v>19</v>
      </c>
      <c r="D399" s="2" t="s">
        <v>13</v>
      </c>
      <c r="E399" s="2">
        <v>14</v>
      </c>
      <c r="F399" s="2">
        <v>11</v>
      </c>
      <c r="G399" s="2" t="s">
        <v>14</v>
      </c>
      <c r="H399" s="2" t="s">
        <v>20</v>
      </c>
      <c r="I399" s="2" t="s">
        <v>774</v>
      </c>
      <c r="J399" s="5">
        <v>72</v>
      </c>
    </row>
    <row r="400" spans="1:10" x14ac:dyDescent="0.3">
      <c r="A400" s="19" t="s">
        <v>775</v>
      </c>
      <c r="B400" s="15" t="s">
        <v>29</v>
      </c>
      <c r="C400" s="15" t="s">
        <v>85</v>
      </c>
      <c r="D400" s="15" t="s">
        <v>31</v>
      </c>
      <c r="E400" s="15">
        <v>20</v>
      </c>
      <c r="F400" s="15">
        <v>10</v>
      </c>
      <c r="G400" s="15" t="s">
        <v>14</v>
      </c>
      <c r="H400" s="15" t="s">
        <v>46</v>
      </c>
      <c r="I400" s="15" t="s">
        <v>366</v>
      </c>
      <c r="J400" s="57">
        <v>100</v>
      </c>
    </row>
    <row r="401" spans="1:10" x14ac:dyDescent="0.3">
      <c r="A401" s="19" t="s">
        <v>776</v>
      </c>
      <c r="B401" s="15" t="s">
        <v>11</v>
      </c>
      <c r="C401" s="15" t="s">
        <v>12</v>
      </c>
      <c r="D401" s="15" t="s">
        <v>31</v>
      </c>
      <c r="E401" s="15">
        <v>20</v>
      </c>
      <c r="F401" s="15">
        <v>9</v>
      </c>
      <c r="G401" s="15" t="s">
        <v>14</v>
      </c>
      <c r="H401" s="15" t="s">
        <v>76</v>
      </c>
      <c r="I401" s="15" t="s">
        <v>777</v>
      </c>
      <c r="J401" s="57">
        <v>84</v>
      </c>
    </row>
    <row r="402" spans="1:10" hidden="1" x14ac:dyDescent="0.3">
      <c r="A402" s="4" t="s">
        <v>778</v>
      </c>
      <c r="B402" s="2" t="s">
        <v>73</v>
      </c>
      <c r="C402" s="2" t="s">
        <v>19</v>
      </c>
      <c r="D402" s="2" t="s">
        <v>13</v>
      </c>
      <c r="E402" s="2">
        <v>17</v>
      </c>
      <c r="F402" s="2">
        <v>12</v>
      </c>
      <c r="G402" s="2" t="s">
        <v>14</v>
      </c>
      <c r="H402" s="2" t="s">
        <v>37</v>
      </c>
      <c r="I402" s="2" t="s">
        <v>779</v>
      </c>
      <c r="J402" s="5">
        <v>76</v>
      </c>
    </row>
    <row r="403" spans="1:10" hidden="1" x14ac:dyDescent="0.3">
      <c r="A403" s="4" t="s">
        <v>780</v>
      </c>
      <c r="B403" s="2" t="s">
        <v>35</v>
      </c>
      <c r="C403" s="2" t="s">
        <v>36</v>
      </c>
      <c r="D403" s="2" t="s">
        <v>31</v>
      </c>
      <c r="E403" s="2">
        <v>14</v>
      </c>
      <c r="F403" s="2">
        <v>9</v>
      </c>
      <c r="G403" s="2" t="s">
        <v>25</v>
      </c>
      <c r="H403" s="2" t="s">
        <v>40</v>
      </c>
      <c r="I403" s="2" t="s">
        <v>781</v>
      </c>
      <c r="J403" s="5">
        <v>36</v>
      </c>
    </row>
    <row r="404" spans="1:10" x14ac:dyDescent="0.3">
      <c r="A404" s="19" t="s">
        <v>782</v>
      </c>
      <c r="B404" s="15" t="s">
        <v>84</v>
      </c>
      <c r="C404" s="15" t="s">
        <v>12</v>
      </c>
      <c r="D404" s="15" t="s">
        <v>31</v>
      </c>
      <c r="E404" s="15">
        <v>14</v>
      </c>
      <c r="F404" s="15">
        <v>11</v>
      </c>
      <c r="G404" s="15" t="s">
        <v>14</v>
      </c>
      <c r="H404" s="15" t="s">
        <v>37</v>
      </c>
      <c r="I404" s="15" t="s">
        <v>252</v>
      </c>
      <c r="J404" s="57">
        <v>95</v>
      </c>
    </row>
    <row r="405" spans="1:10" hidden="1" x14ac:dyDescent="0.3">
      <c r="A405" s="4" t="s">
        <v>783</v>
      </c>
      <c r="B405" s="2" t="s">
        <v>54</v>
      </c>
      <c r="C405" s="2" t="s">
        <v>79</v>
      </c>
      <c r="D405" s="2" t="s">
        <v>31</v>
      </c>
      <c r="E405" s="2">
        <v>15</v>
      </c>
      <c r="F405" s="2">
        <v>11</v>
      </c>
      <c r="G405" s="2" t="s">
        <v>25</v>
      </c>
      <c r="H405" s="2" t="s">
        <v>61</v>
      </c>
      <c r="I405" s="2" t="s">
        <v>628</v>
      </c>
      <c r="J405" s="5">
        <v>39</v>
      </c>
    </row>
    <row r="406" spans="1:10" x14ac:dyDescent="0.3">
      <c r="A406" s="19" t="s">
        <v>784</v>
      </c>
      <c r="B406" s="15" t="s">
        <v>84</v>
      </c>
      <c r="C406" s="15" t="s">
        <v>12</v>
      </c>
      <c r="D406" s="15" t="s">
        <v>13</v>
      </c>
      <c r="E406" s="15">
        <v>17</v>
      </c>
      <c r="F406" s="15">
        <v>9</v>
      </c>
      <c r="G406" s="15" t="s">
        <v>43</v>
      </c>
      <c r="H406" s="15" t="s">
        <v>76</v>
      </c>
      <c r="I406" s="15" t="s">
        <v>685</v>
      </c>
      <c r="J406" s="57">
        <v>89</v>
      </c>
    </row>
    <row r="407" spans="1:10" x14ac:dyDescent="0.3">
      <c r="A407" s="19" t="s">
        <v>785</v>
      </c>
      <c r="B407" s="15" t="s">
        <v>35</v>
      </c>
      <c r="C407" s="15" t="s">
        <v>58</v>
      </c>
      <c r="D407" s="15" t="s">
        <v>13</v>
      </c>
      <c r="E407" s="15">
        <v>18</v>
      </c>
      <c r="F407" s="15">
        <v>12</v>
      </c>
      <c r="G407" s="15" t="s">
        <v>43</v>
      </c>
      <c r="H407" s="15" t="s">
        <v>20</v>
      </c>
      <c r="I407" s="15" t="s">
        <v>786</v>
      </c>
      <c r="J407" s="57">
        <v>93</v>
      </c>
    </row>
    <row r="408" spans="1:10" x14ac:dyDescent="0.3">
      <c r="A408" s="19" t="s">
        <v>787</v>
      </c>
      <c r="B408" s="15" t="s">
        <v>18</v>
      </c>
      <c r="C408" s="15" t="s">
        <v>36</v>
      </c>
      <c r="D408" s="15" t="s">
        <v>31</v>
      </c>
      <c r="E408" s="15">
        <v>16</v>
      </c>
      <c r="F408" s="15">
        <v>9</v>
      </c>
      <c r="G408" s="15" t="s">
        <v>14</v>
      </c>
      <c r="H408" s="15" t="s">
        <v>76</v>
      </c>
      <c r="I408" s="15" t="s">
        <v>788</v>
      </c>
      <c r="J408" s="57">
        <v>88</v>
      </c>
    </row>
    <row r="409" spans="1:10" x14ac:dyDescent="0.3">
      <c r="A409" s="19" t="s">
        <v>789</v>
      </c>
      <c r="B409" s="15" t="s">
        <v>54</v>
      </c>
      <c r="C409" s="15" t="s">
        <v>12</v>
      </c>
      <c r="D409" s="15" t="s">
        <v>31</v>
      </c>
      <c r="E409" s="15">
        <v>18</v>
      </c>
      <c r="F409" s="15">
        <v>10</v>
      </c>
      <c r="G409" s="15" t="s">
        <v>25</v>
      </c>
      <c r="H409" s="15" t="s">
        <v>15</v>
      </c>
      <c r="I409" s="15" t="s">
        <v>790</v>
      </c>
      <c r="J409" s="57">
        <v>95</v>
      </c>
    </row>
    <row r="410" spans="1:10" x14ac:dyDescent="0.3">
      <c r="A410" s="19" t="s">
        <v>791</v>
      </c>
      <c r="B410" s="15" t="s">
        <v>51</v>
      </c>
      <c r="C410" s="15" t="s">
        <v>85</v>
      </c>
      <c r="D410" s="15" t="s">
        <v>13</v>
      </c>
      <c r="E410" s="15">
        <v>14</v>
      </c>
      <c r="F410" s="15">
        <v>9</v>
      </c>
      <c r="G410" s="15" t="s">
        <v>43</v>
      </c>
      <c r="H410" s="15" t="s">
        <v>61</v>
      </c>
      <c r="I410" s="15" t="s">
        <v>792</v>
      </c>
      <c r="J410" s="57">
        <v>96</v>
      </c>
    </row>
    <row r="411" spans="1:10" hidden="1" x14ac:dyDescent="0.3">
      <c r="A411" s="4" t="s">
        <v>793</v>
      </c>
      <c r="B411" s="2" t="s">
        <v>35</v>
      </c>
      <c r="C411" s="2" t="s">
        <v>19</v>
      </c>
      <c r="D411" s="2" t="s">
        <v>31</v>
      </c>
      <c r="E411" s="2">
        <v>20</v>
      </c>
      <c r="F411" s="2">
        <v>11</v>
      </c>
      <c r="G411" s="2" t="s">
        <v>32</v>
      </c>
      <c r="H411" s="2" t="s">
        <v>20</v>
      </c>
      <c r="I411" s="2" t="s">
        <v>794</v>
      </c>
      <c r="J411" s="5">
        <v>74</v>
      </c>
    </row>
    <row r="412" spans="1:10" hidden="1" x14ac:dyDescent="0.3">
      <c r="A412" s="4" t="s">
        <v>795</v>
      </c>
      <c r="B412" s="2" t="s">
        <v>54</v>
      </c>
      <c r="C412" s="2" t="s">
        <v>30</v>
      </c>
      <c r="D412" s="2" t="s">
        <v>13</v>
      </c>
      <c r="E412" s="2">
        <v>18</v>
      </c>
      <c r="F412" s="2">
        <v>12</v>
      </c>
      <c r="G412" s="2" t="s">
        <v>32</v>
      </c>
      <c r="H412" s="2" t="s">
        <v>20</v>
      </c>
      <c r="I412" s="2" t="s">
        <v>796</v>
      </c>
      <c r="J412" s="5">
        <v>55</v>
      </c>
    </row>
    <row r="413" spans="1:10" hidden="1" x14ac:dyDescent="0.3">
      <c r="A413" s="4" t="s">
        <v>797</v>
      </c>
      <c r="B413" s="2" t="s">
        <v>23</v>
      </c>
      <c r="C413" s="2" t="s">
        <v>85</v>
      </c>
      <c r="D413" s="2" t="s">
        <v>13</v>
      </c>
      <c r="E413" s="2">
        <v>17</v>
      </c>
      <c r="F413" s="2">
        <v>12</v>
      </c>
      <c r="G413" s="2" t="s">
        <v>14</v>
      </c>
      <c r="H413" s="2" t="s">
        <v>76</v>
      </c>
      <c r="I413" s="2" t="s">
        <v>71</v>
      </c>
      <c r="J413" s="5">
        <v>77</v>
      </c>
    </row>
    <row r="414" spans="1:10" x14ac:dyDescent="0.3">
      <c r="A414" s="19" t="s">
        <v>798</v>
      </c>
      <c r="B414" s="15" t="s">
        <v>23</v>
      </c>
      <c r="C414" s="15" t="s">
        <v>19</v>
      </c>
      <c r="D414" s="15" t="s">
        <v>13</v>
      </c>
      <c r="E414" s="15">
        <v>17</v>
      </c>
      <c r="F414" s="15">
        <v>12</v>
      </c>
      <c r="G414" s="15" t="s">
        <v>14</v>
      </c>
      <c r="H414" s="15" t="s">
        <v>40</v>
      </c>
      <c r="I414" s="15" t="s">
        <v>159</v>
      </c>
      <c r="J414" s="57">
        <v>95</v>
      </c>
    </row>
    <row r="415" spans="1:10" hidden="1" x14ac:dyDescent="0.3">
      <c r="A415" s="4" t="s">
        <v>799</v>
      </c>
      <c r="B415" s="2" t="s">
        <v>54</v>
      </c>
      <c r="C415" s="2" t="s">
        <v>36</v>
      </c>
      <c r="D415" s="2" t="s">
        <v>31</v>
      </c>
      <c r="E415" s="2">
        <v>17</v>
      </c>
      <c r="F415" s="2">
        <v>12</v>
      </c>
      <c r="G415" s="2" t="s">
        <v>14</v>
      </c>
      <c r="H415" s="2" t="s">
        <v>46</v>
      </c>
      <c r="I415" s="2" t="s">
        <v>533</v>
      </c>
      <c r="J415" s="5">
        <v>59</v>
      </c>
    </row>
    <row r="416" spans="1:10" x14ac:dyDescent="0.3">
      <c r="A416" s="19" t="s">
        <v>800</v>
      </c>
      <c r="B416" s="15" t="s">
        <v>23</v>
      </c>
      <c r="C416" s="15" t="s">
        <v>79</v>
      </c>
      <c r="D416" s="15" t="s">
        <v>31</v>
      </c>
      <c r="E416" s="15">
        <v>18</v>
      </c>
      <c r="F416" s="15">
        <v>11</v>
      </c>
      <c r="G416" s="15" t="s">
        <v>32</v>
      </c>
      <c r="H416" s="15" t="s">
        <v>76</v>
      </c>
      <c r="I416" s="15" t="s">
        <v>801</v>
      </c>
      <c r="J416" s="57">
        <v>97</v>
      </c>
    </row>
    <row r="417" spans="1:10" x14ac:dyDescent="0.3">
      <c r="A417" s="19" t="s">
        <v>802</v>
      </c>
      <c r="B417" s="15" t="s">
        <v>29</v>
      </c>
      <c r="C417" s="15" t="s">
        <v>96</v>
      </c>
      <c r="D417" s="15" t="s">
        <v>13</v>
      </c>
      <c r="E417" s="15">
        <v>14</v>
      </c>
      <c r="F417" s="15">
        <v>10</v>
      </c>
      <c r="G417" s="15" t="s">
        <v>25</v>
      </c>
      <c r="H417" s="15" t="s">
        <v>61</v>
      </c>
      <c r="I417" s="15" t="s">
        <v>803</v>
      </c>
      <c r="J417" s="57">
        <v>89</v>
      </c>
    </row>
    <row r="418" spans="1:10" hidden="1" x14ac:dyDescent="0.3">
      <c r="A418" s="4" t="s">
        <v>804</v>
      </c>
      <c r="B418" s="2" t="s">
        <v>54</v>
      </c>
      <c r="C418" s="2" t="s">
        <v>79</v>
      </c>
      <c r="D418" s="2" t="s">
        <v>13</v>
      </c>
      <c r="E418" s="2">
        <v>19</v>
      </c>
      <c r="F418" s="2">
        <v>9</v>
      </c>
      <c r="G418" s="2" t="s">
        <v>25</v>
      </c>
      <c r="H418" s="2" t="s">
        <v>61</v>
      </c>
      <c r="I418" s="2" t="s">
        <v>56</v>
      </c>
      <c r="J418" s="5">
        <v>43</v>
      </c>
    </row>
    <row r="419" spans="1:10" hidden="1" x14ac:dyDescent="0.3">
      <c r="A419" s="4" t="s">
        <v>805</v>
      </c>
      <c r="B419" s="2" t="s">
        <v>29</v>
      </c>
      <c r="C419" s="2" t="s">
        <v>36</v>
      </c>
      <c r="D419" s="2" t="s">
        <v>31</v>
      </c>
      <c r="E419" s="2">
        <v>17</v>
      </c>
      <c r="F419" s="2">
        <v>10</v>
      </c>
      <c r="G419" s="2" t="s">
        <v>25</v>
      </c>
      <c r="H419" s="2" t="s">
        <v>15</v>
      </c>
      <c r="I419" s="2" t="s">
        <v>806</v>
      </c>
      <c r="J419" s="5">
        <v>59</v>
      </c>
    </row>
    <row r="420" spans="1:10" hidden="1" x14ac:dyDescent="0.3">
      <c r="A420" s="4" t="s">
        <v>807</v>
      </c>
      <c r="B420" s="2" t="s">
        <v>68</v>
      </c>
      <c r="C420" s="2" t="s">
        <v>79</v>
      </c>
      <c r="D420" s="2" t="s">
        <v>31</v>
      </c>
      <c r="E420" s="2">
        <v>16</v>
      </c>
      <c r="F420" s="2">
        <v>10</v>
      </c>
      <c r="G420" s="2" t="s">
        <v>43</v>
      </c>
      <c r="H420" s="2" t="s">
        <v>76</v>
      </c>
      <c r="I420" s="2" t="s">
        <v>305</v>
      </c>
      <c r="J420" s="5">
        <v>40</v>
      </c>
    </row>
    <row r="421" spans="1:10" x14ac:dyDescent="0.3">
      <c r="A421" s="19" t="s">
        <v>808</v>
      </c>
      <c r="B421" s="15" t="s">
        <v>54</v>
      </c>
      <c r="C421" s="15" t="s">
        <v>24</v>
      </c>
      <c r="D421" s="15" t="s">
        <v>13</v>
      </c>
      <c r="E421" s="15">
        <v>14</v>
      </c>
      <c r="F421" s="15">
        <v>9</v>
      </c>
      <c r="G421" s="15" t="s">
        <v>25</v>
      </c>
      <c r="H421" s="15" t="s">
        <v>46</v>
      </c>
      <c r="I421" s="15" t="s">
        <v>809</v>
      </c>
      <c r="J421" s="57">
        <v>92</v>
      </c>
    </row>
    <row r="422" spans="1:10" hidden="1" x14ac:dyDescent="0.3">
      <c r="A422" s="4" t="s">
        <v>810</v>
      </c>
      <c r="B422" s="2" t="s">
        <v>73</v>
      </c>
      <c r="C422" s="2" t="s">
        <v>12</v>
      </c>
      <c r="D422" s="2" t="s">
        <v>13</v>
      </c>
      <c r="E422" s="2">
        <v>14</v>
      </c>
      <c r="F422" s="2">
        <v>10</v>
      </c>
      <c r="G422" s="2" t="s">
        <v>14</v>
      </c>
      <c r="H422" s="2" t="s">
        <v>46</v>
      </c>
      <c r="I422" s="2" t="s">
        <v>385</v>
      </c>
      <c r="J422" s="5">
        <v>49</v>
      </c>
    </row>
    <row r="423" spans="1:10" hidden="1" x14ac:dyDescent="0.3">
      <c r="A423" s="4" t="s">
        <v>811</v>
      </c>
      <c r="B423" s="2" t="s">
        <v>29</v>
      </c>
      <c r="C423" s="2" t="s">
        <v>58</v>
      </c>
      <c r="D423" s="2" t="s">
        <v>13</v>
      </c>
      <c r="E423" s="2">
        <v>20</v>
      </c>
      <c r="F423" s="2">
        <v>11</v>
      </c>
      <c r="G423" s="2" t="s">
        <v>14</v>
      </c>
      <c r="H423" s="2" t="s">
        <v>61</v>
      </c>
      <c r="I423" s="2" t="s">
        <v>358</v>
      </c>
      <c r="J423" s="5">
        <v>44</v>
      </c>
    </row>
    <row r="424" spans="1:10" hidden="1" x14ac:dyDescent="0.3">
      <c r="A424" s="4" t="s">
        <v>812</v>
      </c>
      <c r="B424" s="2" t="s">
        <v>51</v>
      </c>
      <c r="C424" s="2" t="s">
        <v>55</v>
      </c>
      <c r="D424" s="2" t="s">
        <v>13</v>
      </c>
      <c r="E424" s="2">
        <v>15</v>
      </c>
      <c r="F424" s="2">
        <v>10</v>
      </c>
      <c r="G424" s="2" t="s">
        <v>43</v>
      </c>
      <c r="H424" s="2" t="s">
        <v>46</v>
      </c>
      <c r="I424" s="2" t="s">
        <v>82</v>
      </c>
      <c r="J424" s="5">
        <v>62</v>
      </c>
    </row>
    <row r="425" spans="1:10" hidden="1" x14ac:dyDescent="0.3">
      <c r="A425" s="4" t="s">
        <v>813</v>
      </c>
      <c r="B425" s="2" t="s">
        <v>73</v>
      </c>
      <c r="C425" s="2" t="s">
        <v>58</v>
      </c>
      <c r="D425" s="2" t="s">
        <v>13</v>
      </c>
      <c r="E425" s="2">
        <v>17</v>
      </c>
      <c r="F425" s="2">
        <v>12</v>
      </c>
      <c r="G425" s="2" t="s">
        <v>32</v>
      </c>
      <c r="H425" s="2" t="s">
        <v>46</v>
      </c>
      <c r="I425" s="2" t="s">
        <v>346</v>
      </c>
      <c r="J425" s="5">
        <v>60</v>
      </c>
    </row>
    <row r="426" spans="1:10" hidden="1" x14ac:dyDescent="0.3">
      <c r="A426" s="4" t="s">
        <v>814</v>
      </c>
      <c r="B426" s="2" t="s">
        <v>18</v>
      </c>
      <c r="C426" s="2" t="s">
        <v>24</v>
      </c>
      <c r="D426" s="2" t="s">
        <v>31</v>
      </c>
      <c r="E426" s="2">
        <v>17</v>
      </c>
      <c r="F426" s="2">
        <v>10</v>
      </c>
      <c r="G426" s="2" t="s">
        <v>14</v>
      </c>
      <c r="H426" s="2" t="s">
        <v>76</v>
      </c>
      <c r="I426" s="2" t="s">
        <v>815</v>
      </c>
      <c r="J426" s="5">
        <v>47</v>
      </c>
    </row>
    <row r="427" spans="1:10" hidden="1" x14ac:dyDescent="0.3">
      <c r="A427" s="4" t="s">
        <v>816</v>
      </c>
      <c r="B427" s="2" t="s">
        <v>23</v>
      </c>
      <c r="C427" s="2" t="s">
        <v>79</v>
      </c>
      <c r="D427" s="2" t="s">
        <v>31</v>
      </c>
      <c r="E427" s="2">
        <v>15</v>
      </c>
      <c r="F427" s="2">
        <v>9</v>
      </c>
      <c r="G427" s="2" t="s">
        <v>25</v>
      </c>
      <c r="H427" s="2" t="s">
        <v>76</v>
      </c>
      <c r="I427" s="2" t="s">
        <v>149</v>
      </c>
      <c r="J427" s="5">
        <v>79</v>
      </c>
    </row>
    <row r="428" spans="1:10" hidden="1" x14ac:dyDescent="0.3">
      <c r="A428" s="4" t="s">
        <v>817</v>
      </c>
      <c r="B428" s="2" t="s">
        <v>51</v>
      </c>
      <c r="C428" s="2" t="s">
        <v>55</v>
      </c>
      <c r="D428" s="2" t="s">
        <v>31</v>
      </c>
      <c r="E428" s="2">
        <v>19</v>
      </c>
      <c r="F428" s="2">
        <v>11</v>
      </c>
      <c r="G428" s="2" t="s">
        <v>14</v>
      </c>
      <c r="H428" s="2" t="s">
        <v>26</v>
      </c>
      <c r="I428" s="2" t="s">
        <v>818</v>
      </c>
      <c r="J428" s="5">
        <v>56</v>
      </c>
    </row>
    <row r="429" spans="1:10" hidden="1" x14ac:dyDescent="0.3">
      <c r="A429" s="4" t="s">
        <v>819</v>
      </c>
      <c r="B429" s="2" t="s">
        <v>18</v>
      </c>
      <c r="C429" s="2" t="s">
        <v>36</v>
      </c>
      <c r="D429" s="2" t="s">
        <v>31</v>
      </c>
      <c r="E429" s="2">
        <v>14</v>
      </c>
      <c r="F429" s="2">
        <v>10</v>
      </c>
      <c r="G429" s="2" t="s">
        <v>43</v>
      </c>
      <c r="H429" s="2" t="s">
        <v>76</v>
      </c>
      <c r="I429" s="2" t="s">
        <v>820</v>
      </c>
      <c r="J429" s="5">
        <v>56</v>
      </c>
    </row>
    <row r="430" spans="1:10" hidden="1" x14ac:dyDescent="0.3">
      <c r="A430" s="4" t="s">
        <v>821</v>
      </c>
      <c r="B430" s="2" t="s">
        <v>18</v>
      </c>
      <c r="C430" s="2" t="s">
        <v>79</v>
      </c>
      <c r="D430" s="2" t="s">
        <v>13</v>
      </c>
      <c r="E430" s="2">
        <v>20</v>
      </c>
      <c r="F430" s="2">
        <v>12</v>
      </c>
      <c r="G430" s="2" t="s">
        <v>32</v>
      </c>
      <c r="H430" s="2" t="s">
        <v>26</v>
      </c>
      <c r="I430" s="2" t="s">
        <v>822</v>
      </c>
      <c r="J430" s="5">
        <v>52</v>
      </c>
    </row>
    <row r="431" spans="1:10" x14ac:dyDescent="0.3">
      <c r="A431" s="19" t="s">
        <v>823</v>
      </c>
      <c r="B431" s="15" t="s">
        <v>11</v>
      </c>
      <c r="C431" s="15" t="s">
        <v>79</v>
      </c>
      <c r="D431" s="15" t="s">
        <v>31</v>
      </c>
      <c r="E431" s="15">
        <v>18</v>
      </c>
      <c r="F431" s="15">
        <v>12</v>
      </c>
      <c r="G431" s="15" t="s">
        <v>43</v>
      </c>
      <c r="H431" s="15" t="s">
        <v>37</v>
      </c>
      <c r="I431" s="15" t="s">
        <v>292</v>
      </c>
      <c r="J431" s="57">
        <v>94</v>
      </c>
    </row>
    <row r="432" spans="1:10" hidden="1" x14ac:dyDescent="0.3">
      <c r="A432" s="4" t="s">
        <v>824</v>
      </c>
      <c r="B432" s="2" t="s">
        <v>54</v>
      </c>
      <c r="C432" s="2" t="s">
        <v>19</v>
      </c>
      <c r="D432" s="2" t="s">
        <v>31</v>
      </c>
      <c r="E432" s="2">
        <v>20</v>
      </c>
      <c r="F432" s="2">
        <v>9</v>
      </c>
      <c r="G432" s="2" t="s">
        <v>14</v>
      </c>
      <c r="H432" s="2" t="s">
        <v>37</v>
      </c>
      <c r="I432" s="2" t="s">
        <v>825</v>
      </c>
      <c r="J432" s="5">
        <v>43</v>
      </c>
    </row>
    <row r="433" spans="1:10" hidden="1" x14ac:dyDescent="0.3">
      <c r="A433" s="4" t="s">
        <v>826</v>
      </c>
      <c r="B433" s="2" t="s">
        <v>51</v>
      </c>
      <c r="C433" s="2" t="s">
        <v>55</v>
      </c>
      <c r="D433" s="2" t="s">
        <v>31</v>
      </c>
      <c r="E433" s="2">
        <v>15</v>
      </c>
      <c r="F433" s="2">
        <v>10</v>
      </c>
      <c r="G433" s="2" t="s">
        <v>43</v>
      </c>
      <c r="H433" s="2" t="s">
        <v>37</v>
      </c>
      <c r="I433" s="2" t="s">
        <v>174</v>
      </c>
      <c r="J433" s="5">
        <v>42</v>
      </c>
    </row>
    <row r="434" spans="1:10" hidden="1" x14ac:dyDescent="0.3">
      <c r="A434" s="4" t="s">
        <v>827</v>
      </c>
      <c r="B434" s="2" t="s">
        <v>35</v>
      </c>
      <c r="C434" s="2" t="s">
        <v>12</v>
      </c>
      <c r="D434" s="2" t="s">
        <v>13</v>
      </c>
      <c r="E434" s="2">
        <v>14</v>
      </c>
      <c r="F434" s="2">
        <v>12</v>
      </c>
      <c r="G434" s="2" t="s">
        <v>25</v>
      </c>
      <c r="H434" s="2" t="s">
        <v>61</v>
      </c>
      <c r="I434" s="2" t="s">
        <v>570</v>
      </c>
      <c r="J434" s="5">
        <v>65</v>
      </c>
    </row>
    <row r="435" spans="1:10" hidden="1" x14ac:dyDescent="0.3">
      <c r="A435" s="4" t="s">
        <v>828</v>
      </c>
      <c r="B435" s="2" t="s">
        <v>29</v>
      </c>
      <c r="C435" s="2" t="s">
        <v>55</v>
      </c>
      <c r="D435" s="2" t="s">
        <v>13</v>
      </c>
      <c r="E435" s="2">
        <v>15</v>
      </c>
      <c r="F435" s="2">
        <v>9</v>
      </c>
      <c r="G435" s="2" t="s">
        <v>32</v>
      </c>
      <c r="H435" s="2" t="s">
        <v>40</v>
      </c>
      <c r="I435" s="2" t="s">
        <v>829</v>
      </c>
      <c r="J435" s="5">
        <v>64</v>
      </c>
    </row>
    <row r="436" spans="1:10" hidden="1" x14ac:dyDescent="0.3">
      <c r="A436" s="4" t="s">
        <v>830</v>
      </c>
      <c r="B436" s="2" t="s">
        <v>23</v>
      </c>
      <c r="C436" s="2" t="s">
        <v>58</v>
      </c>
      <c r="D436" s="2" t="s">
        <v>31</v>
      </c>
      <c r="E436" s="2">
        <v>17</v>
      </c>
      <c r="F436" s="2">
        <v>9</v>
      </c>
      <c r="G436" s="2" t="s">
        <v>43</v>
      </c>
      <c r="H436" s="2" t="s">
        <v>61</v>
      </c>
      <c r="I436" s="2" t="s">
        <v>820</v>
      </c>
      <c r="J436" s="5">
        <v>59</v>
      </c>
    </row>
    <row r="437" spans="1:10" hidden="1" x14ac:dyDescent="0.3">
      <c r="A437" s="4" t="s">
        <v>831</v>
      </c>
      <c r="B437" s="2" t="s">
        <v>54</v>
      </c>
      <c r="C437" s="2" t="s">
        <v>36</v>
      </c>
      <c r="D437" s="2" t="s">
        <v>31</v>
      </c>
      <c r="E437" s="2">
        <v>19</v>
      </c>
      <c r="F437" s="2">
        <v>9</v>
      </c>
      <c r="G437" s="2" t="s">
        <v>32</v>
      </c>
      <c r="H437" s="2" t="s">
        <v>15</v>
      </c>
      <c r="I437" s="2" t="s">
        <v>832</v>
      </c>
      <c r="J437" s="5">
        <v>35</v>
      </c>
    </row>
    <row r="438" spans="1:10" hidden="1" x14ac:dyDescent="0.3">
      <c r="A438" s="4" t="s">
        <v>833</v>
      </c>
      <c r="B438" s="2" t="s">
        <v>73</v>
      </c>
      <c r="C438" s="2" t="s">
        <v>96</v>
      </c>
      <c r="D438" s="2" t="s">
        <v>31</v>
      </c>
      <c r="E438" s="2">
        <v>15</v>
      </c>
      <c r="F438" s="2">
        <v>10</v>
      </c>
      <c r="G438" s="2" t="s">
        <v>43</v>
      </c>
      <c r="H438" s="2" t="s">
        <v>76</v>
      </c>
      <c r="I438" s="2" t="s">
        <v>834</v>
      </c>
      <c r="J438" s="5">
        <v>37</v>
      </c>
    </row>
    <row r="439" spans="1:10" hidden="1" x14ac:dyDescent="0.3">
      <c r="A439" s="4" t="s">
        <v>835</v>
      </c>
      <c r="B439" s="2" t="s">
        <v>18</v>
      </c>
      <c r="C439" s="2" t="s">
        <v>55</v>
      </c>
      <c r="D439" s="2" t="s">
        <v>31</v>
      </c>
      <c r="E439" s="2">
        <v>16</v>
      </c>
      <c r="F439" s="2">
        <v>10</v>
      </c>
      <c r="G439" s="2" t="s">
        <v>14</v>
      </c>
      <c r="H439" s="2" t="s">
        <v>61</v>
      </c>
      <c r="I439" s="2" t="s">
        <v>411</v>
      </c>
      <c r="J439" s="5">
        <v>52</v>
      </c>
    </row>
    <row r="440" spans="1:10" hidden="1" x14ac:dyDescent="0.3">
      <c r="A440" s="4" t="s">
        <v>836</v>
      </c>
      <c r="B440" s="2" t="s">
        <v>18</v>
      </c>
      <c r="C440" s="2" t="s">
        <v>58</v>
      </c>
      <c r="D440" s="2" t="s">
        <v>13</v>
      </c>
      <c r="E440" s="2">
        <v>16</v>
      </c>
      <c r="F440" s="2">
        <v>9</v>
      </c>
      <c r="G440" s="2" t="s">
        <v>14</v>
      </c>
      <c r="H440" s="2" t="s">
        <v>37</v>
      </c>
      <c r="I440" s="2" t="s">
        <v>837</v>
      </c>
      <c r="J440" s="5">
        <v>64</v>
      </c>
    </row>
    <row r="441" spans="1:10" hidden="1" x14ac:dyDescent="0.3">
      <c r="A441" s="4" t="s">
        <v>838</v>
      </c>
      <c r="B441" s="2" t="s">
        <v>29</v>
      </c>
      <c r="C441" s="2" t="s">
        <v>36</v>
      </c>
      <c r="D441" s="2" t="s">
        <v>31</v>
      </c>
      <c r="E441" s="2">
        <v>17</v>
      </c>
      <c r="F441" s="2">
        <v>10</v>
      </c>
      <c r="G441" s="2" t="s">
        <v>25</v>
      </c>
      <c r="H441" s="2" t="s">
        <v>15</v>
      </c>
      <c r="I441" s="2" t="s">
        <v>839</v>
      </c>
      <c r="J441" s="5">
        <v>35</v>
      </c>
    </row>
    <row r="442" spans="1:10" hidden="1" x14ac:dyDescent="0.3">
      <c r="A442" s="4" t="s">
        <v>840</v>
      </c>
      <c r="B442" s="2" t="s">
        <v>29</v>
      </c>
      <c r="C442" s="2" t="s">
        <v>12</v>
      </c>
      <c r="D442" s="2" t="s">
        <v>31</v>
      </c>
      <c r="E442" s="2">
        <v>20</v>
      </c>
      <c r="F442" s="2">
        <v>10</v>
      </c>
      <c r="G442" s="2" t="s">
        <v>43</v>
      </c>
      <c r="H442" s="2" t="s">
        <v>15</v>
      </c>
      <c r="I442" s="2" t="s">
        <v>841</v>
      </c>
      <c r="J442" s="5">
        <v>37</v>
      </c>
    </row>
    <row r="443" spans="1:10" hidden="1" x14ac:dyDescent="0.3">
      <c r="A443" s="4" t="s">
        <v>842</v>
      </c>
      <c r="B443" s="2" t="s">
        <v>23</v>
      </c>
      <c r="C443" s="2" t="s">
        <v>30</v>
      </c>
      <c r="D443" s="2" t="s">
        <v>13</v>
      </c>
      <c r="E443" s="2">
        <v>15</v>
      </c>
      <c r="F443" s="2">
        <v>9</v>
      </c>
      <c r="G443" s="2" t="s">
        <v>32</v>
      </c>
      <c r="H443" s="2" t="s">
        <v>37</v>
      </c>
      <c r="I443" s="2" t="s">
        <v>477</v>
      </c>
      <c r="J443" s="5">
        <v>51</v>
      </c>
    </row>
    <row r="444" spans="1:10" hidden="1" x14ac:dyDescent="0.3">
      <c r="A444" s="4" t="s">
        <v>843</v>
      </c>
      <c r="B444" s="2" t="s">
        <v>54</v>
      </c>
      <c r="C444" s="2" t="s">
        <v>12</v>
      </c>
      <c r="D444" s="2" t="s">
        <v>31</v>
      </c>
      <c r="E444" s="2">
        <v>17</v>
      </c>
      <c r="F444" s="2">
        <v>10</v>
      </c>
      <c r="G444" s="2" t="s">
        <v>25</v>
      </c>
      <c r="H444" s="2" t="s">
        <v>40</v>
      </c>
      <c r="I444" s="2" t="s">
        <v>844</v>
      </c>
      <c r="J444" s="5">
        <v>43</v>
      </c>
    </row>
    <row r="445" spans="1:10" hidden="1" x14ac:dyDescent="0.3">
      <c r="A445" s="4" t="s">
        <v>845</v>
      </c>
      <c r="B445" s="2" t="s">
        <v>11</v>
      </c>
      <c r="C445" s="2" t="s">
        <v>19</v>
      </c>
      <c r="D445" s="2" t="s">
        <v>31</v>
      </c>
      <c r="E445" s="2">
        <v>19</v>
      </c>
      <c r="F445" s="2">
        <v>11</v>
      </c>
      <c r="G445" s="2" t="s">
        <v>43</v>
      </c>
      <c r="H445" s="2" t="s">
        <v>76</v>
      </c>
      <c r="I445" s="2" t="s">
        <v>282</v>
      </c>
      <c r="J445" s="5">
        <v>44</v>
      </c>
    </row>
    <row r="446" spans="1:10" hidden="1" x14ac:dyDescent="0.3">
      <c r="A446" s="4" t="s">
        <v>846</v>
      </c>
      <c r="B446" s="2" t="s">
        <v>35</v>
      </c>
      <c r="C446" s="2" t="s">
        <v>79</v>
      </c>
      <c r="D446" s="2" t="s">
        <v>13</v>
      </c>
      <c r="E446" s="2">
        <v>17</v>
      </c>
      <c r="F446" s="2">
        <v>12</v>
      </c>
      <c r="G446" s="2" t="s">
        <v>25</v>
      </c>
      <c r="H446" s="2" t="s">
        <v>46</v>
      </c>
      <c r="I446" s="2" t="s">
        <v>847</v>
      </c>
      <c r="J446" s="5">
        <v>41</v>
      </c>
    </row>
    <row r="447" spans="1:10" hidden="1" x14ac:dyDescent="0.3">
      <c r="A447" s="4" t="s">
        <v>848</v>
      </c>
      <c r="B447" s="2" t="s">
        <v>18</v>
      </c>
      <c r="C447" s="2" t="s">
        <v>24</v>
      </c>
      <c r="D447" s="2" t="s">
        <v>31</v>
      </c>
      <c r="E447" s="2">
        <v>16</v>
      </c>
      <c r="F447" s="2">
        <v>10</v>
      </c>
      <c r="G447" s="2" t="s">
        <v>25</v>
      </c>
      <c r="H447" s="2" t="s">
        <v>61</v>
      </c>
      <c r="I447" s="2" t="s">
        <v>849</v>
      </c>
      <c r="J447" s="5">
        <v>78</v>
      </c>
    </row>
    <row r="448" spans="1:10" x14ac:dyDescent="0.3">
      <c r="A448" s="19" t="s">
        <v>850</v>
      </c>
      <c r="B448" s="15" t="s">
        <v>51</v>
      </c>
      <c r="C448" s="15" t="s">
        <v>96</v>
      </c>
      <c r="D448" s="15" t="s">
        <v>13</v>
      </c>
      <c r="E448" s="15">
        <v>14</v>
      </c>
      <c r="F448" s="15">
        <v>9</v>
      </c>
      <c r="G448" s="15" t="s">
        <v>25</v>
      </c>
      <c r="H448" s="15" t="s">
        <v>26</v>
      </c>
      <c r="I448" s="15" t="s">
        <v>851</v>
      </c>
      <c r="J448" s="57">
        <v>90</v>
      </c>
    </row>
    <row r="449" spans="1:10" hidden="1" x14ac:dyDescent="0.3">
      <c r="A449" s="4" t="s">
        <v>852</v>
      </c>
      <c r="B449" s="2" t="s">
        <v>29</v>
      </c>
      <c r="C449" s="2" t="s">
        <v>55</v>
      </c>
      <c r="D449" s="2" t="s">
        <v>13</v>
      </c>
      <c r="E449" s="2">
        <v>15</v>
      </c>
      <c r="F449" s="2">
        <v>9</v>
      </c>
      <c r="G449" s="2" t="s">
        <v>14</v>
      </c>
      <c r="H449" s="2" t="s">
        <v>20</v>
      </c>
      <c r="I449" s="2" t="s">
        <v>853</v>
      </c>
      <c r="J449" s="5">
        <v>74</v>
      </c>
    </row>
    <row r="450" spans="1:10" x14ac:dyDescent="0.3">
      <c r="A450" s="19" t="s">
        <v>854</v>
      </c>
      <c r="B450" s="15" t="s">
        <v>51</v>
      </c>
      <c r="C450" s="15" t="s">
        <v>55</v>
      </c>
      <c r="D450" s="15" t="s">
        <v>13</v>
      </c>
      <c r="E450" s="15">
        <v>15</v>
      </c>
      <c r="F450" s="15">
        <v>11</v>
      </c>
      <c r="G450" s="15" t="s">
        <v>14</v>
      </c>
      <c r="H450" s="15" t="s">
        <v>61</v>
      </c>
      <c r="I450" s="15" t="s">
        <v>855</v>
      </c>
      <c r="J450" s="57">
        <v>84</v>
      </c>
    </row>
    <row r="451" spans="1:10" hidden="1" x14ac:dyDescent="0.3">
      <c r="A451" s="4" t="s">
        <v>856</v>
      </c>
      <c r="B451" s="2" t="s">
        <v>29</v>
      </c>
      <c r="C451" s="2" t="s">
        <v>85</v>
      </c>
      <c r="D451" s="2" t="s">
        <v>13</v>
      </c>
      <c r="E451" s="2">
        <v>16</v>
      </c>
      <c r="F451" s="2">
        <v>9</v>
      </c>
      <c r="G451" s="2" t="s">
        <v>14</v>
      </c>
      <c r="H451" s="2" t="s">
        <v>61</v>
      </c>
      <c r="I451" s="2" t="s">
        <v>262</v>
      </c>
      <c r="J451" s="5">
        <v>78</v>
      </c>
    </row>
    <row r="452" spans="1:10" x14ac:dyDescent="0.3">
      <c r="A452" s="19" t="s">
        <v>857</v>
      </c>
      <c r="B452" s="15" t="s">
        <v>18</v>
      </c>
      <c r="C452" s="15" t="s">
        <v>96</v>
      </c>
      <c r="D452" s="15" t="s">
        <v>13</v>
      </c>
      <c r="E452" s="15">
        <v>20</v>
      </c>
      <c r="F452" s="15">
        <v>11</v>
      </c>
      <c r="G452" s="15" t="s">
        <v>32</v>
      </c>
      <c r="H452" s="15" t="s">
        <v>61</v>
      </c>
      <c r="I452" s="15" t="s">
        <v>570</v>
      </c>
      <c r="J452" s="57">
        <v>94</v>
      </c>
    </row>
    <row r="453" spans="1:10" x14ac:dyDescent="0.3">
      <c r="A453" s="19" t="s">
        <v>858</v>
      </c>
      <c r="B453" s="15" t="s">
        <v>35</v>
      </c>
      <c r="C453" s="15" t="s">
        <v>12</v>
      </c>
      <c r="D453" s="15" t="s">
        <v>31</v>
      </c>
      <c r="E453" s="15">
        <v>19</v>
      </c>
      <c r="F453" s="15">
        <v>9</v>
      </c>
      <c r="G453" s="15" t="s">
        <v>43</v>
      </c>
      <c r="H453" s="15" t="s">
        <v>26</v>
      </c>
      <c r="I453" s="15" t="s">
        <v>859</v>
      </c>
      <c r="J453" s="57">
        <v>88</v>
      </c>
    </row>
    <row r="454" spans="1:10" x14ac:dyDescent="0.3">
      <c r="A454" s="19" t="s">
        <v>860</v>
      </c>
      <c r="B454" s="15" t="s">
        <v>68</v>
      </c>
      <c r="C454" s="15" t="s">
        <v>12</v>
      </c>
      <c r="D454" s="15" t="s">
        <v>13</v>
      </c>
      <c r="E454" s="15">
        <v>16</v>
      </c>
      <c r="F454" s="15">
        <v>12</v>
      </c>
      <c r="G454" s="15" t="s">
        <v>14</v>
      </c>
      <c r="H454" s="15" t="s">
        <v>37</v>
      </c>
      <c r="I454" s="15" t="s">
        <v>861</v>
      </c>
      <c r="J454" s="57">
        <v>84</v>
      </c>
    </row>
    <row r="455" spans="1:10" x14ac:dyDescent="0.3">
      <c r="A455" s="19" t="s">
        <v>862</v>
      </c>
      <c r="B455" s="15" t="s">
        <v>51</v>
      </c>
      <c r="C455" s="15" t="s">
        <v>24</v>
      </c>
      <c r="D455" s="15" t="s">
        <v>13</v>
      </c>
      <c r="E455" s="15">
        <v>17</v>
      </c>
      <c r="F455" s="15">
        <v>9</v>
      </c>
      <c r="G455" s="15" t="s">
        <v>43</v>
      </c>
      <c r="H455" s="15" t="s">
        <v>15</v>
      </c>
      <c r="I455" s="15" t="s">
        <v>863</v>
      </c>
      <c r="J455" s="57">
        <v>86</v>
      </c>
    </row>
    <row r="456" spans="1:10" x14ac:dyDescent="0.3">
      <c r="A456" s="19" t="s">
        <v>864</v>
      </c>
      <c r="B456" s="15" t="s">
        <v>35</v>
      </c>
      <c r="C456" s="15" t="s">
        <v>58</v>
      </c>
      <c r="D456" s="15" t="s">
        <v>13</v>
      </c>
      <c r="E456" s="15">
        <v>17</v>
      </c>
      <c r="F456" s="15">
        <v>10</v>
      </c>
      <c r="G456" s="15" t="s">
        <v>14</v>
      </c>
      <c r="H456" s="15" t="s">
        <v>20</v>
      </c>
      <c r="I456" s="15" t="s">
        <v>865</v>
      </c>
      <c r="J456" s="57">
        <v>92</v>
      </c>
    </row>
    <row r="457" spans="1:10" x14ac:dyDescent="0.3">
      <c r="A457" s="19" t="s">
        <v>866</v>
      </c>
      <c r="B457" s="15" t="s">
        <v>18</v>
      </c>
      <c r="C457" s="15" t="s">
        <v>24</v>
      </c>
      <c r="D457" s="15" t="s">
        <v>13</v>
      </c>
      <c r="E457" s="15">
        <v>15</v>
      </c>
      <c r="F457" s="15">
        <v>11</v>
      </c>
      <c r="G457" s="15" t="s">
        <v>14</v>
      </c>
      <c r="H457" s="15" t="s">
        <v>61</v>
      </c>
      <c r="I457" s="15" t="s">
        <v>867</v>
      </c>
      <c r="J457" s="57">
        <v>97</v>
      </c>
    </row>
    <row r="458" spans="1:10" hidden="1" x14ac:dyDescent="0.3">
      <c r="A458" s="4" t="s">
        <v>868</v>
      </c>
      <c r="B458" s="2" t="s">
        <v>84</v>
      </c>
      <c r="C458" s="2" t="s">
        <v>30</v>
      </c>
      <c r="D458" s="2" t="s">
        <v>31</v>
      </c>
      <c r="E458" s="2">
        <v>15</v>
      </c>
      <c r="F458" s="2">
        <v>9</v>
      </c>
      <c r="G458" s="2" t="s">
        <v>43</v>
      </c>
      <c r="H458" s="2" t="s">
        <v>61</v>
      </c>
      <c r="I458" s="2" t="s">
        <v>151</v>
      </c>
      <c r="J458" s="5">
        <v>45</v>
      </c>
    </row>
    <row r="459" spans="1:10" hidden="1" x14ac:dyDescent="0.3">
      <c r="A459" s="4" t="s">
        <v>869</v>
      </c>
      <c r="B459" s="2" t="s">
        <v>73</v>
      </c>
      <c r="C459" s="2" t="s">
        <v>96</v>
      </c>
      <c r="D459" s="2" t="s">
        <v>31</v>
      </c>
      <c r="E459" s="2">
        <v>17</v>
      </c>
      <c r="F459" s="2">
        <v>9</v>
      </c>
      <c r="G459" s="2" t="s">
        <v>43</v>
      </c>
      <c r="H459" s="2" t="s">
        <v>26</v>
      </c>
      <c r="I459" s="2" t="s">
        <v>870</v>
      </c>
      <c r="J459" s="5">
        <v>53</v>
      </c>
    </row>
    <row r="460" spans="1:10" hidden="1" x14ac:dyDescent="0.3">
      <c r="A460" s="4" t="s">
        <v>871</v>
      </c>
      <c r="B460" s="2" t="s">
        <v>11</v>
      </c>
      <c r="C460" s="2" t="s">
        <v>12</v>
      </c>
      <c r="D460" s="2" t="s">
        <v>13</v>
      </c>
      <c r="E460" s="2">
        <v>20</v>
      </c>
      <c r="F460" s="2">
        <v>10</v>
      </c>
      <c r="G460" s="2" t="s">
        <v>25</v>
      </c>
      <c r="H460" s="2" t="s">
        <v>76</v>
      </c>
      <c r="I460" s="2" t="s">
        <v>872</v>
      </c>
      <c r="J460" s="5">
        <v>66</v>
      </c>
    </row>
    <row r="461" spans="1:10" x14ac:dyDescent="0.3">
      <c r="A461" s="19" t="s">
        <v>873</v>
      </c>
      <c r="B461" s="15" t="s">
        <v>18</v>
      </c>
      <c r="C461" s="15" t="s">
        <v>79</v>
      </c>
      <c r="D461" s="15" t="s">
        <v>31</v>
      </c>
      <c r="E461" s="15">
        <v>19</v>
      </c>
      <c r="F461" s="15">
        <v>12</v>
      </c>
      <c r="G461" s="15" t="s">
        <v>32</v>
      </c>
      <c r="H461" s="15" t="s">
        <v>76</v>
      </c>
      <c r="I461" s="15" t="s">
        <v>742</v>
      </c>
      <c r="J461" s="57">
        <v>83</v>
      </c>
    </row>
    <row r="462" spans="1:10" hidden="1" x14ac:dyDescent="0.3">
      <c r="A462" s="4" t="s">
        <v>874</v>
      </c>
      <c r="B462" s="2" t="s">
        <v>35</v>
      </c>
      <c r="C462" s="2" t="s">
        <v>36</v>
      </c>
      <c r="D462" s="2" t="s">
        <v>13</v>
      </c>
      <c r="E462" s="2">
        <v>16</v>
      </c>
      <c r="F462" s="2">
        <v>10</v>
      </c>
      <c r="G462" s="2" t="s">
        <v>14</v>
      </c>
      <c r="H462" s="2" t="s">
        <v>61</v>
      </c>
      <c r="I462" s="2" t="s">
        <v>875</v>
      </c>
      <c r="J462" s="5">
        <v>35</v>
      </c>
    </row>
    <row r="463" spans="1:10" hidden="1" x14ac:dyDescent="0.3">
      <c r="A463" s="4" t="s">
        <v>876</v>
      </c>
      <c r="B463" s="2" t="s">
        <v>18</v>
      </c>
      <c r="C463" s="2" t="s">
        <v>24</v>
      </c>
      <c r="D463" s="2" t="s">
        <v>31</v>
      </c>
      <c r="E463" s="2">
        <v>16</v>
      </c>
      <c r="F463" s="2">
        <v>9</v>
      </c>
      <c r="G463" s="2" t="s">
        <v>43</v>
      </c>
      <c r="H463" s="2" t="s">
        <v>26</v>
      </c>
      <c r="I463" s="2" t="s">
        <v>515</v>
      </c>
      <c r="J463" s="5">
        <v>48</v>
      </c>
    </row>
    <row r="464" spans="1:10" x14ac:dyDescent="0.3">
      <c r="A464" s="19" t="s">
        <v>877</v>
      </c>
      <c r="B464" s="15" t="s">
        <v>73</v>
      </c>
      <c r="C464" s="15" t="s">
        <v>85</v>
      </c>
      <c r="D464" s="15" t="s">
        <v>13</v>
      </c>
      <c r="E464" s="15">
        <v>19</v>
      </c>
      <c r="F464" s="15">
        <v>10</v>
      </c>
      <c r="G464" s="15" t="s">
        <v>25</v>
      </c>
      <c r="H464" s="15" t="s">
        <v>26</v>
      </c>
      <c r="I464" s="15" t="s">
        <v>878</v>
      </c>
      <c r="J464" s="57">
        <v>81</v>
      </c>
    </row>
    <row r="465" spans="1:10" x14ac:dyDescent="0.3">
      <c r="A465" s="19" t="s">
        <v>879</v>
      </c>
      <c r="B465" s="15" t="s">
        <v>18</v>
      </c>
      <c r="C465" s="15" t="s">
        <v>85</v>
      </c>
      <c r="D465" s="15" t="s">
        <v>13</v>
      </c>
      <c r="E465" s="15">
        <v>15</v>
      </c>
      <c r="F465" s="15">
        <v>11</v>
      </c>
      <c r="G465" s="15" t="s">
        <v>32</v>
      </c>
      <c r="H465" s="15" t="s">
        <v>37</v>
      </c>
      <c r="I465" s="15" t="s">
        <v>880</v>
      </c>
      <c r="J465" s="57">
        <v>86</v>
      </c>
    </row>
    <row r="466" spans="1:10" hidden="1" x14ac:dyDescent="0.3">
      <c r="A466" s="4" t="s">
        <v>881</v>
      </c>
      <c r="B466" s="2" t="s">
        <v>73</v>
      </c>
      <c r="C466" s="2" t="s">
        <v>24</v>
      </c>
      <c r="D466" s="2" t="s">
        <v>31</v>
      </c>
      <c r="E466" s="2">
        <v>14</v>
      </c>
      <c r="F466" s="2">
        <v>12</v>
      </c>
      <c r="G466" s="2" t="s">
        <v>25</v>
      </c>
      <c r="H466" s="2" t="s">
        <v>46</v>
      </c>
      <c r="I466" s="2" t="s">
        <v>882</v>
      </c>
      <c r="J466" s="5">
        <v>58</v>
      </c>
    </row>
    <row r="467" spans="1:10" hidden="1" x14ac:dyDescent="0.3">
      <c r="A467" s="4" t="s">
        <v>883</v>
      </c>
      <c r="B467" s="2" t="s">
        <v>23</v>
      </c>
      <c r="C467" s="2" t="s">
        <v>85</v>
      </c>
      <c r="D467" s="2" t="s">
        <v>13</v>
      </c>
      <c r="E467" s="2">
        <v>19</v>
      </c>
      <c r="F467" s="2">
        <v>9</v>
      </c>
      <c r="G467" s="2" t="s">
        <v>43</v>
      </c>
      <c r="H467" s="2" t="s">
        <v>20</v>
      </c>
      <c r="I467" s="2" t="s">
        <v>884</v>
      </c>
      <c r="J467" s="5">
        <v>69</v>
      </c>
    </row>
    <row r="468" spans="1:10" hidden="1" x14ac:dyDescent="0.3">
      <c r="A468" s="4" t="s">
        <v>885</v>
      </c>
      <c r="B468" s="2" t="s">
        <v>51</v>
      </c>
      <c r="C468" s="2" t="s">
        <v>55</v>
      </c>
      <c r="D468" s="2" t="s">
        <v>13</v>
      </c>
      <c r="E468" s="2">
        <v>16</v>
      </c>
      <c r="F468" s="2">
        <v>11</v>
      </c>
      <c r="G468" s="2" t="s">
        <v>32</v>
      </c>
      <c r="H468" s="2" t="s">
        <v>76</v>
      </c>
      <c r="I468" s="2" t="s">
        <v>886</v>
      </c>
      <c r="J468" s="5">
        <v>65</v>
      </c>
    </row>
    <row r="469" spans="1:10" hidden="1" x14ac:dyDescent="0.3">
      <c r="A469" s="4" t="s">
        <v>887</v>
      </c>
      <c r="B469" s="2" t="s">
        <v>11</v>
      </c>
      <c r="C469" s="2" t="s">
        <v>30</v>
      </c>
      <c r="D469" s="2" t="s">
        <v>31</v>
      </c>
      <c r="E469" s="2">
        <v>17</v>
      </c>
      <c r="F469" s="2">
        <v>9</v>
      </c>
      <c r="G469" s="2" t="s">
        <v>14</v>
      </c>
      <c r="H469" s="2" t="s">
        <v>76</v>
      </c>
      <c r="I469" s="2" t="s">
        <v>653</v>
      </c>
      <c r="J469" s="5">
        <v>53</v>
      </c>
    </row>
    <row r="470" spans="1:10" x14ac:dyDescent="0.3">
      <c r="A470" s="19" t="s">
        <v>888</v>
      </c>
      <c r="B470" s="15" t="s">
        <v>23</v>
      </c>
      <c r="C470" s="15" t="s">
        <v>58</v>
      </c>
      <c r="D470" s="15" t="s">
        <v>31</v>
      </c>
      <c r="E470" s="15">
        <v>18</v>
      </c>
      <c r="F470" s="15">
        <v>10</v>
      </c>
      <c r="G470" s="15" t="s">
        <v>14</v>
      </c>
      <c r="H470" s="15" t="s">
        <v>20</v>
      </c>
      <c r="I470" s="15" t="s">
        <v>153</v>
      </c>
      <c r="J470" s="57">
        <v>92</v>
      </c>
    </row>
    <row r="471" spans="1:10" x14ac:dyDescent="0.3">
      <c r="A471" s="19" t="s">
        <v>889</v>
      </c>
      <c r="B471" s="15" t="s">
        <v>68</v>
      </c>
      <c r="C471" s="15" t="s">
        <v>19</v>
      </c>
      <c r="D471" s="15" t="s">
        <v>31</v>
      </c>
      <c r="E471" s="15">
        <v>18</v>
      </c>
      <c r="F471" s="15">
        <v>12</v>
      </c>
      <c r="G471" s="15" t="s">
        <v>32</v>
      </c>
      <c r="H471" s="15" t="s">
        <v>46</v>
      </c>
      <c r="I471" s="15" t="s">
        <v>890</v>
      </c>
      <c r="J471" s="57">
        <v>88</v>
      </c>
    </row>
    <row r="472" spans="1:10" hidden="1" x14ac:dyDescent="0.3">
      <c r="A472" s="4" t="s">
        <v>891</v>
      </c>
      <c r="B472" s="2" t="s">
        <v>68</v>
      </c>
      <c r="C472" s="2" t="s">
        <v>79</v>
      </c>
      <c r="D472" s="2" t="s">
        <v>31</v>
      </c>
      <c r="E472" s="2">
        <v>17</v>
      </c>
      <c r="F472" s="2">
        <v>10</v>
      </c>
      <c r="G472" s="2" t="s">
        <v>32</v>
      </c>
      <c r="H472" s="2" t="s">
        <v>61</v>
      </c>
      <c r="I472" s="2" t="s">
        <v>892</v>
      </c>
      <c r="J472" s="5">
        <v>56</v>
      </c>
    </row>
    <row r="473" spans="1:10" hidden="1" x14ac:dyDescent="0.3">
      <c r="A473" s="4" t="s">
        <v>893</v>
      </c>
      <c r="B473" s="2" t="s">
        <v>29</v>
      </c>
      <c r="C473" s="2" t="s">
        <v>30</v>
      </c>
      <c r="D473" s="2" t="s">
        <v>13</v>
      </c>
      <c r="E473" s="2">
        <v>17</v>
      </c>
      <c r="F473" s="2">
        <v>9</v>
      </c>
      <c r="G473" s="2" t="s">
        <v>14</v>
      </c>
      <c r="H473" s="2" t="s">
        <v>46</v>
      </c>
      <c r="I473" s="2" t="s">
        <v>423</v>
      </c>
      <c r="J473" s="5">
        <v>46</v>
      </c>
    </row>
    <row r="474" spans="1:10" hidden="1" x14ac:dyDescent="0.3">
      <c r="A474" s="4" t="s">
        <v>894</v>
      </c>
      <c r="B474" s="2" t="s">
        <v>23</v>
      </c>
      <c r="C474" s="2" t="s">
        <v>79</v>
      </c>
      <c r="D474" s="2" t="s">
        <v>31</v>
      </c>
      <c r="E474" s="2">
        <v>20</v>
      </c>
      <c r="F474" s="2">
        <v>9</v>
      </c>
      <c r="G474" s="2" t="s">
        <v>14</v>
      </c>
      <c r="H474" s="2" t="s">
        <v>26</v>
      </c>
      <c r="I474" s="2" t="s">
        <v>895</v>
      </c>
      <c r="J474" s="5">
        <v>36</v>
      </c>
    </row>
    <row r="475" spans="1:10" x14ac:dyDescent="0.3">
      <c r="A475" s="19" t="s">
        <v>896</v>
      </c>
      <c r="B475" s="15" t="s">
        <v>11</v>
      </c>
      <c r="C475" s="15" t="s">
        <v>36</v>
      </c>
      <c r="D475" s="15" t="s">
        <v>13</v>
      </c>
      <c r="E475" s="15">
        <v>15</v>
      </c>
      <c r="F475" s="15">
        <v>11</v>
      </c>
      <c r="G475" s="15" t="s">
        <v>14</v>
      </c>
      <c r="H475" s="15" t="s">
        <v>26</v>
      </c>
      <c r="I475" s="15" t="s">
        <v>897</v>
      </c>
      <c r="J475" s="57">
        <v>95</v>
      </c>
    </row>
    <row r="476" spans="1:10" hidden="1" x14ac:dyDescent="0.3">
      <c r="A476" s="4" t="s">
        <v>898</v>
      </c>
      <c r="B476" s="2" t="s">
        <v>18</v>
      </c>
      <c r="C476" s="2" t="s">
        <v>19</v>
      </c>
      <c r="D476" s="2" t="s">
        <v>13</v>
      </c>
      <c r="E476" s="2">
        <v>17</v>
      </c>
      <c r="F476" s="2">
        <v>10</v>
      </c>
      <c r="G476" s="2" t="s">
        <v>25</v>
      </c>
      <c r="H476" s="2" t="s">
        <v>61</v>
      </c>
      <c r="I476" s="2" t="s">
        <v>471</v>
      </c>
      <c r="J476" s="5">
        <v>58</v>
      </c>
    </row>
    <row r="477" spans="1:10" x14ac:dyDescent="0.3">
      <c r="A477" s="19" t="s">
        <v>899</v>
      </c>
      <c r="B477" s="15" t="s">
        <v>11</v>
      </c>
      <c r="C477" s="15" t="s">
        <v>79</v>
      </c>
      <c r="D477" s="15" t="s">
        <v>13</v>
      </c>
      <c r="E477" s="15">
        <v>15</v>
      </c>
      <c r="F477" s="15">
        <v>10</v>
      </c>
      <c r="G477" s="15" t="s">
        <v>14</v>
      </c>
      <c r="H477" s="15" t="s">
        <v>37</v>
      </c>
      <c r="I477" s="15" t="s">
        <v>900</v>
      </c>
      <c r="J477" s="57">
        <v>88</v>
      </c>
    </row>
    <row r="478" spans="1:10" hidden="1" x14ac:dyDescent="0.3">
      <c r="A478" s="4" t="s">
        <v>901</v>
      </c>
      <c r="B478" s="2" t="s">
        <v>68</v>
      </c>
      <c r="C478" s="2" t="s">
        <v>19</v>
      </c>
      <c r="D478" s="2" t="s">
        <v>31</v>
      </c>
      <c r="E478" s="2">
        <v>18</v>
      </c>
      <c r="F478" s="2">
        <v>11</v>
      </c>
      <c r="G478" s="2" t="s">
        <v>14</v>
      </c>
      <c r="H478" s="2" t="s">
        <v>40</v>
      </c>
      <c r="I478" s="2" t="s">
        <v>139</v>
      </c>
      <c r="J478" s="5">
        <v>75</v>
      </c>
    </row>
    <row r="479" spans="1:10" hidden="1" x14ac:dyDescent="0.3">
      <c r="A479" s="4" t="s">
        <v>902</v>
      </c>
      <c r="B479" s="2" t="s">
        <v>35</v>
      </c>
      <c r="C479" s="2" t="s">
        <v>12</v>
      </c>
      <c r="D479" s="2" t="s">
        <v>31</v>
      </c>
      <c r="E479" s="2">
        <v>14</v>
      </c>
      <c r="F479" s="2">
        <v>11</v>
      </c>
      <c r="G479" s="2" t="s">
        <v>14</v>
      </c>
      <c r="H479" s="2" t="s">
        <v>37</v>
      </c>
      <c r="I479" s="2" t="s">
        <v>271</v>
      </c>
      <c r="J479" s="5">
        <v>59</v>
      </c>
    </row>
    <row r="480" spans="1:10" hidden="1" x14ac:dyDescent="0.3">
      <c r="A480" s="4" t="s">
        <v>903</v>
      </c>
      <c r="B480" s="2" t="s">
        <v>54</v>
      </c>
      <c r="C480" s="2" t="s">
        <v>30</v>
      </c>
      <c r="D480" s="2" t="s">
        <v>31</v>
      </c>
      <c r="E480" s="2">
        <v>20</v>
      </c>
      <c r="F480" s="2">
        <v>12</v>
      </c>
      <c r="G480" s="2" t="s">
        <v>43</v>
      </c>
      <c r="H480" s="2" t="s">
        <v>40</v>
      </c>
      <c r="I480" s="2" t="s">
        <v>904</v>
      </c>
      <c r="J480" s="5">
        <v>55</v>
      </c>
    </row>
    <row r="481" spans="1:10" x14ac:dyDescent="0.3">
      <c r="A481" s="19" t="s">
        <v>905</v>
      </c>
      <c r="B481" s="15" t="s">
        <v>54</v>
      </c>
      <c r="C481" s="15" t="s">
        <v>30</v>
      </c>
      <c r="D481" s="15" t="s">
        <v>13</v>
      </c>
      <c r="E481" s="15">
        <v>16</v>
      </c>
      <c r="F481" s="15">
        <v>12</v>
      </c>
      <c r="G481" s="15" t="s">
        <v>43</v>
      </c>
      <c r="H481" s="15" t="s">
        <v>40</v>
      </c>
      <c r="I481" s="15" t="s">
        <v>556</v>
      </c>
      <c r="J481" s="57">
        <v>81</v>
      </c>
    </row>
    <row r="482" spans="1:10" hidden="1" x14ac:dyDescent="0.3">
      <c r="A482" s="4" t="s">
        <v>906</v>
      </c>
      <c r="B482" s="2" t="s">
        <v>73</v>
      </c>
      <c r="C482" s="2" t="s">
        <v>36</v>
      </c>
      <c r="D482" s="2" t="s">
        <v>13</v>
      </c>
      <c r="E482" s="2">
        <v>17</v>
      </c>
      <c r="F482" s="2">
        <v>12</v>
      </c>
      <c r="G482" s="2" t="s">
        <v>25</v>
      </c>
      <c r="H482" s="2" t="s">
        <v>76</v>
      </c>
      <c r="I482" s="2" t="s">
        <v>907</v>
      </c>
      <c r="J482" s="5">
        <v>75</v>
      </c>
    </row>
    <row r="483" spans="1:10" hidden="1" x14ac:dyDescent="0.3">
      <c r="A483" s="4" t="s">
        <v>908</v>
      </c>
      <c r="B483" s="2" t="s">
        <v>11</v>
      </c>
      <c r="C483" s="2" t="s">
        <v>79</v>
      </c>
      <c r="D483" s="2" t="s">
        <v>31</v>
      </c>
      <c r="E483" s="2">
        <v>14</v>
      </c>
      <c r="F483" s="2">
        <v>10</v>
      </c>
      <c r="G483" s="2" t="s">
        <v>14</v>
      </c>
      <c r="H483" s="2" t="s">
        <v>46</v>
      </c>
      <c r="I483" s="2" t="s">
        <v>909</v>
      </c>
      <c r="J483" s="5">
        <v>55</v>
      </c>
    </row>
    <row r="484" spans="1:10" x14ac:dyDescent="0.3">
      <c r="A484" s="19" t="s">
        <v>910</v>
      </c>
      <c r="B484" s="15" t="s">
        <v>84</v>
      </c>
      <c r="C484" s="15" t="s">
        <v>12</v>
      </c>
      <c r="D484" s="15" t="s">
        <v>31</v>
      </c>
      <c r="E484" s="15">
        <v>18</v>
      </c>
      <c r="F484" s="15">
        <v>11</v>
      </c>
      <c r="G484" s="15" t="s">
        <v>25</v>
      </c>
      <c r="H484" s="15" t="s">
        <v>15</v>
      </c>
      <c r="I484" s="15" t="s">
        <v>911</v>
      </c>
      <c r="J484" s="57">
        <v>87</v>
      </c>
    </row>
    <row r="485" spans="1:10" hidden="1" x14ac:dyDescent="0.3">
      <c r="A485" s="4" t="s">
        <v>912</v>
      </c>
      <c r="B485" s="2" t="s">
        <v>23</v>
      </c>
      <c r="C485" s="2" t="s">
        <v>79</v>
      </c>
      <c r="D485" s="2" t="s">
        <v>31</v>
      </c>
      <c r="E485" s="2">
        <v>17</v>
      </c>
      <c r="F485" s="2">
        <v>12</v>
      </c>
      <c r="G485" s="2" t="s">
        <v>32</v>
      </c>
      <c r="H485" s="2" t="s">
        <v>46</v>
      </c>
      <c r="I485" s="2" t="s">
        <v>400</v>
      </c>
      <c r="J485" s="5">
        <v>70</v>
      </c>
    </row>
    <row r="486" spans="1:10" hidden="1" x14ac:dyDescent="0.3">
      <c r="A486" s="4" t="s">
        <v>913</v>
      </c>
      <c r="B486" s="2" t="s">
        <v>68</v>
      </c>
      <c r="C486" s="2" t="s">
        <v>58</v>
      </c>
      <c r="D486" s="2" t="s">
        <v>13</v>
      </c>
      <c r="E486" s="2">
        <v>14</v>
      </c>
      <c r="F486" s="2">
        <v>10</v>
      </c>
      <c r="G486" s="2" t="s">
        <v>14</v>
      </c>
      <c r="H486" s="2" t="s">
        <v>15</v>
      </c>
      <c r="I486" s="2" t="s">
        <v>914</v>
      </c>
      <c r="J486" s="5">
        <v>69</v>
      </c>
    </row>
    <row r="487" spans="1:10" x14ac:dyDescent="0.3">
      <c r="A487" s="19" t="s">
        <v>915</v>
      </c>
      <c r="B487" s="15" t="s">
        <v>23</v>
      </c>
      <c r="C487" s="15" t="s">
        <v>58</v>
      </c>
      <c r="D487" s="15" t="s">
        <v>31</v>
      </c>
      <c r="E487" s="15">
        <v>17</v>
      </c>
      <c r="F487" s="15">
        <v>9</v>
      </c>
      <c r="G487" s="15" t="s">
        <v>25</v>
      </c>
      <c r="H487" s="15" t="s">
        <v>46</v>
      </c>
      <c r="I487" s="15" t="s">
        <v>916</v>
      </c>
      <c r="J487" s="57">
        <v>85</v>
      </c>
    </row>
    <row r="488" spans="1:10" x14ac:dyDescent="0.3">
      <c r="A488" s="19" t="s">
        <v>917</v>
      </c>
      <c r="B488" s="15" t="s">
        <v>11</v>
      </c>
      <c r="C488" s="15" t="s">
        <v>96</v>
      </c>
      <c r="D488" s="15" t="s">
        <v>31</v>
      </c>
      <c r="E488" s="15">
        <v>19</v>
      </c>
      <c r="F488" s="15">
        <v>11</v>
      </c>
      <c r="G488" s="15" t="s">
        <v>43</v>
      </c>
      <c r="H488" s="15" t="s">
        <v>26</v>
      </c>
      <c r="I488" s="15" t="s">
        <v>918</v>
      </c>
      <c r="J488" s="57">
        <v>87</v>
      </c>
    </row>
    <row r="489" spans="1:10" x14ac:dyDescent="0.3">
      <c r="A489" s="19" t="s">
        <v>919</v>
      </c>
      <c r="B489" s="15" t="s">
        <v>23</v>
      </c>
      <c r="C489" s="15" t="s">
        <v>19</v>
      </c>
      <c r="D489" s="15" t="s">
        <v>13</v>
      </c>
      <c r="E489" s="15">
        <v>14</v>
      </c>
      <c r="F489" s="15">
        <v>12</v>
      </c>
      <c r="G489" s="15" t="s">
        <v>14</v>
      </c>
      <c r="H489" s="15" t="s">
        <v>15</v>
      </c>
      <c r="I489" s="15" t="s">
        <v>920</v>
      </c>
      <c r="J489" s="57">
        <v>92</v>
      </c>
    </row>
    <row r="490" spans="1:10" hidden="1" x14ac:dyDescent="0.3">
      <c r="A490" s="4" t="s">
        <v>921</v>
      </c>
      <c r="B490" s="2" t="s">
        <v>18</v>
      </c>
      <c r="C490" s="2" t="s">
        <v>24</v>
      </c>
      <c r="D490" s="2" t="s">
        <v>13</v>
      </c>
      <c r="E490" s="2">
        <v>19</v>
      </c>
      <c r="F490" s="2">
        <v>10</v>
      </c>
      <c r="G490" s="2" t="s">
        <v>14</v>
      </c>
      <c r="H490" s="2" t="s">
        <v>20</v>
      </c>
      <c r="I490" s="2" t="s">
        <v>922</v>
      </c>
      <c r="J490" s="5">
        <v>58</v>
      </c>
    </row>
    <row r="491" spans="1:10" hidden="1" x14ac:dyDescent="0.3">
      <c r="A491" s="4" t="s">
        <v>923</v>
      </c>
      <c r="B491" s="2" t="s">
        <v>68</v>
      </c>
      <c r="C491" s="2" t="s">
        <v>55</v>
      </c>
      <c r="D491" s="2" t="s">
        <v>31</v>
      </c>
      <c r="E491" s="2">
        <v>16</v>
      </c>
      <c r="F491" s="2">
        <v>12</v>
      </c>
      <c r="G491" s="2" t="s">
        <v>43</v>
      </c>
      <c r="H491" s="2" t="s">
        <v>37</v>
      </c>
      <c r="I491" s="2" t="s">
        <v>924</v>
      </c>
      <c r="J491" s="5">
        <v>77</v>
      </c>
    </row>
    <row r="492" spans="1:10" x14ac:dyDescent="0.3">
      <c r="A492" s="19" t="s">
        <v>925</v>
      </c>
      <c r="B492" s="15" t="s">
        <v>68</v>
      </c>
      <c r="C492" s="15" t="s">
        <v>30</v>
      </c>
      <c r="D492" s="15" t="s">
        <v>31</v>
      </c>
      <c r="E492" s="15">
        <v>18</v>
      </c>
      <c r="F492" s="15">
        <v>9</v>
      </c>
      <c r="G492" s="15" t="s">
        <v>32</v>
      </c>
      <c r="H492" s="15" t="s">
        <v>20</v>
      </c>
      <c r="I492" s="15" t="s">
        <v>732</v>
      </c>
      <c r="J492" s="57">
        <v>86</v>
      </c>
    </row>
    <row r="493" spans="1:10" x14ac:dyDescent="0.3">
      <c r="A493" s="19" t="s">
        <v>926</v>
      </c>
      <c r="B493" s="15" t="s">
        <v>73</v>
      </c>
      <c r="C493" s="15" t="s">
        <v>85</v>
      </c>
      <c r="D493" s="15" t="s">
        <v>13</v>
      </c>
      <c r="E493" s="15">
        <v>14</v>
      </c>
      <c r="F493" s="15">
        <v>9</v>
      </c>
      <c r="G493" s="15" t="s">
        <v>32</v>
      </c>
      <c r="H493" s="15" t="s">
        <v>20</v>
      </c>
      <c r="I493" s="15" t="s">
        <v>927</v>
      </c>
      <c r="J493" s="57">
        <v>94</v>
      </c>
    </row>
    <row r="494" spans="1:10" hidden="1" x14ac:dyDescent="0.3">
      <c r="A494" s="4" t="s">
        <v>928</v>
      </c>
      <c r="B494" s="2" t="s">
        <v>23</v>
      </c>
      <c r="C494" s="2" t="s">
        <v>55</v>
      </c>
      <c r="D494" s="2" t="s">
        <v>13</v>
      </c>
      <c r="E494" s="2">
        <v>20</v>
      </c>
      <c r="F494" s="2">
        <v>11</v>
      </c>
      <c r="G494" s="2" t="s">
        <v>14</v>
      </c>
      <c r="H494" s="2" t="s">
        <v>15</v>
      </c>
      <c r="I494" s="2" t="s">
        <v>608</v>
      </c>
      <c r="J494" s="5">
        <v>49</v>
      </c>
    </row>
    <row r="495" spans="1:10" hidden="1" x14ac:dyDescent="0.3">
      <c r="A495" s="4" t="s">
        <v>929</v>
      </c>
      <c r="B495" s="2" t="s">
        <v>35</v>
      </c>
      <c r="C495" s="2" t="s">
        <v>30</v>
      </c>
      <c r="D495" s="2" t="s">
        <v>13</v>
      </c>
      <c r="E495" s="2">
        <v>15</v>
      </c>
      <c r="F495" s="2">
        <v>12</v>
      </c>
      <c r="G495" s="2" t="s">
        <v>32</v>
      </c>
      <c r="H495" s="2" t="s">
        <v>26</v>
      </c>
      <c r="I495" s="2" t="s">
        <v>262</v>
      </c>
      <c r="J495" s="5">
        <v>55</v>
      </c>
    </row>
    <row r="496" spans="1:10" hidden="1" x14ac:dyDescent="0.3">
      <c r="A496" s="4" t="s">
        <v>930</v>
      </c>
      <c r="B496" s="2" t="s">
        <v>35</v>
      </c>
      <c r="C496" s="2" t="s">
        <v>96</v>
      </c>
      <c r="D496" s="2" t="s">
        <v>31</v>
      </c>
      <c r="E496" s="2">
        <v>20</v>
      </c>
      <c r="F496" s="2">
        <v>9</v>
      </c>
      <c r="G496" s="2" t="s">
        <v>25</v>
      </c>
      <c r="H496" s="2" t="s">
        <v>61</v>
      </c>
      <c r="I496" s="2" t="s">
        <v>342</v>
      </c>
      <c r="J496" s="5">
        <v>62</v>
      </c>
    </row>
    <row r="497" spans="1:10" x14ac:dyDescent="0.3">
      <c r="A497" s="19" t="s">
        <v>931</v>
      </c>
      <c r="B497" s="15" t="s">
        <v>23</v>
      </c>
      <c r="C497" s="15" t="s">
        <v>36</v>
      </c>
      <c r="D497" s="15" t="s">
        <v>13</v>
      </c>
      <c r="E497" s="15">
        <v>20</v>
      </c>
      <c r="F497" s="15">
        <v>9</v>
      </c>
      <c r="G497" s="15" t="s">
        <v>43</v>
      </c>
      <c r="H497" s="15" t="s">
        <v>40</v>
      </c>
      <c r="I497" s="15" t="s">
        <v>932</v>
      </c>
      <c r="J497" s="57">
        <v>85</v>
      </c>
    </row>
    <row r="498" spans="1:10" hidden="1" x14ac:dyDescent="0.3">
      <c r="A498" s="4" t="s">
        <v>933</v>
      </c>
      <c r="B498" s="2" t="s">
        <v>51</v>
      </c>
      <c r="C498" s="2" t="s">
        <v>96</v>
      </c>
      <c r="D498" s="2" t="s">
        <v>13</v>
      </c>
      <c r="E498" s="2">
        <v>20</v>
      </c>
      <c r="F498" s="2">
        <v>11</v>
      </c>
      <c r="G498" s="2" t="s">
        <v>25</v>
      </c>
      <c r="H498" s="2" t="s">
        <v>15</v>
      </c>
      <c r="I498" s="2" t="s">
        <v>494</v>
      </c>
      <c r="J498" s="5">
        <v>42</v>
      </c>
    </row>
    <row r="499" spans="1:10" x14ac:dyDescent="0.3">
      <c r="A499" s="19" t="s">
        <v>934</v>
      </c>
      <c r="B499" s="15" t="s">
        <v>51</v>
      </c>
      <c r="C499" s="15" t="s">
        <v>58</v>
      </c>
      <c r="D499" s="15" t="s">
        <v>31</v>
      </c>
      <c r="E499" s="15">
        <v>18</v>
      </c>
      <c r="F499" s="15">
        <v>11</v>
      </c>
      <c r="G499" s="15" t="s">
        <v>14</v>
      </c>
      <c r="H499" s="15" t="s">
        <v>37</v>
      </c>
      <c r="I499" s="15" t="s">
        <v>806</v>
      </c>
      <c r="J499" s="57">
        <v>88</v>
      </c>
    </row>
    <row r="500" spans="1:10" x14ac:dyDescent="0.3">
      <c r="A500" s="19" t="s">
        <v>935</v>
      </c>
      <c r="B500" s="15" t="s">
        <v>18</v>
      </c>
      <c r="C500" s="15" t="s">
        <v>12</v>
      </c>
      <c r="D500" s="15" t="s">
        <v>13</v>
      </c>
      <c r="E500" s="15">
        <v>20</v>
      </c>
      <c r="F500" s="15">
        <v>11</v>
      </c>
      <c r="G500" s="15" t="s">
        <v>43</v>
      </c>
      <c r="H500" s="15" t="s">
        <v>46</v>
      </c>
      <c r="I500" s="15" t="s">
        <v>936</v>
      </c>
      <c r="J500" s="57">
        <v>94</v>
      </c>
    </row>
    <row r="501" spans="1:10" x14ac:dyDescent="0.3">
      <c r="A501" s="19" t="s">
        <v>937</v>
      </c>
      <c r="B501" s="15" t="s">
        <v>73</v>
      </c>
      <c r="C501" s="15" t="s">
        <v>85</v>
      </c>
      <c r="D501" s="15" t="s">
        <v>31</v>
      </c>
      <c r="E501" s="15">
        <v>16</v>
      </c>
      <c r="F501" s="15">
        <v>10</v>
      </c>
      <c r="G501" s="15" t="s">
        <v>25</v>
      </c>
      <c r="H501" s="15" t="s">
        <v>76</v>
      </c>
      <c r="I501" s="15" t="s">
        <v>305</v>
      </c>
      <c r="J501" s="57">
        <v>90</v>
      </c>
    </row>
    <row r="502" spans="1:10" hidden="1" x14ac:dyDescent="0.3">
      <c r="A502" s="4" t="s">
        <v>938</v>
      </c>
      <c r="B502" s="2" t="s">
        <v>18</v>
      </c>
      <c r="C502" s="2" t="s">
        <v>58</v>
      </c>
      <c r="D502" s="2" t="s">
        <v>13</v>
      </c>
      <c r="E502" s="2">
        <v>16</v>
      </c>
      <c r="F502" s="2">
        <v>12</v>
      </c>
      <c r="G502" s="2" t="s">
        <v>25</v>
      </c>
      <c r="H502" s="2" t="s">
        <v>26</v>
      </c>
      <c r="I502" s="2" t="s">
        <v>939</v>
      </c>
      <c r="J502" s="5">
        <v>41</v>
      </c>
    </row>
    <row r="503" spans="1:10" hidden="1" x14ac:dyDescent="0.3">
      <c r="A503" s="9" t="s">
        <v>940</v>
      </c>
      <c r="B503" s="10" t="s">
        <v>51</v>
      </c>
      <c r="C503" s="10" t="s">
        <v>96</v>
      </c>
      <c r="D503" s="10" t="s">
        <v>31</v>
      </c>
      <c r="E503" s="10">
        <v>18</v>
      </c>
      <c r="F503" s="10">
        <v>9</v>
      </c>
      <c r="G503" s="10" t="s">
        <v>43</v>
      </c>
      <c r="H503" s="10" t="s">
        <v>76</v>
      </c>
      <c r="I503" s="10" t="s">
        <v>506</v>
      </c>
      <c r="J503" s="11">
        <v>36</v>
      </c>
    </row>
  </sheetData>
  <mergeCells count="1">
    <mergeCell ref="B1:J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1F8B-0176-4D76-811B-6A6ED7C9F98D}">
  <sheetPr filterMode="1"/>
  <dimension ref="A1:M503"/>
  <sheetViews>
    <sheetView workbookViewId="0">
      <selection activeCell="P75" sqref="P75"/>
    </sheetView>
  </sheetViews>
  <sheetFormatPr defaultRowHeight="14.4" x14ac:dyDescent="0.3"/>
  <cols>
    <col min="1" max="2" width="10.44140625" bestFit="1" customWidth="1"/>
    <col min="3" max="3" width="10.33203125" bestFit="1" customWidth="1"/>
    <col min="4" max="4" width="7.109375" bestFit="1" customWidth="1"/>
    <col min="5" max="5" width="4.21875" bestFit="1" customWidth="1"/>
    <col min="6" max="6" width="5.109375" bestFit="1" customWidth="1"/>
    <col min="7" max="7" width="7.21875" bestFit="1" customWidth="1"/>
    <col min="8" max="8" width="9.77734375" bestFit="1" customWidth="1"/>
    <col min="9" max="9" width="14.6640625" bestFit="1" customWidth="1"/>
    <col min="10" max="10" width="6.21875" bestFit="1" customWidth="1"/>
    <col min="12" max="12" width="5.109375" bestFit="1" customWidth="1"/>
    <col min="13" max="13" width="7.109375" bestFit="1" customWidth="1"/>
  </cols>
  <sheetData>
    <row r="1" spans="1:13" ht="18" x14ac:dyDescent="0.35">
      <c r="A1" s="16">
        <v>11</v>
      </c>
      <c r="B1" s="29" t="s">
        <v>942</v>
      </c>
      <c r="C1" s="29"/>
      <c r="D1" s="29"/>
      <c r="E1" s="29"/>
      <c r="F1" s="29"/>
      <c r="G1" s="29"/>
      <c r="H1" s="29"/>
      <c r="I1" s="29"/>
      <c r="J1" s="29"/>
      <c r="L1" s="26" t="s">
        <v>5</v>
      </c>
      <c r="M1" s="26" t="s">
        <v>3</v>
      </c>
    </row>
    <row r="2" spans="1:13" x14ac:dyDescent="0.3">
      <c r="L2" s="26">
        <v>12</v>
      </c>
      <c r="M2" s="26" t="s">
        <v>31</v>
      </c>
    </row>
    <row r="3" spans="1:13" x14ac:dyDescent="0.3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</row>
    <row r="4" spans="1:13" hidden="1" x14ac:dyDescent="0.3">
      <c r="A4" s="4" t="s">
        <v>10</v>
      </c>
      <c r="B4" s="2" t="s">
        <v>11</v>
      </c>
      <c r="C4" s="2" t="s">
        <v>12</v>
      </c>
      <c r="D4" s="2" t="s">
        <v>13</v>
      </c>
      <c r="E4" s="2">
        <v>16</v>
      </c>
      <c r="F4" s="2">
        <v>10</v>
      </c>
      <c r="G4" s="2" t="s">
        <v>14</v>
      </c>
      <c r="H4" s="2" t="s">
        <v>15</v>
      </c>
      <c r="I4" s="2" t="s">
        <v>16</v>
      </c>
      <c r="J4" s="5">
        <v>37</v>
      </c>
    </row>
    <row r="5" spans="1:13" hidden="1" x14ac:dyDescent="0.3">
      <c r="A5" s="4" t="s">
        <v>17</v>
      </c>
      <c r="B5" s="2" t="s">
        <v>18</v>
      </c>
      <c r="C5" s="2" t="s">
        <v>19</v>
      </c>
      <c r="D5" s="2" t="s">
        <v>13</v>
      </c>
      <c r="E5" s="2">
        <v>15</v>
      </c>
      <c r="F5" s="2">
        <v>12</v>
      </c>
      <c r="G5" s="2" t="s">
        <v>14</v>
      </c>
      <c r="H5" s="2" t="s">
        <v>20</v>
      </c>
      <c r="I5" s="2" t="s">
        <v>21</v>
      </c>
      <c r="J5" s="5">
        <v>98</v>
      </c>
    </row>
    <row r="6" spans="1:13" hidden="1" x14ac:dyDescent="0.3">
      <c r="A6" s="4" t="s">
        <v>22</v>
      </c>
      <c r="B6" s="2" t="s">
        <v>23</v>
      </c>
      <c r="C6" s="2" t="s">
        <v>24</v>
      </c>
      <c r="D6" s="2" t="s">
        <v>13</v>
      </c>
      <c r="E6" s="2">
        <v>14</v>
      </c>
      <c r="F6" s="2">
        <v>12</v>
      </c>
      <c r="G6" s="2" t="s">
        <v>25</v>
      </c>
      <c r="H6" s="2" t="s">
        <v>26</v>
      </c>
      <c r="I6" s="2" t="s">
        <v>27</v>
      </c>
      <c r="J6" s="5">
        <v>38</v>
      </c>
    </row>
    <row r="7" spans="1:13" hidden="1" x14ac:dyDescent="0.3">
      <c r="A7" s="4" t="s">
        <v>28</v>
      </c>
      <c r="B7" s="2" t="s">
        <v>29</v>
      </c>
      <c r="C7" s="2" t="s">
        <v>30</v>
      </c>
      <c r="D7" s="2" t="s">
        <v>31</v>
      </c>
      <c r="E7" s="2">
        <v>20</v>
      </c>
      <c r="F7" s="2">
        <v>9</v>
      </c>
      <c r="G7" s="2" t="s">
        <v>32</v>
      </c>
      <c r="H7" s="2" t="s">
        <v>26</v>
      </c>
      <c r="I7" s="2" t="s">
        <v>33</v>
      </c>
      <c r="J7" s="5">
        <v>84</v>
      </c>
    </row>
    <row r="8" spans="1:13" hidden="1" x14ac:dyDescent="0.3">
      <c r="A8" s="4" t="s">
        <v>34</v>
      </c>
      <c r="B8" s="2" t="s">
        <v>35</v>
      </c>
      <c r="C8" s="2" t="s">
        <v>36</v>
      </c>
      <c r="D8" s="2" t="s">
        <v>31</v>
      </c>
      <c r="E8" s="2">
        <v>17</v>
      </c>
      <c r="F8" s="2">
        <v>10</v>
      </c>
      <c r="G8" s="2" t="s">
        <v>32</v>
      </c>
      <c r="H8" s="2" t="s">
        <v>37</v>
      </c>
      <c r="I8" s="2" t="s">
        <v>38</v>
      </c>
      <c r="J8" s="5">
        <v>45</v>
      </c>
    </row>
    <row r="9" spans="1:13" hidden="1" x14ac:dyDescent="0.3">
      <c r="A9" s="4" t="s">
        <v>39</v>
      </c>
      <c r="B9" s="2" t="s">
        <v>11</v>
      </c>
      <c r="C9" s="2" t="s">
        <v>12</v>
      </c>
      <c r="D9" s="2" t="s">
        <v>31</v>
      </c>
      <c r="E9" s="2">
        <v>19</v>
      </c>
      <c r="F9" s="2">
        <v>10</v>
      </c>
      <c r="G9" s="2" t="s">
        <v>14</v>
      </c>
      <c r="H9" s="2" t="s">
        <v>40</v>
      </c>
      <c r="I9" s="2" t="s">
        <v>41</v>
      </c>
      <c r="J9" s="5">
        <v>36</v>
      </c>
    </row>
    <row r="10" spans="1:13" hidden="1" x14ac:dyDescent="0.3">
      <c r="A10" s="4" t="s">
        <v>42</v>
      </c>
      <c r="B10" s="2" t="s">
        <v>29</v>
      </c>
      <c r="C10" s="2" t="s">
        <v>24</v>
      </c>
      <c r="D10" s="2" t="s">
        <v>31</v>
      </c>
      <c r="E10" s="2">
        <v>20</v>
      </c>
      <c r="F10" s="2">
        <v>9</v>
      </c>
      <c r="G10" s="2" t="s">
        <v>43</v>
      </c>
      <c r="H10" s="2" t="s">
        <v>40</v>
      </c>
      <c r="I10" s="2" t="s">
        <v>44</v>
      </c>
      <c r="J10" s="5">
        <v>88</v>
      </c>
    </row>
    <row r="11" spans="1:13" hidden="1" x14ac:dyDescent="0.3">
      <c r="A11" s="4" t="s">
        <v>45</v>
      </c>
      <c r="B11" s="2" t="s">
        <v>35</v>
      </c>
      <c r="C11" s="2" t="s">
        <v>12</v>
      </c>
      <c r="D11" s="2" t="s">
        <v>13</v>
      </c>
      <c r="E11" s="2">
        <v>19</v>
      </c>
      <c r="F11" s="2">
        <v>12</v>
      </c>
      <c r="G11" s="2" t="s">
        <v>32</v>
      </c>
      <c r="H11" s="2" t="s">
        <v>46</v>
      </c>
      <c r="I11" s="2" t="s">
        <v>47</v>
      </c>
      <c r="J11" s="5">
        <v>60</v>
      </c>
    </row>
    <row r="12" spans="1:13" x14ac:dyDescent="0.3">
      <c r="A12" s="19" t="s">
        <v>48</v>
      </c>
      <c r="B12" s="15" t="s">
        <v>18</v>
      </c>
      <c r="C12" s="15" t="s">
        <v>30</v>
      </c>
      <c r="D12" s="59" t="s">
        <v>31</v>
      </c>
      <c r="E12" s="15">
        <v>19</v>
      </c>
      <c r="F12" s="59">
        <v>12</v>
      </c>
      <c r="G12" s="15" t="s">
        <v>14</v>
      </c>
      <c r="H12" s="15" t="s">
        <v>46</v>
      </c>
      <c r="I12" s="15" t="s">
        <v>49</v>
      </c>
      <c r="J12" s="20">
        <v>92</v>
      </c>
    </row>
    <row r="13" spans="1:13" hidden="1" x14ac:dyDescent="0.3">
      <c r="A13" s="4" t="s">
        <v>50</v>
      </c>
      <c r="B13" s="2" t="s">
        <v>51</v>
      </c>
      <c r="C13" s="2" t="s">
        <v>24</v>
      </c>
      <c r="D13" s="2" t="s">
        <v>31</v>
      </c>
      <c r="E13" s="2">
        <v>15</v>
      </c>
      <c r="F13" s="2">
        <v>9</v>
      </c>
      <c r="G13" s="2" t="s">
        <v>43</v>
      </c>
      <c r="H13" s="2" t="s">
        <v>15</v>
      </c>
      <c r="I13" s="2" t="s">
        <v>52</v>
      </c>
      <c r="J13" s="5">
        <v>90</v>
      </c>
    </row>
    <row r="14" spans="1:13" hidden="1" x14ac:dyDescent="0.3">
      <c r="A14" s="4" t="s">
        <v>53</v>
      </c>
      <c r="B14" s="2" t="s">
        <v>54</v>
      </c>
      <c r="C14" s="2" t="s">
        <v>55</v>
      </c>
      <c r="D14" s="2" t="s">
        <v>31</v>
      </c>
      <c r="E14" s="2">
        <v>20</v>
      </c>
      <c r="F14" s="2">
        <v>10</v>
      </c>
      <c r="G14" s="2" t="s">
        <v>25</v>
      </c>
      <c r="H14" s="2" t="s">
        <v>40</v>
      </c>
      <c r="I14" s="2" t="s">
        <v>56</v>
      </c>
      <c r="J14" s="5">
        <v>59</v>
      </c>
    </row>
    <row r="15" spans="1:13" hidden="1" x14ac:dyDescent="0.3">
      <c r="A15" s="4" t="s">
        <v>57</v>
      </c>
      <c r="B15" s="2" t="s">
        <v>51</v>
      </c>
      <c r="C15" s="2" t="s">
        <v>58</v>
      </c>
      <c r="D15" s="2" t="s">
        <v>13</v>
      </c>
      <c r="E15" s="2">
        <v>14</v>
      </c>
      <c r="F15" s="2">
        <v>12</v>
      </c>
      <c r="G15" s="2" t="s">
        <v>32</v>
      </c>
      <c r="H15" s="2" t="s">
        <v>40</v>
      </c>
      <c r="I15" s="2" t="s">
        <v>59</v>
      </c>
      <c r="J15" s="5">
        <v>43</v>
      </c>
    </row>
    <row r="16" spans="1:13" hidden="1" x14ac:dyDescent="0.3">
      <c r="A16" s="4" t="s">
        <v>60</v>
      </c>
      <c r="B16" s="2" t="s">
        <v>35</v>
      </c>
      <c r="C16" s="2" t="s">
        <v>55</v>
      </c>
      <c r="D16" s="2" t="s">
        <v>13</v>
      </c>
      <c r="E16" s="2">
        <v>15</v>
      </c>
      <c r="F16" s="2">
        <v>12</v>
      </c>
      <c r="G16" s="2" t="s">
        <v>14</v>
      </c>
      <c r="H16" s="2" t="s">
        <v>61</v>
      </c>
      <c r="I16" s="2" t="s">
        <v>62</v>
      </c>
      <c r="J16" s="5">
        <v>51</v>
      </c>
    </row>
    <row r="17" spans="1:10" hidden="1" x14ac:dyDescent="0.3">
      <c r="A17" s="4" t="s">
        <v>63</v>
      </c>
      <c r="B17" s="2" t="s">
        <v>11</v>
      </c>
      <c r="C17" s="2" t="s">
        <v>55</v>
      </c>
      <c r="D17" s="2" t="s">
        <v>13</v>
      </c>
      <c r="E17" s="2">
        <v>16</v>
      </c>
      <c r="F17" s="2">
        <v>10</v>
      </c>
      <c r="G17" s="2" t="s">
        <v>25</v>
      </c>
      <c r="H17" s="2" t="s">
        <v>26</v>
      </c>
      <c r="I17" s="2" t="s">
        <v>64</v>
      </c>
      <c r="J17" s="5">
        <v>42</v>
      </c>
    </row>
    <row r="18" spans="1:10" hidden="1" x14ac:dyDescent="0.3">
      <c r="A18" s="4" t="s">
        <v>65</v>
      </c>
      <c r="B18" s="2" t="s">
        <v>23</v>
      </c>
      <c r="C18" s="2" t="s">
        <v>30</v>
      </c>
      <c r="D18" s="2" t="s">
        <v>13</v>
      </c>
      <c r="E18" s="2">
        <v>20</v>
      </c>
      <c r="F18" s="2">
        <v>12</v>
      </c>
      <c r="G18" s="2" t="s">
        <v>14</v>
      </c>
      <c r="H18" s="2" t="s">
        <v>40</v>
      </c>
      <c r="I18" s="2" t="s">
        <v>66</v>
      </c>
      <c r="J18" s="5">
        <v>62</v>
      </c>
    </row>
    <row r="19" spans="1:10" hidden="1" x14ac:dyDescent="0.3">
      <c r="A19" s="4" t="s">
        <v>67</v>
      </c>
      <c r="B19" s="2" t="s">
        <v>68</v>
      </c>
      <c r="C19" s="2" t="s">
        <v>19</v>
      </c>
      <c r="D19" s="2" t="s">
        <v>13</v>
      </c>
      <c r="E19" s="2">
        <v>20</v>
      </c>
      <c r="F19" s="2">
        <v>9</v>
      </c>
      <c r="G19" s="2" t="s">
        <v>14</v>
      </c>
      <c r="H19" s="2" t="s">
        <v>20</v>
      </c>
      <c r="I19" s="2" t="s">
        <v>69</v>
      </c>
      <c r="J19" s="5">
        <v>55</v>
      </c>
    </row>
    <row r="20" spans="1:10" hidden="1" x14ac:dyDescent="0.3">
      <c r="A20" s="4" t="s">
        <v>70</v>
      </c>
      <c r="B20" s="2" t="s">
        <v>51</v>
      </c>
      <c r="C20" s="2" t="s">
        <v>36</v>
      </c>
      <c r="D20" s="2" t="s">
        <v>13</v>
      </c>
      <c r="E20" s="2">
        <v>14</v>
      </c>
      <c r="F20" s="2">
        <v>12</v>
      </c>
      <c r="G20" s="2" t="s">
        <v>25</v>
      </c>
      <c r="H20" s="2" t="s">
        <v>37</v>
      </c>
      <c r="I20" s="2" t="s">
        <v>71</v>
      </c>
      <c r="J20" s="5">
        <v>42</v>
      </c>
    </row>
    <row r="21" spans="1:10" hidden="1" x14ac:dyDescent="0.3">
      <c r="A21" s="4" t="s">
        <v>72</v>
      </c>
      <c r="B21" s="2" t="s">
        <v>73</v>
      </c>
      <c r="C21" s="2" t="s">
        <v>58</v>
      </c>
      <c r="D21" s="2" t="s">
        <v>31</v>
      </c>
      <c r="E21" s="2">
        <v>19</v>
      </c>
      <c r="F21" s="2">
        <v>9</v>
      </c>
      <c r="G21" s="2" t="s">
        <v>32</v>
      </c>
      <c r="H21" s="2" t="s">
        <v>46</v>
      </c>
      <c r="I21" s="2" t="s">
        <v>74</v>
      </c>
      <c r="J21" s="5">
        <v>76</v>
      </c>
    </row>
    <row r="22" spans="1:10" x14ac:dyDescent="0.3">
      <c r="A22" s="19" t="s">
        <v>75</v>
      </c>
      <c r="B22" s="15" t="s">
        <v>29</v>
      </c>
      <c r="C22" s="15" t="s">
        <v>58</v>
      </c>
      <c r="D22" s="59" t="s">
        <v>31</v>
      </c>
      <c r="E22" s="15">
        <v>17</v>
      </c>
      <c r="F22" s="59">
        <v>12</v>
      </c>
      <c r="G22" s="15" t="s">
        <v>32</v>
      </c>
      <c r="H22" s="15" t="s">
        <v>76</v>
      </c>
      <c r="I22" s="15" t="s">
        <v>77</v>
      </c>
      <c r="J22" s="20">
        <v>66</v>
      </c>
    </row>
    <row r="23" spans="1:10" hidden="1" x14ac:dyDescent="0.3">
      <c r="A23" s="4" t="s">
        <v>78</v>
      </c>
      <c r="B23" s="2" t="s">
        <v>68</v>
      </c>
      <c r="C23" s="2" t="s">
        <v>79</v>
      </c>
      <c r="D23" s="2" t="s">
        <v>31</v>
      </c>
      <c r="E23" s="2">
        <v>15</v>
      </c>
      <c r="F23" s="2">
        <v>10</v>
      </c>
      <c r="G23" s="2" t="s">
        <v>14</v>
      </c>
      <c r="H23" s="2" t="s">
        <v>20</v>
      </c>
      <c r="I23" s="2" t="s">
        <v>80</v>
      </c>
      <c r="J23" s="5">
        <v>59</v>
      </c>
    </row>
    <row r="24" spans="1:10" hidden="1" x14ac:dyDescent="0.3">
      <c r="A24" s="4" t="s">
        <v>81</v>
      </c>
      <c r="B24" s="2" t="s">
        <v>29</v>
      </c>
      <c r="C24" s="2" t="s">
        <v>58</v>
      </c>
      <c r="D24" s="2" t="s">
        <v>31</v>
      </c>
      <c r="E24" s="2">
        <v>19</v>
      </c>
      <c r="F24" s="2">
        <v>9</v>
      </c>
      <c r="G24" s="2" t="s">
        <v>14</v>
      </c>
      <c r="H24" s="2" t="s">
        <v>61</v>
      </c>
      <c r="I24" s="2" t="s">
        <v>82</v>
      </c>
      <c r="J24" s="5">
        <v>50</v>
      </c>
    </row>
    <row r="25" spans="1:10" hidden="1" x14ac:dyDescent="0.3">
      <c r="A25" s="4" t="s">
        <v>83</v>
      </c>
      <c r="B25" s="2" t="s">
        <v>84</v>
      </c>
      <c r="C25" s="2" t="s">
        <v>85</v>
      </c>
      <c r="D25" s="2" t="s">
        <v>31</v>
      </c>
      <c r="E25" s="2">
        <v>16</v>
      </c>
      <c r="F25" s="2">
        <v>9</v>
      </c>
      <c r="G25" s="2" t="s">
        <v>43</v>
      </c>
      <c r="H25" s="2" t="s">
        <v>37</v>
      </c>
      <c r="I25" s="2" t="s">
        <v>86</v>
      </c>
      <c r="J25" s="5">
        <v>52</v>
      </c>
    </row>
    <row r="26" spans="1:10" hidden="1" x14ac:dyDescent="0.3">
      <c r="A26" s="4" t="s">
        <v>87</v>
      </c>
      <c r="B26" s="2" t="s">
        <v>18</v>
      </c>
      <c r="C26" s="2" t="s">
        <v>12</v>
      </c>
      <c r="D26" s="2" t="s">
        <v>13</v>
      </c>
      <c r="E26" s="2">
        <v>20</v>
      </c>
      <c r="F26" s="2">
        <v>12</v>
      </c>
      <c r="G26" s="2" t="s">
        <v>32</v>
      </c>
      <c r="H26" s="2" t="s">
        <v>26</v>
      </c>
      <c r="I26" s="2" t="s">
        <v>88</v>
      </c>
      <c r="J26" s="5">
        <v>86</v>
      </c>
    </row>
    <row r="27" spans="1:10" hidden="1" x14ac:dyDescent="0.3">
      <c r="A27" s="4" t="s">
        <v>89</v>
      </c>
      <c r="B27" s="2" t="s">
        <v>68</v>
      </c>
      <c r="C27" s="2" t="s">
        <v>85</v>
      </c>
      <c r="D27" s="2" t="s">
        <v>31</v>
      </c>
      <c r="E27" s="2">
        <v>16</v>
      </c>
      <c r="F27" s="2">
        <v>9</v>
      </c>
      <c r="G27" s="2" t="s">
        <v>43</v>
      </c>
      <c r="H27" s="2" t="s">
        <v>20</v>
      </c>
      <c r="I27" s="2" t="s">
        <v>90</v>
      </c>
      <c r="J27" s="5">
        <v>52</v>
      </c>
    </row>
    <row r="28" spans="1:10" hidden="1" x14ac:dyDescent="0.3">
      <c r="A28" s="4" t="s">
        <v>91</v>
      </c>
      <c r="B28" s="2" t="s">
        <v>73</v>
      </c>
      <c r="C28" s="2" t="s">
        <v>12</v>
      </c>
      <c r="D28" s="2" t="s">
        <v>13</v>
      </c>
      <c r="E28" s="2">
        <v>20</v>
      </c>
      <c r="F28" s="2">
        <v>10</v>
      </c>
      <c r="G28" s="2" t="s">
        <v>43</v>
      </c>
      <c r="H28" s="2" t="s">
        <v>46</v>
      </c>
      <c r="I28" s="2" t="s">
        <v>92</v>
      </c>
      <c r="J28" s="5">
        <v>82</v>
      </c>
    </row>
    <row r="29" spans="1:10" x14ac:dyDescent="0.3">
      <c r="A29" s="19" t="s">
        <v>93</v>
      </c>
      <c r="B29" s="15" t="s">
        <v>29</v>
      </c>
      <c r="C29" s="15" t="s">
        <v>24</v>
      </c>
      <c r="D29" s="59" t="s">
        <v>31</v>
      </c>
      <c r="E29" s="15">
        <v>14</v>
      </c>
      <c r="F29" s="59">
        <v>12</v>
      </c>
      <c r="G29" s="15" t="s">
        <v>32</v>
      </c>
      <c r="H29" s="15" t="s">
        <v>61</v>
      </c>
      <c r="I29" s="15" t="s">
        <v>94</v>
      </c>
      <c r="J29" s="20">
        <v>72</v>
      </c>
    </row>
    <row r="30" spans="1:10" hidden="1" x14ac:dyDescent="0.3">
      <c r="A30" s="4" t="s">
        <v>95</v>
      </c>
      <c r="B30" s="2" t="s">
        <v>18</v>
      </c>
      <c r="C30" s="2" t="s">
        <v>96</v>
      </c>
      <c r="D30" s="2" t="s">
        <v>13</v>
      </c>
      <c r="E30" s="2">
        <v>19</v>
      </c>
      <c r="F30" s="2">
        <v>12</v>
      </c>
      <c r="G30" s="2" t="s">
        <v>14</v>
      </c>
      <c r="H30" s="2" t="s">
        <v>15</v>
      </c>
      <c r="I30" s="2" t="s">
        <v>97</v>
      </c>
      <c r="J30" s="5">
        <v>56</v>
      </c>
    </row>
    <row r="31" spans="1:10" hidden="1" x14ac:dyDescent="0.3">
      <c r="A31" s="4" t="s">
        <v>98</v>
      </c>
      <c r="B31" s="2" t="s">
        <v>68</v>
      </c>
      <c r="C31" s="2" t="s">
        <v>55</v>
      </c>
      <c r="D31" s="2" t="s">
        <v>13</v>
      </c>
      <c r="E31" s="2">
        <v>19</v>
      </c>
      <c r="F31" s="2">
        <v>11</v>
      </c>
      <c r="G31" s="2" t="s">
        <v>43</v>
      </c>
      <c r="H31" s="2" t="s">
        <v>15</v>
      </c>
      <c r="I31" s="2" t="s">
        <v>99</v>
      </c>
      <c r="J31" s="5">
        <v>56</v>
      </c>
    </row>
    <row r="32" spans="1:10" x14ac:dyDescent="0.3">
      <c r="A32" s="19" t="s">
        <v>100</v>
      </c>
      <c r="B32" s="15" t="s">
        <v>35</v>
      </c>
      <c r="C32" s="15" t="s">
        <v>12</v>
      </c>
      <c r="D32" s="59" t="s">
        <v>31</v>
      </c>
      <c r="E32" s="15">
        <v>19</v>
      </c>
      <c r="F32" s="59">
        <v>12</v>
      </c>
      <c r="G32" s="15" t="s">
        <v>25</v>
      </c>
      <c r="H32" s="15" t="s">
        <v>76</v>
      </c>
      <c r="I32" s="15" t="s">
        <v>101</v>
      </c>
      <c r="J32" s="20">
        <v>54</v>
      </c>
    </row>
    <row r="33" spans="1:10" hidden="1" x14ac:dyDescent="0.3">
      <c r="A33" s="4" t="s">
        <v>102</v>
      </c>
      <c r="B33" s="2" t="s">
        <v>35</v>
      </c>
      <c r="C33" s="2" t="s">
        <v>12</v>
      </c>
      <c r="D33" s="2" t="s">
        <v>13</v>
      </c>
      <c r="E33" s="2">
        <v>20</v>
      </c>
      <c r="F33" s="2">
        <v>11</v>
      </c>
      <c r="G33" s="2" t="s">
        <v>14</v>
      </c>
      <c r="H33" s="2" t="s">
        <v>26</v>
      </c>
      <c r="I33" s="2" t="s">
        <v>103</v>
      </c>
      <c r="J33" s="5">
        <v>70</v>
      </c>
    </row>
    <row r="34" spans="1:10" hidden="1" x14ac:dyDescent="0.3">
      <c r="A34" s="4" t="s">
        <v>104</v>
      </c>
      <c r="B34" s="2" t="s">
        <v>29</v>
      </c>
      <c r="C34" s="2" t="s">
        <v>79</v>
      </c>
      <c r="D34" s="2" t="s">
        <v>31</v>
      </c>
      <c r="E34" s="2">
        <v>18</v>
      </c>
      <c r="F34" s="2">
        <v>10</v>
      </c>
      <c r="G34" s="2" t="s">
        <v>25</v>
      </c>
      <c r="H34" s="2" t="s">
        <v>61</v>
      </c>
      <c r="I34" s="2" t="s">
        <v>105</v>
      </c>
      <c r="J34" s="5">
        <v>57</v>
      </c>
    </row>
    <row r="35" spans="1:10" hidden="1" x14ac:dyDescent="0.3">
      <c r="A35" s="4" t="s">
        <v>106</v>
      </c>
      <c r="B35" s="2" t="s">
        <v>51</v>
      </c>
      <c r="C35" s="2" t="s">
        <v>55</v>
      </c>
      <c r="D35" s="2" t="s">
        <v>13</v>
      </c>
      <c r="E35" s="2">
        <v>20</v>
      </c>
      <c r="F35" s="2">
        <v>9</v>
      </c>
      <c r="G35" s="2" t="s">
        <v>32</v>
      </c>
      <c r="H35" s="2" t="s">
        <v>26</v>
      </c>
      <c r="I35" s="2" t="s">
        <v>107</v>
      </c>
      <c r="J35" s="5">
        <v>91</v>
      </c>
    </row>
    <row r="36" spans="1:10" hidden="1" x14ac:dyDescent="0.3">
      <c r="A36" s="4" t="s">
        <v>108</v>
      </c>
      <c r="B36" s="2" t="s">
        <v>29</v>
      </c>
      <c r="C36" s="2" t="s">
        <v>96</v>
      </c>
      <c r="D36" s="2" t="s">
        <v>31</v>
      </c>
      <c r="E36" s="2">
        <v>15</v>
      </c>
      <c r="F36" s="2">
        <v>11</v>
      </c>
      <c r="G36" s="2" t="s">
        <v>43</v>
      </c>
      <c r="H36" s="2" t="s">
        <v>26</v>
      </c>
      <c r="I36" s="2" t="s">
        <v>109</v>
      </c>
      <c r="J36" s="5">
        <v>77</v>
      </c>
    </row>
    <row r="37" spans="1:10" hidden="1" x14ac:dyDescent="0.3">
      <c r="A37" s="4" t="s">
        <v>110</v>
      </c>
      <c r="B37" s="2" t="s">
        <v>51</v>
      </c>
      <c r="C37" s="2" t="s">
        <v>58</v>
      </c>
      <c r="D37" s="2" t="s">
        <v>31</v>
      </c>
      <c r="E37" s="2">
        <v>14</v>
      </c>
      <c r="F37" s="2">
        <v>10</v>
      </c>
      <c r="G37" s="2" t="s">
        <v>32</v>
      </c>
      <c r="H37" s="2" t="s">
        <v>76</v>
      </c>
      <c r="I37" s="2" t="s">
        <v>111</v>
      </c>
      <c r="J37" s="5">
        <v>60</v>
      </c>
    </row>
    <row r="38" spans="1:10" hidden="1" x14ac:dyDescent="0.3">
      <c r="A38" s="4" t="s">
        <v>112</v>
      </c>
      <c r="B38" s="2" t="s">
        <v>73</v>
      </c>
      <c r="C38" s="2" t="s">
        <v>30</v>
      </c>
      <c r="D38" s="2" t="s">
        <v>13</v>
      </c>
      <c r="E38" s="2">
        <v>15</v>
      </c>
      <c r="F38" s="2">
        <v>9</v>
      </c>
      <c r="G38" s="2" t="s">
        <v>14</v>
      </c>
      <c r="H38" s="2" t="s">
        <v>26</v>
      </c>
      <c r="I38" s="2" t="s">
        <v>113</v>
      </c>
      <c r="J38" s="5">
        <v>58</v>
      </c>
    </row>
    <row r="39" spans="1:10" hidden="1" x14ac:dyDescent="0.3">
      <c r="A39" s="4" t="s">
        <v>114</v>
      </c>
      <c r="B39" s="2" t="s">
        <v>73</v>
      </c>
      <c r="C39" s="2" t="s">
        <v>58</v>
      </c>
      <c r="D39" s="2" t="s">
        <v>13</v>
      </c>
      <c r="E39" s="2">
        <v>20</v>
      </c>
      <c r="F39" s="2">
        <v>9</v>
      </c>
      <c r="G39" s="2" t="s">
        <v>25</v>
      </c>
      <c r="H39" s="2" t="s">
        <v>46</v>
      </c>
      <c r="I39" s="2" t="s">
        <v>115</v>
      </c>
      <c r="J39" s="5">
        <v>40</v>
      </c>
    </row>
    <row r="40" spans="1:10" hidden="1" x14ac:dyDescent="0.3">
      <c r="A40" s="4" t="s">
        <v>116</v>
      </c>
      <c r="B40" s="2" t="s">
        <v>84</v>
      </c>
      <c r="C40" s="2" t="s">
        <v>19</v>
      </c>
      <c r="D40" s="2" t="s">
        <v>13</v>
      </c>
      <c r="E40" s="2">
        <v>19</v>
      </c>
      <c r="F40" s="2">
        <v>12</v>
      </c>
      <c r="G40" s="2" t="s">
        <v>14</v>
      </c>
      <c r="H40" s="2" t="s">
        <v>20</v>
      </c>
      <c r="I40" s="2" t="s">
        <v>117</v>
      </c>
      <c r="J40" s="5">
        <v>56</v>
      </c>
    </row>
    <row r="41" spans="1:10" hidden="1" x14ac:dyDescent="0.3">
      <c r="A41" s="4" t="s">
        <v>118</v>
      </c>
      <c r="B41" s="2" t="s">
        <v>84</v>
      </c>
      <c r="C41" s="2" t="s">
        <v>58</v>
      </c>
      <c r="D41" s="2" t="s">
        <v>31</v>
      </c>
      <c r="E41" s="2">
        <v>20</v>
      </c>
      <c r="F41" s="2">
        <v>10</v>
      </c>
      <c r="G41" s="2" t="s">
        <v>32</v>
      </c>
      <c r="H41" s="2" t="s">
        <v>26</v>
      </c>
      <c r="I41" s="2" t="s">
        <v>119</v>
      </c>
      <c r="J41" s="5">
        <v>52</v>
      </c>
    </row>
    <row r="42" spans="1:10" hidden="1" x14ac:dyDescent="0.3">
      <c r="A42" s="4" t="s">
        <v>120</v>
      </c>
      <c r="B42" s="2" t="s">
        <v>35</v>
      </c>
      <c r="C42" s="2" t="s">
        <v>36</v>
      </c>
      <c r="D42" s="2" t="s">
        <v>31</v>
      </c>
      <c r="E42" s="2">
        <v>20</v>
      </c>
      <c r="F42" s="2">
        <v>10</v>
      </c>
      <c r="G42" s="2" t="s">
        <v>43</v>
      </c>
      <c r="H42" s="2" t="s">
        <v>61</v>
      </c>
      <c r="I42" s="2" t="s">
        <v>121</v>
      </c>
      <c r="J42" s="5">
        <v>37</v>
      </c>
    </row>
    <row r="43" spans="1:10" hidden="1" x14ac:dyDescent="0.3">
      <c r="A43" s="4" t="s">
        <v>122</v>
      </c>
      <c r="B43" s="2" t="s">
        <v>18</v>
      </c>
      <c r="C43" s="2" t="s">
        <v>19</v>
      </c>
      <c r="D43" s="2" t="s">
        <v>13</v>
      </c>
      <c r="E43" s="2">
        <v>15</v>
      </c>
      <c r="F43" s="2">
        <v>10</v>
      </c>
      <c r="G43" s="2" t="s">
        <v>32</v>
      </c>
      <c r="H43" s="2" t="s">
        <v>20</v>
      </c>
      <c r="I43" s="2" t="s">
        <v>123</v>
      </c>
      <c r="J43" s="5">
        <v>51</v>
      </c>
    </row>
    <row r="44" spans="1:10" hidden="1" x14ac:dyDescent="0.3">
      <c r="A44" s="4" t="s">
        <v>124</v>
      </c>
      <c r="B44" s="2" t="s">
        <v>68</v>
      </c>
      <c r="C44" s="2" t="s">
        <v>36</v>
      </c>
      <c r="D44" s="2" t="s">
        <v>13</v>
      </c>
      <c r="E44" s="2">
        <v>18</v>
      </c>
      <c r="F44" s="2">
        <v>10</v>
      </c>
      <c r="G44" s="2" t="s">
        <v>43</v>
      </c>
      <c r="H44" s="2" t="s">
        <v>20</v>
      </c>
      <c r="I44" s="2" t="s">
        <v>125</v>
      </c>
      <c r="J44" s="5">
        <v>66</v>
      </c>
    </row>
    <row r="45" spans="1:10" hidden="1" x14ac:dyDescent="0.3">
      <c r="A45" s="4" t="s">
        <v>126</v>
      </c>
      <c r="B45" s="2" t="s">
        <v>18</v>
      </c>
      <c r="C45" s="2" t="s">
        <v>24</v>
      </c>
      <c r="D45" s="2" t="s">
        <v>13</v>
      </c>
      <c r="E45" s="2">
        <v>15</v>
      </c>
      <c r="F45" s="2">
        <v>9</v>
      </c>
      <c r="G45" s="2" t="s">
        <v>25</v>
      </c>
      <c r="H45" s="2" t="s">
        <v>76</v>
      </c>
      <c r="I45" s="2" t="s">
        <v>127</v>
      </c>
      <c r="J45" s="5">
        <v>59</v>
      </c>
    </row>
    <row r="46" spans="1:10" x14ac:dyDescent="0.3">
      <c r="A46" s="19" t="s">
        <v>128</v>
      </c>
      <c r="B46" s="15" t="s">
        <v>11</v>
      </c>
      <c r="C46" s="15" t="s">
        <v>24</v>
      </c>
      <c r="D46" s="59" t="s">
        <v>31</v>
      </c>
      <c r="E46" s="15">
        <v>17</v>
      </c>
      <c r="F46" s="59">
        <v>12</v>
      </c>
      <c r="G46" s="15" t="s">
        <v>32</v>
      </c>
      <c r="H46" s="15" t="s">
        <v>15</v>
      </c>
      <c r="I46" s="15" t="s">
        <v>129</v>
      </c>
      <c r="J46" s="20">
        <v>68</v>
      </c>
    </row>
    <row r="47" spans="1:10" hidden="1" x14ac:dyDescent="0.3">
      <c r="A47" s="4" t="s">
        <v>130</v>
      </c>
      <c r="B47" s="2" t="s">
        <v>73</v>
      </c>
      <c r="C47" s="2" t="s">
        <v>30</v>
      </c>
      <c r="D47" s="2" t="s">
        <v>13</v>
      </c>
      <c r="E47" s="2">
        <v>17</v>
      </c>
      <c r="F47" s="2">
        <v>12</v>
      </c>
      <c r="G47" s="2" t="s">
        <v>25</v>
      </c>
      <c r="H47" s="2" t="s">
        <v>40</v>
      </c>
      <c r="I47" s="2" t="s">
        <v>131</v>
      </c>
      <c r="J47" s="5">
        <v>82</v>
      </c>
    </row>
    <row r="48" spans="1:10" hidden="1" x14ac:dyDescent="0.3">
      <c r="A48" s="4" t="s">
        <v>132</v>
      </c>
      <c r="B48" s="2" t="s">
        <v>29</v>
      </c>
      <c r="C48" s="2" t="s">
        <v>12</v>
      </c>
      <c r="D48" s="2" t="s">
        <v>13</v>
      </c>
      <c r="E48" s="2">
        <v>17</v>
      </c>
      <c r="F48" s="2">
        <v>10</v>
      </c>
      <c r="G48" s="2" t="s">
        <v>25</v>
      </c>
      <c r="H48" s="2" t="s">
        <v>37</v>
      </c>
      <c r="I48" s="2" t="s">
        <v>133</v>
      </c>
      <c r="J48" s="5">
        <v>88</v>
      </c>
    </row>
    <row r="49" spans="1:10" hidden="1" x14ac:dyDescent="0.3">
      <c r="A49" s="4" t="s">
        <v>134</v>
      </c>
      <c r="B49" s="2" t="s">
        <v>23</v>
      </c>
      <c r="C49" s="2" t="s">
        <v>30</v>
      </c>
      <c r="D49" s="2" t="s">
        <v>31</v>
      </c>
      <c r="E49" s="2">
        <v>20</v>
      </c>
      <c r="F49" s="2">
        <v>9</v>
      </c>
      <c r="G49" s="2" t="s">
        <v>14</v>
      </c>
      <c r="H49" s="2" t="s">
        <v>15</v>
      </c>
      <c r="I49" s="2" t="s">
        <v>135</v>
      </c>
      <c r="J49" s="5">
        <v>50</v>
      </c>
    </row>
    <row r="50" spans="1:10" hidden="1" x14ac:dyDescent="0.3">
      <c r="A50" s="4" t="s">
        <v>136</v>
      </c>
      <c r="B50" s="2" t="s">
        <v>11</v>
      </c>
      <c r="C50" s="2" t="s">
        <v>79</v>
      </c>
      <c r="D50" s="2" t="s">
        <v>13</v>
      </c>
      <c r="E50" s="2">
        <v>14</v>
      </c>
      <c r="F50" s="2">
        <v>10</v>
      </c>
      <c r="G50" s="2" t="s">
        <v>43</v>
      </c>
      <c r="H50" s="2" t="s">
        <v>61</v>
      </c>
      <c r="I50" s="2" t="s">
        <v>137</v>
      </c>
      <c r="J50" s="5">
        <v>65</v>
      </c>
    </row>
    <row r="51" spans="1:10" hidden="1" x14ac:dyDescent="0.3">
      <c r="A51" s="4" t="s">
        <v>138</v>
      </c>
      <c r="B51" s="2" t="s">
        <v>51</v>
      </c>
      <c r="C51" s="2" t="s">
        <v>85</v>
      </c>
      <c r="D51" s="2" t="s">
        <v>13</v>
      </c>
      <c r="E51" s="2">
        <v>18</v>
      </c>
      <c r="F51" s="2">
        <v>11</v>
      </c>
      <c r="G51" s="2" t="s">
        <v>43</v>
      </c>
      <c r="H51" s="2" t="s">
        <v>61</v>
      </c>
      <c r="I51" s="2" t="s">
        <v>139</v>
      </c>
      <c r="J51" s="5">
        <v>100</v>
      </c>
    </row>
    <row r="52" spans="1:10" hidden="1" x14ac:dyDescent="0.3">
      <c r="A52" s="4" t="s">
        <v>140</v>
      </c>
      <c r="B52" s="2" t="s">
        <v>35</v>
      </c>
      <c r="C52" s="2" t="s">
        <v>30</v>
      </c>
      <c r="D52" s="2" t="s">
        <v>31</v>
      </c>
      <c r="E52" s="2">
        <v>19</v>
      </c>
      <c r="F52" s="2">
        <v>10</v>
      </c>
      <c r="G52" s="2" t="s">
        <v>32</v>
      </c>
      <c r="H52" s="2" t="s">
        <v>76</v>
      </c>
      <c r="I52" s="2" t="s">
        <v>141</v>
      </c>
      <c r="J52" s="5">
        <v>93</v>
      </c>
    </row>
    <row r="53" spans="1:10" x14ac:dyDescent="0.3">
      <c r="A53" s="19" t="s">
        <v>142</v>
      </c>
      <c r="B53" s="15" t="s">
        <v>29</v>
      </c>
      <c r="C53" s="15" t="s">
        <v>96</v>
      </c>
      <c r="D53" s="59" t="s">
        <v>31</v>
      </c>
      <c r="E53" s="15">
        <v>16</v>
      </c>
      <c r="F53" s="59">
        <v>12</v>
      </c>
      <c r="G53" s="15" t="s">
        <v>14</v>
      </c>
      <c r="H53" s="15" t="s">
        <v>37</v>
      </c>
      <c r="I53" s="15" t="s">
        <v>143</v>
      </c>
      <c r="J53" s="20">
        <v>85</v>
      </c>
    </row>
    <row r="54" spans="1:10" hidden="1" x14ac:dyDescent="0.3">
      <c r="A54" s="4" t="s">
        <v>144</v>
      </c>
      <c r="B54" s="2" t="s">
        <v>73</v>
      </c>
      <c r="C54" s="2" t="s">
        <v>12</v>
      </c>
      <c r="D54" s="2" t="s">
        <v>31</v>
      </c>
      <c r="E54" s="2">
        <v>20</v>
      </c>
      <c r="F54" s="2">
        <v>10</v>
      </c>
      <c r="G54" s="2" t="s">
        <v>14</v>
      </c>
      <c r="H54" s="2" t="s">
        <v>26</v>
      </c>
      <c r="I54" s="2" t="s">
        <v>145</v>
      </c>
      <c r="J54" s="5">
        <v>71</v>
      </c>
    </row>
    <row r="55" spans="1:10" hidden="1" x14ac:dyDescent="0.3">
      <c r="A55" s="4" t="s">
        <v>146</v>
      </c>
      <c r="B55" s="2" t="s">
        <v>35</v>
      </c>
      <c r="C55" s="2" t="s">
        <v>30</v>
      </c>
      <c r="D55" s="2" t="s">
        <v>31</v>
      </c>
      <c r="E55" s="2">
        <v>20</v>
      </c>
      <c r="F55" s="2">
        <v>9</v>
      </c>
      <c r="G55" s="2" t="s">
        <v>43</v>
      </c>
      <c r="H55" s="2" t="s">
        <v>15</v>
      </c>
      <c r="I55" s="2" t="s">
        <v>147</v>
      </c>
      <c r="J55" s="5">
        <v>40</v>
      </c>
    </row>
    <row r="56" spans="1:10" hidden="1" x14ac:dyDescent="0.3">
      <c r="A56" s="4" t="s">
        <v>148</v>
      </c>
      <c r="B56" s="2" t="s">
        <v>51</v>
      </c>
      <c r="C56" s="2" t="s">
        <v>96</v>
      </c>
      <c r="D56" s="2" t="s">
        <v>13</v>
      </c>
      <c r="E56" s="2">
        <v>19</v>
      </c>
      <c r="F56" s="2">
        <v>11</v>
      </c>
      <c r="G56" s="2" t="s">
        <v>14</v>
      </c>
      <c r="H56" s="2" t="s">
        <v>76</v>
      </c>
      <c r="I56" s="2" t="s">
        <v>149</v>
      </c>
      <c r="J56" s="5">
        <v>83</v>
      </c>
    </row>
    <row r="57" spans="1:10" hidden="1" x14ac:dyDescent="0.3">
      <c r="A57" s="4" t="s">
        <v>150</v>
      </c>
      <c r="B57" s="2" t="s">
        <v>23</v>
      </c>
      <c r="C57" s="2" t="s">
        <v>55</v>
      </c>
      <c r="D57" s="2" t="s">
        <v>31</v>
      </c>
      <c r="E57" s="2">
        <v>17</v>
      </c>
      <c r="F57" s="2">
        <v>9</v>
      </c>
      <c r="G57" s="2" t="s">
        <v>25</v>
      </c>
      <c r="H57" s="2" t="s">
        <v>20</v>
      </c>
      <c r="I57" s="2" t="s">
        <v>151</v>
      </c>
      <c r="J57" s="5">
        <v>55</v>
      </c>
    </row>
    <row r="58" spans="1:10" hidden="1" x14ac:dyDescent="0.3">
      <c r="A58" s="4" t="s">
        <v>152</v>
      </c>
      <c r="B58" s="2" t="s">
        <v>23</v>
      </c>
      <c r="C58" s="2" t="s">
        <v>55</v>
      </c>
      <c r="D58" s="2" t="s">
        <v>13</v>
      </c>
      <c r="E58" s="2">
        <v>17</v>
      </c>
      <c r="F58" s="2">
        <v>12</v>
      </c>
      <c r="G58" s="2" t="s">
        <v>32</v>
      </c>
      <c r="H58" s="2" t="s">
        <v>46</v>
      </c>
      <c r="I58" s="2" t="s">
        <v>153</v>
      </c>
      <c r="J58" s="5">
        <v>39</v>
      </c>
    </row>
    <row r="59" spans="1:10" x14ac:dyDescent="0.3">
      <c r="A59" s="19" t="s">
        <v>154</v>
      </c>
      <c r="B59" s="15" t="s">
        <v>51</v>
      </c>
      <c r="C59" s="15" t="s">
        <v>36</v>
      </c>
      <c r="D59" s="59" t="s">
        <v>31</v>
      </c>
      <c r="E59" s="15">
        <v>18</v>
      </c>
      <c r="F59" s="59">
        <v>12</v>
      </c>
      <c r="G59" s="15" t="s">
        <v>43</v>
      </c>
      <c r="H59" s="15" t="s">
        <v>76</v>
      </c>
      <c r="I59" s="15" t="s">
        <v>155</v>
      </c>
      <c r="J59" s="20">
        <v>77</v>
      </c>
    </row>
    <row r="60" spans="1:10" hidden="1" x14ac:dyDescent="0.3">
      <c r="A60" s="4" t="s">
        <v>156</v>
      </c>
      <c r="B60" s="2" t="s">
        <v>35</v>
      </c>
      <c r="C60" s="2" t="s">
        <v>55</v>
      </c>
      <c r="D60" s="2" t="s">
        <v>13</v>
      </c>
      <c r="E60" s="2">
        <v>19</v>
      </c>
      <c r="F60" s="2">
        <v>11</v>
      </c>
      <c r="G60" s="2" t="s">
        <v>14</v>
      </c>
      <c r="H60" s="2" t="s">
        <v>40</v>
      </c>
      <c r="I60" s="2" t="s">
        <v>157</v>
      </c>
      <c r="J60" s="5">
        <v>63</v>
      </c>
    </row>
    <row r="61" spans="1:10" hidden="1" x14ac:dyDescent="0.3">
      <c r="A61" s="4" t="s">
        <v>158</v>
      </c>
      <c r="B61" s="2" t="s">
        <v>18</v>
      </c>
      <c r="C61" s="2" t="s">
        <v>19</v>
      </c>
      <c r="D61" s="2" t="s">
        <v>13</v>
      </c>
      <c r="E61" s="2">
        <v>16</v>
      </c>
      <c r="F61" s="2">
        <v>12</v>
      </c>
      <c r="G61" s="2" t="s">
        <v>43</v>
      </c>
      <c r="H61" s="2" t="s">
        <v>40</v>
      </c>
      <c r="I61" s="2" t="s">
        <v>159</v>
      </c>
      <c r="J61" s="5">
        <v>36</v>
      </c>
    </row>
    <row r="62" spans="1:10" hidden="1" x14ac:dyDescent="0.3">
      <c r="A62" s="4" t="s">
        <v>160</v>
      </c>
      <c r="B62" s="2" t="s">
        <v>51</v>
      </c>
      <c r="C62" s="2" t="s">
        <v>85</v>
      </c>
      <c r="D62" s="2" t="s">
        <v>31</v>
      </c>
      <c r="E62" s="2">
        <v>17</v>
      </c>
      <c r="F62" s="2">
        <v>11</v>
      </c>
      <c r="G62" s="2" t="s">
        <v>43</v>
      </c>
      <c r="H62" s="2" t="s">
        <v>37</v>
      </c>
      <c r="I62" s="2" t="s">
        <v>161</v>
      </c>
      <c r="J62" s="5">
        <v>99</v>
      </c>
    </row>
    <row r="63" spans="1:10" hidden="1" x14ac:dyDescent="0.3">
      <c r="A63" s="4" t="s">
        <v>162</v>
      </c>
      <c r="B63" s="2" t="s">
        <v>73</v>
      </c>
      <c r="C63" s="2" t="s">
        <v>36</v>
      </c>
      <c r="D63" s="2" t="s">
        <v>31</v>
      </c>
      <c r="E63" s="2">
        <v>20</v>
      </c>
      <c r="F63" s="2">
        <v>9</v>
      </c>
      <c r="G63" s="2" t="s">
        <v>32</v>
      </c>
      <c r="H63" s="2" t="s">
        <v>20</v>
      </c>
      <c r="I63" s="2" t="s">
        <v>163</v>
      </c>
      <c r="J63" s="5">
        <v>49</v>
      </c>
    </row>
    <row r="64" spans="1:10" hidden="1" x14ac:dyDescent="0.3">
      <c r="A64" s="4" t="s">
        <v>164</v>
      </c>
      <c r="B64" s="2" t="s">
        <v>23</v>
      </c>
      <c r="C64" s="2" t="s">
        <v>19</v>
      </c>
      <c r="D64" s="2" t="s">
        <v>31</v>
      </c>
      <c r="E64" s="2">
        <v>17</v>
      </c>
      <c r="F64" s="2">
        <v>9</v>
      </c>
      <c r="G64" s="2" t="s">
        <v>25</v>
      </c>
      <c r="H64" s="2" t="s">
        <v>15</v>
      </c>
      <c r="I64" s="2" t="s">
        <v>165</v>
      </c>
      <c r="J64" s="5">
        <v>64</v>
      </c>
    </row>
    <row r="65" spans="1:10" hidden="1" x14ac:dyDescent="0.3">
      <c r="A65" s="4" t="s">
        <v>166</v>
      </c>
      <c r="B65" s="2" t="s">
        <v>84</v>
      </c>
      <c r="C65" s="2" t="s">
        <v>24</v>
      </c>
      <c r="D65" s="2" t="s">
        <v>13</v>
      </c>
      <c r="E65" s="2">
        <v>14</v>
      </c>
      <c r="F65" s="2">
        <v>10</v>
      </c>
      <c r="G65" s="2" t="s">
        <v>43</v>
      </c>
      <c r="H65" s="2" t="s">
        <v>15</v>
      </c>
      <c r="I65" s="2" t="s">
        <v>167</v>
      </c>
      <c r="J65" s="5">
        <v>45</v>
      </c>
    </row>
    <row r="66" spans="1:10" hidden="1" x14ac:dyDescent="0.3">
      <c r="A66" s="4" t="s">
        <v>168</v>
      </c>
      <c r="B66" s="2" t="s">
        <v>18</v>
      </c>
      <c r="C66" s="2" t="s">
        <v>79</v>
      </c>
      <c r="D66" s="2" t="s">
        <v>13</v>
      </c>
      <c r="E66" s="2">
        <v>17</v>
      </c>
      <c r="F66" s="2">
        <v>12</v>
      </c>
      <c r="G66" s="2" t="s">
        <v>25</v>
      </c>
      <c r="H66" s="2" t="s">
        <v>26</v>
      </c>
      <c r="I66" s="2" t="s">
        <v>137</v>
      </c>
      <c r="J66" s="5">
        <v>82</v>
      </c>
    </row>
    <row r="67" spans="1:10" hidden="1" x14ac:dyDescent="0.3">
      <c r="A67" s="4" t="s">
        <v>169</v>
      </c>
      <c r="B67" s="2" t="s">
        <v>11</v>
      </c>
      <c r="C67" s="2" t="s">
        <v>30</v>
      </c>
      <c r="D67" s="2" t="s">
        <v>31</v>
      </c>
      <c r="E67" s="2">
        <v>18</v>
      </c>
      <c r="F67" s="2">
        <v>9</v>
      </c>
      <c r="G67" s="2" t="s">
        <v>25</v>
      </c>
      <c r="H67" s="2" t="s">
        <v>46</v>
      </c>
      <c r="I67" s="2" t="s">
        <v>170</v>
      </c>
      <c r="J67" s="5">
        <v>60</v>
      </c>
    </row>
    <row r="68" spans="1:10" hidden="1" x14ac:dyDescent="0.3">
      <c r="A68" s="4" t="s">
        <v>171</v>
      </c>
      <c r="B68" s="2" t="s">
        <v>29</v>
      </c>
      <c r="C68" s="2" t="s">
        <v>85</v>
      </c>
      <c r="D68" s="2" t="s">
        <v>13</v>
      </c>
      <c r="E68" s="2">
        <v>14</v>
      </c>
      <c r="F68" s="2">
        <v>10</v>
      </c>
      <c r="G68" s="2" t="s">
        <v>32</v>
      </c>
      <c r="H68" s="2" t="s">
        <v>61</v>
      </c>
      <c r="I68" s="2" t="s">
        <v>172</v>
      </c>
      <c r="J68" s="5">
        <v>51</v>
      </c>
    </row>
    <row r="69" spans="1:10" hidden="1" x14ac:dyDescent="0.3">
      <c r="A69" s="4" t="s">
        <v>173</v>
      </c>
      <c r="B69" s="2" t="s">
        <v>54</v>
      </c>
      <c r="C69" s="2" t="s">
        <v>30</v>
      </c>
      <c r="D69" s="2" t="s">
        <v>31</v>
      </c>
      <c r="E69" s="2">
        <v>18</v>
      </c>
      <c r="F69" s="2">
        <v>9</v>
      </c>
      <c r="G69" s="2" t="s">
        <v>32</v>
      </c>
      <c r="H69" s="2" t="s">
        <v>40</v>
      </c>
      <c r="I69" s="2" t="s">
        <v>174</v>
      </c>
      <c r="J69" s="5">
        <v>54</v>
      </c>
    </row>
    <row r="70" spans="1:10" hidden="1" x14ac:dyDescent="0.3">
      <c r="A70" s="4" t="s">
        <v>175</v>
      </c>
      <c r="B70" s="2" t="s">
        <v>35</v>
      </c>
      <c r="C70" s="2" t="s">
        <v>30</v>
      </c>
      <c r="D70" s="2" t="s">
        <v>31</v>
      </c>
      <c r="E70" s="2">
        <v>20</v>
      </c>
      <c r="F70" s="2">
        <v>9</v>
      </c>
      <c r="G70" s="2" t="s">
        <v>14</v>
      </c>
      <c r="H70" s="2" t="s">
        <v>61</v>
      </c>
      <c r="I70" s="2" t="s">
        <v>176</v>
      </c>
      <c r="J70" s="5">
        <v>76</v>
      </c>
    </row>
    <row r="71" spans="1:10" x14ac:dyDescent="0.3">
      <c r="A71" s="19" t="s">
        <v>177</v>
      </c>
      <c r="B71" s="15" t="s">
        <v>29</v>
      </c>
      <c r="C71" s="15" t="s">
        <v>58</v>
      </c>
      <c r="D71" s="59" t="s">
        <v>31</v>
      </c>
      <c r="E71" s="15">
        <v>19</v>
      </c>
      <c r="F71" s="59">
        <v>12</v>
      </c>
      <c r="G71" s="15" t="s">
        <v>43</v>
      </c>
      <c r="H71" s="15" t="s">
        <v>61</v>
      </c>
      <c r="I71" s="15" t="s">
        <v>178</v>
      </c>
      <c r="J71" s="20">
        <v>99</v>
      </c>
    </row>
    <row r="72" spans="1:10" hidden="1" x14ac:dyDescent="0.3">
      <c r="A72" s="4" t="s">
        <v>179</v>
      </c>
      <c r="B72" s="2" t="s">
        <v>29</v>
      </c>
      <c r="C72" s="2" t="s">
        <v>58</v>
      </c>
      <c r="D72" s="2" t="s">
        <v>31</v>
      </c>
      <c r="E72" s="2">
        <v>16</v>
      </c>
      <c r="F72" s="2">
        <v>11</v>
      </c>
      <c r="G72" s="2" t="s">
        <v>25</v>
      </c>
      <c r="H72" s="2" t="s">
        <v>26</v>
      </c>
      <c r="I72" s="2" t="s">
        <v>180</v>
      </c>
      <c r="J72" s="5">
        <v>75</v>
      </c>
    </row>
    <row r="73" spans="1:10" hidden="1" x14ac:dyDescent="0.3">
      <c r="A73" s="4" t="s">
        <v>181</v>
      </c>
      <c r="B73" s="2" t="s">
        <v>11</v>
      </c>
      <c r="C73" s="2" t="s">
        <v>55</v>
      </c>
      <c r="D73" s="2" t="s">
        <v>31</v>
      </c>
      <c r="E73" s="2">
        <v>18</v>
      </c>
      <c r="F73" s="2">
        <v>10</v>
      </c>
      <c r="G73" s="2" t="s">
        <v>25</v>
      </c>
      <c r="H73" s="2" t="s">
        <v>46</v>
      </c>
      <c r="I73" s="2" t="s">
        <v>182</v>
      </c>
      <c r="J73" s="5">
        <v>98</v>
      </c>
    </row>
    <row r="74" spans="1:10" x14ac:dyDescent="0.3">
      <c r="A74" s="19" t="s">
        <v>183</v>
      </c>
      <c r="B74" s="15" t="s">
        <v>11</v>
      </c>
      <c r="C74" s="15" t="s">
        <v>30</v>
      </c>
      <c r="D74" s="59" t="s">
        <v>31</v>
      </c>
      <c r="E74" s="15">
        <v>17</v>
      </c>
      <c r="F74" s="59">
        <v>12</v>
      </c>
      <c r="G74" s="15" t="s">
        <v>14</v>
      </c>
      <c r="H74" s="15" t="s">
        <v>37</v>
      </c>
      <c r="I74" s="15" t="s">
        <v>184</v>
      </c>
      <c r="J74" s="20">
        <v>49</v>
      </c>
    </row>
    <row r="75" spans="1:10" x14ac:dyDescent="0.3">
      <c r="A75" s="19" t="s">
        <v>185</v>
      </c>
      <c r="B75" s="15" t="s">
        <v>35</v>
      </c>
      <c r="C75" s="15" t="s">
        <v>30</v>
      </c>
      <c r="D75" s="59" t="s">
        <v>31</v>
      </c>
      <c r="E75" s="15">
        <v>14</v>
      </c>
      <c r="F75" s="59">
        <v>12</v>
      </c>
      <c r="G75" s="15" t="s">
        <v>43</v>
      </c>
      <c r="H75" s="15" t="s">
        <v>61</v>
      </c>
      <c r="I75" s="15" t="s">
        <v>186</v>
      </c>
      <c r="J75" s="20">
        <v>45</v>
      </c>
    </row>
    <row r="76" spans="1:10" hidden="1" x14ac:dyDescent="0.3">
      <c r="A76" s="4" t="s">
        <v>187</v>
      </c>
      <c r="B76" s="2" t="s">
        <v>51</v>
      </c>
      <c r="C76" s="2" t="s">
        <v>12</v>
      </c>
      <c r="D76" s="2" t="s">
        <v>31</v>
      </c>
      <c r="E76" s="2">
        <v>17</v>
      </c>
      <c r="F76" s="2">
        <v>10</v>
      </c>
      <c r="G76" s="2" t="s">
        <v>43</v>
      </c>
      <c r="H76" s="2" t="s">
        <v>46</v>
      </c>
      <c r="I76" s="2" t="s">
        <v>101</v>
      </c>
      <c r="J76" s="5">
        <v>66</v>
      </c>
    </row>
    <row r="77" spans="1:10" hidden="1" x14ac:dyDescent="0.3">
      <c r="A77" s="4" t="s">
        <v>188</v>
      </c>
      <c r="B77" s="2" t="s">
        <v>23</v>
      </c>
      <c r="C77" s="2" t="s">
        <v>55</v>
      </c>
      <c r="D77" s="2" t="s">
        <v>31</v>
      </c>
      <c r="E77" s="2">
        <v>15</v>
      </c>
      <c r="F77" s="2">
        <v>9</v>
      </c>
      <c r="G77" s="2" t="s">
        <v>43</v>
      </c>
      <c r="H77" s="2" t="s">
        <v>20</v>
      </c>
      <c r="I77" s="2" t="s">
        <v>189</v>
      </c>
      <c r="J77" s="5">
        <v>88</v>
      </c>
    </row>
    <row r="78" spans="1:10" x14ac:dyDescent="0.3">
      <c r="A78" s="19" t="s">
        <v>190</v>
      </c>
      <c r="B78" s="15" t="s">
        <v>18</v>
      </c>
      <c r="C78" s="15" t="s">
        <v>19</v>
      </c>
      <c r="D78" s="59" t="s">
        <v>31</v>
      </c>
      <c r="E78" s="15">
        <v>14</v>
      </c>
      <c r="F78" s="59">
        <v>12</v>
      </c>
      <c r="G78" s="15" t="s">
        <v>32</v>
      </c>
      <c r="H78" s="15" t="s">
        <v>37</v>
      </c>
      <c r="I78" s="15" t="s">
        <v>191</v>
      </c>
      <c r="J78" s="20">
        <v>63</v>
      </c>
    </row>
    <row r="79" spans="1:10" hidden="1" x14ac:dyDescent="0.3">
      <c r="A79" s="4" t="s">
        <v>192</v>
      </c>
      <c r="B79" s="2" t="s">
        <v>68</v>
      </c>
      <c r="C79" s="2" t="s">
        <v>85</v>
      </c>
      <c r="D79" s="2" t="s">
        <v>13</v>
      </c>
      <c r="E79" s="2">
        <v>19</v>
      </c>
      <c r="F79" s="2">
        <v>11</v>
      </c>
      <c r="G79" s="2" t="s">
        <v>43</v>
      </c>
      <c r="H79" s="2" t="s">
        <v>61</v>
      </c>
      <c r="I79" s="2" t="s">
        <v>193</v>
      </c>
      <c r="J79" s="5">
        <v>78</v>
      </c>
    </row>
    <row r="80" spans="1:10" hidden="1" x14ac:dyDescent="0.3">
      <c r="A80" s="4" t="s">
        <v>194</v>
      </c>
      <c r="B80" s="2" t="s">
        <v>23</v>
      </c>
      <c r="C80" s="2" t="s">
        <v>19</v>
      </c>
      <c r="D80" s="2" t="s">
        <v>31</v>
      </c>
      <c r="E80" s="2">
        <v>20</v>
      </c>
      <c r="F80" s="2">
        <v>9</v>
      </c>
      <c r="G80" s="2" t="s">
        <v>25</v>
      </c>
      <c r="H80" s="2" t="s">
        <v>76</v>
      </c>
      <c r="I80" s="2" t="s">
        <v>195</v>
      </c>
      <c r="J80" s="5">
        <v>76</v>
      </c>
    </row>
    <row r="81" spans="1:10" hidden="1" x14ac:dyDescent="0.3">
      <c r="A81" s="4" t="s">
        <v>196</v>
      </c>
      <c r="B81" s="2" t="s">
        <v>23</v>
      </c>
      <c r="C81" s="2" t="s">
        <v>79</v>
      </c>
      <c r="D81" s="2" t="s">
        <v>13</v>
      </c>
      <c r="E81" s="2">
        <v>18</v>
      </c>
      <c r="F81" s="2">
        <v>12</v>
      </c>
      <c r="G81" s="2" t="s">
        <v>43</v>
      </c>
      <c r="H81" s="2" t="s">
        <v>76</v>
      </c>
      <c r="I81" s="2" t="s">
        <v>197</v>
      </c>
      <c r="J81" s="5">
        <v>67</v>
      </c>
    </row>
    <row r="82" spans="1:10" hidden="1" x14ac:dyDescent="0.3">
      <c r="A82" s="4" t="s">
        <v>198</v>
      </c>
      <c r="B82" s="2" t="s">
        <v>11</v>
      </c>
      <c r="C82" s="2" t="s">
        <v>85</v>
      </c>
      <c r="D82" s="2" t="s">
        <v>31</v>
      </c>
      <c r="E82" s="2">
        <v>14</v>
      </c>
      <c r="F82" s="2">
        <v>10</v>
      </c>
      <c r="G82" s="2" t="s">
        <v>25</v>
      </c>
      <c r="H82" s="2" t="s">
        <v>61</v>
      </c>
      <c r="I82" s="2" t="s">
        <v>199</v>
      </c>
      <c r="J82" s="5">
        <v>97</v>
      </c>
    </row>
    <row r="83" spans="1:10" hidden="1" x14ac:dyDescent="0.3">
      <c r="A83" s="4" t="s">
        <v>200</v>
      </c>
      <c r="B83" s="2" t="s">
        <v>29</v>
      </c>
      <c r="C83" s="2" t="s">
        <v>12</v>
      </c>
      <c r="D83" s="2" t="s">
        <v>13</v>
      </c>
      <c r="E83" s="2">
        <v>18</v>
      </c>
      <c r="F83" s="2">
        <v>12</v>
      </c>
      <c r="G83" s="2" t="s">
        <v>25</v>
      </c>
      <c r="H83" s="2" t="s">
        <v>26</v>
      </c>
      <c r="I83" s="2" t="s">
        <v>201</v>
      </c>
      <c r="J83" s="5">
        <v>89</v>
      </c>
    </row>
    <row r="84" spans="1:10" hidden="1" x14ac:dyDescent="0.3">
      <c r="A84" s="4" t="s">
        <v>202</v>
      </c>
      <c r="B84" s="2" t="s">
        <v>51</v>
      </c>
      <c r="C84" s="2" t="s">
        <v>55</v>
      </c>
      <c r="D84" s="2" t="s">
        <v>31</v>
      </c>
      <c r="E84" s="2">
        <v>15</v>
      </c>
      <c r="F84" s="2">
        <v>9</v>
      </c>
      <c r="G84" s="2" t="s">
        <v>14</v>
      </c>
      <c r="H84" s="2" t="s">
        <v>40</v>
      </c>
      <c r="I84" s="2" t="s">
        <v>111</v>
      </c>
      <c r="J84" s="5">
        <v>70</v>
      </c>
    </row>
    <row r="85" spans="1:10" hidden="1" x14ac:dyDescent="0.3">
      <c r="A85" s="4" t="s">
        <v>203</v>
      </c>
      <c r="B85" s="2" t="s">
        <v>35</v>
      </c>
      <c r="C85" s="2" t="s">
        <v>96</v>
      </c>
      <c r="D85" s="2" t="s">
        <v>13</v>
      </c>
      <c r="E85" s="2">
        <v>17</v>
      </c>
      <c r="F85" s="2">
        <v>12</v>
      </c>
      <c r="G85" s="2" t="s">
        <v>25</v>
      </c>
      <c r="H85" s="2" t="s">
        <v>20</v>
      </c>
      <c r="I85" s="2" t="s">
        <v>204</v>
      </c>
      <c r="J85" s="5">
        <v>90</v>
      </c>
    </row>
    <row r="86" spans="1:10" hidden="1" x14ac:dyDescent="0.3">
      <c r="A86" s="4" t="s">
        <v>205</v>
      </c>
      <c r="B86" s="2" t="s">
        <v>73</v>
      </c>
      <c r="C86" s="2" t="s">
        <v>24</v>
      </c>
      <c r="D86" s="2" t="s">
        <v>13</v>
      </c>
      <c r="E86" s="2">
        <v>17</v>
      </c>
      <c r="F86" s="2">
        <v>9</v>
      </c>
      <c r="G86" s="2" t="s">
        <v>14</v>
      </c>
      <c r="H86" s="2" t="s">
        <v>46</v>
      </c>
      <c r="I86" s="2" t="s">
        <v>206</v>
      </c>
      <c r="J86" s="5">
        <v>59</v>
      </c>
    </row>
    <row r="87" spans="1:10" hidden="1" x14ac:dyDescent="0.3">
      <c r="A87" s="4" t="s">
        <v>207</v>
      </c>
      <c r="B87" s="2" t="s">
        <v>54</v>
      </c>
      <c r="C87" s="2" t="s">
        <v>19</v>
      </c>
      <c r="D87" s="2" t="s">
        <v>31</v>
      </c>
      <c r="E87" s="2">
        <v>19</v>
      </c>
      <c r="F87" s="2">
        <v>9</v>
      </c>
      <c r="G87" s="2" t="s">
        <v>14</v>
      </c>
      <c r="H87" s="2" t="s">
        <v>61</v>
      </c>
      <c r="I87" s="2" t="s">
        <v>208</v>
      </c>
      <c r="J87" s="5">
        <v>76</v>
      </c>
    </row>
    <row r="88" spans="1:10" hidden="1" x14ac:dyDescent="0.3">
      <c r="A88" s="4" t="s">
        <v>209</v>
      </c>
      <c r="B88" s="2" t="s">
        <v>29</v>
      </c>
      <c r="C88" s="2" t="s">
        <v>30</v>
      </c>
      <c r="D88" s="2" t="s">
        <v>31</v>
      </c>
      <c r="E88" s="2">
        <v>18</v>
      </c>
      <c r="F88" s="2">
        <v>11</v>
      </c>
      <c r="G88" s="2" t="s">
        <v>43</v>
      </c>
      <c r="H88" s="2" t="s">
        <v>20</v>
      </c>
      <c r="I88" s="2" t="s">
        <v>210</v>
      </c>
      <c r="J88" s="5">
        <v>78</v>
      </c>
    </row>
    <row r="89" spans="1:10" hidden="1" x14ac:dyDescent="0.3">
      <c r="A89" s="4" t="s">
        <v>211</v>
      </c>
      <c r="B89" s="2" t="s">
        <v>35</v>
      </c>
      <c r="C89" s="2" t="s">
        <v>19</v>
      </c>
      <c r="D89" s="2" t="s">
        <v>31</v>
      </c>
      <c r="E89" s="2">
        <v>16</v>
      </c>
      <c r="F89" s="2">
        <v>9</v>
      </c>
      <c r="G89" s="2" t="s">
        <v>14</v>
      </c>
      <c r="H89" s="2" t="s">
        <v>37</v>
      </c>
      <c r="I89" s="2" t="s">
        <v>212</v>
      </c>
      <c r="J89" s="5">
        <v>57</v>
      </c>
    </row>
    <row r="90" spans="1:10" hidden="1" x14ac:dyDescent="0.3">
      <c r="A90" s="4" t="s">
        <v>213</v>
      </c>
      <c r="B90" s="2" t="s">
        <v>29</v>
      </c>
      <c r="C90" s="2" t="s">
        <v>24</v>
      </c>
      <c r="D90" s="2" t="s">
        <v>31</v>
      </c>
      <c r="E90" s="2">
        <v>17</v>
      </c>
      <c r="F90" s="2">
        <v>11</v>
      </c>
      <c r="G90" s="2" t="s">
        <v>14</v>
      </c>
      <c r="H90" s="2" t="s">
        <v>76</v>
      </c>
      <c r="I90" s="2" t="s">
        <v>214</v>
      </c>
      <c r="J90" s="5">
        <v>74</v>
      </c>
    </row>
    <row r="91" spans="1:10" x14ac:dyDescent="0.3">
      <c r="A91" s="19" t="s">
        <v>215</v>
      </c>
      <c r="B91" s="15" t="s">
        <v>84</v>
      </c>
      <c r="C91" s="15" t="s">
        <v>36</v>
      </c>
      <c r="D91" s="59" t="s">
        <v>31</v>
      </c>
      <c r="E91" s="15">
        <v>19</v>
      </c>
      <c r="F91" s="59">
        <v>12</v>
      </c>
      <c r="G91" s="15" t="s">
        <v>14</v>
      </c>
      <c r="H91" s="15" t="s">
        <v>37</v>
      </c>
      <c r="I91" s="15" t="s">
        <v>216</v>
      </c>
      <c r="J91" s="20">
        <v>84</v>
      </c>
    </row>
    <row r="92" spans="1:10" hidden="1" x14ac:dyDescent="0.3">
      <c r="A92" s="4" t="s">
        <v>217</v>
      </c>
      <c r="B92" s="2" t="s">
        <v>84</v>
      </c>
      <c r="C92" s="2" t="s">
        <v>96</v>
      </c>
      <c r="D92" s="2" t="s">
        <v>31</v>
      </c>
      <c r="E92" s="2">
        <v>17</v>
      </c>
      <c r="F92" s="2">
        <v>10</v>
      </c>
      <c r="G92" s="2" t="s">
        <v>43</v>
      </c>
      <c r="H92" s="2" t="s">
        <v>46</v>
      </c>
      <c r="I92" s="2" t="s">
        <v>218</v>
      </c>
      <c r="J92" s="5">
        <v>46</v>
      </c>
    </row>
    <row r="93" spans="1:10" hidden="1" x14ac:dyDescent="0.3">
      <c r="A93" s="4" t="s">
        <v>219</v>
      </c>
      <c r="B93" s="2" t="s">
        <v>68</v>
      </c>
      <c r="C93" s="2" t="s">
        <v>19</v>
      </c>
      <c r="D93" s="2" t="s">
        <v>13</v>
      </c>
      <c r="E93" s="2">
        <v>19</v>
      </c>
      <c r="F93" s="2">
        <v>9</v>
      </c>
      <c r="G93" s="2" t="s">
        <v>14</v>
      </c>
      <c r="H93" s="2" t="s">
        <v>40</v>
      </c>
      <c r="I93" s="2" t="s">
        <v>220</v>
      </c>
      <c r="J93" s="5">
        <v>63</v>
      </c>
    </row>
    <row r="94" spans="1:10" hidden="1" x14ac:dyDescent="0.3">
      <c r="A94" s="4" t="s">
        <v>221</v>
      </c>
      <c r="B94" s="2" t="s">
        <v>51</v>
      </c>
      <c r="C94" s="2" t="s">
        <v>55</v>
      </c>
      <c r="D94" s="2" t="s">
        <v>13</v>
      </c>
      <c r="E94" s="2">
        <v>14</v>
      </c>
      <c r="F94" s="2">
        <v>10</v>
      </c>
      <c r="G94" s="2" t="s">
        <v>43</v>
      </c>
      <c r="H94" s="2" t="s">
        <v>61</v>
      </c>
      <c r="I94" s="2" t="s">
        <v>222</v>
      </c>
      <c r="J94" s="5">
        <v>72</v>
      </c>
    </row>
    <row r="95" spans="1:10" hidden="1" x14ac:dyDescent="0.3">
      <c r="A95" s="4" t="s">
        <v>223</v>
      </c>
      <c r="B95" s="2" t="s">
        <v>68</v>
      </c>
      <c r="C95" s="2" t="s">
        <v>24</v>
      </c>
      <c r="D95" s="2" t="s">
        <v>13</v>
      </c>
      <c r="E95" s="2">
        <v>18</v>
      </c>
      <c r="F95" s="2">
        <v>11</v>
      </c>
      <c r="G95" s="2" t="s">
        <v>32</v>
      </c>
      <c r="H95" s="2" t="s">
        <v>40</v>
      </c>
      <c r="I95" s="2" t="s">
        <v>224</v>
      </c>
      <c r="J95" s="5">
        <v>87</v>
      </c>
    </row>
    <row r="96" spans="1:10" hidden="1" x14ac:dyDescent="0.3">
      <c r="A96" s="4" t="s">
        <v>225</v>
      </c>
      <c r="B96" s="2" t="s">
        <v>35</v>
      </c>
      <c r="C96" s="2" t="s">
        <v>85</v>
      </c>
      <c r="D96" s="2" t="s">
        <v>13</v>
      </c>
      <c r="E96" s="2">
        <v>20</v>
      </c>
      <c r="F96" s="2">
        <v>9</v>
      </c>
      <c r="G96" s="2" t="s">
        <v>14</v>
      </c>
      <c r="H96" s="2" t="s">
        <v>40</v>
      </c>
      <c r="I96" s="2" t="s">
        <v>226</v>
      </c>
      <c r="J96" s="5">
        <v>55</v>
      </c>
    </row>
    <row r="97" spans="1:10" hidden="1" x14ac:dyDescent="0.3">
      <c r="A97" s="4" t="s">
        <v>227</v>
      </c>
      <c r="B97" s="2" t="s">
        <v>68</v>
      </c>
      <c r="C97" s="2" t="s">
        <v>58</v>
      </c>
      <c r="D97" s="2" t="s">
        <v>13</v>
      </c>
      <c r="E97" s="2">
        <v>17</v>
      </c>
      <c r="F97" s="2">
        <v>12</v>
      </c>
      <c r="G97" s="2" t="s">
        <v>32</v>
      </c>
      <c r="H97" s="2" t="s">
        <v>26</v>
      </c>
      <c r="I97" s="2" t="s">
        <v>228</v>
      </c>
      <c r="J97" s="5">
        <v>37</v>
      </c>
    </row>
    <row r="98" spans="1:10" hidden="1" x14ac:dyDescent="0.3">
      <c r="A98" s="4" t="s">
        <v>229</v>
      </c>
      <c r="B98" s="2" t="s">
        <v>68</v>
      </c>
      <c r="C98" s="2" t="s">
        <v>24</v>
      </c>
      <c r="D98" s="2" t="s">
        <v>13</v>
      </c>
      <c r="E98" s="2">
        <v>17</v>
      </c>
      <c r="F98" s="2">
        <v>11</v>
      </c>
      <c r="G98" s="2" t="s">
        <v>43</v>
      </c>
      <c r="H98" s="2" t="s">
        <v>26</v>
      </c>
      <c r="I98" s="2" t="s">
        <v>230</v>
      </c>
      <c r="J98" s="5">
        <v>53</v>
      </c>
    </row>
    <row r="99" spans="1:10" hidden="1" x14ac:dyDescent="0.3">
      <c r="A99" s="4" t="s">
        <v>231</v>
      </c>
      <c r="B99" s="2" t="s">
        <v>23</v>
      </c>
      <c r="C99" s="2" t="s">
        <v>24</v>
      </c>
      <c r="D99" s="2" t="s">
        <v>31</v>
      </c>
      <c r="E99" s="2">
        <v>18</v>
      </c>
      <c r="F99" s="2">
        <v>9</v>
      </c>
      <c r="G99" s="2" t="s">
        <v>25</v>
      </c>
      <c r="H99" s="2" t="s">
        <v>61</v>
      </c>
      <c r="I99" s="2" t="s">
        <v>232</v>
      </c>
      <c r="J99" s="5">
        <v>88</v>
      </c>
    </row>
    <row r="100" spans="1:10" hidden="1" x14ac:dyDescent="0.3">
      <c r="A100" s="4" t="s">
        <v>233</v>
      </c>
      <c r="B100" s="2" t="s">
        <v>11</v>
      </c>
      <c r="C100" s="2" t="s">
        <v>55</v>
      </c>
      <c r="D100" s="2" t="s">
        <v>13</v>
      </c>
      <c r="E100" s="2">
        <v>14</v>
      </c>
      <c r="F100" s="2">
        <v>9</v>
      </c>
      <c r="G100" s="2" t="s">
        <v>25</v>
      </c>
      <c r="H100" s="2" t="s">
        <v>37</v>
      </c>
      <c r="I100" s="2" t="s">
        <v>234</v>
      </c>
      <c r="J100" s="5">
        <v>66</v>
      </c>
    </row>
    <row r="101" spans="1:10" x14ac:dyDescent="0.3">
      <c r="A101" s="19" t="s">
        <v>235</v>
      </c>
      <c r="B101" s="15" t="s">
        <v>11</v>
      </c>
      <c r="C101" s="15" t="s">
        <v>36</v>
      </c>
      <c r="D101" s="59" t="s">
        <v>31</v>
      </c>
      <c r="E101" s="15">
        <v>14</v>
      </c>
      <c r="F101" s="59">
        <v>12</v>
      </c>
      <c r="G101" s="15" t="s">
        <v>43</v>
      </c>
      <c r="H101" s="15" t="s">
        <v>40</v>
      </c>
      <c r="I101" s="15" t="s">
        <v>236</v>
      </c>
      <c r="J101" s="20">
        <v>65</v>
      </c>
    </row>
    <row r="102" spans="1:10" hidden="1" x14ac:dyDescent="0.3">
      <c r="A102" s="4" t="s">
        <v>237</v>
      </c>
      <c r="B102" s="2" t="s">
        <v>23</v>
      </c>
      <c r="C102" s="2" t="s">
        <v>24</v>
      </c>
      <c r="D102" s="2" t="s">
        <v>31</v>
      </c>
      <c r="E102" s="2">
        <v>16</v>
      </c>
      <c r="F102" s="2">
        <v>10</v>
      </c>
      <c r="G102" s="2" t="s">
        <v>43</v>
      </c>
      <c r="H102" s="2" t="s">
        <v>20</v>
      </c>
      <c r="I102" s="2" t="s">
        <v>238</v>
      </c>
      <c r="J102" s="5">
        <v>71</v>
      </c>
    </row>
    <row r="103" spans="1:10" hidden="1" x14ac:dyDescent="0.3">
      <c r="A103" s="4" t="s">
        <v>239</v>
      </c>
      <c r="B103" s="2" t="s">
        <v>68</v>
      </c>
      <c r="C103" s="2" t="s">
        <v>58</v>
      </c>
      <c r="D103" s="2" t="s">
        <v>13</v>
      </c>
      <c r="E103" s="2">
        <v>18</v>
      </c>
      <c r="F103" s="2">
        <v>11</v>
      </c>
      <c r="G103" s="2" t="s">
        <v>25</v>
      </c>
      <c r="H103" s="2" t="s">
        <v>15</v>
      </c>
      <c r="I103" s="2" t="s">
        <v>240</v>
      </c>
      <c r="J103" s="5">
        <v>48</v>
      </c>
    </row>
    <row r="104" spans="1:10" x14ac:dyDescent="0.3">
      <c r="A104" s="19" t="s">
        <v>241</v>
      </c>
      <c r="B104" s="15" t="s">
        <v>54</v>
      </c>
      <c r="C104" s="15" t="s">
        <v>85</v>
      </c>
      <c r="D104" s="59" t="s">
        <v>31</v>
      </c>
      <c r="E104" s="15">
        <v>15</v>
      </c>
      <c r="F104" s="59">
        <v>12</v>
      </c>
      <c r="G104" s="15" t="s">
        <v>14</v>
      </c>
      <c r="H104" s="15" t="s">
        <v>40</v>
      </c>
      <c r="I104" s="15" t="s">
        <v>242</v>
      </c>
      <c r="J104" s="20">
        <v>100</v>
      </c>
    </row>
    <row r="105" spans="1:10" hidden="1" x14ac:dyDescent="0.3">
      <c r="A105" s="4" t="s">
        <v>243</v>
      </c>
      <c r="B105" s="2" t="s">
        <v>23</v>
      </c>
      <c r="C105" s="2" t="s">
        <v>96</v>
      </c>
      <c r="D105" s="2" t="s">
        <v>31</v>
      </c>
      <c r="E105" s="2">
        <v>15</v>
      </c>
      <c r="F105" s="2">
        <v>11</v>
      </c>
      <c r="G105" s="2" t="s">
        <v>25</v>
      </c>
      <c r="H105" s="2" t="s">
        <v>61</v>
      </c>
      <c r="I105" s="2" t="s">
        <v>244</v>
      </c>
      <c r="J105" s="5">
        <v>72</v>
      </c>
    </row>
    <row r="106" spans="1:10" x14ac:dyDescent="0.3">
      <c r="A106" s="19" t="s">
        <v>245</v>
      </c>
      <c r="B106" s="15" t="s">
        <v>54</v>
      </c>
      <c r="C106" s="15" t="s">
        <v>19</v>
      </c>
      <c r="D106" s="59" t="s">
        <v>31</v>
      </c>
      <c r="E106" s="15">
        <v>18</v>
      </c>
      <c r="F106" s="59">
        <v>12</v>
      </c>
      <c r="G106" s="15" t="s">
        <v>32</v>
      </c>
      <c r="H106" s="15" t="s">
        <v>26</v>
      </c>
      <c r="I106" s="15" t="s">
        <v>246</v>
      </c>
      <c r="J106" s="20">
        <v>74</v>
      </c>
    </row>
    <row r="107" spans="1:10" x14ac:dyDescent="0.3">
      <c r="A107" s="19" t="s">
        <v>247</v>
      </c>
      <c r="B107" s="15" t="s">
        <v>29</v>
      </c>
      <c r="C107" s="15" t="s">
        <v>58</v>
      </c>
      <c r="D107" s="59" t="s">
        <v>31</v>
      </c>
      <c r="E107" s="15">
        <v>14</v>
      </c>
      <c r="F107" s="59">
        <v>12</v>
      </c>
      <c r="G107" s="15" t="s">
        <v>14</v>
      </c>
      <c r="H107" s="15" t="s">
        <v>40</v>
      </c>
      <c r="I107" s="15" t="s">
        <v>248</v>
      </c>
      <c r="J107" s="20">
        <v>66</v>
      </c>
    </row>
    <row r="108" spans="1:10" hidden="1" x14ac:dyDescent="0.3">
      <c r="A108" s="4" t="s">
        <v>249</v>
      </c>
      <c r="B108" s="2" t="s">
        <v>68</v>
      </c>
      <c r="C108" s="2" t="s">
        <v>30</v>
      </c>
      <c r="D108" s="2" t="s">
        <v>31</v>
      </c>
      <c r="E108" s="2">
        <v>16</v>
      </c>
      <c r="F108" s="2">
        <v>11</v>
      </c>
      <c r="G108" s="2" t="s">
        <v>32</v>
      </c>
      <c r="H108" s="2" t="s">
        <v>20</v>
      </c>
      <c r="I108" s="2" t="s">
        <v>250</v>
      </c>
      <c r="J108" s="5">
        <v>90</v>
      </c>
    </row>
    <row r="109" spans="1:10" hidden="1" x14ac:dyDescent="0.3">
      <c r="A109" s="4" t="s">
        <v>251</v>
      </c>
      <c r="B109" s="2" t="s">
        <v>23</v>
      </c>
      <c r="C109" s="2" t="s">
        <v>24</v>
      </c>
      <c r="D109" s="2" t="s">
        <v>13</v>
      </c>
      <c r="E109" s="2">
        <v>16</v>
      </c>
      <c r="F109" s="2">
        <v>12</v>
      </c>
      <c r="G109" s="2" t="s">
        <v>43</v>
      </c>
      <c r="H109" s="2" t="s">
        <v>40</v>
      </c>
      <c r="I109" s="2" t="s">
        <v>252</v>
      </c>
      <c r="J109" s="5">
        <v>50</v>
      </c>
    </row>
    <row r="110" spans="1:10" hidden="1" x14ac:dyDescent="0.3">
      <c r="A110" s="4" t="s">
        <v>253</v>
      </c>
      <c r="B110" s="2" t="s">
        <v>18</v>
      </c>
      <c r="C110" s="2" t="s">
        <v>24</v>
      </c>
      <c r="D110" s="2" t="s">
        <v>13</v>
      </c>
      <c r="E110" s="2">
        <v>15</v>
      </c>
      <c r="F110" s="2">
        <v>9</v>
      </c>
      <c r="G110" s="2" t="s">
        <v>25</v>
      </c>
      <c r="H110" s="2" t="s">
        <v>20</v>
      </c>
      <c r="I110" s="2" t="s">
        <v>254</v>
      </c>
      <c r="J110" s="5">
        <v>36</v>
      </c>
    </row>
    <row r="111" spans="1:10" x14ac:dyDescent="0.3">
      <c r="A111" s="19" t="s">
        <v>255</v>
      </c>
      <c r="B111" s="15" t="s">
        <v>51</v>
      </c>
      <c r="C111" s="15" t="s">
        <v>79</v>
      </c>
      <c r="D111" s="59" t="s">
        <v>31</v>
      </c>
      <c r="E111" s="15">
        <v>20</v>
      </c>
      <c r="F111" s="59">
        <v>12</v>
      </c>
      <c r="G111" s="15" t="s">
        <v>43</v>
      </c>
      <c r="H111" s="15" t="s">
        <v>40</v>
      </c>
      <c r="I111" s="15" t="s">
        <v>256</v>
      </c>
      <c r="J111" s="20">
        <v>48</v>
      </c>
    </row>
    <row r="112" spans="1:10" hidden="1" x14ac:dyDescent="0.3">
      <c r="A112" s="4" t="s">
        <v>257</v>
      </c>
      <c r="B112" s="2" t="s">
        <v>68</v>
      </c>
      <c r="C112" s="2" t="s">
        <v>79</v>
      </c>
      <c r="D112" s="2" t="s">
        <v>31</v>
      </c>
      <c r="E112" s="2">
        <v>20</v>
      </c>
      <c r="F112" s="2">
        <v>11</v>
      </c>
      <c r="G112" s="2" t="s">
        <v>43</v>
      </c>
      <c r="H112" s="2" t="s">
        <v>46</v>
      </c>
      <c r="I112" s="2" t="s">
        <v>258</v>
      </c>
      <c r="J112" s="5">
        <v>52</v>
      </c>
    </row>
    <row r="113" spans="1:10" hidden="1" x14ac:dyDescent="0.3">
      <c r="A113" s="4" t="s">
        <v>259</v>
      </c>
      <c r="B113" s="2" t="s">
        <v>54</v>
      </c>
      <c r="C113" s="2" t="s">
        <v>85</v>
      </c>
      <c r="D113" s="2" t="s">
        <v>13</v>
      </c>
      <c r="E113" s="2">
        <v>14</v>
      </c>
      <c r="F113" s="2">
        <v>11</v>
      </c>
      <c r="G113" s="2" t="s">
        <v>43</v>
      </c>
      <c r="H113" s="2" t="s">
        <v>46</v>
      </c>
      <c r="I113" s="2" t="s">
        <v>260</v>
      </c>
      <c r="J113" s="5">
        <v>62</v>
      </c>
    </row>
    <row r="114" spans="1:10" hidden="1" x14ac:dyDescent="0.3">
      <c r="A114" s="4" t="s">
        <v>261</v>
      </c>
      <c r="B114" s="2" t="s">
        <v>23</v>
      </c>
      <c r="C114" s="2" t="s">
        <v>36</v>
      </c>
      <c r="D114" s="2" t="s">
        <v>13</v>
      </c>
      <c r="E114" s="2">
        <v>15</v>
      </c>
      <c r="F114" s="2">
        <v>11</v>
      </c>
      <c r="G114" s="2" t="s">
        <v>25</v>
      </c>
      <c r="H114" s="2" t="s">
        <v>26</v>
      </c>
      <c r="I114" s="2" t="s">
        <v>262</v>
      </c>
      <c r="J114" s="5">
        <v>63</v>
      </c>
    </row>
    <row r="115" spans="1:10" hidden="1" x14ac:dyDescent="0.3">
      <c r="A115" s="4" t="s">
        <v>263</v>
      </c>
      <c r="B115" s="2" t="s">
        <v>29</v>
      </c>
      <c r="C115" s="2" t="s">
        <v>19</v>
      </c>
      <c r="D115" s="2" t="s">
        <v>13</v>
      </c>
      <c r="E115" s="2">
        <v>15</v>
      </c>
      <c r="F115" s="2">
        <v>11</v>
      </c>
      <c r="G115" s="2" t="s">
        <v>25</v>
      </c>
      <c r="H115" s="2" t="s">
        <v>46</v>
      </c>
      <c r="I115" s="2" t="s">
        <v>264</v>
      </c>
      <c r="J115" s="5">
        <v>58</v>
      </c>
    </row>
    <row r="116" spans="1:10" hidden="1" x14ac:dyDescent="0.3">
      <c r="A116" s="4" t="s">
        <v>265</v>
      </c>
      <c r="B116" s="2" t="s">
        <v>11</v>
      </c>
      <c r="C116" s="2" t="s">
        <v>85</v>
      </c>
      <c r="D116" s="2" t="s">
        <v>31</v>
      </c>
      <c r="E116" s="2">
        <v>14</v>
      </c>
      <c r="F116" s="2">
        <v>9</v>
      </c>
      <c r="G116" s="2" t="s">
        <v>43</v>
      </c>
      <c r="H116" s="2" t="s">
        <v>61</v>
      </c>
      <c r="I116" s="2" t="s">
        <v>56</v>
      </c>
      <c r="J116" s="5">
        <v>41</v>
      </c>
    </row>
    <row r="117" spans="1:10" hidden="1" x14ac:dyDescent="0.3">
      <c r="A117" s="4" t="s">
        <v>266</v>
      </c>
      <c r="B117" s="2" t="s">
        <v>54</v>
      </c>
      <c r="C117" s="2" t="s">
        <v>58</v>
      </c>
      <c r="D117" s="2" t="s">
        <v>13</v>
      </c>
      <c r="E117" s="2">
        <v>19</v>
      </c>
      <c r="F117" s="2">
        <v>11</v>
      </c>
      <c r="G117" s="2" t="s">
        <v>14</v>
      </c>
      <c r="H117" s="2" t="s">
        <v>40</v>
      </c>
      <c r="I117" s="2" t="s">
        <v>267</v>
      </c>
      <c r="J117" s="5">
        <v>41</v>
      </c>
    </row>
    <row r="118" spans="1:10" x14ac:dyDescent="0.3">
      <c r="A118" s="19" t="s">
        <v>268</v>
      </c>
      <c r="B118" s="15" t="s">
        <v>68</v>
      </c>
      <c r="C118" s="15" t="s">
        <v>24</v>
      </c>
      <c r="D118" s="59" t="s">
        <v>31</v>
      </c>
      <c r="E118" s="15">
        <v>16</v>
      </c>
      <c r="F118" s="59">
        <v>12</v>
      </c>
      <c r="G118" s="15" t="s">
        <v>43</v>
      </c>
      <c r="H118" s="15" t="s">
        <v>26</v>
      </c>
      <c r="I118" s="15" t="s">
        <v>269</v>
      </c>
      <c r="J118" s="20">
        <v>47</v>
      </c>
    </row>
    <row r="119" spans="1:10" hidden="1" x14ac:dyDescent="0.3">
      <c r="A119" s="4" t="s">
        <v>270</v>
      </c>
      <c r="B119" s="2" t="s">
        <v>73</v>
      </c>
      <c r="C119" s="2" t="s">
        <v>30</v>
      </c>
      <c r="D119" s="2" t="s">
        <v>31</v>
      </c>
      <c r="E119" s="2">
        <v>15</v>
      </c>
      <c r="F119" s="2">
        <v>9</v>
      </c>
      <c r="G119" s="2" t="s">
        <v>43</v>
      </c>
      <c r="H119" s="2" t="s">
        <v>26</v>
      </c>
      <c r="I119" s="2" t="s">
        <v>271</v>
      </c>
      <c r="J119" s="5">
        <v>76</v>
      </c>
    </row>
    <row r="120" spans="1:10" hidden="1" x14ac:dyDescent="0.3">
      <c r="A120" s="4" t="s">
        <v>272</v>
      </c>
      <c r="B120" s="2" t="s">
        <v>54</v>
      </c>
      <c r="C120" s="2" t="s">
        <v>24</v>
      </c>
      <c r="D120" s="2" t="s">
        <v>13</v>
      </c>
      <c r="E120" s="2">
        <v>15</v>
      </c>
      <c r="F120" s="2">
        <v>9</v>
      </c>
      <c r="G120" s="2" t="s">
        <v>43</v>
      </c>
      <c r="H120" s="2" t="s">
        <v>20</v>
      </c>
      <c r="I120" s="2" t="s">
        <v>273</v>
      </c>
      <c r="J120" s="5">
        <v>50</v>
      </c>
    </row>
    <row r="121" spans="1:10" hidden="1" x14ac:dyDescent="0.3">
      <c r="A121" s="4" t="s">
        <v>274</v>
      </c>
      <c r="B121" s="2" t="s">
        <v>35</v>
      </c>
      <c r="C121" s="2" t="s">
        <v>36</v>
      </c>
      <c r="D121" s="2" t="s">
        <v>13</v>
      </c>
      <c r="E121" s="2">
        <v>19</v>
      </c>
      <c r="F121" s="2">
        <v>9</v>
      </c>
      <c r="G121" s="2" t="s">
        <v>32</v>
      </c>
      <c r="H121" s="2" t="s">
        <v>61</v>
      </c>
      <c r="I121" s="2" t="s">
        <v>275</v>
      </c>
      <c r="J121" s="5">
        <v>63</v>
      </c>
    </row>
    <row r="122" spans="1:10" x14ac:dyDescent="0.3">
      <c r="A122" s="19" t="s">
        <v>276</v>
      </c>
      <c r="B122" s="15" t="s">
        <v>84</v>
      </c>
      <c r="C122" s="15" t="s">
        <v>30</v>
      </c>
      <c r="D122" s="59" t="s">
        <v>31</v>
      </c>
      <c r="E122" s="15">
        <v>14</v>
      </c>
      <c r="F122" s="59">
        <v>12</v>
      </c>
      <c r="G122" s="15" t="s">
        <v>14</v>
      </c>
      <c r="H122" s="15" t="s">
        <v>26</v>
      </c>
      <c r="I122" s="15" t="s">
        <v>277</v>
      </c>
      <c r="J122" s="20">
        <v>62</v>
      </c>
    </row>
    <row r="123" spans="1:10" hidden="1" x14ac:dyDescent="0.3">
      <c r="A123" s="4" t="s">
        <v>278</v>
      </c>
      <c r="B123" s="2" t="s">
        <v>73</v>
      </c>
      <c r="C123" s="2" t="s">
        <v>36</v>
      </c>
      <c r="D123" s="2" t="s">
        <v>13</v>
      </c>
      <c r="E123" s="2">
        <v>14</v>
      </c>
      <c r="F123" s="2">
        <v>11</v>
      </c>
      <c r="G123" s="2" t="s">
        <v>32</v>
      </c>
      <c r="H123" s="2" t="s">
        <v>37</v>
      </c>
      <c r="I123" s="2" t="s">
        <v>279</v>
      </c>
      <c r="J123" s="5">
        <v>51</v>
      </c>
    </row>
    <row r="124" spans="1:10" hidden="1" x14ac:dyDescent="0.3">
      <c r="A124" s="4" t="s">
        <v>280</v>
      </c>
      <c r="B124" s="2" t="s">
        <v>84</v>
      </c>
      <c r="C124" s="2" t="s">
        <v>58</v>
      </c>
      <c r="D124" s="2" t="s">
        <v>13</v>
      </c>
      <c r="E124" s="2">
        <v>18</v>
      </c>
      <c r="F124" s="2">
        <v>12</v>
      </c>
      <c r="G124" s="2" t="s">
        <v>32</v>
      </c>
      <c r="H124" s="2" t="s">
        <v>76</v>
      </c>
      <c r="I124" s="2" t="s">
        <v>159</v>
      </c>
      <c r="J124" s="5">
        <v>98</v>
      </c>
    </row>
    <row r="125" spans="1:10" hidden="1" x14ac:dyDescent="0.3">
      <c r="A125" s="4" t="s">
        <v>281</v>
      </c>
      <c r="B125" s="2" t="s">
        <v>51</v>
      </c>
      <c r="C125" s="2" t="s">
        <v>36</v>
      </c>
      <c r="D125" s="2" t="s">
        <v>31</v>
      </c>
      <c r="E125" s="2">
        <v>15</v>
      </c>
      <c r="F125" s="2">
        <v>11</v>
      </c>
      <c r="G125" s="2" t="s">
        <v>43</v>
      </c>
      <c r="H125" s="2" t="s">
        <v>37</v>
      </c>
      <c r="I125" s="2" t="s">
        <v>282</v>
      </c>
      <c r="J125" s="5">
        <v>66</v>
      </c>
    </row>
    <row r="126" spans="1:10" hidden="1" x14ac:dyDescent="0.3">
      <c r="A126" s="4" t="s">
        <v>283</v>
      </c>
      <c r="B126" s="2" t="s">
        <v>68</v>
      </c>
      <c r="C126" s="2" t="s">
        <v>79</v>
      </c>
      <c r="D126" s="2" t="s">
        <v>31</v>
      </c>
      <c r="E126" s="2">
        <v>16</v>
      </c>
      <c r="F126" s="2">
        <v>11</v>
      </c>
      <c r="G126" s="2" t="s">
        <v>32</v>
      </c>
      <c r="H126" s="2" t="s">
        <v>40</v>
      </c>
      <c r="I126" s="2" t="s">
        <v>284</v>
      </c>
      <c r="J126" s="5">
        <v>95</v>
      </c>
    </row>
    <row r="127" spans="1:10" hidden="1" x14ac:dyDescent="0.3">
      <c r="A127" s="4" t="s">
        <v>285</v>
      </c>
      <c r="B127" s="2" t="s">
        <v>18</v>
      </c>
      <c r="C127" s="2" t="s">
        <v>36</v>
      </c>
      <c r="D127" s="2" t="s">
        <v>31</v>
      </c>
      <c r="E127" s="2">
        <v>14</v>
      </c>
      <c r="F127" s="2">
        <v>11</v>
      </c>
      <c r="G127" s="2" t="s">
        <v>25</v>
      </c>
      <c r="H127" s="2" t="s">
        <v>46</v>
      </c>
      <c r="I127" s="2" t="s">
        <v>286</v>
      </c>
      <c r="J127" s="5">
        <v>64</v>
      </c>
    </row>
    <row r="128" spans="1:10" x14ac:dyDescent="0.3">
      <c r="A128" s="19" t="s">
        <v>287</v>
      </c>
      <c r="B128" s="15" t="s">
        <v>54</v>
      </c>
      <c r="C128" s="15" t="s">
        <v>24</v>
      </c>
      <c r="D128" s="59" t="s">
        <v>31</v>
      </c>
      <c r="E128" s="15">
        <v>14</v>
      </c>
      <c r="F128" s="59">
        <v>12</v>
      </c>
      <c r="G128" s="15" t="s">
        <v>32</v>
      </c>
      <c r="H128" s="15" t="s">
        <v>76</v>
      </c>
      <c r="I128" s="15" t="s">
        <v>288</v>
      </c>
      <c r="J128" s="20">
        <v>48</v>
      </c>
    </row>
    <row r="129" spans="1:10" hidden="1" x14ac:dyDescent="0.3">
      <c r="A129" s="4" t="s">
        <v>289</v>
      </c>
      <c r="B129" s="2" t="s">
        <v>23</v>
      </c>
      <c r="C129" s="2" t="s">
        <v>79</v>
      </c>
      <c r="D129" s="2" t="s">
        <v>31</v>
      </c>
      <c r="E129" s="2">
        <v>17</v>
      </c>
      <c r="F129" s="2">
        <v>9</v>
      </c>
      <c r="G129" s="2" t="s">
        <v>25</v>
      </c>
      <c r="H129" s="2" t="s">
        <v>37</v>
      </c>
      <c r="I129" s="2" t="s">
        <v>290</v>
      </c>
      <c r="J129" s="5">
        <v>62</v>
      </c>
    </row>
    <row r="130" spans="1:10" hidden="1" x14ac:dyDescent="0.3">
      <c r="A130" s="4" t="s">
        <v>291</v>
      </c>
      <c r="B130" s="2" t="s">
        <v>11</v>
      </c>
      <c r="C130" s="2" t="s">
        <v>30</v>
      </c>
      <c r="D130" s="2" t="s">
        <v>31</v>
      </c>
      <c r="E130" s="2">
        <v>16</v>
      </c>
      <c r="F130" s="2">
        <v>9</v>
      </c>
      <c r="G130" s="2" t="s">
        <v>25</v>
      </c>
      <c r="H130" s="2" t="s">
        <v>61</v>
      </c>
      <c r="I130" s="2" t="s">
        <v>292</v>
      </c>
      <c r="J130" s="5">
        <v>97</v>
      </c>
    </row>
    <row r="131" spans="1:10" hidden="1" x14ac:dyDescent="0.3">
      <c r="A131" s="4" t="s">
        <v>293</v>
      </c>
      <c r="B131" s="2" t="s">
        <v>73</v>
      </c>
      <c r="C131" s="2" t="s">
        <v>96</v>
      </c>
      <c r="D131" s="2" t="s">
        <v>31</v>
      </c>
      <c r="E131" s="2">
        <v>20</v>
      </c>
      <c r="F131" s="2">
        <v>9</v>
      </c>
      <c r="G131" s="2" t="s">
        <v>43</v>
      </c>
      <c r="H131" s="2" t="s">
        <v>26</v>
      </c>
      <c r="I131" s="2" t="s">
        <v>74</v>
      </c>
      <c r="J131" s="5">
        <v>100</v>
      </c>
    </row>
    <row r="132" spans="1:10" hidden="1" x14ac:dyDescent="0.3">
      <c r="A132" s="4" t="s">
        <v>294</v>
      </c>
      <c r="B132" s="2" t="s">
        <v>35</v>
      </c>
      <c r="C132" s="2" t="s">
        <v>55</v>
      </c>
      <c r="D132" s="2" t="s">
        <v>13</v>
      </c>
      <c r="E132" s="2">
        <v>20</v>
      </c>
      <c r="F132" s="2">
        <v>9</v>
      </c>
      <c r="G132" s="2" t="s">
        <v>25</v>
      </c>
      <c r="H132" s="2" t="s">
        <v>46</v>
      </c>
      <c r="I132" s="2" t="s">
        <v>295</v>
      </c>
      <c r="J132" s="5">
        <v>99</v>
      </c>
    </row>
    <row r="133" spans="1:10" hidden="1" x14ac:dyDescent="0.3">
      <c r="A133" s="4" t="s">
        <v>296</v>
      </c>
      <c r="B133" s="2" t="s">
        <v>84</v>
      </c>
      <c r="C133" s="2" t="s">
        <v>19</v>
      </c>
      <c r="D133" s="2" t="s">
        <v>31</v>
      </c>
      <c r="E133" s="2">
        <v>20</v>
      </c>
      <c r="F133" s="2">
        <v>10</v>
      </c>
      <c r="G133" s="2" t="s">
        <v>43</v>
      </c>
      <c r="H133" s="2" t="s">
        <v>20</v>
      </c>
      <c r="I133" s="2" t="s">
        <v>297</v>
      </c>
      <c r="J133" s="5">
        <v>100</v>
      </c>
    </row>
    <row r="134" spans="1:10" hidden="1" x14ac:dyDescent="0.3">
      <c r="A134" s="4" t="s">
        <v>298</v>
      </c>
      <c r="B134" s="2" t="s">
        <v>29</v>
      </c>
      <c r="C134" s="2" t="s">
        <v>96</v>
      </c>
      <c r="D134" s="2" t="s">
        <v>31</v>
      </c>
      <c r="E134" s="2">
        <v>20</v>
      </c>
      <c r="F134" s="2">
        <v>10</v>
      </c>
      <c r="G134" s="2" t="s">
        <v>32</v>
      </c>
      <c r="H134" s="2" t="s">
        <v>26</v>
      </c>
      <c r="I134" s="2" t="s">
        <v>299</v>
      </c>
      <c r="J134" s="5">
        <v>56</v>
      </c>
    </row>
    <row r="135" spans="1:10" hidden="1" x14ac:dyDescent="0.3">
      <c r="A135" s="4" t="s">
        <v>300</v>
      </c>
      <c r="B135" s="2" t="s">
        <v>11</v>
      </c>
      <c r="C135" s="2" t="s">
        <v>79</v>
      </c>
      <c r="D135" s="2" t="s">
        <v>31</v>
      </c>
      <c r="E135" s="2">
        <v>18</v>
      </c>
      <c r="F135" s="2">
        <v>9</v>
      </c>
      <c r="G135" s="2" t="s">
        <v>14</v>
      </c>
      <c r="H135" s="2" t="s">
        <v>20</v>
      </c>
      <c r="I135" s="2" t="s">
        <v>301</v>
      </c>
      <c r="J135" s="5">
        <v>66</v>
      </c>
    </row>
    <row r="136" spans="1:10" hidden="1" x14ac:dyDescent="0.3">
      <c r="A136" s="4" t="s">
        <v>302</v>
      </c>
      <c r="B136" s="2" t="s">
        <v>29</v>
      </c>
      <c r="C136" s="2" t="s">
        <v>79</v>
      </c>
      <c r="D136" s="2" t="s">
        <v>13</v>
      </c>
      <c r="E136" s="2">
        <v>14</v>
      </c>
      <c r="F136" s="2">
        <v>12</v>
      </c>
      <c r="G136" s="2" t="s">
        <v>14</v>
      </c>
      <c r="H136" s="2" t="s">
        <v>20</v>
      </c>
      <c r="I136" s="2" t="s">
        <v>303</v>
      </c>
      <c r="J136" s="5">
        <v>66</v>
      </c>
    </row>
    <row r="137" spans="1:10" x14ac:dyDescent="0.3">
      <c r="A137" s="19" t="s">
        <v>304</v>
      </c>
      <c r="B137" s="15" t="s">
        <v>51</v>
      </c>
      <c r="C137" s="15" t="s">
        <v>36</v>
      </c>
      <c r="D137" s="59" t="s">
        <v>31</v>
      </c>
      <c r="E137" s="15">
        <v>15</v>
      </c>
      <c r="F137" s="59">
        <v>12</v>
      </c>
      <c r="G137" s="15" t="s">
        <v>32</v>
      </c>
      <c r="H137" s="15" t="s">
        <v>46</v>
      </c>
      <c r="I137" s="15" t="s">
        <v>305</v>
      </c>
      <c r="J137" s="20">
        <v>77</v>
      </c>
    </row>
    <row r="138" spans="1:10" hidden="1" x14ac:dyDescent="0.3">
      <c r="A138" s="4" t="s">
        <v>306</v>
      </c>
      <c r="B138" s="2" t="s">
        <v>23</v>
      </c>
      <c r="C138" s="2" t="s">
        <v>19</v>
      </c>
      <c r="D138" s="2" t="s">
        <v>31</v>
      </c>
      <c r="E138" s="2">
        <v>16</v>
      </c>
      <c r="F138" s="2">
        <v>10</v>
      </c>
      <c r="G138" s="2" t="s">
        <v>43</v>
      </c>
      <c r="H138" s="2" t="s">
        <v>61</v>
      </c>
      <c r="I138" s="2" t="s">
        <v>307</v>
      </c>
      <c r="J138" s="5">
        <v>47</v>
      </c>
    </row>
    <row r="139" spans="1:10" hidden="1" x14ac:dyDescent="0.3">
      <c r="A139" s="4" t="s">
        <v>308</v>
      </c>
      <c r="B139" s="2" t="s">
        <v>23</v>
      </c>
      <c r="C139" s="2" t="s">
        <v>36</v>
      </c>
      <c r="D139" s="2" t="s">
        <v>13</v>
      </c>
      <c r="E139" s="2">
        <v>18</v>
      </c>
      <c r="F139" s="2">
        <v>10</v>
      </c>
      <c r="G139" s="2" t="s">
        <v>43</v>
      </c>
      <c r="H139" s="2" t="s">
        <v>40</v>
      </c>
      <c r="I139" s="2" t="s">
        <v>309</v>
      </c>
      <c r="J139" s="5">
        <v>57</v>
      </c>
    </row>
    <row r="140" spans="1:10" hidden="1" x14ac:dyDescent="0.3">
      <c r="A140" s="4" t="s">
        <v>310</v>
      </c>
      <c r="B140" s="2" t="s">
        <v>29</v>
      </c>
      <c r="C140" s="2" t="s">
        <v>96</v>
      </c>
      <c r="D140" s="2" t="s">
        <v>31</v>
      </c>
      <c r="E140" s="2">
        <v>16</v>
      </c>
      <c r="F140" s="2">
        <v>9</v>
      </c>
      <c r="G140" s="2" t="s">
        <v>32</v>
      </c>
      <c r="H140" s="2" t="s">
        <v>46</v>
      </c>
      <c r="I140" s="2" t="s">
        <v>311</v>
      </c>
      <c r="J140" s="5">
        <v>67</v>
      </c>
    </row>
    <row r="141" spans="1:10" x14ac:dyDescent="0.3">
      <c r="A141" s="19" t="s">
        <v>312</v>
      </c>
      <c r="B141" s="15" t="s">
        <v>29</v>
      </c>
      <c r="C141" s="15" t="s">
        <v>12</v>
      </c>
      <c r="D141" s="59" t="s">
        <v>31</v>
      </c>
      <c r="E141" s="15">
        <v>14</v>
      </c>
      <c r="F141" s="59">
        <v>12</v>
      </c>
      <c r="G141" s="15" t="s">
        <v>43</v>
      </c>
      <c r="H141" s="15" t="s">
        <v>61</v>
      </c>
      <c r="I141" s="15" t="s">
        <v>313</v>
      </c>
      <c r="J141" s="20">
        <v>44</v>
      </c>
    </row>
    <row r="142" spans="1:10" hidden="1" x14ac:dyDescent="0.3">
      <c r="A142" s="4" t="s">
        <v>314</v>
      </c>
      <c r="B142" s="2" t="s">
        <v>68</v>
      </c>
      <c r="C142" s="2" t="s">
        <v>79</v>
      </c>
      <c r="D142" s="2" t="s">
        <v>13</v>
      </c>
      <c r="E142" s="2">
        <v>15</v>
      </c>
      <c r="F142" s="2">
        <v>11</v>
      </c>
      <c r="G142" s="2" t="s">
        <v>14</v>
      </c>
      <c r="H142" s="2" t="s">
        <v>46</v>
      </c>
      <c r="I142" s="2" t="s">
        <v>315</v>
      </c>
      <c r="J142" s="5">
        <v>35</v>
      </c>
    </row>
    <row r="143" spans="1:10" hidden="1" x14ac:dyDescent="0.3">
      <c r="A143" s="4" t="s">
        <v>316</v>
      </c>
      <c r="B143" s="2" t="s">
        <v>23</v>
      </c>
      <c r="C143" s="2" t="s">
        <v>36</v>
      </c>
      <c r="D143" s="2" t="s">
        <v>31</v>
      </c>
      <c r="E143" s="2">
        <v>20</v>
      </c>
      <c r="F143" s="2">
        <v>11</v>
      </c>
      <c r="G143" s="2" t="s">
        <v>14</v>
      </c>
      <c r="H143" s="2" t="s">
        <v>37</v>
      </c>
      <c r="I143" s="2" t="s">
        <v>317</v>
      </c>
      <c r="J143" s="5">
        <v>52</v>
      </c>
    </row>
    <row r="144" spans="1:10" hidden="1" x14ac:dyDescent="0.3">
      <c r="A144" s="4" t="s">
        <v>318</v>
      </c>
      <c r="B144" s="2" t="s">
        <v>54</v>
      </c>
      <c r="C144" s="2" t="s">
        <v>96</v>
      </c>
      <c r="D144" s="2" t="s">
        <v>13</v>
      </c>
      <c r="E144" s="2">
        <v>18</v>
      </c>
      <c r="F144" s="2">
        <v>9</v>
      </c>
      <c r="G144" s="2" t="s">
        <v>32</v>
      </c>
      <c r="H144" s="2" t="s">
        <v>76</v>
      </c>
      <c r="I144" s="2" t="s">
        <v>319</v>
      </c>
      <c r="J144" s="5">
        <v>86</v>
      </c>
    </row>
    <row r="145" spans="1:10" x14ac:dyDescent="0.3">
      <c r="A145" s="19" t="s">
        <v>320</v>
      </c>
      <c r="B145" s="15" t="s">
        <v>84</v>
      </c>
      <c r="C145" s="15" t="s">
        <v>55</v>
      </c>
      <c r="D145" s="59" t="s">
        <v>31</v>
      </c>
      <c r="E145" s="15">
        <v>16</v>
      </c>
      <c r="F145" s="59">
        <v>12</v>
      </c>
      <c r="G145" s="15" t="s">
        <v>32</v>
      </c>
      <c r="H145" s="15" t="s">
        <v>76</v>
      </c>
      <c r="I145" s="15" t="s">
        <v>321</v>
      </c>
      <c r="J145" s="20">
        <v>66</v>
      </c>
    </row>
    <row r="146" spans="1:10" hidden="1" x14ac:dyDescent="0.3">
      <c r="A146" s="4" t="s">
        <v>322</v>
      </c>
      <c r="B146" s="2" t="s">
        <v>35</v>
      </c>
      <c r="C146" s="2" t="s">
        <v>12</v>
      </c>
      <c r="D146" s="2" t="s">
        <v>13</v>
      </c>
      <c r="E146" s="2">
        <v>14</v>
      </c>
      <c r="F146" s="2">
        <v>11</v>
      </c>
      <c r="G146" s="2" t="s">
        <v>14</v>
      </c>
      <c r="H146" s="2" t="s">
        <v>26</v>
      </c>
      <c r="I146" s="2" t="s">
        <v>323</v>
      </c>
      <c r="J146" s="5">
        <v>93</v>
      </c>
    </row>
    <row r="147" spans="1:10" hidden="1" x14ac:dyDescent="0.3">
      <c r="A147" s="4" t="s">
        <v>324</v>
      </c>
      <c r="B147" s="2" t="s">
        <v>23</v>
      </c>
      <c r="C147" s="2" t="s">
        <v>85</v>
      </c>
      <c r="D147" s="2" t="s">
        <v>31</v>
      </c>
      <c r="E147" s="2">
        <v>16</v>
      </c>
      <c r="F147" s="2">
        <v>9</v>
      </c>
      <c r="G147" s="2" t="s">
        <v>32</v>
      </c>
      <c r="H147" s="2" t="s">
        <v>61</v>
      </c>
      <c r="I147" s="2" t="s">
        <v>325</v>
      </c>
      <c r="J147" s="5">
        <v>54</v>
      </c>
    </row>
    <row r="148" spans="1:10" hidden="1" x14ac:dyDescent="0.3">
      <c r="A148" s="4" t="s">
        <v>326</v>
      </c>
      <c r="B148" s="2" t="s">
        <v>54</v>
      </c>
      <c r="C148" s="2" t="s">
        <v>55</v>
      </c>
      <c r="D148" s="2" t="s">
        <v>13</v>
      </c>
      <c r="E148" s="2">
        <v>20</v>
      </c>
      <c r="F148" s="2">
        <v>9</v>
      </c>
      <c r="G148" s="2" t="s">
        <v>32</v>
      </c>
      <c r="H148" s="2" t="s">
        <v>15</v>
      </c>
      <c r="I148" s="2" t="s">
        <v>77</v>
      </c>
      <c r="J148" s="5">
        <v>75</v>
      </c>
    </row>
    <row r="149" spans="1:10" hidden="1" x14ac:dyDescent="0.3">
      <c r="A149" s="4" t="s">
        <v>327</v>
      </c>
      <c r="B149" s="2" t="s">
        <v>73</v>
      </c>
      <c r="C149" s="2" t="s">
        <v>96</v>
      </c>
      <c r="D149" s="2" t="s">
        <v>13</v>
      </c>
      <c r="E149" s="2">
        <v>20</v>
      </c>
      <c r="F149" s="2">
        <v>9</v>
      </c>
      <c r="G149" s="2" t="s">
        <v>32</v>
      </c>
      <c r="H149" s="2" t="s">
        <v>61</v>
      </c>
      <c r="I149" s="2" t="s">
        <v>328</v>
      </c>
      <c r="J149" s="5">
        <v>40</v>
      </c>
    </row>
    <row r="150" spans="1:10" hidden="1" x14ac:dyDescent="0.3">
      <c r="A150" s="4" t="s">
        <v>329</v>
      </c>
      <c r="B150" s="2" t="s">
        <v>11</v>
      </c>
      <c r="C150" s="2" t="s">
        <v>24</v>
      </c>
      <c r="D150" s="2" t="s">
        <v>31</v>
      </c>
      <c r="E150" s="2">
        <v>15</v>
      </c>
      <c r="F150" s="2">
        <v>9</v>
      </c>
      <c r="G150" s="2" t="s">
        <v>43</v>
      </c>
      <c r="H150" s="2" t="s">
        <v>61</v>
      </c>
      <c r="I150" s="2" t="s">
        <v>330</v>
      </c>
      <c r="J150" s="5">
        <v>83</v>
      </c>
    </row>
    <row r="151" spans="1:10" hidden="1" x14ac:dyDescent="0.3">
      <c r="A151" s="4" t="s">
        <v>331</v>
      </c>
      <c r="B151" s="2" t="s">
        <v>73</v>
      </c>
      <c r="C151" s="2" t="s">
        <v>30</v>
      </c>
      <c r="D151" s="2" t="s">
        <v>31</v>
      </c>
      <c r="E151" s="2">
        <v>19</v>
      </c>
      <c r="F151" s="2">
        <v>10</v>
      </c>
      <c r="G151" s="2" t="s">
        <v>43</v>
      </c>
      <c r="H151" s="2" t="s">
        <v>20</v>
      </c>
      <c r="I151" s="2" t="s">
        <v>191</v>
      </c>
      <c r="J151" s="5">
        <v>93</v>
      </c>
    </row>
    <row r="152" spans="1:10" hidden="1" x14ac:dyDescent="0.3">
      <c r="A152" s="4" t="s">
        <v>332</v>
      </c>
      <c r="B152" s="2" t="s">
        <v>29</v>
      </c>
      <c r="C152" s="2" t="s">
        <v>12</v>
      </c>
      <c r="D152" s="2" t="s">
        <v>31</v>
      </c>
      <c r="E152" s="2">
        <v>16</v>
      </c>
      <c r="F152" s="2">
        <v>11</v>
      </c>
      <c r="G152" s="2" t="s">
        <v>32</v>
      </c>
      <c r="H152" s="2" t="s">
        <v>76</v>
      </c>
      <c r="I152" s="2" t="s">
        <v>333</v>
      </c>
      <c r="J152" s="5">
        <v>42</v>
      </c>
    </row>
    <row r="153" spans="1:10" hidden="1" x14ac:dyDescent="0.3">
      <c r="A153" s="4" t="s">
        <v>334</v>
      </c>
      <c r="B153" s="2" t="s">
        <v>73</v>
      </c>
      <c r="C153" s="2" t="s">
        <v>12</v>
      </c>
      <c r="D153" s="2" t="s">
        <v>31</v>
      </c>
      <c r="E153" s="2">
        <v>18</v>
      </c>
      <c r="F153" s="2">
        <v>11</v>
      </c>
      <c r="G153" s="2" t="s">
        <v>32</v>
      </c>
      <c r="H153" s="2" t="s">
        <v>76</v>
      </c>
      <c r="I153" s="2" t="s">
        <v>335</v>
      </c>
      <c r="J153" s="5">
        <v>97</v>
      </c>
    </row>
    <row r="154" spans="1:10" x14ac:dyDescent="0.3">
      <c r="A154" s="19" t="s">
        <v>336</v>
      </c>
      <c r="B154" s="15" t="s">
        <v>11</v>
      </c>
      <c r="C154" s="15" t="s">
        <v>58</v>
      </c>
      <c r="D154" s="59" t="s">
        <v>31</v>
      </c>
      <c r="E154" s="15">
        <v>19</v>
      </c>
      <c r="F154" s="59">
        <v>12</v>
      </c>
      <c r="G154" s="15" t="s">
        <v>25</v>
      </c>
      <c r="H154" s="15" t="s">
        <v>61</v>
      </c>
      <c r="I154" s="15" t="s">
        <v>218</v>
      </c>
      <c r="J154" s="20">
        <v>68</v>
      </c>
    </row>
    <row r="155" spans="1:10" hidden="1" x14ac:dyDescent="0.3">
      <c r="A155" s="4" t="s">
        <v>337</v>
      </c>
      <c r="B155" s="2" t="s">
        <v>23</v>
      </c>
      <c r="C155" s="2" t="s">
        <v>30</v>
      </c>
      <c r="D155" s="2" t="s">
        <v>31</v>
      </c>
      <c r="E155" s="2">
        <v>19</v>
      </c>
      <c r="F155" s="2">
        <v>9</v>
      </c>
      <c r="G155" s="2" t="s">
        <v>32</v>
      </c>
      <c r="H155" s="2" t="s">
        <v>61</v>
      </c>
      <c r="I155" s="2" t="s">
        <v>338</v>
      </c>
      <c r="J155" s="5">
        <v>51</v>
      </c>
    </row>
    <row r="156" spans="1:10" hidden="1" x14ac:dyDescent="0.3">
      <c r="A156" s="4" t="s">
        <v>339</v>
      </c>
      <c r="B156" s="2" t="s">
        <v>23</v>
      </c>
      <c r="C156" s="2" t="s">
        <v>36</v>
      </c>
      <c r="D156" s="2" t="s">
        <v>13</v>
      </c>
      <c r="E156" s="2">
        <v>18</v>
      </c>
      <c r="F156" s="2">
        <v>9</v>
      </c>
      <c r="G156" s="2" t="s">
        <v>32</v>
      </c>
      <c r="H156" s="2" t="s">
        <v>37</v>
      </c>
      <c r="I156" s="2" t="s">
        <v>340</v>
      </c>
      <c r="J156" s="5">
        <v>64</v>
      </c>
    </row>
    <row r="157" spans="1:10" hidden="1" x14ac:dyDescent="0.3">
      <c r="A157" s="4" t="s">
        <v>341</v>
      </c>
      <c r="B157" s="2" t="s">
        <v>54</v>
      </c>
      <c r="C157" s="2" t="s">
        <v>55</v>
      </c>
      <c r="D157" s="2" t="s">
        <v>13</v>
      </c>
      <c r="E157" s="2">
        <v>14</v>
      </c>
      <c r="F157" s="2">
        <v>9</v>
      </c>
      <c r="G157" s="2" t="s">
        <v>25</v>
      </c>
      <c r="H157" s="2" t="s">
        <v>37</v>
      </c>
      <c r="I157" s="2" t="s">
        <v>342</v>
      </c>
      <c r="J157" s="5">
        <v>82</v>
      </c>
    </row>
    <row r="158" spans="1:10" hidden="1" x14ac:dyDescent="0.3">
      <c r="A158" s="4" t="s">
        <v>343</v>
      </c>
      <c r="B158" s="2" t="s">
        <v>68</v>
      </c>
      <c r="C158" s="2" t="s">
        <v>79</v>
      </c>
      <c r="D158" s="2" t="s">
        <v>13</v>
      </c>
      <c r="E158" s="2">
        <v>19</v>
      </c>
      <c r="F158" s="2">
        <v>11</v>
      </c>
      <c r="G158" s="2" t="s">
        <v>14</v>
      </c>
      <c r="H158" s="2" t="s">
        <v>40</v>
      </c>
      <c r="I158" s="2" t="s">
        <v>344</v>
      </c>
      <c r="J158" s="5">
        <v>35</v>
      </c>
    </row>
    <row r="159" spans="1:10" hidden="1" x14ac:dyDescent="0.3">
      <c r="A159" s="4" t="s">
        <v>345</v>
      </c>
      <c r="B159" s="2" t="s">
        <v>29</v>
      </c>
      <c r="C159" s="2" t="s">
        <v>24</v>
      </c>
      <c r="D159" s="2" t="s">
        <v>31</v>
      </c>
      <c r="E159" s="2">
        <v>15</v>
      </c>
      <c r="F159" s="2">
        <v>9</v>
      </c>
      <c r="G159" s="2" t="s">
        <v>14</v>
      </c>
      <c r="H159" s="2" t="s">
        <v>26</v>
      </c>
      <c r="I159" s="2" t="s">
        <v>346</v>
      </c>
      <c r="J159" s="5">
        <v>49</v>
      </c>
    </row>
    <row r="160" spans="1:10" hidden="1" x14ac:dyDescent="0.3">
      <c r="A160" s="4" t="s">
        <v>347</v>
      </c>
      <c r="B160" s="2" t="s">
        <v>23</v>
      </c>
      <c r="C160" s="2" t="s">
        <v>85</v>
      </c>
      <c r="D160" s="2" t="s">
        <v>31</v>
      </c>
      <c r="E160" s="2">
        <v>15</v>
      </c>
      <c r="F160" s="2">
        <v>11</v>
      </c>
      <c r="G160" s="2" t="s">
        <v>32</v>
      </c>
      <c r="H160" s="2" t="s">
        <v>26</v>
      </c>
      <c r="I160" s="2" t="s">
        <v>348</v>
      </c>
      <c r="J160" s="5">
        <v>37</v>
      </c>
    </row>
    <row r="161" spans="1:10" x14ac:dyDescent="0.3">
      <c r="A161" s="19" t="s">
        <v>349</v>
      </c>
      <c r="B161" s="15" t="s">
        <v>35</v>
      </c>
      <c r="C161" s="15" t="s">
        <v>30</v>
      </c>
      <c r="D161" s="59" t="s">
        <v>31</v>
      </c>
      <c r="E161" s="15">
        <v>18</v>
      </c>
      <c r="F161" s="59">
        <v>12</v>
      </c>
      <c r="G161" s="15" t="s">
        <v>43</v>
      </c>
      <c r="H161" s="15" t="s">
        <v>37</v>
      </c>
      <c r="I161" s="15" t="s">
        <v>350</v>
      </c>
      <c r="J161" s="20">
        <v>53</v>
      </c>
    </row>
    <row r="162" spans="1:10" hidden="1" x14ac:dyDescent="0.3">
      <c r="A162" s="4" t="s">
        <v>351</v>
      </c>
      <c r="B162" s="2" t="s">
        <v>68</v>
      </c>
      <c r="C162" s="2" t="s">
        <v>96</v>
      </c>
      <c r="D162" s="2" t="s">
        <v>13</v>
      </c>
      <c r="E162" s="2">
        <v>15</v>
      </c>
      <c r="F162" s="2">
        <v>10</v>
      </c>
      <c r="G162" s="2" t="s">
        <v>25</v>
      </c>
      <c r="H162" s="2" t="s">
        <v>20</v>
      </c>
      <c r="I162" s="2" t="s">
        <v>352</v>
      </c>
      <c r="J162" s="5">
        <v>50</v>
      </c>
    </row>
    <row r="163" spans="1:10" hidden="1" x14ac:dyDescent="0.3">
      <c r="A163" s="4" t="s">
        <v>353</v>
      </c>
      <c r="B163" s="2" t="s">
        <v>51</v>
      </c>
      <c r="C163" s="2" t="s">
        <v>55</v>
      </c>
      <c r="D163" s="2" t="s">
        <v>31</v>
      </c>
      <c r="E163" s="2">
        <v>20</v>
      </c>
      <c r="F163" s="2">
        <v>9</v>
      </c>
      <c r="G163" s="2" t="s">
        <v>25</v>
      </c>
      <c r="H163" s="2" t="s">
        <v>46</v>
      </c>
      <c r="I163" s="2" t="s">
        <v>354</v>
      </c>
      <c r="J163" s="5">
        <v>53</v>
      </c>
    </row>
    <row r="164" spans="1:10" hidden="1" x14ac:dyDescent="0.3">
      <c r="A164" s="4" t="s">
        <v>355</v>
      </c>
      <c r="B164" s="2" t="s">
        <v>68</v>
      </c>
      <c r="C164" s="2" t="s">
        <v>79</v>
      </c>
      <c r="D164" s="2" t="s">
        <v>13</v>
      </c>
      <c r="E164" s="2">
        <v>15</v>
      </c>
      <c r="F164" s="2">
        <v>12</v>
      </c>
      <c r="G164" s="2" t="s">
        <v>14</v>
      </c>
      <c r="H164" s="2" t="s">
        <v>20</v>
      </c>
      <c r="I164" s="2" t="s">
        <v>356</v>
      </c>
      <c r="J164" s="5">
        <v>37</v>
      </c>
    </row>
    <row r="165" spans="1:10" hidden="1" x14ac:dyDescent="0.3">
      <c r="A165" s="4" t="s">
        <v>357</v>
      </c>
      <c r="B165" s="2" t="s">
        <v>23</v>
      </c>
      <c r="C165" s="2" t="s">
        <v>24</v>
      </c>
      <c r="D165" s="2" t="s">
        <v>13</v>
      </c>
      <c r="E165" s="2">
        <v>16</v>
      </c>
      <c r="F165" s="2">
        <v>9</v>
      </c>
      <c r="G165" s="2" t="s">
        <v>25</v>
      </c>
      <c r="H165" s="2" t="s">
        <v>20</v>
      </c>
      <c r="I165" s="2" t="s">
        <v>358</v>
      </c>
      <c r="J165" s="5">
        <v>66</v>
      </c>
    </row>
    <row r="166" spans="1:10" hidden="1" x14ac:dyDescent="0.3">
      <c r="A166" s="4" t="s">
        <v>359</v>
      </c>
      <c r="B166" s="2" t="s">
        <v>68</v>
      </c>
      <c r="C166" s="2" t="s">
        <v>85</v>
      </c>
      <c r="D166" s="2" t="s">
        <v>13</v>
      </c>
      <c r="E166" s="2">
        <v>19</v>
      </c>
      <c r="F166" s="2">
        <v>11</v>
      </c>
      <c r="G166" s="2" t="s">
        <v>43</v>
      </c>
      <c r="H166" s="2" t="s">
        <v>76</v>
      </c>
      <c r="I166" s="2" t="s">
        <v>360</v>
      </c>
      <c r="J166" s="5">
        <v>64</v>
      </c>
    </row>
    <row r="167" spans="1:10" hidden="1" x14ac:dyDescent="0.3">
      <c r="A167" s="4" t="s">
        <v>361</v>
      </c>
      <c r="B167" s="2" t="s">
        <v>11</v>
      </c>
      <c r="C167" s="2" t="s">
        <v>30</v>
      </c>
      <c r="D167" s="2" t="s">
        <v>13</v>
      </c>
      <c r="E167" s="2">
        <v>20</v>
      </c>
      <c r="F167" s="2">
        <v>10</v>
      </c>
      <c r="G167" s="2" t="s">
        <v>32</v>
      </c>
      <c r="H167" s="2" t="s">
        <v>15</v>
      </c>
      <c r="I167" s="2" t="s">
        <v>362</v>
      </c>
      <c r="J167" s="5">
        <v>49</v>
      </c>
    </row>
    <row r="168" spans="1:10" hidden="1" x14ac:dyDescent="0.3">
      <c r="A168" s="4" t="s">
        <v>363</v>
      </c>
      <c r="B168" s="2" t="s">
        <v>11</v>
      </c>
      <c r="C168" s="2" t="s">
        <v>85</v>
      </c>
      <c r="D168" s="2" t="s">
        <v>31</v>
      </c>
      <c r="E168" s="2">
        <v>15</v>
      </c>
      <c r="F168" s="2">
        <v>10</v>
      </c>
      <c r="G168" s="2" t="s">
        <v>14</v>
      </c>
      <c r="H168" s="2" t="s">
        <v>37</v>
      </c>
      <c r="I168" s="2" t="s">
        <v>364</v>
      </c>
      <c r="J168" s="5">
        <v>71</v>
      </c>
    </row>
    <row r="169" spans="1:10" hidden="1" x14ac:dyDescent="0.3">
      <c r="A169" s="4" t="s">
        <v>365</v>
      </c>
      <c r="B169" s="2" t="s">
        <v>11</v>
      </c>
      <c r="C169" s="2" t="s">
        <v>55</v>
      </c>
      <c r="D169" s="2" t="s">
        <v>13</v>
      </c>
      <c r="E169" s="2">
        <v>16</v>
      </c>
      <c r="F169" s="2">
        <v>10</v>
      </c>
      <c r="G169" s="2" t="s">
        <v>32</v>
      </c>
      <c r="H169" s="2" t="s">
        <v>15</v>
      </c>
      <c r="I169" s="2" t="s">
        <v>366</v>
      </c>
      <c r="J169" s="5">
        <v>72</v>
      </c>
    </row>
    <row r="170" spans="1:10" hidden="1" x14ac:dyDescent="0.3">
      <c r="A170" s="4" t="s">
        <v>367</v>
      </c>
      <c r="B170" s="2" t="s">
        <v>35</v>
      </c>
      <c r="C170" s="2" t="s">
        <v>12</v>
      </c>
      <c r="D170" s="2" t="s">
        <v>31</v>
      </c>
      <c r="E170" s="2">
        <v>15</v>
      </c>
      <c r="F170" s="2">
        <v>10</v>
      </c>
      <c r="G170" s="2" t="s">
        <v>32</v>
      </c>
      <c r="H170" s="2" t="s">
        <v>20</v>
      </c>
      <c r="I170" s="2" t="s">
        <v>368</v>
      </c>
      <c r="J170" s="5">
        <v>99</v>
      </c>
    </row>
    <row r="171" spans="1:10" x14ac:dyDescent="0.3">
      <c r="A171" s="19" t="s">
        <v>369</v>
      </c>
      <c r="B171" s="15" t="s">
        <v>23</v>
      </c>
      <c r="C171" s="15" t="s">
        <v>24</v>
      </c>
      <c r="D171" s="59" t="s">
        <v>31</v>
      </c>
      <c r="E171" s="15">
        <v>17</v>
      </c>
      <c r="F171" s="59">
        <v>12</v>
      </c>
      <c r="G171" s="15" t="s">
        <v>43</v>
      </c>
      <c r="H171" s="15" t="s">
        <v>61</v>
      </c>
      <c r="I171" s="15" t="s">
        <v>370</v>
      </c>
      <c r="J171" s="20">
        <v>96</v>
      </c>
    </row>
    <row r="172" spans="1:10" hidden="1" x14ac:dyDescent="0.3">
      <c r="A172" s="4" t="s">
        <v>371</v>
      </c>
      <c r="B172" s="2" t="s">
        <v>35</v>
      </c>
      <c r="C172" s="2" t="s">
        <v>58</v>
      </c>
      <c r="D172" s="2" t="s">
        <v>31</v>
      </c>
      <c r="E172" s="2">
        <v>19</v>
      </c>
      <c r="F172" s="2">
        <v>9</v>
      </c>
      <c r="G172" s="2" t="s">
        <v>14</v>
      </c>
      <c r="H172" s="2" t="s">
        <v>20</v>
      </c>
      <c r="I172" s="2" t="s">
        <v>372</v>
      </c>
      <c r="J172" s="5">
        <v>87</v>
      </c>
    </row>
    <row r="173" spans="1:10" hidden="1" x14ac:dyDescent="0.3">
      <c r="A173" s="4" t="s">
        <v>373</v>
      </c>
      <c r="B173" s="2" t="s">
        <v>51</v>
      </c>
      <c r="C173" s="2" t="s">
        <v>19</v>
      </c>
      <c r="D173" s="2" t="s">
        <v>13</v>
      </c>
      <c r="E173" s="2">
        <v>15</v>
      </c>
      <c r="F173" s="2">
        <v>11</v>
      </c>
      <c r="G173" s="2" t="s">
        <v>14</v>
      </c>
      <c r="H173" s="2" t="s">
        <v>61</v>
      </c>
      <c r="I173" s="2" t="s">
        <v>374</v>
      </c>
      <c r="J173" s="5">
        <v>78</v>
      </c>
    </row>
    <row r="174" spans="1:10" hidden="1" x14ac:dyDescent="0.3">
      <c r="A174" s="4" t="s">
        <v>375</v>
      </c>
      <c r="B174" s="2" t="s">
        <v>35</v>
      </c>
      <c r="C174" s="2" t="s">
        <v>36</v>
      </c>
      <c r="D174" s="2" t="s">
        <v>13</v>
      </c>
      <c r="E174" s="2">
        <v>18</v>
      </c>
      <c r="F174" s="2">
        <v>11</v>
      </c>
      <c r="G174" s="2" t="s">
        <v>25</v>
      </c>
      <c r="H174" s="2" t="s">
        <v>40</v>
      </c>
      <c r="I174" s="2" t="s">
        <v>376</v>
      </c>
      <c r="J174" s="5">
        <v>62</v>
      </c>
    </row>
    <row r="175" spans="1:10" hidden="1" x14ac:dyDescent="0.3">
      <c r="A175" s="4" t="s">
        <v>377</v>
      </c>
      <c r="B175" s="2" t="s">
        <v>35</v>
      </c>
      <c r="C175" s="2" t="s">
        <v>30</v>
      </c>
      <c r="D175" s="2" t="s">
        <v>13</v>
      </c>
      <c r="E175" s="2">
        <v>20</v>
      </c>
      <c r="F175" s="2">
        <v>11</v>
      </c>
      <c r="G175" s="2" t="s">
        <v>32</v>
      </c>
      <c r="H175" s="2" t="s">
        <v>37</v>
      </c>
      <c r="I175" s="2" t="s">
        <v>189</v>
      </c>
      <c r="J175" s="5">
        <v>79</v>
      </c>
    </row>
    <row r="176" spans="1:10" hidden="1" x14ac:dyDescent="0.3">
      <c r="A176" s="4" t="s">
        <v>378</v>
      </c>
      <c r="B176" s="2" t="s">
        <v>18</v>
      </c>
      <c r="C176" s="2" t="s">
        <v>55</v>
      </c>
      <c r="D176" s="2" t="s">
        <v>31</v>
      </c>
      <c r="E176" s="2">
        <v>17</v>
      </c>
      <c r="F176" s="2">
        <v>9</v>
      </c>
      <c r="G176" s="2" t="s">
        <v>32</v>
      </c>
      <c r="H176" s="2" t="s">
        <v>26</v>
      </c>
      <c r="I176" s="2" t="s">
        <v>379</v>
      </c>
      <c r="J176" s="5">
        <v>66</v>
      </c>
    </row>
    <row r="177" spans="1:10" hidden="1" x14ac:dyDescent="0.3">
      <c r="A177" s="4" t="s">
        <v>380</v>
      </c>
      <c r="B177" s="2" t="s">
        <v>11</v>
      </c>
      <c r="C177" s="2" t="s">
        <v>24</v>
      </c>
      <c r="D177" s="2" t="s">
        <v>31</v>
      </c>
      <c r="E177" s="2">
        <v>18</v>
      </c>
      <c r="F177" s="2">
        <v>11</v>
      </c>
      <c r="G177" s="2" t="s">
        <v>32</v>
      </c>
      <c r="H177" s="2" t="s">
        <v>61</v>
      </c>
      <c r="I177" s="2" t="s">
        <v>381</v>
      </c>
      <c r="J177" s="5">
        <v>67</v>
      </c>
    </row>
    <row r="178" spans="1:10" hidden="1" x14ac:dyDescent="0.3">
      <c r="A178" s="4" t="s">
        <v>382</v>
      </c>
      <c r="B178" s="2" t="s">
        <v>51</v>
      </c>
      <c r="C178" s="2" t="s">
        <v>85</v>
      </c>
      <c r="D178" s="2" t="s">
        <v>13</v>
      </c>
      <c r="E178" s="2">
        <v>16</v>
      </c>
      <c r="F178" s="2">
        <v>10</v>
      </c>
      <c r="G178" s="2" t="s">
        <v>43</v>
      </c>
      <c r="H178" s="2" t="s">
        <v>61</v>
      </c>
      <c r="I178" s="2" t="s">
        <v>383</v>
      </c>
      <c r="J178" s="5">
        <v>72</v>
      </c>
    </row>
    <row r="179" spans="1:10" x14ac:dyDescent="0.3">
      <c r="A179" s="19" t="s">
        <v>384</v>
      </c>
      <c r="B179" s="15" t="s">
        <v>54</v>
      </c>
      <c r="C179" s="15" t="s">
        <v>19</v>
      </c>
      <c r="D179" s="59" t="s">
        <v>31</v>
      </c>
      <c r="E179" s="15">
        <v>16</v>
      </c>
      <c r="F179" s="59">
        <v>12</v>
      </c>
      <c r="G179" s="15" t="s">
        <v>25</v>
      </c>
      <c r="H179" s="15" t="s">
        <v>20</v>
      </c>
      <c r="I179" s="15" t="s">
        <v>385</v>
      </c>
      <c r="J179" s="20">
        <v>39</v>
      </c>
    </row>
    <row r="180" spans="1:10" hidden="1" x14ac:dyDescent="0.3">
      <c r="A180" s="4" t="s">
        <v>386</v>
      </c>
      <c r="B180" s="2" t="s">
        <v>68</v>
      </c>
      <c r="C180" s="2" t="s">
        <v>96</v>
      </c>
      <c r="D180" s="2" t="s">
        <v>13</v>
      </c>
      <c r="E180" s="2">
        <v>18</v>
      </c>
      <c r="F180" s="2">
        <v>9</v>
      </c>
      <c r="G180" s="2" t="s">
        <v>25</v>
      </c>
      <c r="H180" s="2" t="s">
        <v>46</v>
      </c>
      <c r="I180" s="2" t="s">
        <v>387</v>
      </c>
      <c r="J180" s="5">
        <v>74</v>
      </c>
    </row>
    <row r="181" spans="1:10" hidden="1" x14ac:dyDescent="0.3">
      <c r="A181" s="4" t="s">
        <v>388</v>
      </c>
      <c r="B181" s="2" t="s">
        <v>73</v>
      </c>
      <c r="C181" s="2" t="s">
        <v>12</v>
      </c>
      <c r="D181" s="2" t="s">
        <v>31</v>
      </c>
      <c r="E181" s="2">
        <v>19</v>
      </c>
      <c r="F181" s="2">
        <v>11</v>
      </c>
      <c r="G181" s="2" t="s">
        <v>43</v>
      </c>
      <c r="H181" s="2" t="s">
        <v>61</v>
      </c>
      <c r="I181" s="2" t="s">
        <v>214</v>
      </c>
      <c r="J181" s="5">
        <v>88</v>
      </c>
    </row>
    <row r="182" spans="1:10" hidden="1" x14ac:dyDescent="0.3">
      <c r="A182" s="4" t="s">
        <v>389</v>
      </c>
      <c r="B182" s="2" t="s">
        <v>54</v>
      </c>
      <c r="C182" s="2" t="s">
        <v>58</v>
      </c>
      <c r="D182" s="2" t="s">
        <v>31</v>
      </c>
      <c r="E182" s="2">
        <v>14</v>
      </c>
      <c r="F182" s="2">
        <v>11</v>
      </c>
      <c r="G182" s="2" t="s">
        <v>32</v>
      </c>
      <c r="H182" s="2" t="s">
        <v>76</v>
      </c>
      <c r="I182" s="2" t="s">
        <v>390</v>
      </c>
      <c r="J182" s="5">
        <v>54</v>
      </c>
    </row>
    <row r="183" spans="1:10" hidden="1" x14ac:dyDescent="0.3">
      <c r="A183" s="4" t="s">
        <v>391</v>
      </c>
      <c r="B183" s="2" t="s">
        <v>68</v>
      </c>
      <c r="C183" s="2" t="s">
        <v>19</v>
      </c>
      <c r="D183" s="2" t="s">
        <v>13</v>
      </c>
      <c r="E183" s="2">
        <v>19</v>
      </c>
      <c r="F183" s="2">
        <v>12</v>
      </c>
      <c r="G183" s="2" t="s">
        <v>25</v>
      </c>
      <c r="H183" s="2" t="s">
        <v>46</v>
      </c>
      <c r="I183" s="2" t="s">
        <v>392</v>
      </c>
      <c r="J183" s="5">
        <v>46</v>
      </c>
    </row>
    <row r="184" spans="1:10" hidden="1" x14ac:dyDescent="0.3">
      <c r="A184" s="4" t="s">
        <v>393</v>
      </c>
      <c r="B184" s="2" t="s">
        <v>68</v>
      </c>
      <c r="C184" s="2" t="s">
        <v>85</v>
      </c>
      <c r="D184" s="2" t="s">
        <v>13</v>
      </c>
      <c r="E184" s="2">
        <v>15</v>
      </c>
      <c r="F184" s="2">
        <v>10</v>
      </c>
      <c r="G184" s="2" t="s">
        <v>32</v>
      </c>
      <c r="H184" s="2" t="s">
        <v>37</v>
      </c>
      <c r="I184" s="2" t="s">
        <v>394</v>
      </c>
      <c r="J184" s="5">
        <v>89</v>
      </c>
    </row>
    <row r="185" spans="1:10" hidden="1" x14ac:dyDescent="0.3">
      <c r="A185" s="4" t="s">
        <v>395</v>
      </c>
      <c r="B185" s="2" t="s">
        <v>11</v>
      </c>
      <c r="C185" s="2" t="s">
        <v>96</v>
      </c>
      <c r="D185" s="2" t="s">
        <v>13</v>
      </c>
      <c r="E185" s="2">
        <v>18</v>
      </c>
      <c r="F185" s="2">
        <v>11</v>
      </c>
      <c r="G185" s="2" t="s">
        <v>25</v>
      </c>
      <c r="H185" s="2" t="s">
        <v>37</v>
      </c>
      <c r="I185" s="2" t="s">
        <v>396</v>
      </c>
      <c r="J185" s="5">
        <v>65</v>
      </c>
    </row>
    <row r="186" spans="1:10" hidden="1" x14ac:dyDescent="0.3">
      <c r="A186" s="4" t="s">
        <v>397</v>
      </c>
      <c r="B186" s="2" t="s">
        <v>23</v>
      </c>
      <c r="C186" s="2" t="s">
        <v>12</v>
      </c>
      <c r="D186" s="2" t="s">
        <v>13</v>
      </c>
      <c r="E186" s="2">
        <v>20</v>
      </c>
      <c r="F186" s="2">
        <v>9</v>
      </c>
      <c r="G186" s="2" t="s">
        <v>25</v>
      </c>
      <c r="H186" s="2" t="s">
        <v>46</v>
      </c>
      <c r="I186" s="2" t="s">
        <v>398</v>
      </c>
      <c r="J186" s="5">
        <v>91</v>
      </c>
    </row>
    <row r="187" spans="1:10" hidden="1" x14ac:dyDescent="0.3">
      <c r="A187" s="4" t="s">
        <v>399</v>
      </c>
      <c r="B187" s="2" t="s">
        <v>35</v>
      </c>
      <c r="C187" s="2" t="s">
        <v>79</v>
      </c>
      <c r="D187" s="2" t="s">
        <v>13</v>
      </c>
      <c r="E187" s="2">
        <v>17</v>
      </c>
      <c r="F187" s="2">
        <v>10</v>
      </c>
      <c r="G187" s="2" t="s">
        <v>43</v>
      </c>
      <c r="H187" s="2" t="s">
        <v>37</v>
      </c>
      <c r="I187" s="2" t="s">
        <v>400</v>
      </c>
      <c r="J187" s="5">
        <v>78</v>
      </c>
    </row>
    <row r="188" spans="1:10" hidden="1" x14ac:dyDescent="0.3">
      <c r="A188" s="4" t="s">
        <v>401</v>
      </c>
      <c r="B188" s="2" t="s">
        <v>11</v>
      </c>
      <c r="C188" s="2" t="s">
        <v>79</v>
      </c>
      <c r="D188" s="2" t="s">
        <v>31</v>
      </c>
      <c r="E188" s="2">
        <v>15</v>
      </c>
      <c r="F188" s="2">
        <v>11</v>
      </c>
      <c r="G188" s="2" t="s">
        <v>43</v>
      </c>
      <c r="H188" s="2" t="s">
        <v>40</v>
      </c>
      <c r="I188" s="2" t="s">
        <v>402</v>
      </c>
      <c r="J188" s="5">
        <v>84</v>
      </c>
    </row>
    <row r="189" spans="1:10" hidden="1" x14ac:dyDescent="0.3">
      <c r="A189" s="4" t="s">
        <v>403</v>
      </c>
      <c r="B189" s="2" t="s">
        <v>11</v>
      </c>
      <c r="C189" s="2" t="s">
        <v>12</v>
      </c>
      <c r="D189" s="2" t="s">
        <v>31</v>
      </c>
      <c r="E189" s="2">
        <v>19</v>
      </c>
      <c r="F189" s="2">
        <v>9</v>
      </c>
      <c r="G189" s="2" t="s">
        <v>43</v>
      </c>
      <c r="H189" s="2" t="s">
        <v>46</v>
      </c>
      <c r="I189" s="2" t="s">
        <v>404</v>
      </c>
      <c r="J189" s="5">
        <v>37</v>
      </c>
    </row>
    <row r="190" spans="1:10" x14ac:dyDescent="0.3">
      <c r="A190" s="19" t="s">
        <v>405</v>
      </c>
      <c r="B190" s="15" t="s">
        <v>18</v>
      </c>
      <c r="C190" s="15" t="s">
        <v>19</v>
      </c>
      <c r="D190" s="59" t="s">
        <v>31</v>
      </c>
      <c r="E190" s="15">
        <v>18</v>
      </c>
      <c r="F190" s="59">
        <v>12</v>
      </c>
      <c r="G190" s="15" t="s">
        <v>25</v>
      </c>
      <c r="H190" s="15" t="s">
        <v>37</v>
      </c>
      <c r="I190" s="15" t="s">
        <v>406</v>
      </c>
      <c r="J190" s="20">
        <v>70</v>
      </c>
    </row>
    <row r="191" spans="1:10" hidden="1" x14ac:dyDescent="0.3">
      <c r="A191" s="4" t="s">
        <v>407</v>
      </c>
      <c r="B191" s="2" t="s">
        <v>29</v>
      </c>
      <c r="C191" s="2" t="s">
        <v>12</v>
      </c>
      <c r="D191" s="2" t="s">
        <v>31</v>
      </c>
      <c r="E191" s="2">
        <v>16</v>
      </c>
      <c r="F191" s="2">
        <v>10</v>
      </c>
      <c r="G191" s="2" t="s">
        <v>14</v>
      </c>
      <c r="H191" s="2" t="s">
        <v>40</v>
      </c>
      <c r="I191" s="2" t="s">
        <v>71</v>
      </c>
      <c r="J191" s="5">
        <v>100</v>
      </c>
    </row>
    <row r="192" spans="1:10" hidden="1" x14ac:dyDescent="0.3">
      <c r="A192" s="4" t="s">
        <v>408</v>
      </c>
      <c r="B192" s="2" t="s">
        <v>51</v>
      </c>
      <c r="C192" s="2" t="s">
        <v>85</v>
      </c>
      <c r="D192" s="2" t="s">
        <v>13</v>
      </c>
      <c r="E192" s="2">
        <v>17</v>
      </c>
      <c r="F192" s="2">
        <v>11</v>
      </c>
      <c r="G192" s="2" t="s">
        <v>25</v>
      </c>
      <c r="H192" s="2" t="s">
        <v>46</v>
      </c>
      <c r="I192" s="2" t="s">
        <v>52</v>
      </c>
      <c r="J192" s="5">
        <v>42</v>
      </c>
    </row>
    <row r="193" spans="1:10" hidden="1" x14ac:dyDescent="0.3">
      <c r="A193" s="4" t="s">
        <v>409</v>
      </c>
      <c r="B193" s="2" t="s">
        <v>84</v>
      </c>
      <c r="C193" s="2" t="s">
        <v>24</v>
      </c>
      <c r="D193" s="2" t="s">
        <v>13</v>
      </c>
      <c r="E193" s="2">
        <v>20</v>
      </c>
      <c r="F193" s="2">
        <v>9</v>
      </c>
      <c r="G193" s="2" t="s">
        <v>25</v>
      </c>
      <c r="H193" s="2" t="s">
        <v>46</v>
      </c>
      <c r="I193" s="2" t="s">
        <v>290</v>
      </c>
      <c r="J193" s="5">
        <v>68</v>
      </c>
    </row>
    <row r="194" spans="1:10" hidden="1" x14ac:dyDescent="0.3">
      <c r="A194" s="4" t="s">
        <v>410</v>
      </c>
      <c r="B194" s="2" t="s">
        <v>18</v>
      </c>
      <c r="C194" s="2" t="s">
        <v>55</v>
      </c>
      <c r="D194" s="2" t="s">
        <v>31</v>
      </c>
      <c r="E194" s="2">
        <v>20</v>
      </c>
      <c r="F194" s="2">
        <v>10</v>
      </c>
      <c r="G194" s="2" t="s">
        <v>43</v>
      </c>
      <c r="H194" s="2" t="s">
        <v>40</v>
      </c>
      <c r="I194" s="2" t="s">
        <v>411</v>
      </c>
      <c r="J194" s="5">
        <v>59</v>
      </c>
    </row>
    <row r="195" spans="1:10" hidden="1" x14ac:dyDescent="0.3">
      <c r="A195" s="4" t="s">
        <v>412</v>
      </c>
      <c r="B195" s="2" t="s">
        <v>73</v>
      </c>
      <c r="C195" s="2" t="s">
        <v>55</v>
      </c>
      <c r="D195" s="2" t="s">
        <v>13</v>
      </c>
      <c r="E195" s="2">
        <v>16</v>
      </c>
      <c r="F195" s="2">
        <v>12</v>
      </c>
      <c r="G195" s="2" t="s">
        <v>32</v>
      </c>
      <c r="H195" s="2" t="s">
        <v>46</v>
      </c>
      <c r="I195" s="2" t="s">
        <v>413</v>
      </c>
      <c r="J195" s="5">
        <v>85</v>
      </c>
    </row>
    <row r="196" spans="1:10" hidden="1" x14ac:dyDescent="0.3">
      <c r="A196" s="4" t="s">
        <v>414</v>
      </c>
      <c r="B196" s="2" t="s">
        <v>11</v>
      </c>
      <c r="C196" s="2" t="s">
        <v>55</v>
      </c>
      <c r="D196" s="2" t="s">
        <v>13</v>
      </c>
      <c r="E196" s="2">
        <v>16</v>
      </c>
      <c r="F196" s="2">
        <v>12</v>
      </c>
      <c r="G196" s="2" t="s">
        <v>32</v>
      </c>
      <c r="H196" s="2" t="s">
        <v>37</v>
      </c>
      <c r="I196" s="2" t="s">
        <v>415</v>
      </c>
      <c r="J196" s="5">
        <v>47</v>
      </c>
    </row>
    <row r="197" spans="1:10" hidden="1" x14ac:dyDescent="0.3">
      <c r="A197" s="4" t="s">
        <v>416</v>
      </c>
      <c r="B197" s="2" t="s">
        <v>18</v>
      </c>
      <c r="C197" s="2" t="s">
        <v>79</v>
      </c>
      <c r="D197" s="2" t="s">
        <v>31</v>
      </c>
      <c r="E197" s="2">
        <v>20</v>
      </c>
      <c r="F197" s="2">
        <v>9</v>
      </c>
      <c r="G197" s="2" t="s">
        <v>25</v>
      </c>
      <c r="H197" s="2" t="s">
        <v>37</v>
      </c>
      <c r="I197" s="2" t="s">
        <v>417</v>
      </c>
      <c r="J197" s="5">
        <v>53</v>
      </c>
    </row>
    <row r="198" spans="1:10" hidden="1" x14ac:dyDescent="0.3">
      <c r="A198" s="4" t="s">
        <v>418</v>
      </c>
      <c r="B198" s="2" t="s">
        <v>84</v>
      </c>
      <c r="C198" s="2" t="s">
        <v>24</v>
      </c>
      <c r="D198" s="2" t="s">
        <v>13</v>
      </c>
      <c r="E198" s="2">
        <v>15</v>
      </c>
      <c r="F198" s="2">
        <v>9</v>
      </c>
      <c r="G198" s="2" t="s">
        <v>25</v>
      </c>
      <c r="H198" s="2" t="s">
        <v>20</v>
      </c>
      <c r="I198" s="2" t="s">
        <v>419</v>
      </c>
      <c r="J198" s="5">
        <v>63</v>
      </c>
    </row>
    <row r="199" spans="1:10" hidden="1" x14ac:dyDescent="0.3">
      <c r="A199" s="4" t="s">
        <v>420</v>
      </c>
      <c r="B199" s="2" t="s">
        <v>73</v>
      </c>
      <c r="C199" s="2" t="s">
        <v>85</v>
      </c>
      <c r="D199" s="2" t="s">
        <v>13</v>
      </c>
      <c r="E199" s="2">
        <v>16</v>
      </c>
      <c r="F199" s="2">
        <v>11</v>
      </c>
      <c r="G199" s="2" t="s">
        <v>43</v>
      </c>
      <c r="H199" s="2" t="s">
        <v>46</v>
      </c>
      <c r="I199" s="2" t="s">
        <v>421</v>
      </c>
      <c r="J199" s="5">
        <v>55</v>
      </c>
    </row>
    <row r="200" spans="1:10" hidden="1" x14ac:dyDescent="0.3">
      <c r="A200" s="4" t="s">
        <v>422</v>
      </c>
      <c r="B200" s="2" t="s">
        <v>73</v>
      </c>
      <c r="C200" s="2" t="s">
        <v>96</v>
      </c>
      <c r="D200" s="2" t="s">
        <v>13</v>
      </c>
      <c r="E200" s="2">
        <v>14</v>
      </c>
      <c r="F200" s="2">
        <v>10</v>
      </c>
      <c r="G200" s="2" t="s">
        <v>25</v>
      </c>
      <c r="H200" s="2" t="s">
        <v>15</v>
      </c>
      <c r="I200" s="2" t="s">
        <v>423</v>
      </c>
      <c r="J200" s="5">
        <v>99</v>
      </c>
    </row>
    <row r="201" spans="1:10" x14ac:dyDescent="0.3">
      <c r="A201" s="19" t="s">
        <v>424</v>
      </c>
      <c r="B201" s="15" t="s">
        <v>29</v>
      </c>
      <c r="C201" s="15" t="s">
        <v>36</v>
      </c>
      <c r="D201" s="59" t="s">
        <v>31</v>
      </c>
      <c r="E201" s="15">
        <v>16</v>
      </c>
      <c r="F201" s="59">
        <v>12</v>
      </c>
      <c r="G201" s="15" t="s">
        <v>32</v>
      </c>
      <c r="H201" s="15" t="s">
        <v>37</v>
      </c>
      <c r="I201" s="15" t="s">
        <v>180</v>
      </c>
      <c r="J201" s="20">
        <v>89</v>
      </c>
    </row>
    <row r="202" spans="1:10" hidden="1" x14ac:dyDescent="0.3">
      <c r="A202" s="4" t="s">
        <v>425</v>
      </c>
      <c r="B202" s="2" t="s">
        <v>73</v>
      </c>
      <c r="C202" s="2" t="s">
        <v>30</v>
      </c>
      <c r="D202" s="2" t="s">
        <v>31</v>
      </c>
      <c r="E202" s="2">
        <v>15</v>
      </c>
      <c r="F202" s="2">
        <v>9</v>
      </c>
      <c r="G202" s="2" t="s">
        <v>14</v>
      </c>
      <c r="H202" s="2" t="s">
        <v>76</v>
      </c>
      <c r="I202" s="2" t="s">
        <v>149</v>
      </c>
      <c r="J202" s="5">
        <v>54</v>
      </c>
    </row>
    <row r="203" spans="1:10" x14ac:dyDescent="0.3">
      <c r="A203" s="19" t="s">
        <v>426</v>
      </c>
      <c r="B203" s="15" t="s">
        <v>54</v>
      </c>
      <c r="C203" s="15" t="s">
        <v>96</v>
      </c>
      <c r="D203" s="59" t="s">
        <v>31</v>
      </c>
      <c r="E203" s="15">
        <v>16</v>
      </c>
      <c r="F203" s="59">
        <v>12</v>
      </c>
      <c r="G203" s="15" t="s">
        <v>25</v>
      </c>
      <c r="H203" s="15" t="s">
        <v>20</v>
      </c>
      <c r="I203" s="15" t="s">
        <v>427</v>
      </c>
      <c r="J203" s="20">
        <v>82</v>
      </c>
    </row>
    <row r="204" spans="1:10" hidden="1" x14ac:dyDescent="0.3">
      <c r="A204" s="4" t="s">
        <v>428</v>
      </c>
      <c r="B204" s="2" t="s">
        <v>54</v>
      </c>
      <c r="C204" s="2" t="s">
        <v>55</v>
      </c>
      <c r="D204" s="2" t="s">
        <v>13</v>
      </c>
      <c r="E204" s="2">
        <v>16</v>
      </c>
      <c r="F204" s="2">
        <v>11</v>
      </c>
      <c r="G204" s="2" t="s">
        <v>25</v>
      </c>
      <c r="H204" s="2" t="s">
        <v>15</v>
      </c>
      <c r="I204" s="2" t="s">
        <v>429</v>
      </c>
      <c r="J204" s="5">
        <v>86</v>
      </c>
    </row>
    <row r="205" spans="1:10" hidden="1" x14ac:dyDescent="0.3">
      <c r="A205" s="4" t="s">
        <v>430</v>
      </c>
      <c r="B205" s="2" t="s">
        <v>54</v>
      </c>
      <c r="C205" s="2" t="s">
        <v>30</v>
      </c>
      <c r="D205" s="2" t="s">
        <v>13</v>
      </c>
      <c r="E205" s="2">
        <v>18</v>
      </c>
      <c r="F205" s="2">
        <v>11</v>
      </c>
      <c r="G205" s="2" t="s">
        <v>25</v>
      </c>
      <c r="H205" s="2" t="s">
        <v>26</v>
      </c>
      <c r="I205" s="2" t="s">
        <v>431</v>
      </c>
      <c r="J205" s="5">
        <v>91</v>
      </c>
    </row>
    <row r="206" spans="1:10" hidden="1" x14ac:dyDescent="0.3">
      <c r="A206" s="4" t="s">
        <v>432</v>
      </c>
      <c r="B206" s="2" t="s">
        <v>51</v>
      </c>
      <c r="C206" s="2" t="s">
        <v>24</v>
      </c>
      <c r="D206" s="2" t="s">
        <v>31</v>
      </c>
      <c r="E206" s="2">
        <v>17</v>
      </c>
      <c r="F206" s="2">
        <v>11</v>
      </c>
      <c r="G206" s="2" t="s">
        <v>43</v>
      </c>
      <c r="H206" s="2" t="s">
        <v>15</v>
      </c>
      <c r="I206" s="2" t="s">
        <v>400</v>
      </c>
      <c r="J206" s="5">
        <v>53</v>
      </c>
    </row>
    <row r="207" spans="1:10" hidden="1" x14ac:dyDescent="0.3">
      <c r="A207" s="4" t="s">
        <v>433</v>
      </c>
      <c r="B207" s="2" t="s">
        <v>84</v>
      </c>
      <c r="C207" s="2" t="s">
        <v>36</v>
      </c>
      <c r="D207" s="2" t="s">
        <v>13</v>
      </c>
      <c r="E207" s="2">
        <v>14</v>
      </c>
      <c r="F207" s="2">
        <v>9</v>
      </c>
      <c r="G207" s="2" t="s">
        <v>32</v>
      </c>
      <c r="H207" s="2" t="s">
        <v>15</v>
      </c>
      <c r="I207" s="2" t="s">
        <v>434</v>
      </c>
      <c r="J207" s="5">
        <v>47</v>
      </c>
    </row>
    <row r="208" spans="1:10" x14ac:dyDescent="0.3">
      <c r="A208" s="19" t="s">
        <v>435</v>
      </c>
      <c r="B208" s="15" t="s">
        <v>29</v>
      </c>
      <c r="C208" s="15" t="s">
        <v>30</v>
      </c>
      <c r="D208" s="59" t="s">
        <v>31</v>
      </c>
      <c r="E208" s="15">
        <v>20</v>
      </c>
      <c r="F208" s="59">
        <v>12</v>
      </c>
      <c r="G208" s="15" t="s">
        <v>43</v>
      </c>
      <c r="H208" s="15" t="s">
        <v>26</v>
      </c>
      <c r="I208" s="15" t="s">
        <v>436</v>
      </c>
      <c r="J208" s="20">
        <v>36</v>
      </c>
    </row>
    <row r="209" spans="1:10" hidden="1" x14ac:dyDescent="0.3">
      <c r="A209" s="4" t="s">
        <v>437</v>
      </c>
      <c r="B209" s="2" t="s">
        <v>73</v>
      </c>
      <c r="C209" s="2" t="s">
        <v>30</v>
      </c>
      <c r="D209" s="2" t="s">
        <v>13</v>
      </c>
      <c r="E209" s="2">
        <v>14</v>
      </c>
      <c r="F209" s="2">
        <v>11</v>
      </c>
      <c r="G209" s="2" t="s">
        <v>32</v>
      </c>
      <c r="H209" s="2" t="s">
        <v>76</v>
      </c>
      <c r="I209" s="2" t="s">
        <v>438</v>
      </c>
      <c r="J209" s="5">
        <v>62</v>
      </c>
    </row>
    <row r="210" spans="1:10" hidden="1" x14ac:dyDescent="0.3">
      <c r="A210" s="4" t="s">
        <v>439</v>
      </c>
      <c r="B210" s="2" t="s">
        <v>11</v>
      </c>
      <c r="C210" s="2" t="s">
        <v>12</v>
      </c>
      <c r="D210" s="2" t="s">
        <v>13</v>
      </c>
      <c r="E210" s="2">
        <v>15</v>
      </c>
      <c r="F210" s="2">
        <v>9</v>
      </c>
      <c r="G210" s="2" t="s">
        <v>25</v>
      </c>
      <c r="H210" s="2" t="s">
        <v>15</v>
      </c>
      <c r="I210" s="2" t="s">
        <v>440</v>
      </c>
      <c r="J210" s="5">
        <v>90</v>
      </c>
    </row>
    <row r="211" spans="1:10" hidden="1" x14ac:dyDescent="0.3">
      <c r="A211" s="4" t="s">
        <v>441</v>
      </c>
      <c r="B211" s="2" t="s">
        <v>35</v>
      </c>
      <c r="C211" s="2" t="s">
        <v>12</v>
      </c>
      <c r="D211" s="2" t="s">
        <v>13</v>
      </c>
      <c r="E211" s="2">
        <v>17</v>
      </c>
      <c r="F211" s="2">
        <v>10</v>
      </c>
      <c r="G211" s="2" t="s">
        <v>32</v>
      </c>
      <c r="H211" s="2" t="s">
        <v>15</v>
      </c>
      <c r="I211" s="2" t="s">
        <v>442</v>
      </c>
      <c r="J211" s="5">
        <v>91</v>
      </c>
    </row>
    <row r="212" spans="1:10" hidden="1" x14ac:dyDescent="0.3">
      <c r="A212" s="4" t="s">
        <v>443</v>
      </c>
      <c r="B212" s="2" t="s">
        <v>18</v>
      </c>
      <c r="C212" s="2" t="s">
        <v>96</v>
      </c>
      <c r="D212" s="2" t="s">
        <v>13</v>
      </c>
      <c r="E212" s="2">
        <v>17</v>
      </c>
      <c r="F212" s="2">
        <v>9</v>
      </c>
      <c r="G212" s="2" t="s">
        <v>43</v>
      </c>
      <c r="H212" s="2" t="s">
        <v>37</v>
      </c>
      <c r="I212" s="2" t="s">
        <v>444</v>
      </c>
      <c r="J212" s="5">
        <v>60</v>
      </c>
    </row>
    <row r="213" spans="1:10" hidden="1" x14ac:dyDescent="0.3">
      <c r="A213" s="4" t="s">
        <v>445</v>
      </c>
      <c r="B213" s="2" t="s">
        <v>54</v>
      </c>
      <c r="C213" s="2" t="s">
        <v>96</v>
      </c>
      <c r="D213" s="2" t="s">
        <v>13</v>
      </c>
      <c r="E213" s="2">
        <v>20</v>
      </c>
      <c r="F213" s="2">
        <v>10</v>
      </c>
      <c r="G213" s="2" t="s">
        <v>32</v>
      </c>
      <c r="H213" s="2" t="s">
        <v>46</v>
      </c>
      <c r="I213" s="2" t="s">
        <v>182</v>
      </c>
      <c r="J213" s="5">
        <v>85</v>
      </c>
    </row>
    <row r="214" spans="1:10" hidden="1" x14ac:dyDescent="0.3">
      <c r="A214" s="4" t="s">
        <v>446</v>
      </c>
      <c r="B214" s="2" t="s">
        <v>73</v>
      </c>
      <c r="C214" s="2" t="s">
        <v>24</v>
      </c>
      <c r="D214" s="2" t="s">
        <v>13</v>
      </c>
      <c r="E214" s="2">
        <v>17</v>
      </c>
      <c r="F214" s="2">
        <v>10</v>
      </c>
      <c r="G214" s="2" t="s">
        <v>14</v>
      </c>
      <c r="H214" s="2" t="s">
        <v>20</v>
      </c>
      <c r="I214" s="2" t="s">
        <v>447</v>
      </c>
      <c r="J214" s="5">
        <v>58</v>
      </c>
    </row>
    <row r="215" spans="1:10" x14ac:dyDescent="0.3">
      <c r="A215" s="19" t="s">
        <v>448</v>
      </c>
      <c r="B215" s="15" t="s">
        <v>73</v>
      </c>
      <c r="C215" s="15" t="s">
        <v>36</v>
      </c>
      <c r="D215" s="59" t="s">
        <v>31</v>
      </c>
      <c r="E215" s="15">
        <v>19</v>
      </c>
      <c r="F215" s="59">
        <v>12</v>
      </c>
      <c r="G215" s="15" t="s">
        <v>14</v>
      </c>
      <c r="H215" s="15" t="s">
        <v>37</v>
      </c>
      <c r="I215" s="15" t="s">
        <v>449</v>
      </c>
      <c r="J215" s="20">
        <v>65</v>
      </c>
    </row>
    <row r="216" spans="1:10" x14ac:dyDescent="0.3">
      <c r="A216" s="19" t="s">
        <v>450</v>
      </c>
      <c r="B216" s="15" t="s">
        <v>54</v>
      </c>
      <c r="C216" s="15" t="s">
        <v>55</v>
      </c>
      <c r="D216" s="59" t="s">
        <v>31</v>
      </c>
      <c r="E216" s="15">
        <v>19</v>
      </c>
      <c r="F216" s="59">
        <v>12</v>
      </c>
      <c r="G216" s="15" t="s">
        <v>43</v>
      </c>
      <c r="H216" s="15" t="s">
        <v>20</v>
      </c>
      <c r="I216" s="15" t="s">
        <v>451</v>
      </c>
      <c r="J216" s="20">
        <v>58</v>
      </c>
    </row>
    <row r="217" spans="1:10" hidden="1" x14ac:dyDescent="0.3">
      <c r="A217" s="4" t="s">
        <v>452</v>
      </c>
      <c r="B217" s="2" t="s">
        <v>51</v>
      </c>
      <c r="C217" s="2" t="s">
        <v>12</v>
      </c>
      <c r="D217" s="2" t="s">
        <v>13</v>
      </c>
      <c r="E217" s="2">
        <v>18</v>
      </c>
      <c r="F217" s="2">
        <v>9</v>
      </c>
      <c r="G217" s="2" t="s">
        <v>32</v>
      </c>
      <c r="H217" s="2" t="s">
        <v>76</v>
      </c>
      <c r="I217" s="2" t="s">
        <v>453</v>
      </c>
      <c r="J217" s="5">
        <v>35</v>
      </c>
    </row>
    <row r="218" spans="1:10" hidden="1" x14ac:dyDescent="0.3">
      <c r="A218" s="4" t="s">
        <v>454</v>
      </c>
      <c r="B218" s="2" t="s">
        <v>29</v>
      </c>
      <c r="C218" s="2" t="s">
        <v>12</v>
      </c>
      <c r="D218" s="2" t="s">
        <v>31</v>
      </c>
      <c r="E218" s="2">
        <v>16</v>
      </c>
      <c r="F218" s="2">
        <v>11</v>
      </c>
      <c r="G218" s="2" t="s">
        <v>43</v>
      </c>
      <c r="H218" s="2" t="s">
        <v>61</v>
      </c>
      <c r="I218" s="2" t="s">
        <v>385</v>
      </c>
      <c r="J218" s="5">
        <v>40</v>
      </c>
    </row>
    <row r="219" spans="1:10" hidden="1" x14ac:dyDescent="0.3">
      <c r="A219" s="4" t="s">
        <v>455</v>
      </c>
      <c r="B219" s="2" t="s">
        <v>29</v>
      </c>
      <c r="C219" s="2" t="s">
        <v>30</v>
      </c>
      <c r="D219" s="2" t="s">
        <v>13</v>
      </c>
      <c r="E219" s="2">
        <v>16</v>
      </c>
      <c r="F219" s="2">
        <v>9</v>
      </c>
      <c r="G219" s="2" t="s">
        <v>14</v>
      </c>
      <c r="H219" s="2" t="s">
        <v>61</v>
      </c>
      <c r="I219" s="2" t="s">
        <v>447</v>
      </c>
      <c r="J219" s="5">
        <v>60</v>
      </c>
    </row>
    <row r="220" spans="1:10" hidden="1" x14ac:dyDescent="0.3">
      <c r="A220" s="4" t="s">
        <v>456</v>
      </c>
      <c r="B220" s="2" t="s">
        <v>11</v>
      </c>
      <c r="C220" s="2" t="s">
        <v>55</v>
      </c>
      <c r="D220" s="2" t="s">
        <v>13</v>
      </c>
      <c r="E220" s="2">
        <v>15</v>
      </c>
      <c r="F220" s="2">
        <v>9</v>
      </c>
      <c r="G220" s="2" t="s">
        <v>32</v>
      </c>
      <c r="H220" s="2" t="s">
        <v>61</v>
      </c>
      <c r="I220" s="2" t="s">
        <v>457</v>
      </c>
      <c r="J220" s="5">
        <v>97</v>
      </c>
    </row>
    <row r="221" spans="1:10" hidden="1" x14ac:dyDescent="0.3">
      <c r="A221" s="4" t="s">
        <v>458</v>
      </c>
      <c r="B221" s="2" t="s">
        <v>11</v>
      </c>
      <c r="C221" s="2" t="s">
        <v>55</v>
      </c>
      <c r="D221" s="2" t="s">
        <v>13</v>
      </c>
      <c r="E221" s="2">
        <v>19</v>
      </c>
      <c r="F221" s="2">
        <v>11</v>
      </c>
      <c r="G221" s="2" t="s">
        <v>14</v>
      </c>
      <c r="H221" s="2" t="s">
        <v>46</v>
      </c>
      <c r="I221" s="2" t="s">
        <v>459</v>
      </c>
      <c r="J221" s="5">
        <v>81</v>
      </c>
    </row>
    <row r="222" spans="1:10" x14ac:dyDescent="0.3">
      <c r="A222" s="19" t="s">
        <v>460</v>
      </c>
      <c r="B222" s="15" t="s">
        <v>51</v>
      </c>
      <c r="C222" s="15" t="s">
        <v>96</v>
      </c>
      <c r="D222" s="59" t="s">
        <v>31</v>
      </c>
      <c r="E222" s="15">
        <v>16</v>
      </c>
      <c r="F222" s="59">
        <v>12</v>
      </c>
      <c r="G222" s="15" t="s">
        <v>43</v>
      </c>
      <c r="H222" s="15" t="s">
        <v>15</v>
      </c>
      <c r="I222" s="15" t="s">
        <v>461</v>
      </c>
      <c r="J222" s="20">
        <v>65</v>
      </c>
    </row>
    <row r="223" spans="1:10" x14ac:dyDescent="0.3">
      <c r="A223" s="19" t="s">
        <v>462</v>
      </c>
      <c r="B223" s="15" t="s">
        <v>11</v>
      </c>
      <c r="C223" s="15" t="s">
        <v>24</v>
      </c>
      <c r="D223" s="59" t="s">
        <v>31</v>
      </c>
      <c r="E223" s="15">
        <v>19</v>
      </c>
      <c r="F223" s="59">
        <v>12</v>
      </c>
      <c r="G223" s="15" t="s">
        <v>43</v>
      </c>
      <c r="H223" s="15" t="s">
        <v>37</v>
      </c>
      <c r="I223" s="15" t="s">
        <v>463</v>
      </c>
      <c r="J223" s="20">
        <v>45</v>
      </c>
    </row>
    <row r="224" spans="1:10" hidden="1" x14ac:dyDescent="0.3">
      <c r="A224" s="4" t="s">
        <v>464</v>
      </c>
      <c r="B224" s="2" t="s">
        <v>11</v>
      </c>
      <c r="C224" s="2" t="s">
        <v>36</v>
      </c>
      <c r="D224" s="2" t="s">
        <v>13</v>
      </c>
      <c r="E224" s="2">
        <v>16</v>
      </c>
      <c r="F224" s="2">
        <v>11</v>
      </c>
      <c r="G224" s="2" t="s">
        <v>25</v>
      </c>
      <c r="H224" s="2" t="s">
        <v>40</v>
      </c>
      <c r="I224" s="2" t="s">
        <v>465</v>
      </c>
      <c r="J224" s="5">
        <v>79</v>
      </c>
    </row>
    <row r="225" spans="1:10" hidden="1" x14ac:dyDescent="0.3">
      <c r="A225" s="4" t="s">
        <v>466</v>
      </c>
      <c r="B225" s="2" t="s">
        <v>11</v>
      </c>
      <c r="C225" s="2" t="s">
        <v>55</v>
      </c>
      <c r="D225" s="2" t="s">
        <v>31</v>
      </c>
      <c r="E225" s="2">
        <v>20</v>
      </c>
      <c r="F225" s="2">
        <v>11</v>
      </c>
      <c r="G225" s="2" t="s">
        <v>32</v>
      </c>
      <c r="H225" s="2" t="s">
        <v>40</v>
      </c>
      <c r="I225" s="2" t="s">
        <v>467</v>
      </c>
      <c r="J225" s="5">
        <v>46</v>
      </c>
    </row>
    <row r="226" spans="1:10" hidden="1" x14ac:dyDescent="0.3">
      <c r="A226" s="4" t="s">
        <v>468</v>
      </c>
      <c r="B226" s="2" t="s">
        <v>73</v>
      </c>
      <c r="C226" s="2" t="s">
        <v>12</v>
      </c>
      <c r="D226" s="2" t="s">
        <v>13</v>
      </c>
      <c r="E226" s="2">
        <v>17</v>
      </c>
      <c r="F226" s="2">
        <v>10</v>
      </c>
      <c r="G226" s="2" t="s">
        <v>43</v>
      </c>
      <c r="H226" s="2" t="s">
        <v>15</v>
      </c>
      <c r="I226" s="2" t="s">
        <v>469</v>
      </c>
      <c r="J226" s="5">
        <v>75</v>
      </c>
    </row>
    <row r="227" spans="1:10" hidden="1" x14ac:dyDescent="0.3">
      <c r="A227" s="4" t="s">
        <v>470</v>
      </c>
      <c r="B227" s="2" t="s">
        <v>35</v>
      </c>
      <c r="C227" s="2" t="s">
        <v>96</v>
      </c>
      <c r="D227" s="2" t="s">
        <v>31</v>
      </c>
      <c r="E227" s="2">
        <v>16</v>
      </c>
      <c r="F227" s="2">
        <v>11</v>
      </c>
      <c r="G227" s="2" t="s">
        <v>32</v>
      </c>
      <c r="H227" s="2" t="s">
        <v>61</v>
      </c>
      <c r="I227" s="2" t="s">
        <v>471</v>
      </c>
      <c r="J227" s="5">
        <v>65</v>
      </c>
    </row>
    <row r="228" spans="1:10" hidden="1" x14ac:dyDescent="0.3">
      <c r="A228" s="4" t="s">
        <v>472</v>
      </c>
      <c r="B228" s="2" t="s">
        <v>84</v>
      </c>
      <c r="C228" s="2" t="s">
        <v>79</v>
      </c>
      <c r="D228" s="2" t="s">
        <v>31</v>
      </c>
      <c r="E228" s="2">
        <v>15</v>
      </c>
      <c r="F228" s="2">
        <v>11</v>
      </c>
      <c r="G228" s="2" t="s">
        <v>14</v>
      </c>
      <c r="H228" s="2" t="s">
        <v>40</v>
      </c>
      <c r="I228" s="2" t="s">
        <v>317</v>
      </c>
      <c r="J228" s="5">
        <v>72</v>
      </c>
    </row>
    <row r="229" spans="1:10" hidden="1" x14ac:dyDescent="0.3">
      <c r="A229" s="4" t="s">
        <v>473</v>
      </c>
      <c r="B229" s="2" t="s">
        <v>18</v>
      </c>
      <c r="C229" s="2" t="s">
        <v>19</v>
      </c>
      <c r="D229" s="2" t="s">
        <v>31</v>
      </c>
      <c r="E229" s="2">
        <v>16</v>
      </c>
      <c r="F229" s="2">
        <v>11</v>
      </c>
      <c r="G229" s="2" t="s">
        <v>14</v>
      </c>
      <c r="H229" s="2" t="s">
        <v>61</v>
      </c>
      <c r="I229" s="2" t="s">
        <v>474</v>
      </c>
      <c r="J229" s="5">
        <v>75</v>
      </c>
    </row>
    <row r="230" spans="1:10" hidden="1" x14ac:dyDescent="0.3">
      <c r="A230" s="4" t="s">
        <v>475</v>
      </c>
      <c r="B230" s="2" t="s">
        <v>35</v>
      </c>
      <c r="C230" s="2" t="s">
        <v>79</v>
      </c>
      <c r="D230" s="2" t="s">
        <v>13</v>
      </c>
      <c r="E230" s="2">
        <v>17</v>
      </c>
      <c r="F230" s="2">
        <v>9</v>
      </c>
      <c r="G230" s="2" t="s">
        <v>32</v>
      </c>
      <c r="H230" s="2" t="s">
        <v>15</v>
      </c>
      <c r="I230" s="2" t="s">
        <v>248</v>
      </c>
      <c r="J230" s="5">
        <v>50</v>
      </c>
    </row>
    <row r="231" spans="1:10" hidden="1" x14ac:dyDescent="0.3">
      <c r="A231" s="4" t="s">
        <v>476</v>
      </c>
      <c r="B231" s="2" t="s">
        <v>29</v>
      </c>
      <c r="C231" s="2" t="s">
        <v>55</v>
      </c>
      <c r="D231" s="2" t="s">
        <v>13</v>
      </c>
      <c r="E231" s="2">
        <v>19</v>
      </c>
      <c r="F231" s="2">
        <v>10</v>
      </c>
      <c r="G231" s="2" t="s">
        <v>43</v>
      </c>
      <c r="H231" s="2" t="s">
        <v>26</v>
      </c>
      <c r="I231" s="2" t="s">
        <v>477</v>
      </c>
      <c r="J231" s="5">
        <v>88</v>
      </c>
    </row>
    <row r="232" spans="1:10" hidden="1" x14ac:dyDescent="0.3">
      <c r="A232" s="4" t="s">
        <v>478</v>
      </c>
      <c r="B232" s="2" t="s">
        <v>11</v>
      </c>
      <c r="C232" s="2" t="s">
        <v>36</v>
      </c>
      <c r="D232" s="2" t="s">
        <v>13</v>
      </c>
      <c r="E232" s="2">
        <v>17</v>
      </c>
      <c r="F232" s="2">
        <v>12</v>
      </c>
      <c r="G232" s="2" t="s">
        <v>14</v>
      </c>
      <c r="H232" s="2" t="s">
        <v>37</v>
      </c>
      <c r="I232" s="2" t="s">
        <v>479</v>
      </c>
      <c r="J232" s="5">
        <v>63</v>
      </c>
    </row>
    <row r="233" spans="1:10" hidden="1" x14ac:dyDescent="0.3">
      <c r="A233" s="4" t="s">
        <v>480</v>
      </c>
      <c r="B233" s="2" t="s">
        <v>35</v>
      </c>
      <c r="C233" s="2" t="s">
        <v>12</v>
      </c>
      <c r="D233" s="2" t="s">
        <v>31</v>
      </c>
      <c r="E233" s="2">
        <v>18</v>
      </c>
      <c r="F233" s="2">
        <v>10</v>
      </c>
      <c r="G233" s="2" t="s">
        <v>14</v>
      </c>
      <c r="H233" s="2" t="s">
        <v>37</v>
      </c>
      <c r="I233" s="2" t="s">
        <v>481</v>
      </c>
      <c r="J233" s="5">
        <v>36</v>
      </c>
    </row>
    <row r="234" spans="1:10" hidden="1" x14ac:dyDescent="0.3">
      <c r="A234" s="4" t="s">
        <v>482</v>
      </c>
      <c r="B234" s="2" t="s">
        <v>35</v>
      </c>
      <c r="C234" s="2" t="s">
        <v>24</v>
      </c>
      <c r="D234" s="2" t="s">
        <v>13</v>
      </c>
      <c r="E234" s="2">
        <v>18</v>
      </c>
      <c r="F234" s="2">
        <v>11</v>
      </c>
      <c r="G234" s="2" t="s">
        <v>14</v>
      </c>
      <c r="H234" s="2" t="s">
        <v>61</v>
      </c>
      <c r="I234" s="2" t="s">
        <v>483</v>
      </c>
      <c r="J234" s="5">
        <v>86</v>
      </c>
    </row>
    <row r="235" spans="1:10" hidden="1" x14ac:dyDescent="0.3">
      <c r="A235" s="4" t="s">
        <v>484</v>
      </c>
      <c r="B235" s="2" t="s">
        <v>29</v>
      </c>
      <c r="C235" s="2" t="s">
        <v>79</v>
      </c>
      <c r="D235" s="2" t="s">
        <v>31</v>
      </c>
      <c r="E235" s="2">
        <v>14</v>
      </c>
      <c r="F235" s="2">
        <v>11</v>
      </c>
      <c r="G235" s="2" t="s">
        <v>32</v>
      </c>
      <c r="H235" s="2" t="s">
        <v>40</v>
      </c>
      <c r="I235" s="2" t="s">
        <v>184</v>
      </c>
      <c r="J235" s="5">
        <v>42</v>
      </c>
    </row>
    <row r="236" spans="1:10" x14ac:dyDescent="0.3">
      <c r="A236" s="19" t="s">
        <v>485</v>
      </c>
      <c r="B236" s="15" t="s">
        <v>18</v>
      </c>
      <c r="C236" s="15" t="s">
        <v>12</v>
      </c>
      <c r="D236" s="59" t="s">
        <v>31</v>
      </c>
      <c r="E236" s="15">
        <v>16</v>
      </c>
      <c r="F236" s="59">
        <v>12</v>
      </c>
      <c r="G236" s="15" t="s">
        <v>14</v>
      </c>
      <c r="H236" s="15" t="s">
        <v>76</v>
      </c>
      <c r="I236" s="15" t="s">
        <v>486</v>
      </c>
      <c r="J236" s="20">
        <v>70</v>
      </c>
    </row>
    <row r="237" spans="1:10" hidden="1" x14ac:dyDescent="0.3">
      <c r="A237" s="4" t="s">
        <v>487</v>
      </c>
      <c r="B237" s="2" t="s">
        <v>18</v>
      </c>
      <c r="C237" s="2" t="s">
        <v>79</v>
      </c>
      <c r="D237" s="2" t="s">
        <v>13</v>
      </c>
      <c r="E237" s="2">
        <v>16</v>
      </c>
      <c r="F237" s="2">
        <v>11</v>
      </c>
      <c r="G237" s="2" t="s">
        <v>43</v>
      </c>
      <c r="H237" s="2" t="s">
        <v>61</v>
      </c>
      <c r="I237" s="2" t="s">
        <v>488</v>
      </c>
      <c r="J237" s="5">
        <v>86</v>
      </c>
    </row>
    <row r="238" spans="1:10" hidden="1" x14ac:dyDescent="0.3">
      <c r="A238" s="4" t="s">
        <v>489</v>
      </c>
      <c r="B238" s="2" t="s">
        <v>68</v>
      </c>
      <c r="C238" s="2" t="s">
        <v>58</v>
      </c>
      <c r="D238" s="2" t="s">
        <v>31</v>
      </c>
      <c r="E238" s="2">
        <v>20</v>
      </c>
      <c r="F238" s="2">
        <v>10</v>
      </c>
      <c r="G238" s="2" t="s">
        <v>32</v>
      </c>
      <c r="H238" s="2" t="s">
        <v>20</v>
      </c>
      <c r="I238" s="2" t="s">
        <v>370</v>
      </c>
      <c r="J238" s="5">
        <v>93</v>
      </c>
    </row>
    <row r="239" spans="1:10" hidden="1" x14ac:dyDescent="0.3">
      <c r="A239" s="4" t="s">
        <v>490</v>
      </c>
      <c r="B239" s="2" t="s">
        <v>73</v>
      </c>
      <c r="C239" s="2" t="s">
        <v>96</v>
      </c>
      <c r="D239" s="2" t="s">
        <v>13</v>
      </c>
      <c r="E239" s="2">
        <v>17</v>
      </c>
      <c r="F239" s="2">
        <v>10</v>
      </c>
      <c r="G239" s="2" t="s">
        <v>32</v>
      </c>
      <c r="H239" s="2" t="s">
        <v>61</v>
      </c>
      <c r="I239" s="2" t="s">
        <v>491</v>
      </c>
      <c r="J239" s="5">
        <v>60</v>
      </c>
    </row>
    <row r="240" spans="1:10" hidden="1" x14ac:dyDescent="0.3">
      <c r="A240" s="4" t="s">
        <v>492</v>
      </c>
      <c r="B240" s="2" t="s">
        <v>18</v>
      </c>
      <c r="C240" s="2" t="s">
        <v>85</v>
      </c>
      <c r="D240" s="2" t="s">
        <v>31</v>
      </c>
      <c r="E240" s="2">
        <v>19</v>
      </c>
      <c r="F240" s="2">
        <v>11</v>
      </c>
      <c r="G240" s="2" t="s">
        <v>43</v>
      </c>
      <c r="H240" s="2" t="s">
        <v>15</v>
      </c>
      <c r="I240" s="2" t="s">
        <v>394</v>
      </c>
      <c r="J240" s="5">
        <v>50</v>
      </c>
    </row>
    <row r="241" spans="1:10" x14ac:dyDescent="0.3">
      <c r="A241" s="19" t="s">
        <v>493</v>
      </c>
      <c r="B241" s="15" t="s">
        <v>51</v>
      </c>
      <c r="C241" s="15" t="s">
        <v>96</v>
      </c>
      <c r="D241" s="59" t="s">
        <v>31</v>
      </c>
      <c r="E241" s="15">
        <v>14</v>
      </c>
      <c r="F241" s="59">
        <v>12</v>
      </c>
      <c r="G241" s="15" t="s">
        <v>14</v>
      </c>
      <c r="H241" s="15" t="s">
        <v>26</v>
      </c>
      <c r="I241" s="15" t="s">
        <v>494</v>
      </c>
      <c r="J241" s="20">
        <v>47</v>
      </c>
    </row>
    <row r="242" spans="1:10" hidden="1" x14ac:dyDescent="0.3">
      <c r="A242" s="4" t="s">
        <v>495</v>
      </c>
      <c r="B242" s="2" t="s">
        <v>35</v>
      </c>
      <c r="C242" s="2" t="s">
        <v>12</v>
      </c>
      <c r="D242" s="2" t="s">
        <v>13</v>
      </c>
      <c r="E242" s="2">
        <v>15</v>
      </c>
      <c r="F242" s="2">
        <v>12</v>
      </c>
      <c r="G242" s="2" t="s">
        <v>43</v>
      </c>
      <c r="H242" s="2" t="s">
        <v>20</v>
      </c>
      <c r="I242" s="2" t="s">
        <v>496</v>
      </c>
      <c r="J242" s="5">
        <v>49</v>
      </c>
    </row>
    <row r="243" spans="1:10" hidden="1" x14ac:dyDescent="0.3">
      <c r="A243" s="4" t="s">
        <v>497</v>
      </c>
      <c r="B243" s="2" t="s">
        <v>51</v>
      </c>
      <c r="C243" s="2" t="s">
        <v>96</v>
      </c>
      <c r="D243" s="2" t="s">
        <v>13</v>
      </c>
      <c r="E243" s="2">
        <v>16</v>
      </c>
      <c r="F243" s="2">
        <v>9</v>
      </c>
      <c r="G243" s="2" t="s">
        <v>25</v>
      </c>
      <c r="H243" s="2" t="s">
        <v>26</v>
      </c>
      <c r="I243" s="2" t="s">
        <v>498</v>
      </c>
      <c r="J243" s="5">
        <v>42</v>
      </c>
    </row>
    <row r="244" spans="1:10" hidden="1" x14ac:dyDescent="0.3">
      <c r="A244" s="4" t="s">
        <v>499</v>
      </c>
      <c r="B244" s="2" t="s">
        <v>54</v>
      </c>
      <c r="C244" s="2" t="s">
        <v>19</v>
      </c>
      <c r="D244" s="2" t="s">
        <v>31</v>
      </c>
      <c r="E244" s="2">
        <v>20</v>
      </c>
      <c r="F244" s="2">
        <v>9</v>
      </c>
      <c r="G244" s="2" t="s">
        <v>32</v>
      </c>
      <c r="H244" s="2" t="s">
        <v>46</v>
      </c>
      <c r="I244" s="2" t="s">
        <v>500</v>
      </c>
      <c r="J244" s="5">
        <v>42</v>
      </c>
    </row>
    <row r="245" spans="1:10" hidden="1" x14ac:dyDescent="0.3">
      <c r="A245" s="4" t="s">
        <v>501</v>
      </c>
      <c r="B245" s="2" t="s">
        <v>84</v>
      </c>
      <c r="C245" s="2" t="s">
        <v>19</v>
      </c>
      <c r="D245" s="2" t="s">
        <v>13</v>
      </c>
      <c r="E245" s="2">
        <v>18</v>
      </c>
      <c r="F245" s="2">
        <v>10</v>
      </c>
      <c r="G245" s="2" t="s">
        <v>14</v>
      </c>
      <c r="H245" s="2" t="s">
        <v>61</v>
      </c>
      <c r="I245" s="2" t="s">
        <v>502</v>
      </c>
      <c r="J245" s="5">
        <v>76</v>
      </c>
    </row>
    <row r="246" spans="1:10" hidden="1" x14ac:dyDescent="0.3">
      <c r="A246" s="4" t="s">
        <v>503</v>
      </c>
      <c r="B246" s="2" t="s">
        <v>84</v>
      </c>
      <c r="C246" s="2" t="s">
        <v>19</v>
      </c>
      <c r="D246" s="2" t="s">
        <v>31</v>
      </c>
      <c r="E246" s="2">
        <v>15</v>
      </c>
      <c r="F246" s="2">
        <v>10</v>
      </c>
      <c r="G246" s="2" t="s">
        <v>43</v>
      </c>
      <c r="H246" s="2" t="s">
        <v>61</v>
      </c>
      <c r="I246" s="2" t="s">
        <v>504</v>
      </c>
      <c r="J246" s="5">
        <v>44</v>
      </c>
    </row>
    <row r="247" spans="1:10" hidden="1" x14ac:dyDescent="0.3">
      <c r="A247" s="4" t="s">
        <v>505</v>
      </c>
      <c r="B247" s="2" t="s">
        <v>11</v>
      </c>
      <c r="C247" s="2" t="s">
        <v>12</v>
      </c>
      <c r="D247" s="2" t="s">
        <v>31</v>
      </c>
      <c r="E247" s="2">
        <v>19</v>
      </c>
      <c r="F247" s="2">
        <v>10</v>
      </c>
      <c r="G247" s="2" t="s">
        <v>14</v>
      </c>
      <c r="H247" s="2" t="s">
        <v>40</v>
      </c>
      <c r="I247" s="2" t="s">
        <v>506</v>
      </c>
      <c r="J247" s="5">
        <v>77</v>
      </c>
    </row>
    <row r="248" spans="1:10" x14ac:dyDescent="0.3">
      <c r="A248" s="19" t="s">
        <v>507</v>
      </c>
      <c r="B248" s="15" t="s">
        <v>54</v>
      </c>
      <c r="C248" s="15" t="s">
        <v>12</v>
      </c>
      <c r="D248" s="59" t="s">
        <v>31</v>
      </c>
      <c r="E248" s="15">
        <v>16</v>
      </c>
      <c r="F248" s="59">
        <v>12</v>
      </c>
      <c r="G248" s="15" t="s">
        <v>43</v>
      </c>
      <c r="H248" s="15" t="s">
        <v>61</v>
      </c>
      <c r="I248" s="15" t="s">
        <v>483</v>
      </c>
      <c r="J248" s="20">
        <v>45</v>
      </c>
    </row>
    <row r="249" spans="1:10" hidden="1" x14ac:dyDescent="0.3">
      <c r="A249" s="4" t="s">
        <v>508</v>
      </c>
      <c r="B249" s="2" t="s">
        <v>73</v>
      </c>
      <c r="C249" s="2" t="s">
        <v>55</v>
      </c>
      <c r="D249" s="2" t="s">
        <v>13</v>
      </c>
      <c r="E249" s="2">
        <v>15</v>
      </c>
      <c r="F249" s="2">
        <v>11</v>
      </c>
      <c r="G249" s="2" t="s">
        <v>43</v>
      </c>
      <c r="H249" s="2" t="s">
        <v>46</v>
      </c>
      <c r="I249" s="2" t="s">
        <v>509</v>
      </c>
      <c r="J249" s="5">
        <v>54</v>
      </c>
    </row>
    <row r="250" spans="1:10" hidden="1" x14ac:dyDescent="0.3">
      <c r="A250" s="4" t="s">
        <v>510</v>
      </c>
      <c r="B250" s="2" t="s">
        <v>54</v>
      </c>
      <c r="C250" s="2" t="s">
        <v>79</v>
      </c>
      <c r="D250" s="2" t="s">
        <v>31</v>
      </c>
      <c r="E250" s="2">
        <v>15</v>
      </c>
      <c r="F250" s="2">
        <v>9</v>
      </c>
      <c r="G250" s="2" t="s">
        <v>14</v>
      </c>
      <c r="H250" s="2" t="s">
        <v>40</v>
      </c>
      <c r="I250" s="2" t="s">
        <v>479</v>
      </c>
      <c r="J250" s="5">
        <v>66</v>
      </c>
    </row>
    <row r="251" spans="1:10" hidden="1" x14ac:dyDescent="0.3">
      <c r="A251" s="4" t="s">
        <v>511</v>
      </c>
      <c r="B251" s="2" t="s">
        <v>35</v>
      </c>
      <c r="C251" s="2" t="s">
        <v>19</v>
      </c>
      <c r="D251" s="2" t="s">
        <v>31</v>
      </c>
      <c r="E251" s="2">
        <v>15</v>
      </c>
      <c r="F251" s="2">
        <v>9</v>
      </c>
      <c r="G251" s="2" t="s">
        <v>25</v>
      </c>
      <c r="H251" s="2" t="s">
        <v>15</v>
      </c>
      <c r="I251" s="2" t="s">
        <v>512</v>
      </c>
      <c r="J251" s="5">
        <v>95</v>
      </c>
    </row>
    <row r="252" spans="1:10" x14ac:dyDescent="0.3">
      <c r="A252" s="19" t="s">
        <v>513</v>
      </c>
      <c r="B252" s="15" t="s">
        <v>11</v>
      </c>
      <c r="C252" s="15" t="s">
        <v>19</v>
      </c>
      <c r="D252" s="59" t="s">
        <v>31</v>
      </c>
      <c r="E252" s="15">
        <v>14</v>
      </c>
      <c r="F252" s="59">
        <v>12</v>
      </c>
      <c r="G252" s="15" t="s">
        <v>32</v>
      </c>
      <c r="H252" s="15" t="s">
        <v>15</v>
      </c>
      <c r="I252" s="15" t="s">
        <v>381</v>
      </c>
      <c r="J252" s="20">
        <v>65</v>
      </c>
    </row>
    <row r="253" spans="1:10" hidden="1" x14ac:dyDescent="0.3">
      <c r="A253" s="4" t="s">
        <v>514</v>
      </c>
      <c r="B253" s="2" t="s">
        <v>11</v>
      </c>
      <c r="C253" s="2" t="s">
        <v>12</v>
      </c>
      <c r="D253" s="2" t="s">
        <v>31</v>
      </c>
      <c r="E253" s="2">
        <v>15</v>
      </c>
      <c r="F253" s="2">
        <v>11</v>
      </c>
      <c r="G253" s="2" t="s">
        <v>25</v>
      </c>
      <c r="H253" s="2" t="s">
        <v>20</v>
      </c>
      <c r="I253" s="2" t="s">
        <v>515</v>
      </c>
      <c r="J253" s="5">
        <v>61</v>
      </c>
    </row>
    <row r="254" spans="1:10" hidden="1" x14ac:dyDescent="0.3">
      <c r="A254" s="4" t="s">
        <v>516</v>
      </c>
      <c r="B254" s="2" t="s">
        <v>18</v>
      </c>
      <c r="C254" s="2" t="s">
        <v>96</v>
      </c>
      <c r="D254" s="2" t="s">
        <v>31</v>
      </c>
      <c r="E254" s="2">
        <v>14</v>
      </c>
      <c r="F254" s="2">
        <v>11</v>
      </c>
      <c r="G254" s="2" t="s">
        <v>32</v>
      </c>
      <c r="H254" s="2" t="s">
        <v>46</v>
      </c>
      <c r="I254" s="2" t="s">
        <v>517</v>
      </c>
      <c r="J254" s="5">
        <v>86</v>
      </c>
    </row>
    <row r="255" spans="1:10" hidden="1" x14ac:dyDescent="0.3">
      <c r="A255" s="4" t="s">
        <v>518</v>
      </c>
      <c r="B255" s="2" t="s">
        <v>51</v>
      </c>
      <c r="C255" s="2" t="s">
        <v>96</v>
      </c>
      <c r="D255" s="2" t="s">
        <v>31</v>
      </c>
      <c r="E255" s="2">
        <v>17</v>
      </c>
      <c r="F255" s="2">
        <v>11</v>
      </c>
      <c r="G255" s="2" t="s">
        <v>25</v>
      </c>
      <c r="H255" s="2" t="s">
        <v>61</v>
      </c>
      <c r="I255" s="2" t="s">
        <v>519</v>
      </c>
      <c r="J255" s="5">
        <v>52</v>
      </c>
    </row>
    <row r="256" spans="1:10" hidden="1" x14ac:dyDescent="0.3">
      <c r="A256" s="4" t="s">
        <v>520</v>
      </c>
      <c r="B256" s="2" t="s">
        <v>68</v>
      </c>
      <c r="C256" s="2" t="s">
        <v>12</v>
      </c>
      <c r="D256" s="2" t="s">
        <v>31</v>
      </c>
      <c r="E256" s="2">
        <v>20</v>
      </c>
      <c r="F256" s="2">
        <v>10</v>
      </c>
      <c r="G256" s="2" t="s">
        <v>32</v>
      </c>
      <c r="H256" s="2" t="s">
        <v>26</v>
      </c>
      <c r="I256" s="2" t="s">
        <v>521</v>
      </c>
      <c r="J256" s="5">
        <v>42</v>
      </c>
    </row>
    <row r="257" spans="1:10" hidden="1" x14ac:dyDescent="0.3">
      <c r="A257" s="4" t="s">
        <v>522</v>
      </c>
      <c r="B257" s="2" t="s">
        <v>54</v>
      </c>
      <c r="C257" s="2" t="s">
        <v>79</v>
      </c>
      <c r="D257" s="2" t="s">
        <v>31</v>
      </c>
      <c r="E257" s="2">
        <v>18</v>
      </c>
      <c r="F257" s="2">
        <v>10</v>
      </c>
      <c r="G257" s="2" t="s">
        <v>14</v>
      </c>
      <c r="H257" s="2" t="s">
        <v>61</v>
      </c>
      <c r="I257" s="2" t="s">
        <v>523</v>
      </c>
      <c r="J257" s="5">
        <v>82</v>
      </c>
    </row>
    <row r="258" spans="1:10" hidden="1" x14ac:dyDescent="0.3">
      <c r="A258" s="4" t="s">
        <v>524</v>
      </c>
      <c r="B258" s="2" t="s">
        <v>35</v>
      </c>
      <c r="C258" s="2" t="s">
        <v>85</v>
      </c>
      <c r="D258" s="2" t="s">
        <v>13</v>
      </c>
      <c r="E258" s="2">
        <v>20</v>
      </c>
      <c r="F258" s="2">
        <v>10</v>
      </c>
      <c r="G258" s="2" t="s">
        <v>14</v>
      </c>
      <c r="H258" s="2" t="s">
        <v>40</v>
      </c>
      <c r="I258" s="2" t="s">
        <v>525</v>
      </c>
      <c r="J258" s="5">
        <v>92</v>
      </c>
    </row>
    <row r="259" spans="1:10" hidden="1" x14ac:dyDescent="0.3">
      <c r="A259" s="4" t="s">
        <v>526</v>
      </c>
      <c r="B259" s="2" t="s">
        <v>18</v>
      </c>
      <c r="C259" s="2" t="s">
        <v>12</v>
      </c>
      <c r="D259" s="2" t="s">
        <v>31</v>
      </c>
      <c r="E259" s="2">
        <v>18</v>
      </c>
      <c r="F259" s="2">
        <v>9</v>
      </c>
      <c r="G259" s="2" t="s">
        <v>14</v>
      </c>
      <c r="H259" s="2" t="s">
        <v>15</v>
      </c>
      <c r="I259" s="2" t="s">
        <v>346</v>
      </c>
      <c r="J259" s="5">
        <v>59</v>
      </c>
    </row>
    <row r="260" spans="1:10" hidden="1" x14ac:dyDescent="0.3">
      <c r="A260" s="4" t="s">
        <v>527</v>
      </c>
      <c r="B260" s="2" t="s">
        <v>11</v>
      </c>
      <c r="C260" s="2" t="s">
        <v>85</v>
      </c>
      <c r="D260" s="2" t="s">
        <v>13</v>
      </c>
      <c r="E260" s="2">
        <v>20</v>
      </c>
      <c r="F260" s="2">
        <v>12</v>
      </c>
      <c r="G260" s="2" t="s">
        <v>25</v>
      </c>
      <c r="H260" s="2" t="s">
        <v>46</v>
      </c>
      <c r="I260" s="2" t="s">
        <v>451</v>
      </c>
      <c r="J260" s="5">
        <v>86</v>
      </c>
    </row>
    <row r="261" spans="1:10" hidden="1" x14ac:dyDescent="0.3">
      <c r="A261" s="4" t="s">
        <v>528</v>
      </c>
      <c r="B261" s="2" t="s">
        <v>51</v>
      </c>
      <c r="C261" s="2" t="s">
        <v>19</v>
      </c>
      <c r="D261" s="2" t="s">
        <v>13</v>
      </c>
      <c r="E261" s="2">
        <v>19</v>
      </c>
      <c r="F261" s="2">
        <v>9</v>
      </c>
      <c r="G261" s="2" t="s">
        <v>43</v>
      </c>
      <c r="H261" s="2" t="s">
        <v>46</v>
      </c>
      <c r="I261" s="2" t="s">
        <v>222</v>
      </c>
      <c r="J261" s="5">
        <v>46</v>
      </c>
    </row>
    <row r="262" spans="1:10" x14ac:dyDescent="0.3">
      <c r="A262" s="19" t="s">
        <v>529</v>
      </c>
      <c r="B262" s="15" t="s">
        <v>84</v>
      </c>
      <c r="C262" s="15" t="s">
        <v>24</v>
      </c>
      <c r="D262" s="59" t="s">
        <v>31</v>
      </c>
      <c r="E262" s="15">
        <v>20</v>
      </c>
      <c r="F262" s="59">
        <v>12</v>
      </c>
      <c r="G262" s="15" t="s">
        <v>25</v>
      </c>
      <c r="H262" s="15" t="s">
        <v>76</v>
      </c>
      <c r="I262" s="15" t="s">
        <v>186</v>
      </c>
      <c r="J262" s="20">
        <v>51</v>
      </c>
    </row>
    <row r="263" spans="1:10" hidden="1" x14ac:dyDescent="0.3">
      <c r="A263" s="4" t="s">
        <v>530</v>
      </c>
      <c r="B263" s="2" t="s">
        <v>54</v>
      </c>
      <c r="C263" s="2" t="s">
        <v>58</v>
      </c>
      <c r="D263" s="2" t="s">
        <v>13</v>
      </c>
      <c r="E263" s="2">
        <v>17</v>
      </c>
      <c r="F263" s="2">
        <v>10</v>
      </c>
      <c r="G263" s="2" t="s">
        <v>32</v>
      </c>
      <c r="H263" s="2" t="s">
        <v>15</v>
      </c>
      <c r="I263" s="2" t="s">
        <v>64</v>
      </c>
      <c r="J263" s="5">
        <v>46</v>
      </c>
    </row>
    <row r="264" spans="1:10" hidden="1" x14ac:dyDescent="0.3">
      <c r="A264" s="4" t="s">
        <v>531</v>
      </c>
      <c r="B264" s="2" t="s">
        <v>23</v>
      </c>
      <c r="C264" s="2" t="s">
        <v>36</v>
      </c>
      <c r="D264" s="2" t="s">
        <v>13</v>
      </c>
      <c r="E264" s="2">
        <v>20</v>
      </c>
      <c r="F264" s="2">
        <v>11</v>
      </c>
      <c r="G264" s="2" t="s">
        <v>43</v>
      </c>
      <c r="H264" s="2" t="s">
        <v>20</v>
      </c>
      <c r="I264" s="2" t="s">
        <v>178</v>
      </c>
      <c r="J264" s="5">
        <v>44</v>
      </c>
    </row>
    <row r="265" spans="1:10" hidden="1" x14ac:dyDescent="0.3">
      <c r="A265" s="4" t="s">
        <v>532</v>
      </c>
      <c r="B265" s="2" t="s">
        <v>51</v>
      </c>
      <c r="C265" s="2" t="s">
        <v>19</v>
      </c>
      <c r="D265" s="2" t="s">
        <v>31</v>
      </c>
      <c r="E265" s="2">
        <v>14</v>
      </c>
      <c r="F265" s="2">
        <v>11</v>
      </c>
      <c r="G265" s="2" t="s">
        <v>43</v>
      </c>
      <c r="H265" s="2" t="s">
        <v>20</v>
      </c>
      <c r="I265" s="2" t="s">
        <v>533</v>
      </c>
      <c r="J265" s="5">
        <v>93</v>
      </c>
    </row>
    <row r="266" spans="1:10" hidden="1" x14ac:dyDescent="0.3">
      <c r="A266" s="4" t="s">
        <v>534</v>
      </c>
      <c r="B266" s="2" t="s">
        <v>23</v>
      </c>
      <c r="C266" s="2" t="s">
        <v>19</v>
      </c>
      <c r="D266" s="2" t="s">
        <v>13</v>
      </c>
      <c r="E266" s="2">
        <v>20</v>
      </c>
      <c r="F266" s="2">
        <v>11</v>
      </c>
      <c r="G266" s="2" t="s">
        <v>32</v>
      </c>
      <c r="H266" s="2" t="s">
        <v>76</v>
      </c>
      <c r="I266" s="2" t="s">
        <v>358</v>
      </c>
      <c r="J266" s="5">
        <v>41</v>
      </c>
    </row>
    <row r="267" spans="1:10" hidden="1" x14ac:dyDescent="0.3">
      <c r="A267" s="4" t="s">
        <v>535</v>
      </c>
      <c r="B267" s="2" t="s">
        <v>84</v>
      </c>
      <c r="C267" s="2" t="s">
        <v>58</v>
      </c>
      <c r="D267" s="2" t="s">
        <v>13</v>
      </c>
      <c r="E267" s="2">
        <v>20</v>
      </c>
      <c r="F267" s="2">
        <v>9</v>
      </c>
      <c r="G267" s="2" t="s">
        <v>25</v>
      </c>
      <c r="H267" s="2" t="s">
        <v>46</v>
      </c>
      <c r="I267" s="2" t="s">
        <v>536</v>
      </c>
      <c r="J267" s="5">
        <v>58</v>
      </c>
    </row>
    <row r="268" spans="1:10" x14ac:dyDescent="0.3">
      <c r="A268" s="19" t="s">
        <v>537</v>
      </c>
      <c r="B268" s="15" t="s">
        <v>68</v>
      </c>
      <c r="C268" s="15" t="s">
        <v>36</v>
      </c>
      <c r="D268" s="59" t="s">
        <v>31</v>
      </c>
      <c r="E268" s="15">
        <v>16</v>
      </c>
      <c r="F268" s="59">
        <v>12</v>
      </c>
      <c r="G268" s="15" t="s">
        <v>25</v>
      </c>
      <c r="H268" s="15" t="s">
        <v>26</v>
      </c>
      <c r="I268" s="15" t="s">
        <v>538</v>
      </c>
      <c r="J268" s="20">
        <v>42</v>
      </c>
    </row>
    <row r="269" spans="1:10" x14ac:dyDescent="0.3">
      <c r="A269" s="19" t="s">
        <v>539</v>
      </c>
      <c r="B269" s="15" t="s">
        <v>73</v>
      </c>
      <c r="C269" s="15" t="s">
        <v>36</v>
      </c>
      <c r="D269" s="59" t="s">
        <v>31</v>
      </c>
      <c r="E269" s="15">
        <v>14</v>
      </c>
      <c r="F269" s="59">
        <v>12</v>
      </c>
      <c r="G269" s="15" t="s">
        <v>43</v>
      </c>
      <c r="H269" s="15" t="s">
        <v>61</v>
      </c>
      <c r="I269" s="15" t="s">
        <v>387</v>
      </c>
      <c r="J269" s="20">
        <v>37</v>
      </c>
    </row>
    <row r="270" spans="1:10" hidden="1" x14ac:dyDescent="0.3">
      <c r="A270" s="4" t="s">
        <v>540</v>
      </c>
      <c r="B270" s="2" t="s">
        <v>51</v>
      </c>
      <c r="C270" s="2" t="s">
        <v>85</v>
      </c>
      <c r="D270" s="2" t="s">
        <v>13</v>
      </c>
      <c r="E270" s="2">
        <v>18</v>
      </c>
      <c r="F270" s="2">
        <v>10</v>
      </c>
      <c r="G270" s="2" t="s">
        <v>14</v>
      </c>
      <c r="H270" s="2" t="s">
        <v>46</v>
      </c>
      <c r="I270" s="2" t="s">
        <v>541</v>
      </c>
      <c r="J270" s="5">
        <v>63</v>
      </c>
    </row>
    <row r="271" spans="1:10" x14ac:dyDescent="0.3">
      <c r="A271" s="19" t="s">
        <v>542</v>
      </c>
      <c r="B271" s="15" t="s">
        <v>84</v>
      </c>
      <c r="C271" s="15" t="s">
        <v>55</v>
      </c>
      <c r="D271" s="59" t="s">
        <v>31</v>
      </c>
      <c r="E271" s="15">
        <v>18</v>
      </c>
      <c r="F271" s="59">
        <v>12</v>
      </c>
      <c r="G271" s="15" t="s">
        <v>32</v>
      </c>
      <c r="H271" s="15" t="s">
        <v>40</v>
      </c>
      <c r="I271" s="15" t="s">
        <v>543</v>
      </c>
      <c r="J271" s="20">
        <v>51</v>
      </c>
    </row>
    <row r="272" spans="1:10" hidden="1" x14ac:dyDescent="0.3">
      <c r="A272" s="4" t="s">
        <v>544</v>
      </c>
      <c r="B272" s="2" t="s">
        <v>68</v>
      </c>
      <c r="C272" s="2" t="s">
        <v>19</v>
      </c>
      <c r="D272" s="2" t="s">
        <v>31</v>
      </c>
      <c r="E272" s="2">
        <v>16</v>
      </c>
      <c r="F272" s="2">
        <v>9</v>
      </c>
      <c r="G272" s="2" t="s">
        <v>14</v>
      </c>
      <c r="H272" s="2" t="s">
        <v>40</v>
      </c>
      <c r="I272" s="2" t="s">
        <v>545</v>
      </c>
      <c r="J272" s="5">
        <v>37</v>
      </c>
    </row>
    <row r="273" spans="1:10" hidden="1" x14ac:dyDescent="0.3">
      <c r="A273" s="4" t="s">
        <v>546</v>
      </c>
      <c r="B273" s="2" t="s">
        <v>51</v>
      </c>
      <c r="C273" s="2" t="s">
        <v>36</v>
      </c>
      <c r="D273" s="2" t="s">
        <v>31</v>
      </c>
      <c r="E273" s="2">
        <v>14</v>
      </c>
      <c r="F273" s="2">
        <v>9</v>
      </c>
      <c r="G273" s="2" t="s">
        <v>14</v>
      </c>
      <c r="H273" s="2" t="s">
        <v>46</v>
      </c>
      <c r="I273" s="2" t="s">
        <v>547</v>
      </c>
      <c r="J273" s="5">
        <v>81</v>
      </c>
    </row>
    <row r="274" spans="1:10" hidden="1" x14ac:dyDescent="0.3">
      <c r="A274" s="4" t="s">
        <v>548</v>
      </c>
      <c r="B274" s="2" t="s">
        <v>51</v>
      </c>
      <c r="C274" s="2" t="s">
        <v>24</v>
      </c>
      <c r="D274" s="2" t="s">
        <v>31</v>
      </c>
      <c r="E274" s="2">
        <v>15</v>
      </c>
      <c r="F274" s="2">
        <v>11</v>
      </c>
      <c r="G274" s="2" t="s">
        <v>32</v>
      </c>
      <c r="H274" s="2" t="s">
        <v>40</v>
      </c>
      <c r="I274" s="2" t="s">
        <v>549</v>
      </c>
      <c r="J274" s="5">
        <v>90</v>
      </c>
    </row>
    <row r="275" spans="1:10" hidden="1" x14ac:dyDescent="0.3">
      <c r="A275" s="4" t="s">
        <v>550</v>
      </c>
      <c r="B275" s="2" t="s">
        <v>73</v>
      </c>
      <c r="C275" s="2" t="s">
        <v>19</v>
      </c>
      <c r="D275" s="2" t="s">
        <v>13</v>
      </c>
      <c r="E275" s="2">
        <v>14</v>
      </c>
      <c r="F275" s="2">
        <v>11</v>
      </c>
      <c r="G275" s="2" t="s">
        <v>32</v>
      </c>
      <c r="H275" s="2" t="s">
        <v>26</v>
      </c>
      <c r="I275" s="2" t="s">
        <v>551</v>
      </c>
      <c r="J275" s="5">
        <v>90</v>
      </c>
    </row>
    <row r="276" spans="1:10" hidden="1" x14ac:dyDescent="0.3">
      <c r="A276" s="4" t="s">
        <v>552</v>
      </c>
      <c r="B276" s="2" t="s">
        <v>35</v>
      </c>
      <c r="C276" s="2" t="s">
        <v>30</v>
      </c>
      <c r="D276" s="2" t="s">
        <v>13</v>
      </c>
      <c r="E276" s="2">
        <v>19</v>
      </c>
      <c r="F276" s="2">
        <v>11</v>
      </c>
      <c r="G276" s="2" t="s">
        <v>14</v>
      </c>
      <c r="H276" s="2" t="s">
        <v>76</v>
      </c>
      <c r="I276" s="2" t="s">
        <v>553</v>
      </c>
      <c r="J276" s="5">
        <v>81</v>
      </c>
    </row>
    <row r="277" spans="1:10" hidden="1" x14ac:dyDescent="0.3">
      <c r="A277" s="4" t="s">
        <v>554</v>
      </c>
      <c r="B277" s="2" t="s">
        <v>29</v>
      </c>
      <c r="C277" s="2" t="s">
        <v>79</v>
      </c>
      <c r="D277" s="2" t="s">
        <v>13</v>
      </c>
      <c r="E277" s="2">
        <v>15</v>
      </c>
      <c r="F277" s="2">
        <v>9</v>
      </c>
      <c r="G277" s="2" t="s">
        <v>32</v>
      </c>
      <c r="H277" s="2" t="s">
        <v>76</v>
      </c>
      <c r="I277" s="2" t="s">
        <v>184</v>
      </c>
      <c r="J277" s="5">
        <v>53</v>
      </c>
    </row>
    <row r="278" spans="1:10" hidden="1" x14ac:dyDescent="0.3">
      <c r="A278" s="4" t="s">
        <v>555</v>
      </c>
      <c r="B278" s="2" t="s">
        <v>73</v>
      </c>
      <c r="C278" s="2" t="s">
        <v>55</v>
      </c>
      <c r="D278" s="2" t="s">
        <v>31</v>
      </c>
      <c r="E278" s="2">
        <v>16</v>
      </c>
      <c r="F278" s="2">
        <v>9</v>
      </c>
      <c r="G278" s="2" t="s">
        <v>14</v>
      </c>
      <c r="H278" s="2" t="s">
        <v>76</v>
      </c>
      <c r="I278" s="2" t="s">
        <v>556</v>
      </c>
      <c r="J278" s="5">
        <v>93</v>
      </c>
    </row>
    <row r="279" spans="1:10" hidden="1" x14ac:dyDescent="0.3">
      <c r="A279" s="4" t="s">
        <v>557</v>
      </c>
      <c r="B279" s="2" t="s">
        <v>23</v>
      </c>
      <c r="C279" s="2" t="s">
        <v>96</v>
      </c>
      <c r="D279" s="2" t="s">
        <v>13</v>
      </c>
      <c r="E279" s="2">
        <v>18</v>
      </c>
      <c r="F279" s="2">
        <v>11</v>
      </c>
      <c r="G279" s="2" t="s">
        <v>25</v>
      </c>
      <c r="H279" s="2" t="s">
        <v>76</v>
      </c>
      <c r="I279" s="2" t="s">
        <v>182</v>
      </c>
      <c r="J279" s="5">
        <v>77</v>
      </c>
    </row>
    <row r="280" spans="1:10" hidden="1" x14ac:dyDescent="0.3">
      <c r="A280" s="4" t="s">
        <v>558</v>
      </c>
      <c r="B280" s="2" t="s">
        <v>54</v>
      </c>
      <c r="C280" s="2" t="s">
        <v>30</v>
      </c>
      <c r="D280" s="2" t="s">
        <v>31</v>
      </c>
      <c r="E280" s="2">
        <v>19</v>
      </c>
      <c r="F280" s="2">
        <v>10</v>
      </c>
      <c r="G280" s="2" t="s">
        <v>43</v>
      </c>
      <c r="H280" s="2" t="s">
        <v>76</v>
      </c>
      <c r="I280" s="2" t="s">
        <v>559</v>
      </c>
      <c r="J280" s="5">
        <v>40</v>
      </c>
    </row>
    <row r="281" spans="1:10" hidden="1" x14ac:dyDescent="0.3">
      <c r="A281" s="4" t="s">
        <v>560</v>
      </c>
      <c r="B281" s="2" t="s">
        <v>68</v>
      </c>
      <c r="C281" s="2" t="s">
        <v>85</v>
      </c>
      <c r="D281" s="2" t="s">
        <v>31</v>
      </c>
      <c r="E281" s="2">
        <v>15</v>
      </c>
      <c r="F281" s="2">
        <v>10</v>
      </c>
      <c r="G281" s="2" t="s">
        <v>43</v>
      </c>
      <c r="H281" s="2" t="s">
        <v>26</v>
      </c>
      <c r="I281" s="2" t="s">
        <v>561</v>
      </c>
      <c r="J281" s="5">
        <v>63</v>
      </c>
    </row>
    <row r="282" spans="1:10" x14ac:dyDescent="0.3">
      <c r="A282" s="19" t="s">
        <v>562</v>
      </c>
      <c r="B282" s="15" t="s">
        <v>29</v>
      </c>
      <c r="C282" s="15" t="s">
        <v>79</v>
      </c>
      <c r="D282" s="59" t="s">
        <v>31</v>
      </c>
      <c r="E282" s="15">
        <v>15</v>
      </c>
      <c r="F282" s="59">
        <v>12</v>
      </c>
      <c r="G282" s="15" t="s">
        <v>32</v>
      </c>
      <c r="H282" s="15" t="s">
        <v>46</v>
      </c>
      <c r="I282" s="15" t="s">
        <v>121</v>
      </c>
      <c r="J282" s="20">
        <v>53</v>
      </c>
    </row>
    <row r="283" spans="1:10" hidden="1" x14ac:dyDescent="0.3">
      <c r="A283" s="4" t="s">
        <v>563</v>
      </c>
      <c r="B283" s="2" t="s">
        <v>35</v>
      </c>
      <c r="C283" s="2" t="s">
        <v>55</v>
      </c>
      <c r="D283" s="2" t="s">
        <v>31</v>
      </c>
      <c r="E283" s="2">
        <v>19</v>
      </c>
      <c r="F283" s="2">
        <v>10</v>
      </c>
      <c r="G283" s="2" t="s">
        <v>43</v>
      </c>
      <c r="H283" s="2" t="s">
        <v>46</v>
      </c>
      <c r="I283" s="2" t="s">
        <v>564</v>
      </c>
      <c r="J283" s="5">
        <v>72</v>
      </c>
    </row>
    <row r="284" spans="1:10" hidden="1" x14ac:dyDescent="0.3">
      <c r="A284" s="4" t="s">
        <v>565</v>
      </c>
      <c r="B284" s="2" t="s">
        <v>54</v>
      </c>
      <c r="C284" s="2" t="s">
        <v>79</v>
      </c>
      <c r="D284" s="2" t="s">
        <v>31</v>
      </c>
      <c r="E284" s="2">
        <v>20</v>
      </c>
      <c r="F284" s="2">
        <v>9</v>
      </c>
      <c r="G284" s="2" t="s">
        <v>43</v>
      </c>
      <c r="H284" s="2" t="s">
        <v>20</v>
      </c>
      <c r="I284" s="2" t="s">
        <v>566</v>
      </c>
      <c r="J284" s="5">
        <v>67</v>
      </c>
    </row>
    <row r="285" spans="1:10" x14ac:dyDescent="0.3">
      <c r="A285" s="19" t="s">
        <v>567</v>
      </c>
      <c r="B285" s="15" t="s">
        <v>54</v>
      </c>
      <c r="C285" s="15" t="s">
        <v>12</v>
      </c>
      <c r="D285" s="59" t="s">
        <v>31</v>
      </c>
      <c r="E285" s="15">
        <v>18</v>
      </c>
      <c r="F285" s="59">
        <v>12</v>
      </c>
      <c r="G285" s="15" t="s">
        <v>25</v>
      </c>
      <c r="H285" s="15" t="s">
        <v>26</v>
      </c>
      <c r="I285" s="15" t="s">
        <v>568</v>
      </c>
      <c r="J285" s="20">
        <v>96</v>
      </c>
    </row>
    <row r="286" spans="1:10" hidden="1" x14ac:dyDescent="0.3">
      <c r="A286" s="4" t="s">
        <v>569</v>
      </c>
      <c r="B286" s="2" t="s">
        <v>54</v>
      </c>
      <c r="C286" s="2" t="s">
        <v>12</v>
      </c>
      <c r="D286" s="2" t="s">
        <v>31</v>
      </c>
      <c r="E286" s="2">
        <v>17</v>
      </c>
      <c r="F286" s="2">
        <v>9</v>
      </c>
      <c r="G286" s="2" t="s">
        <v>25</v>
      </c>
      <c r="H286" s="2" t="s">
        <v>37</v>
      </c>
      <c r="I286" s="2" t="s">
        <v>570</v>
      </c>
      <c r="J286" s="5">
        <v>100</v>
      </c>
    </row>
    <row r="287" spans="1:10" hidden="1" x14ac:dyDescent="0.3">
      <c r="A287" s="4" t="s">
        <v>571</v>
      </c>
      <c r="B287" s="2" t="s">
        <v>68</v>
      </c>
      <c r="C287" s="2" t="s">
        <v>12</v>
      </c>
      <c r="D287" s="2" t="s">
        <v>13</v>
      </c>
      <c r="E287" s="2">
        <v>16</v>
      </c>
      <c r="F287" s="2">
        <v>10</v>
      </c>
      <c r="G287" s="2" t="s">
        <v>25</v>
      </c>
      <c r="H287" s="2" t="s">
        <v>26</v>
      </c>
      <c r="I287" s="2" t="s">
        <v>434</v>
      </c>
      <c r="J287" s="5">
        <v>63</v>
      </c>
    </row>
    <row r="288" spans="1:10" hidden="1" x14ac:dyDescent="0.3">
      <c r="A288" s="4" t="s">
        <v>572</v>
      </c>
      <c r="B288" s="2" t="s">
        <v>23</v>
      </c>
      <c r="C288" s="2" t="s">
        <v>19</v>
      </c>
      <c r="D288" s="2" t="s">
        <v>31</v>
      </c>
      <c r="E288" s="2">
        <v>19</v>
      </c>
      <c r="F288" s="2">
        <v>10</v>
      </c>
      <c r="G288" s="2" t="s">
        <v>32</v>
      </c>
      <c r="H288" s="2" t="s">
        <v>20</v>
      </c>
      <c r="I288" s="2" t="s">
        <v>400</v>
      </c>
      <c r="J288" s="5">
        <v>53</v>
      </c>
    </row>
    <row r="289" spans="1:10" hidden="1" x14ac:dyDescent="0.3">
      <c r="A289" s="4" t="s">
        <v>573</v>
      </c>
      <c r="B289" s="2" t="s">
        <v>54</v>
      </c>
      <c r="C289" s="2" t="s">
        <v>24</v>
      </c>
      <c r="D289" s="2" t="s">
        <v>13</v>
      </c>
      <c r="E289" s="2">
        <v>19</v>
      </c>
      <c r="F289" s="2">
        <v>9</v>
      </c>
      <c r="G289" s="2" t="s">
        <v>43</v>
      </c>
      <c r="H289" s="2" t="s">
        <v>46</v>
      </c>
      <c r="I289" s="2" t="s">
        <v>574</v>
      </c>
      <c r="J289" s="5">
        <v>94</v>
      </c>
    </row>
    <row r="290" spans="1:10" hidden="1" x14ac:dyDescent="0.3">
      <c r="A290" s="4" t="s">
        <v>575</v>
      </c>
      <c r="B290" s="2" t="s">
        <v>35</v>
      </c>
      <c r="C290" s="2" t="s">
        <v>30</v>
      </c>
      <c r="D290" s="2" t="s">
        <v>31</v>
      </c>
      <c r="E290" s="2">
        <v>14</v>
      </c>
      <c r="F290" s="2">
        <v>10</v>
      </c>
      <c r="G290" s="2" t="s">
        <v>32</v>
      </c>
      <c r="H290" s="2" t="s">
        <v>40</v>
      </c>
      <c r="I290" s="2" t="s">
        <v>576</v>
      </c>
      <c r="J290" s="5">
        <v>50</v>
      </c>
    </row>
    <row r="291" spans="1:10" hidden="1" x14ac:dyDescent="0.3">
      <c r="A291" s="4" t="s">
        <v>577</v>
      </c>
      <c r="B291" s="2" t="s">
        <v>84</v>
      </c>
      <c r="C291" s="2" t="s">
        <v>79</v>
      </c>
      <c r="D291" s="2" t="s">
        <v>31</v>
      </c>
      <c r="E291" s="2">
        <v>15</v>
      </c>
      <c r="F291" s="2">
        <v>11</v>
      </c>
      <c r="G291" s="2" t="s">
        <v>25</v>
      </c>
      <c r="H291" s="2" t="s">
        <v>40</v>
      </c>
      <c r="I291" s="2" t="s">
        <v>578</v>
      </c>
      <c r="J291" s="5">
        <v>72</v>
      </c>
    </row>
    <row r="292" spans="1:10" hidden="1" x14ac:dyDescent="0.3">
      <c r="A292" s="4" t="s">
        <v>579</v>
      </c>
      <c r="B292" s="2" t="s">
        <v>51</v>
      </c>
      <c r="C292" s="2" t="s">
        <v>55</v>
      </c>
      <c r="D292" s="2" t="s">
        <v>31</v>
      </c>
      <c r="E292" s="2">
        <v>20</v>
      </c>
      <c r="F292" s="2">
        <v>9</v>
      </c>
      <c r="G292" s="2" t="s">
        <v>25</v>
      </c>
      <c r="H292" s="2" t="s">
        <v>26</v>
      </c>
      <c r="I292" s="2" t="s">
        <v>212</v>
      </c>
      <c r="J292" s="5">
        <v>35</v>
      </c>
    </row>
    <row r="293" spans="1:10" hidden="1" x14ac:dyDescent="0.3">
      <c r="A293" s="4" t="s">
        <v>580</v>
      </c>
      <c r="B293" s="2" t="s">
        <v>29</v>
      </c>
      <c r="C293" s="2" t="s">
        <v>36</v>
      </c>
      <c r="D293" s="2" t="s">
        <v>13</v>
      </c>
      <c r="E293" s="2">
        <v>17</v>
      </c>
      <c r="F293" s="2">
        <v>10</v>
      </c>
      <c r="G293" s="2" t="s">
        <v>32</v>
      </c>
      <c r="H293" s="2" t="s">
        <v>15</v>
      </c>
      <c r="I293" s="2" t="s">
        <v>581</v>
      </c>
      <c r="J293" s="5">
        <v>37</v>
      </c>
    </row>
    <row r="294" spans="1:10" hidden="1" x14ac:dyDescent="0.3">
      <c r="A294" s="4" t="s">
        <v>582</v>
      </c>
      <c r="B294" s="2" t="s">
        <v>51</v>
      </c>
      <c r="C294" s="2" t="s">
        <v>55</v>
      </c>
      <c r="D294" s="2" t="s">
        <v>31</v>
      </c>
      <c r="E294" s="2">
        <v>14</v>
      </c>
      <c r="F294" s="2">
        <v>11</v>
      </c>
      <c r="G294" s="2" t="s">
        <v>25</v>
      </c>
      <c r="H294" s="2" t="s">
        <v>37</v>
      </c>
      <c r="I294" s="2" t="s">
        <v>583</v>
      </c>
      <c r="J294" s="5">
        <v>47</v>
      </c>
    </row>
    <row r="295" spans="1:10" hidden="1" x14ac:dyDescent="0.3">
      <c r="A295" s="4" t="s">
        <v>584</v>
      </c>
      <c r="B295" s="2" t="s">
        <v>68</v>
      </c>
      <c r="C295" s="2" t="s">
        <v>55</v>
      </c>
      <c r="D295" s="2" t="s">
        <v>31</v>
      </c>
      <c r="E295" s="2">
        <v>16</v>
      </c>
      <c r="F295" s="2">
        <v>9</v>
      </c>
      <c r="G295" s="2" t="s">
        <v>14</v>
      </c>
      <c r="H295" s="2" t="s">
        <v>61</v>
      </c>
      <c r="I295" s="2" t="s">
        <v>585</v>
      </c>
      <c r="J295" s="5">
        <v>59</v>
      </c>
    </row>
    <row r="296" spans="1:10" hidden="1" x14ac:dyDescent="0.3">
      <c r="A296" s="4" t="s">
        <v>586</v>
      </c>
      <c r="B296" s="2" t="s">
        <v>11</v>
      </c>
      <c r="C296" s="2" t="s">
        <v>24</v>
      </c>
      <c r="D296" s="2" t="s">
        <v>31</v>
      </c>
      <c r="E296" s="2">
        <v>17</v>
      </c>
      <c r="F296" s="2">
        <v>11</v>
      </c>
      <c r="G296" s="2" t="s">
        <v>43</v>
      </c>
      <c r="H296" s="2" t="s">
        <v>61</v>
      </c>
      <c r="I296" s="2" t="s">
        <v>587</v>
      </c>
      <c r="J296" s="5">
        <v>73</v>
      </c>
    </row>
    <row r="297" spans="1:10" hidden="1" x14ac:dyDescent="0.3">
      <c r="A297" s="4" t="s">
        <v>588</v>
      </c>
      <c r="B297" s="2" t="s">
        <v>68</v>
      </c>
      <c r="C297" s="2" t="s">
        <v>85</v>
      </c>
      <c r="D297" s="2" t="s">
        <v>31</v>
      </c>
      <c r="E297" s="2">
        <v>17</v>
      </c>
      <c r="F297" s="2">
        <v>9</v>
      </c>
      <c r="G297" s="2" t="s">
        <v>25</v>
      </c>
      <c r="H297" s="2" t="s">
        <v>61</v>
      </c>
      <c r="I297" s="2" t="s">
        <v>589</v>
      </c>
      <c r="J297" s="5">
        <v>45</v>
      </c>
    </row>
    <row r="298" spans="1:10" hidden="1" x14ac:dyDescent="0.3">
      <c r="A298" s="4" t="s">
        <v>590</v>
      </c>
      <c r="B298" s="2" t="s">
        <v>35</v>
      </c>
      <c r="C298" s="2" t="s">
        <v>12</v>
      </c>
      <c r="D298" s="2" t="s">
        <v>13</v>
      </c>
      <c r="E298" s="2">
        <v>14</v>
      </c>
      <c r="F298" s="2">
        <v>11</v>
      </c>
      <c r="G298" s="2" t="s">
        <v>25</v>
      </c>
      <c r="H298" s="2" t="s">
        <v>20</v>
      </c>
      <c r="I298" s="2" t="s">
        <v>591</v>
      </c>
      <c r="J298" s="5">
        <v>64</v>
      </c>
    </row>
    <row r="299" spans="1:10" hidden="1" x14ac:dyDescent="0.3">
      <c r="A299" s="4" t="s">
        <v>592</v>
      </c>
      <c r="B299" s="2" t="s">
        <v>51</v>
      </c>
      <c r="C299" s="2" t="s">
        <v>19</v>
      </c>
      <c r="D299" s="2" t="s">
        <v>31</v>
      </c>
      <c r="E299" s="2">
        <v>18</v>
      </c>
      <c r="F299" s="2">
        <v>10</v>
      </c>
      <c r="G299" s="2" t="s">
        <v>43</v>
      </c>
      <c r="H299" s="2" t="s">
        <v>76</v>
      </c>
      <c r="I299" s="2" t="s">
        <v>593</v>
      </c>
      <c r="J299" s="5">
        <v>98</v>
      </c>
    </row>
    <row r="300" spans="1:10" hidden="1" x14ac:dyDescent="0.3">
      <c r="A300" s="4" t="s">
        <v>594</v>
      </c>
      <c r="B300" s="2" t="s">
        <v>54</v>
      </c>
      <c r="C300" s="2" t="s">
        <v>55</v>
      </c>
      <c r="D300" s="2" t="s">
        <v>13</v>
      </c>
      <c r="E300" s="2">
        <v>20</v>
      </c>
      <c r="F300" s="2">
        <v>11</v>
      </c>
      <c r="G300" s="2" t="s">
        <v>43</v>
      </c>
      <c r="H300" s="2" t="s">
        <v>40</v>
      </c>
      <c r="I300" s="2" t="s">
        <v>595</v>
      </c>
      <c r="J300" s="5">
        <v>84</v>
      </c>
    </row>
    <row r="301" spans="1:10" hidden="1" x14ac:dyDescent="0.3">
      <c r="A301" s="4" t="s">
        <v>596</v>
      </c>
      <c r="B301" s="2" t="s">
        <v>11</v>
      </c>
      <c r="C301" s="2" t="s">
        <v>30</v>
      </c>
      <c r="D301" s="2" t="s">
        <v>13</v>
      </c>
      <c r="E301" s="2">
        <v>14</v>
      </c>
      <c r="F301" s="2">
        <v>9</v>
      </c>
      <c r="G301" s="2" t="s">
        <v>25</v>
      </c>
      <c r="H301" s="2" t="s">
        <v>76</v>
      </c>
      <c r="I301" s="2" t="s">
        <v>447</v>
      </c>
      <c r="J301" s="5">
        <v>62</v>
      </c>
    </row>
    <row r="302" spans="1:10" hidden="1" x14ac:dyDescent="0.3">
      <c r="A302" s="4" t="s">
        <v>597</v>
      </c>
      <c r="B302" s="2" t="s">
        <v>18</v>
      </c>
      <c r="C302" s="2" t="s">
        <v>85</v>
      </c>
      <c r="D302" s="2" t="s">
        <v>31</v>
      </c>
      <c r="E302" s="2">
        <v>18</v>
      </c>
      <c r="F302" s="2">
        <v>11</v>
      </c>
      <c r="G302" s="2" t="s">
        <v>43</v>
      </c>
      <c r="H302" s="2" t="s">
        <v>40</v>
      </c>
      <c r="I302" s="2" t="s">
        <v>598</v>
      </c>
      <c r="J302" s="5">
        <v>55</v>
      </c>
    </row>
    <row r="303" spans="1:10" hidden="1" x14ac:dyDescent="0.3">
      <c r="A303" s="4" t="s">
        <v>599</v>
      </c>
      <c r="B303" s="2" t="s">
        <v>84</v>
      </c>
      <c r="C303" s="2" t="s">
        <v>30</v>
      </c>
      <c r="D303" s="2" t="s">
        <v>13</v>
      </c>
      <c r="E303" s="2">
        <v>17</v>
      </c>
      <c r="F303" s="2">
        <v>11</v>
      </c>
      <c r="G303" s="2" t="s">
        <v>43</v>
      </c>
      <c r="H303" s="2" t="s">
        <v>15</v>
      </c>
      <c r="I303" s="2" t="s">
        <v>600</v>
      </c>
      <c r="J303" s="5">
        <v>73</v>
      </c>
    </row>
    <row r="304" spans="1:10" hidden="1" x14ac:dyDescent="0.3">
      <c r="A304" s="4" t="s">
        <v>601</v>
      </c>
      <c r="B304" s="2" t="s">
        <v>73</v>
      </c>
      <c r="C304" s="2" t="s">
        <v>55</v>
      </c>
      <c r="D304" s="2" t="s">
        <v>31</v>
      </c>
      <c r="E304" s="2">
        <v>17</v>
      </c>
      <c r="F304" s="2">
        <v>11</v>
      </c>
      <c r="G304" s="2" t="s">
        <v>43</v>
      </c>
      <c r="H304" s="2" t="s">
        <v>61</v>
      </c>
      <c r="I304" s="2" t="s">
        <v>502</v>
      </c>
      <c r="J304" s="5">
        <v>76</v>
      </c>
    </row>
    <row r="305" spans="1:10" hidden="1" x14ac:dyDescent="0.3">
      <c r="A305" s="4" t="s">
        <v>602</v>
      </c>
      <c r="B305" s="2" t="s">
        <v>23</v>
      </c>
      <c r="C305" s="2" t="s">
        <v>19</v>
      </c>
      <c r="D305" s="2" t="s">
        <v>13</v>
      </c>
      <c r="E305" s="2">
        <v>15</v>
      </c>
      <c r="F305" s="2">
        <v>12</v>
      </c>
      <c r="G305" s="2" t="s">
        <v>14</v>
      </c>
      <c r="H305" s="2" t="s">
        <v>61</v>
      </c>
      <c r="I305" s="2" t="s">
        <v>603</v>
      </c>
      <c r="J305" s="5">
        <v>54</v>
      </c>
    </row>
    <row r="306" spans="1:10" x14ac:dyDescent="0.3">
      <c r="A306" s="19" t="s">
        <v>604</v>
      </c>
      <c r="B306" s="15" t="s">
        <v>51</v>
      </c>
      <c r="C306" s="15" t="s">
        <v>85</v>
      </c>
      <c r="D306" s="59" t="s">
        <v>31</v>
      </c>
      <c r="E306" s="15">
        <v>20</v>
      </c>
      <c r="F306" s="59">
        <v>12</v>
      </c>
      <c r="G306" s="15" t="s">
        <v>25</v>
      </c>
      <c r="H306" s="15" t="s">
        <v>26</v>
      </c>
      <c r="I306" s="15" t="s">
        <v>299</v>
      </c>
      <c r="J306" s="20">
        <v>69</v>
      </c>
    </row>
    <row r="307" spans="1:10" hidden="1" x14ac:dyDescent="0.3">
      <c r="A307" s="4" t="s">
        <v>605</v>
      </c>
      <c r="B307" s="2" t="s">
        <v>54</v>
      </c>
      <c r="C307" s="2" t="s">
        <v>19</v>
      </c>
      <c r="D307" s="2" t="s">
        <v>31</v>
      </c>
      <c r="E307" s="2">
        <v>20</v>
      </c>
      <c r="F307" s="2">
        <v>10</v>
      </c>
      <c r="G307" s="2" t="s">
        <v>43</v>
      </c>
      <c r="H307" s="2" t="s">
        <v>37</v>
      </c>
      <c r="I307" s="2" t="s">
        <v>606</v>
      </c>
      <c r="J307" s="5">
        <v>99</v>
      </c>
    </row>
    <row r="308" spans="1:10" hidden="1" x14ac:dyDescent="0.3">
      <c r="A308" s="4" t="s">
        <v>607</v>
      </c>
      <c r="B308" s="2" t="s">
        <v>68</v>
      </c>
      <c r="C308" s="2" t="s">
        <v>55</v>
      </c>
      <c r="D308" s="2" t="s">
        <v>13</v>
      </c>
      <c r="E308" s="2">
        <v>19</v>
      </c>
      <c r="F308" s="2">
        <v>11</v>
      </c>
      <c r="G308" s="2" t="s">
        <v>25</v>
      </c>
      <c r="H308" s="2" t="s">
        <v>20</v>
      </c>
      <c r="I308" s="2" t="s">
        <v>608</v>
      </c>
      <c r="J308" s="5">
        <v>43</v>
      </c>
    </row>
    <row r="309" spans="1:10" hidden="1" x14ac:dyDescent="0.3">
      <c r="A309" s="4" t="s">
        <v>609</v>
      </c>
      <c r="B309" s="2" t="s">
        <v>68</v>
      </c>
      <c r="C309" s="2" t="s">
        <v>58</v>
      </c>
      <c r="D309" s="2" t="s">
        <v>13</v>
      </c>
      <c r="E309" s="2">
        <v>14</v>
      </c>
      <c r="F309" s="2">
        <v>10</v>
      </c>
      <c r="G309" s="2" t="s">
        <v>25</v>
      </c>
      <c r="H309" s="2" t="s">
        <v>37</v>
      </c>
      <c r="I309" s="2" t="s">
        <v>610</v>
      </c>
      <c r="J309" s="5">
        <v>90</v>
      </c>
    </row>
    <row r="310" spans="1:10" x14ac:dyDescent="0.3">
      <c r="A310" s="19" t="s">
        <v>611</v>
      </c>
      <c r="B310" s="15" t="s">
        <v>18</v>
      </c>
      <c r="C310" s="15" t="s">
        <v>24</v>
      </c>
      <c r="D310" s="59" t="s">
        <v>31</v>
      </c>
      <c r="E310" s="15">
        <v>19</v>
      </c>
      <c r="F310" s="59">
        <v>12</v>
      </c>
      <c r="G310" s="15" t="s">
        <v>43</v>
      </c>
      <c r="H310" s="15" t="s">
        <v>26</v>
      </c>
      <c r="I310" s="15" t="s">
        <v>612</v>
      </c>
      <c r="J310" s="20">
        <v>82</v>
      </c>
    </row>
    <row r="311" spans="1:10" hidden="1" x14ac:dyDescent="0.3">
      <c r="A311" s="4" t="s">
        <v>613</v>
      </c>
      <c r="B311" s="2" t="s">
        <v>68</v>
      </c>
      <c r="C311" s="2" t="s">
        <v>85</v>
      </c>
      <c r="D311" s="2" t="s">
        <v>31</v>
      </c>
      <c r="E311" s="2">
        <v>15</v>
      </c>
      <c r="F311" s="2">
        <v>9</v>
      </c>
      <c r="G311" s="2" t="s">
        <v>32</v>
      </c>
      <c r="H311" s="2" t="s">
        <v>37</v>
      </c>
      <c r="I311" s="2" t="s">
        <v>614</v>
      </c>
      <c r="J311" s="5">
        <v>39</v>
      </c>
    </row>
    <row r="312" spans="1:10" hidden="1" x14ac:dyDescent="0.3">
      <c r="A312" s="4" t="s">
        <v>615</v>
      </c>
      <c r="B312" s="2" t="s">
        <v>18</v>
      </c>
      <c r="C312" s="2" t="s">
        <v>12</v>
      </c>
      <c r="D312" s="2" t="s">
        <v>13</v>
      </c>
      <c r="E312" s="2">
        <v>17</v>
      </c>
      <c r="F312" s="2">
        <v>12</v>
      </c>
      <c r="G312" s="2" t="s">
        <v>14</v>
      </c>
      <c r="H312" s="2" t="s">
        <v>61</v>
      </c>
      <c r="I312" s="2" t="s">
        <v>616</v>
      </c>
      <c r="J312" s="5">
        <v>99</v>
      </c>
    </row>
    <row r="313" spans="1:10" hidden="1" x14ac:dyDescent="0.3">
      <c r="A313" s="4" t="s">
        <v>617</v>
      </c>
      <c r="B313" s="2" t="s">
        <v>35</v>
      </c>
      <c r="C313" s="2" t="s">
        <v>12</v>
      </c>
      <c r="D313" s="2" t="s">
        <v>13</v>
      </c>
      <c r="E313" s="2">
        <v>15</v>
      </c>
      <c r="F313" s="2">
        <v>9</v>
      </c>
      <c r="G313" s="2" t="s">
        <v>25</v>
      </c>
      <c r="H313" s="2" t="s">
        <v>46</v>
      </c>
      <c r="I313" s="2" t="s">
        <v>155</v>
      </c>
      <c r="J313" s="5">
        <v>85</v>
      </c>
    </row>
    <row r="314" spans="1:10" hidden="1" x14ac:dyDescent="0.3">
      <c r="A314" s="4" t="s">
        <v>618</v>
      </c>
      <c r="B314" s="2" t="s">
        <v>73</v>
      </c>
      <c r="C314" s="2" t="s">
        <v>85</v>
      </c>
      <c r="D314" s="2" t="s">
        <v>31</v>
      </c>
      <c r="E314" s="2">
        <v>14</v>
      </c>
      <c r="F314" s="2">
        <v>11</v>
      </c>
      <c r="G314" s="2" t="s">
        <v>25</v>
      </c>
      <c r="H314" s="2" t="s">
        <v>20</v>
      </c>
      <c r="I314" s="2" t="s">
        <v>619</v>
      </c>
      <c r="J314" s="5">
        <v>67</v>
      </c>
    </row>
    <row r="315" spans="1:10" x14ac:dyDescent="0.3">
      <c r="A315" s="19" t="s">
        <v>620</v>
      </c>
      <c r="B315" s="15" t="s">
        <v>84</v>
      </c>
      <c r="C315" s="15" t="s">
        <v>24</v>
      </c>
      <c r="D315" s="59" t="s">
        <v>31</v>
      </c>
      <c r="E315" s="15">
        <v>19</v>
      </c>
      <c r="F315" s="59">
        <v>12</v>
      </c>
      <c r="G315" s="15" t="s">
        <v>14</v>
      </c>
      <c r="H315" s="15" t="s">
        <v>61</v>
      </c>
      <c r="I315" s="15" t="s">
        <v>621</v>
      </c>
      <c r="J315" s="20">
        <v>77</v>
      </c>
    </row>
    <row r="316" spans="1:10" x14ac:dyDescent="0.3">
      <c r="A316" s="19" t="s">
        <v>622</v>
      </c>
      <c r="B316" s="15" t="s">
        <v>23</v>
      </c>
      <c r="C316" s="15" t="s">
        <v>96</v>
      </c>
      <c r="D316" s="59" t="s">
        <v>31</v>
      </c>
      <c r="E316" s="15">
        <v>17</v>
      </c>
      <c r="F316" s="59">
        <v>12</v>
      </c>
      <c r="G316" s="15" t="s">
        <v>43</v>
      </c>
      <c r="H316" s="15" t="s">
        <v>46</v>
      </c>
      <c r="I316" s="15" t="s">
        <v>170</v>
      </c>
      <c r="J316" s="20">
        <v>62</v>
      </c>
    </row>
    <row r="317" spans="1:10" hidden="1" x14ac:dyDescent="0.3">
      <c r="A317" s="4" t="s">
        <v>623</v>
      </c>
      <c r="B317" s="2" t="s">
        <v>29</v>
      </c>
      <c r="C317" s="2" t="s">
        <v>12</v>
      </c>
      <c r="D317" s="2" t="s">
        <v>31</v>
      </c>
      <c r="E317" s="2">
        <v>19</v>
      </c>
      <c r="F317" s="2">
        <v>11</v>
      </c>
      <c r="G317" s="2" t="s">
        <v>25</v>
      </c>
      <c r="H317" s="2" t="s">
        <v>76</v>
      </c>
      <c r="I317" s="2" t="s">
        <v>624</v>
      </c>
      <c r="J317" s="5">
        <v>49</v>
      </c>
    </row>
    <row r="318" spans="1:10" x14ac:dyDescent="0.3">
      <c r="A318" s="19" t="s">
        <v>625</v>
      </c>
      <c r="B318" s="15" t="s">
        <v>68</v>
      </c>
      <c r="C318" s="15" t="s">
        <v>96</v>
      </c>
      <c r="D318" s="59" t="s">
        <v>31</v>
      </c>
      <c r="E318" s="15">
        <v>19</v>
      </c>
      <c r="F318" s="59">
        <v>12</v>
      </c>
      <c r="G318" s="15" t="s">
        <v>32</v>
      </c>
      <c r="H318" s="15" t="s">
        <v>15</v>
      </c>
      <c r="I318" s="15" t="s">
        <v>626</v>
      </c>
      <c r="J318" s="20">
        <v>86</v>
      </c>
    </row>
    <row r="319" spans="1:10" hidden="1" x14ac:dyDescent="0.3">
      <c r="A319" s="4" t="s">
        <v>627</v>
      </c>
      <c r="B319" s="2" t="s">
        <v>35</v>
      </c>
      <c r="C319" s="2" t="s">
        <v>85</v>
      </c>
      <c r="D319" s="2" t="s">
        <v>31</v>
      </c>
      <c r="E319" s="2">
        <v>16</v>
      </c>
      <c r="F319" s="2">
        <v>9</v>
      </c>
      <c r="G319" s="2" t="s">
        <v>43</v>
      </c>
      <c r="H319" s="2" t="s">
        <v>20</v>
      </c>
      <c r="I319" s="2" t="s">
        <v>628</v>
      </c>
      <c r="J319" s="5">
        <v>84</v>
      </c>
    </row>
    <row r="320" spans="1:10" hidden="1" x14ac:dyDescent="0.3">
      <c r="A320" s="4" t="s">
        <v>629</v>
      </c>
      <c r="B320" s="2" t="s">
        <v>35</v>
      </c>
      <c r="C320" s="2" t="s">
        <v>58</v>
      </c>
      <c r="D320" s="2" t="s">
        <v>13</v>
      </c>
      <c r="E320" s="2">
        <v>18</v>
      </c>
      <c r="F320" s="2">
        <v>9</v>
      </c>
      <c r="G320" s="2" t="s">
        <v>25</v>
      </c>
      <c r="H320" s="2" t="s">
        <v>76</v>
      </c>
      <c r="I320" s="2" t="s">
        <v>105</v>
      </c>
      <c r="J320" s="5">
        <v>82</v>
      </c>
    </row>
    <row r="321" spans="1:10" hidden="1" x14ac:dyDescent="0.3">
      <c r="A321" s="4" t="s">
        <v>630</v>
      </c>
      <c r="B321" s="2" t="s">
        <v>84</v>
      </c>
      <c r="C321" s="2" t="s">
        <v>96</v>
      </c>
      <c r="D321" s="2" t="s">
        <v>31</v>
      </c>
      <c r="E321" s="2">
        <v>19</v>
      </c>
      <c r="F321" s="2">
        <v>10</v>
      </c>
      <c r="G321" s="2" t="s">
        <v>43</v>
      </c>
      <c r="H321" s="2" t="s">
        <v>20</v>
      </c>
      <c r="I321" s="2" t="s">
        <v>631</v>
      </c>
      <c r="J321" s="5">
        <v>63</v>
      </c>
    </row>
    <row r="322" spans="1:10" hidden="1" x14ac:dyDescent="0.3">
      <c r="A322" s="4" t="s">
        <v>632</v>
      </c>
      <c r="B322" s="2" t="s">
        <v>54</v>
      </c>
      <c r="C322" s="2" t="s">
        <v>55</v>
      </c>
      <c r="D322" s="2" t="s">
        <v>31</v>
      </c>
      <c r="E322" s="2">
        <v>19</v>
      </c>
      <c r="F322" s="2">
        <v>11</v>
      </c>
      <c r="G322" s="2" t="s">
        <v>25</v>
      </c>
      <c r="H322" s="2" t="s">
        <v>61</v>
      </c>
      <c r="I322" s="2" t="s">
        <v>633</v>
      </c>
      <c r="J322" s="5">
        <v>82</v>
      </c>
    </row>
    <row r="323" spans="1:10" hidden="1" x14ac:dyDescent="0.3">
      <c r="A323" s="4" t="s">
        <v>634</v>
      </c>
      <c r="B323" s="2" t="s">
        <v>54</v>
      </c>
      <c r="C323" s="2" t="s">
        <v>30</v>
      </c>
      <c r="D323" s="2" t="s">
        <v>31</v>
      </c>
      <c r="E323" s="2">
        <v>15</v>
      </c>
      <c r="F323" s="2">
        <v>9</v>
      </c>
      <c r="G323" s="2" t="s">
        <v>25</v>
      </c>
      <c r="H323" s="2" t="s">
        <v>40</v>
      </c>
      <c r="I323" s="2" t="s">
        <v>635</v>
      </c>
      <c r="J323" s="5">
        <v>53</v>
      </c>
    </row>
    <row r="324" spans="1:10" hidden="1" x14ac:dyDescent="0.3">
      <c r="A324" s="4" t="s">
        <v>636</v>
      </c>
      <c r="B324" s="2" t="s">
        <v>11</v>
      </c>
      <c r="C324" s="2" t="s">
        <v>79</v>
      </c>
      <c r="D324" s="2" t="s">
        <v>13</v>
      </c>
      <c r="E324" s="2">
        <v>19</v>
      </c>
      <c r="F324" s="2">
        <v>9</v>
      </c>
      <c r="G324" s="2" t="s">
        <v>32</v>
      </c>
      <c r="H324" s="2" t="s">
        <v>76</v>
      </c>
      <c r="I324" s="2" t="s">
        <v>637</v>
      </c>
      <c r="J324" s="5">
        <v>97</v>
      </c>
    </row>
    <row r="325" spans="1:10" x14ac:dyDescent="0.3">
      <c r="A325" s="19" t="s">
        <v>638</v>
      </c>
      <c r="B325" s="15" t="s">
        <v>54</v>
      </c>
      <c r="C325" s="15" t="s">
        <v>12</v>
      </c>
      <c r="D325" s="59" t="s">
        <v>31</v>
      </c>
      <c r="E325" s="15">
        <v>15</v>
      </c>
      <c r="F325" s="59">
        <v>12</v>
      </c>
      <c r="G325" s="15" t="s">
        <v>43</v>
      </c>
      <c r="H325" s="15" t="s">
        <v>76</v>
      </c>
      <c r="I325" s="15" t="s">
        <v>639</v>
      </c>
      <c r="J325" s="20">
        <v>51</v>
      </c>
    </row>
    <row r="326" spans="1:10" hidden="1" x14ac:dyDescent="0.3">
      <c r="A326" s="4" t="s">
        <v>640</v>
      </c>
      <c r="B326" s="2" t="s">
        <v>84</v>
      </c>
      <c r="C326" s="2" t="s">
        <v>79</v>
      </c>
      <c r="D326" s="2" t="s">
        <v>31</v>
      </c>
      <c r="E326" s="2">
        <v>14</v>
      </c>
      <c r="F326" s="2">
        <v>9</v>
      </c>
      <c r="G326" s="2" t="s">
        <v>14</v>
      </c>
      <c r="H326" s="2" t="s">
        <v>37</v>
      </c>
      <c r="I326" s="2" t="s">
        <v>641</v>
      </c>
      <c r="J326" s="5">
        <v>43</v>
      </c>
    </row>
    <row r="327" spans="1:10" hidden="1" x14ac:dyDescent="0.3">
      <c r="A327" s="4" t="s">
        <v>642</v>
      </c>
      <c r="B327" s="2" t="s">
        <v>18</v>
      </c>
      <c r="C327" s="2" t="s">
        <v>19</v>
      </c>
      <c r="D327" s="2" t="s">
        <v>13</v>
      </c>
      <c r="E327" s="2">
        <v>14</v>
      </c>
      <c r="F327" s="2">
        <v>9</v>
      </c>
      <c r="G327" s="2" t="s">
        <v>43</v>
      </c>
      <c r="H327" s="2" t="s">
        <v>20</v>
      </c>
      <c r="I327" s="2" t="s">
        <v>643</v>
      </c>
      <c r="J327" s="5">
        <v>57</v>
      </c>
    </row>
    <row r="328" spans="1:10" hidden="1" x14ac:dyDescent="0.3">
      <c r="A328" s="4" t="s">
        <v>644</v>
      </c>
      <c r="B328" s="2" t="s">
        <v>51</v>
      </c>
      <c r="C328" s="2" t="s">
        <v>36</v>
      </c>
      <c r="D328" s="2" t="s">
        <v>31</v>
      </c>
      <c r="E328" s="2">
        <v>16</v>
      </c>
      <c r="F328" s="2">
        <v>11</v>
      </c>
      <c r="G328" s="2" t="s">
        <v>43</v>
      </c>
      <c r="H328" s="2" t="s">
        <v>20</v>
      </c>
      <c r="I328" s="2" t="s">
        <v>645</v>
      </c>
      <c r="J328" s="5">
        <v>81</v>
      </c>
    </row>
    <row r="329" spans="1:10" x14ac:dyDescent="0.3">
      <c r="A329" s="19" t="s">
        <v>646</v>
      </c>
      <c r="B329" s="15" t="s">
        <v>84</v>
      </c>
      <c r="C329" s="15" t="s">
        <v>12</v>
      </c>
      <c r="D329" s="59" t="s">
        <v>31</v>
      </c>
      <c r="E329" s="15">
        <v>17</v>
      </c>
      <c r="F329" s="59">
        <v>12</v>
      </c>
      <c r="G329" s="15" t="s">
        <v>25</v>
      </c>
      <c r="H329" s="15" t="s">
        <v>76</v>
      </c>
      <c r="I329" s="15" t="s">
        <v>647</v>
      </c>
      <c r="J329" s="20">
        <v>83</v>
      </c>
    </row>
    <row r="330" spans="1:10" hidden="1" x14ac:dyDescent="0.3">
      <c r="A330" s="4" t="s">
        <v>648</v>
      </c>
      <c r="B330" s="2" t="s">
        <v>51</v>
      </c>
      <c r="C330" s="2" t="s">
        <v>79</v>
      </c>
      <c r="D330" s="2" t="s">
        <v>13</v>
      </c>
      <c r="E330" s="2">
        <v>14</v>
      </c>
      <c r="F330" s="2">
        <v>9</v>
      </c>
      <c r="G330" s="2" t="s">
        <v>25</v>
      </c>
      <c r="H330" s="2" t="s">
        <v>15</v>
      </c>
      <c r="I330" s="2" t="s">
        <v>649</v>
      </c>
      <c r="J330" s="5">
        <v>77</v>
      </c>
    </row>
    <row r="331" spans="1:10" hidden="1" x14ac:dyDescent="0.3">
      <c r="A331" s="4" t="s">
        <v>650</v>
      </c>
      <c r="B331" s="2" t="s">
        <v>23</v>
      </c>
      <c r="C331" s="2" t="s">
        <v>24</v>
      </c>
      <c r="D331" s="2" t="s">
        <v>13</v>
      </c>
      <c r="E331" s="2">
        <v>17</v>
      </c>
      <c r="F331" s="2">
        <v>12</v>
      </c>
      <c r="G331" s="2" t="s">
        <v>25</v>
      </c>
      <c r="H331" s="2" t="s">
        <v>46</v>
      </c>
      <c r="I331" s="2" t="s">
        <v>651</v>
      </c>
      <c r="J331" s="5">
        <v>45</v>
      </c>
    </row>
    <row r="332" spans="1:10" hidden="1" x14ac:dyDescent="0.3">
      <c r="A332" s="4" t="s">
        <v>652</v>
      </c>
      <c r="B332" s="2" t="s">
        <v>51</v>
      </c>
      <c r="C332" s="2" t="s">
        <v>55</v>
      </c>
      <c r="D332" s="2" t="s">
        <v>13</v>
      </c>
      <c r="E332" s="2">
        <v>16</v>
      </c>
      <c r="F332" s="2">
        <v>12</v>
      </c>
      <c r="G332" s="2" t="s">
        <v>32</v>
      </c>
      <c r="H332" s="2" t="s">
        <v>61</v>
      </c>
      <c r="I332" s="2" t="s">
        <v>653</v>
      </c>
      <c r="J332" s="5">
        <v>45</v>
      </c>
    </row>
    <row r="333" spans="1:10" x14ac:dyDescent="0.3">
      <c r="A333" s="19" t="s">
        <v>654</v>
      </c>
      <c r="B333" s="15" t="s">
        <v>18</v>
      </c>
      <c r="C333" s="15" t="s">
        <v>24</v>
      </c>
      <c r="D333" s="59" t="s">
        <v>31</v>
      </c>
      <c r="E333" s="15">
        <v>14</v>
      </c>
      <c r="F333" s="59">
        <v>12</v>
      </c>
      <c r="G333" s="15" t="s">
        <v>14</v>
      </c>
      <c r="H333" s="15" t="s">
        <v>46</v>
      </c>
      <c r="I333" s="15" t="s">
        <v>655</v>
      </c>
      <c r="J333" s="20">
        <v>42</v>
      </c>
    </row>
    <row r="334" spans="1:10" hidden="1" x14ac:dyDescent="0.3">
      <c r="A334" s="4" t="s">
        <v>656</v>
      </c>
      <c r="B334" s="2" t="s">
        <v>29</v>
      </c>
      <c r="C334" s="2" t="s">
        <v>30</v>
      </c>
      <c r="D334" s="2" t="s">
        <v>13</v>
      </c>
      <c r="E334" s="2">
        <v>19</v>
      </c>
      <c r="F334" s="2">
        <v>10</v>
      </c>
      <c r="G334" s="2" t="s">
        <v>43</v>
      </c>
      <c r="H334" s="2" t="s">
        <v>15</v>
      </c>
      <c r="I334" s="2" t="s">
        <v>657</v>
      </c>
      <c r="J334" s="5">
        <v>85</v>
      </c>
    </row>
    <row r="335" spans="1:10" hidden="1" x14ac:dyDescent="0.3">
      <c r="A335" s="4" t="s">
        <v>658</v>
      </c>
      <c r="B335" s="2" t="s">
        <v>11</v>
      </c>
      <c r="C335" s="2" t="s">
        <v>96</v>
      </c>
      <c r="D335" s="2" t="s">
        <v>31</v>
      </c>
      <c r="E335" s="2">
        <v>20</v>
      </c>
      <c r="F335" s="2">
        <v>10</v>
      </c>
      <c r="G335" s="2" t="s">
        <v>43</v>
      </c>
      <c r="H335" s="2" t="s">
        <v>37</v>
      </c>
      <c r="I335" s="2" t="s">
        <v>659</v>
      </c>
      <c r="J335" s="5">
        <v>62</v>
      </c>
    </row>
    <row r="336" spans="1:10" hidden="1" x14ac:dyDescent="0.3">
      <c r="A336" s="4" t="s">
        <v>660</v>
      </c>
      <c r="B336" s="2" t="s">
        <v>23</v>
      </c>
      <c r="C336" s="2" t="s">
        <v>12</v>
      </c>
      <c r="D336" s="2" t="s">
        <v>13</v>
      </c>
      <c r="E336" s="2">
        <v>16</v>
      </c>
      <c r="F336" s="2">
        <v>11</v>
      </c>
      <c r="G336" s="2" t="s">
        <v>25</v>
      </c>
      <c r="H336" s="2" t="s">
        <v>40</v>
      </c>
      <c r="I336" s="2" t="s">
        <v>41</v>
      </c>
      <c r="J336" s="5">
        <v>86</v>
      </c>
    </row>
    <row r="337" spans="1:10" hidden="1" x14ac:dyDescent="0.3">
      <c r="A337" s="4" t="s">
        <v>661</v>
      </c>
      <c r="B337" s="2" t="s">
        <v>54</v>
      </c>
      <c r="C337" s="2" t="s">
        <v>12</v>
      </c>
      <c r="D337" s="2" t="s">
        <v>31</v>
      </c>
      <c r="E337" s="2">
        <v>19</v>
      </c>
      <c r="F337" s="2">
        <v>10</v>
      </c>
      <c r="G337" s="2" t="s">
        <v>14</v>
      </c>
      <c r="H337" s="2" t="s">
        <v>76</v>
      </c>
      <c r="I337" s="2" t="s">
        <v>662</v>
      </c>
      <c r="J337" s="5">
        <v>54</v>
      </c>
    </row>
    <row r="338" spans="1:10" hidden="1" x14ac:dyDescent="0.3">
      <c r="A338" s="4" t="s">
        <v>663</v>
      </c>
      <c r="B338" s="2" t="s">
        <v>73</v>
      </c>
      <c r="C338" s="2" t="s">
        <v>36</v>
      </c>
      <c r="D338" s="2" t="s">
        <v>13</v>
      </c>
      <c r="E338" s="2">
        <v>20</v>
      </c>
      <c r="F338" s="2">
        <v>12</v>
      </c>
      <c r="G338" s="2" t="s">
        <v>25</v>
      </c>
      <c r="H338" s="2" t="s">
        <v>40</v>
      </c>
      <c r="I338" s="2" t="s">
        <v>664</v>
      </c>
      <c r="J338" s="5">
        <v>50</v>
      </c>
    </row>
    <row r="339" spans="1:10" hidden="1" x14ac:dyDescent="0.3">
      <c r="A339" s="4" t="s">
        <v>665</v>
      </c>
      <c r="B339" s="2" t="s">
        <v>51</v>
      </c>
      <c r="C339" s="2" t="s">
        <v>96</v>
      </c>
      <c r="D339" s="2" t="s">
        <v>13</v>
      </c>
      <c r="E339" s="2">
        <v>14</v>
      </c>
      <c r="F339" s="2">
        <v>10</v>
      </c>
      <c r="G339" s="2" t="s">
        <v>14</v>
      </c>
      <c r="H339" s="2" t="s">
        <v>37</v>
      </c>
      <c r="I339" s="2" t="s">
        <v>666</v>
      </c>
      <c r="J339" s="5">
        <v>68</v>
      </c>
    </row>
    <row r="340" spans="1:10" x14ac:dyDescent="0.3">
      <c r="A340" s="19" t="s">
        <v>667</v>
      </c>
      <c r="B340" s="15" t="s">
        <v>35</v>
      </c>
      <c r="C340" s="15" t="s">
        <v>12</v>
      </c>
      <c r="D340" s="59" t="s">
        <v>31</v>
      </c>
      <c r="E340" s="15">
        <v>15</v>
      </c>
      <c r="F340" s="59">
        <v>12</v>
      </c>
      <c r="G340" s="15" t="s">
        <v>14</v>
      </c>
      <c r="H340" s="15" t="s">
        <v>46</v>
      </c>
      <c r="I340" s="15" t="s">
        <v>668</v>
      </c>
      <c r="J340" s="20">
        <v>82</v>
      </c>
    </row>
    <row r="341" spans="1:10" hidden="1" x14ac:dyDescent="0.3">
      <c r="A341" s="4" t="s">
        <v>669</v>
      </c>
      <c r="B341" s="2" t="s">
        <v>11</v>
      </c>
      <c r="C341" s="2" t="s">
        <v>24</v>
      </c>
      <c r="D341" s="2" t="s">
        <v>13</v>
      </c>
      <c r="E341" s="2">
        <v>19</v>
      </c>
      <c r="F341" s="2">
        <v>9</v>
      </c>
      <c r="G341" s="2" t="s">
        <v>32</v>
      </c>
      <c r="H341" s="2" t="s">
        <v>40</v>
      </c>
      <c r="I341" s="2" t="s">
        <v>670</v>
      </c>
      <c r="J341" s="5">
        <v>51</v>
      </c>
    </row>
    <row r="342" spans="1:10" hidden="1" x14ac:dyDescent="0.3">
      <c r="A342" s="4" t="s">
        <v>671</v>
      </c>
      <c r="B342" s="2" t="s">
        <v>11</v>
      </c>
      <c r="C342" s="2" t="s">
        <v>36</v>
      </c>
      <c r="D342" s="2" t="s">
        <v>13</v>
      </c>
      <c r="E342" s="2">
        <v>14</v>
      </c>
      <c r="F342" s="2">
        <v>10</v>
      </c>
      <c r="G342" s="2" t="s">
        <v>32</v>
      </c>
      <c r="H342" s="2" t="s">
        <v>40</v>
      </c>
      <c r="I342" s="2" t="s">
        <v>672</v>
      </c>
      <c r="J342" s="5">
        <v>64</v>
      </c>
    </row>
    <row r="343" spans="1:10" hidden="1" x14ac:dyDescent="0.3">
      <c r="A343" s="4" t="s">
        <v>673</v>
      </c>
      <c r="B343" s="2" t="s">
        <v>11</v>
      </c>
      <c r="C343" s="2" t="s">
        <v>19</v>
      </c>
      <c r="D343" s="2" t="s">
        <v>31</v>
      </c>
      <c r="E343" s="2">
        <v>17</v>
      </c>
      <c r="F343" s="2">
        <v>10</v>
      </c>
      <c r="G343" s="2" t="s">
        <v>32</v>
      </c>
      <c r="H343" s="2" t="s">
        <v>46</v>
      </c>
      <c r="I343" s="2" t="s">
        <v>674</v>
      </c>
      <c r="J343" s="5">
        <v>85</v>
      </c>
    </row>
    <row r="344" spans="1:10" hidden="1" x14ac:dyDescent="0.3">
      <c r="A344" s="4" t="s">
        <v>675</v>
      </c>
      <c r="B344" s="2" t="s">
        <v>73</v>
      </c>
      <c r="C344" s="2" t="s">
        <v>24</v>
      </c>
      <c r="D344" s="2" t="s">
        <v>13</v>
      </c>
      <c r="E344" s="2">
        <v>19</v>
      </c>
      <c r="F344" s="2">
        <v>11</v>
      </c>
      <c r="G344" s="2" t="s">
        <v>14</v>
      </c>
      <c r="H344" s="2" t="s">
        <v>37</v>
      </c>
      <c r="I344" s="2" t="s">
        <v>676</v>
      </c>
      <c r="J344" s="5">
        <v>51</v>
      </c>
    </row>
    <row r="345" spans="1:10" hidden="1" x14ac:dyDescent="0.3">
      <c r="A345" s="4" t="s">
        <v>677</v>
      </c>
      <c r="B345" s="2" t="s">
        <v>23</v>
      </c>
      <c r="C345" s="2" t="s">
        <v>85</v>
      </c>
      <c r="D345" s="2" t="s">
        <v>13</v>
      </c>
      <c r="E345" s="2">
        <v>20</v>
      </c>
      <c r="F345" s="2">
        <v>10</v>
      </c>
      <c r="G345" s="2" t="s">
        <v>32</v>
      </c>
      <c r="H345" s="2" t="s">
        <v>40</v>
      </c>
      <c r="I345" s="2" t="s">
        <v>678</v>
      </c>
      <c r="J345" s="5">
        <v>56</v>
      </c>
    </row>
    <row r="346" spans="1:10" hidden="1" x14ac:dyDescent="0.3">
      <c r="A346" s="4" t="s">
        <v>679</v>
      </c>
      <c r="B346" s="2" t="s">
        <v>18</v>
      </c>
      <c r="C346" s="2" t="s">
        <v>96</v>
      </c>
      <c r="D346" s="2" t="s">
        <v>13</v>
      </c>
      <c r="E346" s="2">
        <v>14</v>
      </c>
      <c r="F346" s="2">
        <v>12</v>
      </c>
      <c r="G346" s="2" t="s">
        <v>32</v>
      </c>
      <c r="H346" s="2" t="s">
        <v>46</v>
      </c>
      <c r="I346" s="2" t="s">
        <v>680</v>
      </c>
      <c r="J346" s="5">
        <v>44</v>
      </c>
    </row>
    <row r="347" spans="1:10" hidden="1" x14ac:dyDescent="0.3">
      <c r="A347" s="4" t="s">
        <v>681</v>
      </c>
      <c r="B347" s="2" t="s">
        <v>35</v>
      </c>
      <c r="C347" s="2" t="s">
        <v>36</v>
      </c>
      <c r="D347" s="2" t="s">
        <v>13</v>
      </c>
      <c r="E347" s="2">
        <v>14</v>
      </c>
      <c r="F347" s="2">
        <v>9</v>
      </c>
      <c r="G347" s="2" t="s">
        <v>43</v>
      </c>
      <c r="H347" s="2" t="s">
        <v>46</v>
      </c>
      <c r="I347" s="2" t="s">
        <v>682</v>
      </c>
      <c r="J347" s="5">
        <v>67</v>
      </c>
    </row>
    <row r="348" spans="1:10" x14ac:dyDescent="0.3">
      <c r="A348" s="19" t="s">
        <v>683</v>
      </c>
      <c r="B348" s="15" t="s">
        <v>84</v>
      </c>
      <c r="C348" s="15" t="s">
        <v>55</v>
      </c>
      <c r="D348" s="59" t="s">
        <v>31</v>
      </c>
      <c r="E348" s="15">
        <v>16</v>
      </c>
      <c r="F348" s="59">
        <v>12</v>
      </c>
      <c r="G348" s="15" t="s">
        <v>14</v>
      </c>
      <c r="H348" s="15" t="s">
        <v>76</v>
      </c>
      <c r="I348" s="15" t="s">
        <v>125</v>
      </c>
      <c r="J348" s="20">
        <v>60</v>
      </c>
    </row>
    <row r="349" spans="1:10" hidden="1" x14ac:dyDescent="0.3">
      <c r="A349" s="4" t="s">
        <v>684</v>
      </c>
      <c r="B349" s="2" t="s">
        <v>54</v>
      </c>
      <c r="C349" s="2" t="s">
        <v>24</v>
      </c>
      <c r="D349" s="2" t="s">
        <v>31</v>
      </c>
      <c r="E349" s="2">
        <v>17</v>
      </c>
      <c r="F349" s="2">
        <v>10</v>
      </c>
      <c r="G349" s="2" t="s">
        <v>43</v>
      </c>
      <c r="H349" s="2" t="s">
        <v>46</v>
      </c>
      <c r="I349" s="2" t="s">
        <v>685</v>
      </c>
      <c r="J349" s="5">
        <v>74</v>
      </c>
    </row>
    <row r="350" spans="1:10" hidden="1" x14ac:dyDescent="0.3">
      <c r="A350" s="4" t="s">
        <v>686</v>
      </c>
      <c r="B350" s="2" t="s">
        <v>23</v>
      </c>
      <c r="C350" s="2" t="s">
        <v>96</v>
      </c>
      <c r="D350" s="2" t="s">
        <v>31</v>
      </c>
      <c r="E350" s="2">
        <v>16</v>
      </c>
      <c r="F350" s="2">
        <v>9</v>
      </c>
      <c r="G350" s="2" t="s">
        <v>25</v>
      </c>
      <c r="H350" s="2" t="s">
        <v>20</v>
      </c>
      <c r="I350" s="2" t="s">
        <v>277</v>
      </c>
      <c r="J350" s="5">
        <v>71</v>
      </c>
    </row>
    <row r="351" spans="1:10" hidden="1" x14ac:dyDescent="0.3">
      <c r="A351" s="4" t="s">
        <v>687</v>
      </c>
      <c r="B351" s="2" t="s">
        <v>84</v>
      </c>
      <c r="C351" s="2" t="s">
        <v>19</v>
      </c>
      <c r="D351" s="2" t="s">
        <v>13</v>
      </c>
      <c r="E351" s="2">
        <v>16</v>
      </c>
      <c r="F351" s="2">
        <v>10</v>
      </c>
      <c r="G351" s="2" t="s">
        <v>25</v>
      </c>
      <c r="H351" s="2" t="s">
        <v>46</v>
      </c>
      <c r="I351" s="2" t="s">
        <v>564</v>
      </c>
      <c r="J351" s="5">
        <v>52</v>
      </c>
    </row>
    <row r="352" spans="1:10" hidden="1" x14ac:dyDescent="0.3">
      <c r="A352" s="4" t="s">
        <v>688</v>
      </c>
      <c r="B352" s="2" t="s">
        <v>23</v>
      </c>
      <c r="C352" s="2" t="s">
        <v>96</v>
      </c>
      <c r="D352" s="2" t="s">
        <v>31</v>
      </c>
      <c r="E352" s="2">
        <v>19</v>
      </c>
      <c r="F352" s="2">
        <v>10</v>
      </c>
      <c r="G352" s="2" t="s">
        <v>25</v>
      </c>
      <c r="H352" s="2" t="s">
        <v>40</v>
      </c>
      <c r="I352" s="2" t="s">
        <v>195</v>
      </c>
      <c r="J352" s="5">
        <v>55</v>
      </c>
    </row>
    <row r="353" spans="1:10" hidden="1" x14ac:dyDescent="0.3">
      <c r="A353" s="4" t="s">
        <v>689</v>
      </c>
      <c r="B353" s="2" t="s">
        <v>68</v>
      </c>
      <c r="C353" s="2" t="s">
        <v>96</v>
      </c>
      <c r="D353" s="2" t="s">
        <v>13</v>
      </c>
      <c r="E353" s="2">
        <v>20</v>
      </c>
      <c r="F353" s="2">
        <v>12</v>
      </c>
      <c r="G353" s="2" t="s">
        <v>43</v>
      </c>
      <c r="H353" s="2" t="s">
        <v>20</v>
      </c>
      <c r="I353" s="2" t="s">
        <v>626</v>
      </c>
      <c r="J353" s="5">
        <v>48</v>
      </c>
    </row>
    <row r="354" spans="1:10" hidden="1" x14ac:dyDescent="0.3">
      <c r="A354" s="4" t="s">
        <v>690</v>
      </c>
      <c r="B354" s="2" t="s">
        <v>23</v>
      </c>
      <c r="C354" s="2" t="s">
        <v>85</v>
      </c>
      <c r="D354" s="2" t="s">
        <v>13</v>
      </c>
      <c r="E354" s="2">
        <v>19</v>
      </c>
      <c r="F354" s="2">
        <v>9</v>
      </c>
      <c r="G354" s="2" t="s">
        <v>14</v>
      </c>
      <c r="H354" s="2" t="s">
        <v>76</v>
      </c>
      <c r="I354" s="2" t="s">
        <v>635</v>
      </c>
      <c r="J354" s="5">
        <v>91</v>
      </c>
    </row>
    <row r="355" spans="1:10" hidden="1" x14ac:dyDescent="0.3">
      <c r="A355" s="4" t="s">
        <v>691</v>
      </c>
      <c r="B355" s="2" t="s">
        <v>84</v>
      </c>
      <c r="C355" s="2" t="s">
        <v>55</v>
      </c>
      <c r="D355" s="2" t="s">
        <v>13</v>
      </c>
      <c r="E355" s="2">
        <v>16</v>
      </c>
      <c r="F355" s="2">
        <v>10</v>
      </c>
      <c r="G355" s="2" t="s">
        <v>43</v>
      </c>
      <c r="H355" s="2" t="s">
        <v>46</v>
      </c>
      <c r="I355" s="2" t="s">
        <v>692</v>
      </c>
      <c r="J355" s="5">
        <v>91</v>
      </c>
    </row>
    <row r="356" spans="1:10" hidden="1" x14ac:dyDescent="0.3">
      <c r="A356" s="4" t="s">
        <v>693</v>
      </c>
      <c r="B356" s="2" t="s">
        <v>73</v>
      </c>
      <c r="C356" s="2" t="s">
        <v>58</v>
      </c>
      <c r="D356" s="2" t="s">
        <v>31</v>
      </c>
      <c r="E356" s="2">
        <v>16</v>
      </c>
      <c r="F356" s="2">
        <v>11</v>
      </c>
      <c r="G356" s="2" t="s">
        <v>25</v>
      </c>
      <c r="H356" s="2" t="s">
        <v>37</v>
      </c>
      <c r="I356" s="2" t="s">
        <v>694</v>
      </c>
      <c r="J356" s="5">
        <v>65</v>
      </c>
    </row>
    <row r="357" spans="1:10" hidden="1" x14ac:dyDescent="0.3">
      <c r="A357" s="4" t="s">
        <v>695</v>
      </c>
      <c r="B357" s="2" t="s">
        <v>51</v>
      </c>
      <c r="C357" s="2" t="s">
        <v>24</v>
      </c>
      <c r="D357" s="2" t="s">
        <v>13</v>
      </c>
      <c r="E357" s="2">
        <v>17</v>
      </c>
      <c r="F357" s="2">
        <v>9</v>
      </c>
      <c r="G357" s="2" t="s">
        <v>32</v>
      </c>
      <c r="H357" s="2" t="s">
        <v>15</v>
      </c>
      <c r="I357" s="2" t="s">
        <v>696</v>
      </c>
      <c r="J357" s="5">
        <v>69</v>
      </c>
    </row>
    <row r="358" spans="1:10" hidden="1" x14ac:dyDescent="0.3">
      <c r="A358" s="4" t="s">
        <v>697</v>
      </c>
      <c r="B358" s="2" t="s">
        <v>29</v>
      </c>
      <c r="C358" s="2" t="s">
        <v>30</v>
      </c>
      <c r="D358" s="2" t="s">
        <v>31</v>
      </c>
      <c r="E358" s="2">
        <v>19</v>
      </c>
      <c r="F358" s="2">
        <v>10</v>
      </c>
      <c r="G358" s="2" t="s">
        <v>25</v>
      </c>
      <c r="H358" s="2" t="s">
        <v>61</v>
      </c>
      <c r="I358" s="2" t="s">
        <v>698</v>
      </c>
      <c r="J358" s="5">
        <v>75</v>
      </c>
    </row>
    <row r="359" spans="1:10" hidden="1" x14ac:dyDescent="0.3">
      <c r="A359" s="4" t="s">
        <v>699</v>
      </c>
      <c r="B359" s="2" t="s">
        <v>11</v>
      </c>
      <c r="C359" s="2" t="s">
        <v>30</v>
      </c>
      <c r="D359" s="2" t="s">
        <v>31</v>
      </c>
      <c r="E359" s="2">
        <v>16</v>
      </c>
      <c r="F359" s="2">
        <v>11</v>
      </c>
      <c r="G359" s="2" t="s">
        <v>43</v>
      </c>
      <c r="H359" s="2" t="s">
        <v>40</v>
      </c>
      <c r="I359" s="2" t="s">
        <v>97</v>
      </c>
      <c r="J359" s="5">
        <v>72</v>
      </c>
    </row>
    <row r="360" spans="1:10" hidden="1" x14ac:dyDescent="0.3">
      <c r="A360" s="4" t="s">
        <v>700</v>
      </c>
      <c r="B360" s="2" t="s">
        <v>23</v>
      </c>
      <c r="C360" s="2" t="s">
        <v>55</v>
      </c>
      <c r="D360" s="2" t="s">
        <v>31</v>
      </c>
      <c r="E360" s="2">
        <v>20</v>
      </c>
      <c r="F360" s="2">
        <v>10</v>
      </c>
      <c r="G360" s="2" t="s">
        <v>14</v>
      </c>
      <c r="H360" s="2" t="s">
        <v>15</v>
      </c>
      <c r="I360" s="2" t="s">
        <v>678</v>
      </c>
      <c r="J360" s="5">
        <v>59</v>
      </c>
    </row>
    <row r="361" spans="1:10" hidden="1" x14ac:dyDescent="0.3">
      <c r="A361" s="4" t="s">
        <v>701</v>
      </c>
      <c r="B361" s="2" t="s">
        <v>54</v>
      </c>
      <c r="C361" s="2" t="s">
        <v>30</v>
      </c>
      <c r="D361" s="2" t="s">
        <v>31</v>
      </c>
      <c r="E361" s="2">
        <v>15</v>
      </c>
      <c r="F361" s="2">
        <v>11</v>
      </c>
      <c r="G361" s="2" t="s">
        <v>14</v>
      </c>
      <c r="H361" s="2" t="s">
        <v>76</v>
      </c>
      <c r="I361" s="2" t="s">
        <v>702</v>
      </c>
      <c r="J361" s="5">
        <v>42</v>
      </c>
    </row>
    <row r="362" spans="1:10" x14ac:dyDescent="0.3">
      <c r="A362" s="19" t="s">
        <v>703</v>
      </c>
      <c r="B362" s="15" t="s">
        <v>73</v>
      </c>
      <c r="C362" s="15" t="s">
        <v>30</v>
      </c>
      <c r="D362" s="59" t="s">
        <v>31</v>
      </c>
      <c r="E362" s="15">
        <v>17</v>
      </c>
      <c r="F362" s="59">
        <v>12</v>
      </c>
      <c r="G362" s="15" t="s">
        <v>32</v>
      </c>
      <c r="H362" s="15" t="s">
        <v>40</v>
      </c>
      <c r="I362" s="15" t="s">
        <v>704</v>
      </c>
      <c r="J362" s="20">
        <v>93</v>
      </c>
    </row>
    <row r="363" spans="1:10" x14ac:dyDescent="0.3">
      <c r="A363" s="19" t="s">
        <v>705</v>
      </c>
      <c r="B363" s="15" t="s">
        <v>84</v>
      </c>
      <c r="C363" s="15" t="s">
        <v>55</v>
      </c>
      <c r="D363" s="59" t="s">
        <v>31</v>
      </c>
      <c r="E363" s="15">
        <v>14</v>
      </c>
      <c r="F363" s="59">
        <v>12</v>
      </c>
      <c r="G363" s="15" t="s">
        <v>43</v>
      </c>
      <c r="H363" s="15" t="s">
        <v>76</v>
      </c>
      <c r="I363" s="15" t="s">
        <v>706</v>
      </c>
      <c r="J363" s="20">
        <v>63</v>
      </c>
    </row>
    <row r="364" spans="1:10" x14ac:dyDescent="0.3">
      <c r="A364" s="19" t="s">
        <v>707</v>
      </c>
      <c r="B364" s="15" t="s">
        <v>68</v>
      </c>
      <c r="C364" s="15" t="s">
        <v>96</v>
      </c>
      <c r="D364" s="59" t="s">
        <v>31</v>
      </c>
      <c r="E364" s="15">
        <v>20</v>
      </c>
      <c r="F364" s="59">
        <v>12</v>
      </c>
      <c r="G364" s="15" t="s">
        <v>43</v>
      </c>
      <c r="H364" s="15" t="s">
        <v>37</v>
      </c>
      <c r="I364" s="15" t="s">
        <v>708</v>
      </c>
      <c r="J364" s="20">
        <v>35</v>
      </c>
    </row>
    <row r="365" spans="1:10" hidden="1" x14ac:dyDescent="0.3">
      <c r="A365" s="4" t="s">
        <v>709</v>
      </c>
      <c r="B365" s="2" t="s">
        <v>54</v>
      </c>
      <c r="C365" s="2" t="s">
        <v>19</v>
      </c>
      <c r="D365" s="2" t="s">
        <v>31</v>
      </c>
      <c r="E365" s="2">
        <v>18</v>
      </c>
      <c r="F365" s="2">
        <v>10</v>
      </c>
      <c r="G365" s="2" t="s">
        <v>43</v>
      </c>
      <c r="H365" s="2" t="s">
        <v>37</v>
      </c>
      <c r="I365" s="2" t="s">
        <v>710</v>
      </c>
      <c r="J365" s="5">
        <v>89</v>
      </c>
    </row>
    <row r="366" spans="1:10" hidden="1" x14ac:dyDescent="0.3">
      <c r="A366" s="4" t="s">
        <v>711</v>
      </c>
      <c r="B366" s="2" t="s">
        <v>29</v>
      </c>
      <c r="C366" s="2" t="s">
        <v>79</v>
      </c>
      <c r="D366" s="2" t="s">
        <v>13</v>
      </c>
      <c r="E366" s="2">
        <v>14</v>
      </c>
      <c r="F366" s="2">
        <v>9</v>
      </c>
      <c r="G366" s="2" t="s">
        <v>32</v>
      </c>
      <c r="H366" s="2" t="s">
        <v>15</v>
      </c>
      <c r="I366" s="2" t="s">
        <v>712</v>
      </c>
      <c r="J366" s="5">
        <v>72</v>
      </c>
    </row>
    <row r="367" spans="1:10" x14ac:dyDescent="0.3">
      <c r="A367" s="19" t="s">
        <v>713</v>
      </c>
      <c r="B367" s="15" t="s">
        <v>29</v>
      </c>
      <c r="C367" s="15" t="s">
        <v>24</v>
      </c>
      <c r="D367" s="59" t="s">
        <v>31</v>
      </c>
      <c r="E367" s="15">
        <v>16</v>
      </c>
      <c r="F367" s="59">
        <v>12</v>
      </c>
      <c r="G367" s="15" t="s">
        <v>32</v>
      </c>
      <c r="H367" s="15" t="s">
        <v>26</v>
      </c>
      <c r="I367" s="15" t="s">
        <v>714</v>
      </c>
      <c r="J367" s="20">
        <v>57</v>
      </c>
    </row>
    <row r="368" spans="1:10" hidden="1" x14ac:dyDescent="0.3">
      <c r="A368" s="4" t="s">
        <v>715</v>
      </c>
      <c r="B368" s="2" t="s">
        <v>51</v>
      </c>
      <c r="C368" s="2" t="s">
        <v>79</v>
      </c>
      <c r="D368" s="2" t="s">
        <v>13</v>
      </c>
      <c r="E368" s="2">
        <v>19</v>
      </c>
      <c r="F368" s="2">
        <v>10</v>
      </c>
      <c r="G368" s="2" t="s">
        <v>32</v>
      </c>
      <c r="H368" s="2" t="s">
        <v>40</v>
      </c>
      <c r="I368" s="2" t="s">
        <v>702</v>
      </c>
      <c r="J368" s="5">
        <v>84</v>
      </c>
    </row>
    <row r="369" spans="1:10" hidden="1" x14ac:dyDescent="0.3">
      <c r="A369" s="4" t="s">
        <v>716</v>
      </c>
      <c r="B369" s="2" t="s">
        <v>23</v>
      </c>
      <c r="C369" s="2" t="s">
        <v>58</v>
      </c>
      <c r="D369" s="2" t="s">
        <v>31</v>
      </c>
      <c r="E369" s="2">
        <v>17</v>
      </c>
      <c r="F369" s="2">
        <v>9</v>
      </c>
      <c r="G369" s="2" t="s">
        <v>25</v>
      </c>
      <c r="H369" s="2" t="s">
        <v>15</v>
      </c>
      <c r="I369" s="2" t="s">
        <v>717</v>
      </c>
      <c r="J369" s="5">
        <v>51</v>
      </c>
    </row>
    <row r="370" spans="1:10" hidden="1" x14ac:dyDescent="0.3">
      <c r="A370" s="4" t="s">
        <v>718</v>
      </c>
      <c r="B370" s="2" t="s">
        <v>84</v>
      </c>
      <c r="C370" s="2" t="s">
        <v>12</v>
      </c>
      <c r="D370" s="2" t="s">
        <v>31</v>
      </c>
      <c r="E370" s="2">
        <v>20</v>
      </c>
      <c r="F370" s="2">
        <v>10</v>
      </c>
      <c r="G370" s="2" t="s">
        <v>25</v>
      </c>
      <c r="H370" s="2" t="s">
        <v>61</v>
      </c>
      <c r="I370" s="2" t="s">
        <v>639</v>
      </c>
      <c r="J370" s="5">
        <v>35</v>
      </c>
    </row>
    <row r="371" spans="1:10" hidden="1" x14ac:dyDescent="0.3">
      <c r="A371" s="4" t="s">
        <v>719</v>
      </c>
      <c r="B371" s="2" t="s">
        <v>18</v>
      </c>
      <c r="C371" s="2" t="s">
        <v>24</v>
      </c>
      <c r="D371" s="2" t="s">
        <v>31</v>
      </c>
      <c r="E371" s="2">
        <v>18</v>
      </c>
      <c r="F371" s="2">
        <v>11</v>
      </c>
      <c r="G371" s="2" t="s">
        <v>43</v>
      </c>
      <c r="H371" s="2" t="s">
        <v>40</v>
      </c>
      <c r="I371" s="2" t="s">
        <v>720</v>
      </c>
      <c r="J371" s="5">
        <v>83</v>
      </c>
    </row>
    <row r="372" spans="1:10" hidden="1" x14ac:dyDescent="0.3">
      <c r="A372" s="4" t="s">
        <v>721</v>
      </c>
      <c r="B372" s="2" t="s">
        <v>23</v>
      </c>
      <c r="C372" s="2" t="s">
        <v>19</v>
      </c>
      <c r="D372" s="2" t="s">
        <v>31</v>
      </c>
      <c r="E372" s="2">
        <v>18</v>
      </c>
      <c r="F372" s="2">
        <v>10</v>
      </c>
      <c r="G372" s="2" t="s">
        <v>14</v>
      </c>
      <c r="H372" s="2" t="s">
        <v>26</v>
      </c>
      <c r="I372" s="2" t="s">
        <v>722</v>
      </c>
      <c r="J372" s="5">
        <v>43</v>
      </c>
    </row>
    <row r="373" spans="1:10" x14ac:dyDescent="0.3">
      <c r="A373" s="19" t="s">
        <v>723</v>
      </c>
      <c r="B373" s="15" t="s">
        <v>68</v>
      </c>
      <c r="C373" s="15" t="s">
        <v>79</v>
      </c>
      <c r="D373" s="59" t="s">
        <v>31</v>
      </c>
      <c r="E373" s="15">
        <v>19</v>
      </c>
      <c r="F373" s="59">
        <v>12</v>
      </c>
      <c r="G373" s="15" t="s">
        <v>25</v>
      </c>
      <c r="H373" s="15" t="s">
        <v>40</v>
      </c>
      <c r="I373" s="15" t="s">
        <v>724</v>
      </c>
      <c r="J373" s="20">
        <v>65</v>
      </c>
    </row>
    <row r="374" spans="1:10" hidden="1" x14ac:dyDescent="0.3">
      <c r="A374" s="4" t="s">
        <v>725</v>
      </c>
      <c r="B374" s="2" t="s">
        <v>11</v>
      </c>
      <c r="C374" s="2" t="s">
        <v>55</v>
      </c>
      <c r="D374" s="2" t="s">
        <v>31</v>
      </c>
      <c r="E374" s="2">
        <v>15</v>
      </c>
      <c r="F374" s="2">
        <v>9</v>
      </c>
      <c r="G374" s="2" t="s">
        <v>25</v>
      </c>
      <c r="H374" s="2" t="s">
        <v>37</v>
      </c>
      <c r="I374" s="2" t="s">
        <v>726</v>
      </c>
      <c r="J374" s="5">
        <v>72</v>
      </c>
    </row>
    <row r="375" spans="1:10" hidden="1" x14ac:dyDescent="0.3">
      <c r="A375" s="4" t="s">
        <v>727</v>
      </c>
      <c r="B375" s="2" t="s">
        <v>68</v>
      </c>
      <c r="C375" s="2" t="s">
        <v>12</v>
      </c>
      <c r="D375" s="2" t="s">
        <v>13</v>
      </c>
      <c r="E375" s="2">
        <v>14</v>
      </c>
      <c r="F375" s="2">
        <v>9</v>
      </c>
      <c r="G375" s="2" t="s">
        <v>14</v>
      </c>
      <c r="H375" s="2" t="s">
        <v>20</v>
      </c>
      <c r="I375" s="2" t="s">
        <v>728</v>
      </c>
      <c r="J375" s="5">
        <v>68</v>
      </c>
    </row>
    <row r="376" spans="1:10" hidden="1" x14ac:dyDescent="0.3">
      <c r="A376" s="4" t="s">
        <v>729</v>
      </c>
      <c r="B376" s="2" t="s">
        <v>35</v>
      </c>
      <c r="C376" s="2" t="s">
        <v>79</v>
      </c>
      <c r="D376" s="2" t="s">
        <v>13</v>
      </c>
      <c r="E376" s="2">
        <v>15</v>
      </c>
      <c r="F376" s="2">
        <v>9</v>
      </c>
      <c r="G376" s="2" t="s">
        <v>43</v>
      </c>
      <c r="H376" s="2" t="s">
        <v>76</v>
      </c>
      <c r="I376" s="2" t="s">
        <v>730</v>
      </c>
      <c r="J376" s="5">
        <v>39</v>
      </c>
    </row>
    <row r="377" spans="1:10" hidden="1" x14ac:dyDescent="0.3">
      <c r="A377" s="4" t="s">
        <v>731</v>
      </c>
      <c r="B377" s="2" t="s">
        <v>84</v>
      </c>
      <c r="C377" s="2" t="s">
        <v>85</v>
      </c>
      <c r="D377" s="2" t="s">
        <v>31</v>
      </c>
      <c r="E377" s="2">
        <v>17</v>
      </c>
      <c r="F377" s="2">
        <v>9</v>
      </c>
      <c r="G377" s="2" t="s">
        <v>43</v>
      </c>
      <c r="H377" s="2" t="s">
        <v>76</v>
      </c>
      <c r="I377" s="2" t="s">
        <v>732</v>
      </c>
      <c r="J377" s="5">
        <v>97</v>
      </c>
    </row>
    <row r="378" spans="1:10" x14ac:dyDescent="0.3">
      <c r="A378" s="19" t="s">
        <v>733</v>
      </c>
      <c r="B378" s="15" t="s">
        <v>84</v>
      </c>
      <c r="C378" s="15" t="s">
        <v>85</v>
      </c>
      <c r="D378" s="59" t="s">
        <v>31</v>
      </c>
      <c r="E378" s="15">
        <v>17</v>
      </c>
      <c r="F378" s="59">
        <v>12</v>
      </c>
      <c r="G378" s="15" t="s">
        <v>43</v>
      </c>
      <c r="H378" s="15" t="s">
        <v>15</v>
      </c>
      <c r="I378" s="15" t="s">
        <v>734</v>
      </c>
      <c r="J378" s="20">
        <v>77</v>
      </c>
    </row>
    <row r="379" spans="1:10" x14ac:dyDescent="0.3">
      <c r="A379" s="19" t="s">
        <v>735</v>
      </c>
      <c r="B379" s="15" t="s">
        <v>68</v>
      </c>
      <c r="C379" s="15" t="s">
        <v>24</v>
      </c>
      <c r="D379" s="59" t="s">
        <v>31</v>
      </c>
      <c r="E379" s="15">
        <v>16</v>
      </c>
      <c r="F379" s="59">
        <v>12</v>
      </c>
      <c r="G379" s="15" t="s">
        <v>43</v>
      </c>
      <c r="H379" s="15" t="s">
        <v>26</v>
      </c>
      <c r="I379" s="15" t="s">
        <v>736</v>
      </c>
      <c r="J379" s="20">
        <v>85</v>
      </c>
    </row>
    <row r="380" spans="1:10" hidden="1" x14ac:dyDescent="0.3">
      <c r="A380" s="4" t="s">
        <v>737</v>
      </c>
      <c r="B380" s="2" t="s">
        <v>54</v>
      </c>
      <c r="C380" s="2" t="s">
        <v>96</v>
      </c>
      <c r="D380" s="2" t="s">
        <v>13</v>
      </c>
      <c r="E380" s="2">
        <v>19</v>
      </c>
      <c r="F380" s="2">
        <v>12</v>
      </c>
      <c r="G380" s="2" t="s">
        <v>25</v>
      </c>
      <c r="H380" s="2" t="s">
        <v>20</v>
      </c>
      <c r="I380" s="2" t="s">
        <v>738</v>
      </c>
      <c r="J380" s="5">
        <v>85</v>
      </c>
    </row>
    <row r="381" spans="1:10" hidden="1" x14ac:dyDescent="0.3">
      <c r="A381" s="4" t="s">
        <v>739</v>
      </c>
      <c r="B381" s="2" t="s">
        <v>18</v>
      </c>
      <c r="C381" s="2" t="s">
        <v>79</v>
      </c>
      <c r="D381" s="2" t="s">
        <v>31</v>
      </c>
      <c r="E381" s="2">
        <v>14</v>
      </c>
      <c r="F381" s="2">
        <v>10</v>
      </c>
      <c r="G381" s="2" t="s">
        <v>32</v>
      </c>
      <c r="H381" s="2" t="s">
        <v>20</v>
      </c>
      <c r="I381" s="2" t="s">
        <v>740</v>
      </c>
      <c r="J381" s="5">
        <v>99</v>
      </c>
    </row>
    <row r="382" spans="1:10" hidden="1" x14ac:dyDescent="0.3">
      <c r="A382" s="4" t="s">
        <v>741</v>
      </c>
      <c r="B382" s="2" t="s">
        <v>54</v>
      </c>
      <c r="C382" s="2" t="s">
        <v>24</v>
      </c>
      <c r="D382" s="2" t="s">
        <v>13</v>
      </c>
      <c r="E382" s="2">
        <v>14</v>
      </c>
      <c r="F382" s="2">
        <v>9</v>
      </c>
      <c r="G382" s="2" t="s">
        <v>14</v>
      </c>
      <c r="H382" s="2" t="s">
        <v>76</v>
      </c>
      <c r="I382" s="2" t="s">
        <v>742</v>
      </c>
      <c r="J382" s="5">
        <v>55</v>
      </c>
    </row>
    <row r="383" spans="1:10" hidden="1" x14ac:dyDescent="0.3">
      <c r="A383" s="4" t="s">
        <v>743</v>
      </c>
      <c r="B383" s="2" t="s">
        <v>84</v>
      </c>
      <c r="C383" s="2" t="s">
        <v>19</v>
      </c>
      <c r="D383" s="2" t="s">
        <v>13</v>
      </c>
      <c r="E383" s="2">
        <v>15</v>
      </c>
      <c r="F383" s="2">
        <v>10</v>
      </c>
      <c r="G383" s="2" t="s">
        <v>43</v>
      </c>
      <c r="H383" s="2" t="s">
        <v>26</v>
      </c>
      <c r="I383" s="2" t="s">
        <v>744</v>
      </c>
      <c r="J383" s="5">
        <v>60</v>
      </c>
    </row>
    <row r="384" spans="1:10" hidden="1" x14ac:dyDescent="0.3">
      <c r="A384" s="4" t="s">
        <v>745</v>
      </c>
      <c r="B384" s="2" t="s">
        <v>73</v>
      </c>
      <c r="C384" s="2" t="s">
        <v>36</v>
      </c>
      <c r="D384" s="2" t="s">
        <v>13</v>
      </c>
      <c r="E384" s="2">
        <v>16</v>
      </c>
      <c r="F384" s="2">
        <v>9</v>
      </c>
      <c r="G384" s="2" t="s">
        <v>32</v>
      </c>
      <c r="H384" s="2" t="s">
        <v>76</v>
      </c>
      <c r="I384" s="2" t="s">
        <v>746</v>
      </c>
      <c r="J384" s="5">
        <v>38</v>
      </c>
    </row>
    <row r="385" spans="1:10" hidden="1" x14ac:dyDescent="0.3">
      <c r="A385" s="4" t="s">
        <v>747</v>
      </c>
      <c r="B385" s="2" t="s">
        <v>51</v>
      </c>
      <c r="C385" s="2" t="s">
        <v>96</v>
      </c>
      <c r="D385" s="2" t="s">
        <v>13</v>
      </c>
      <c r="E385" s="2">
        <v>17</v>
      </c>
      <c r="F385" s="2">
        <v>12</v>
      </c>
      <c r="G385" s="2" t="s">
        <v>14</v>
      </c>
      <c r="H385" s="2" t="s">
        <v>26</v>
      </c>
      <c r="I385" s="2" t="s">
        <v>748</v>
      </c>
      <c r="J385" s="5">
        <v>67</v>
      </c>
    </row>
    <row r="386" spans="1:10" hidden="1" x14ac:dyDescent="0.3">
      <c r="A386" s="4" t="s">
        <v>749</v>
      </c>
      <c r="B386" s="2" t="s">
        <v>84</v>
      </c>
      <c r="C386" s="2" t="s">
        <v>30</v>
      </c>
      <c r="D386" s="2" t="s">
        <v>13</v>
      </c>
      <c r="E386" s="2">
        <v>15</v>
      </c>
      <c r="F386" s="2">
        <v>12</v>
      </c>
      <c r="G386" s="2" t="s">
        <v>25</v>
      </c>
      <c r="H386" s="2" t="s">
        <v>61</v>
      </c>
      <c r="I386" s="2" t="s">
        <v>750</v>
      </c>
      <c r="J386" s="5">
        <v>95</v>
      </c>
    </row>
    <row r="387" spans="1:10" x14ac:dyDescent="0.3">
      <c r="A387" s="19" t="s">
        <v>751</v>
      </c>
      <c r="B387" s="15" t="s">
        <v>73</v>
      </c>
      <c r="C387" s="15" t="s">
        <v>79</v>
      </c>
      <c r="D387" s="59" t="s">
        <v>31</v>
      </c>
      <c r="E387" s="15">
        <v>20</v>
      </c>
      <c r="F387" s="59">
        <v>12</v>
      </c>
      <c r="G387" s="15" t="s">
        <v>25</v>
      </c>
      <c r="H387" s="15" t="s">
        <v>76</v>
      </c>
      <c r="I387" s="15" t="s">
        <v>752</v>
      </c>
      <c r="J387" s="20">
        <v>91</v>
      </c>
    </row>
    <row r="388" spans="1:10" hidden="1" x14ac:dyDescent="0.3">
      <c r="A388" s="4" t="s">
        <v>753</v>
      </c>
      <c r="B388" s="2" t="s">
        <v>73</v>
      </c>
      <c r="C388" s="2" t="s">
        <v>24</v>
      </c>
      <c r="D388" s="2" t="s">
        <v>13</v>
      </c>
      <c r="E388" s="2">
        <v>18</v>
      </c>
      <c r="F388" s="2">
        <v>11</v>
      </c>
      <c r="G388" s="2" t="s">
        <v>32</v>
      </c>
      <c r="H388" s="2" t="s">
        <v>40</v>
      </c>
      <c r="I388" s="2" t="s">
        <v>313</v>
      </c>
      <c r="J388" s="5">
        <v>58</v>
      </c>
    </row>
    <row r="389" spans="1:10" hidden="1" x14ac:dyDescent="0.3">
      <c r="A389" s="4" t="s">
        <v>754</v>
      </c>
      <c r="B389" s="2" t="s">
        <v>54</v>
      </c>
      <c r="C389" s="2" t="s">
        <v>12</v>
      </c>
      <c r="D389" s="2" t="s">
        <v>13</v>
      </c>
      <c r="E389" s="2">
        <v>14</v>
      </c>
      <c r="F389" s="2">
        <v>12</v>
      </c>
      <c r="G389" s="2" t="s">
        <v>32</v>
      </c>
      <c r="H389" s="2" t="s">
        <v>20</v>
      </c>
      <c r="I389" s="2" t="s">
        <v>755</v>
      </c>
      <c r="J389" s="5">
        <v>98</v>
      </c>
    </row>
    <row r="390" spans="1:10" hidden="1" x14ac:dyDescent="0.3">
      <c r="A390" s="4" t="s">
        <v>756</v>
      </c>
      <c r="B390" s="2" t="s">
        <v>11</v>
      </c>
      <c r="C390" s="2" t="s">
        <v>30</v>
      </c>
      <c r="D390" s="2" t="s">
        <v>13</v>
      </c>
      <c r="E390" s="2">
        <v>15</v>
      </c>
      <c r="F390" s="2">
        <v>11</v>
      </c>
      <c r="G390" s="2" t="s">
        <v>14</v>
      </c>
      <c r="H390" s="2" t="s">
        <v>76</v>
      </c>
      <c r="I390" s="2" t="s">
        <v>757</v>
      </c>
      <c r="J390" s="5">
        <v>39</v>
      </c>
    </row>
    <row r="391" spans="1:10" hidden="1" x14ac:dyDescent="0.3">
      <c r="A391" s="4" t="s">
        <v>758</v>
      </c>
      <c r="B391" s="2" t="s">
        <v>73</v>
      </c>
      <c r="C391" s="2" t="s">
        <v>12</v>
      </c>
      <c r="D391" s="2" t="s">
        <v>31</v>
      </c>
      <c r="E391" s="2">
        <v>16</v>
      </c>
      <c r="F391" s="2">
        <v>11</v>
      </c>
      <c r="G391" s="2" t="s">
        <v>43</v>
      </c>
      <c r="H391" s="2" t="s">
        <v>40</v>
      </c>
      <c r="I391" s="2" t="s">
        <v>759</v>
      </c>
      <c r="J391" s="5">
        <v>70</v>
      </c>
    </row>
    <row r="392" spans="1:10" hidden="1" x14ac:dyDescent="0.3">
      <c r="A392" s="4" t="s">
        <v>760</v>
      </c>
      <c r="B392" s="2" t="s">
        <v>84</v>
      </c>
      <c r="C392" s="2" t="s">
        <v>96</v>
      </c>
      <c r="D392" s="2" t="s">
        <v>31</v>
      </c>
      <c r="E392" s="2">
        <v>16</v>
      </c>
      <c r="F392" s="2">
        <v>11</v>
      </c>
      <c r="G392" s="2" t="s">
        <v>32</v>
      </c>
      <c r="H392" s="2" t="s">
        <v>76</v>
      </c>
      <c r="I392" s="2" t="s">
        <v>761</v>
      </c>
      <c r="J392" s="5">
        <v>83</v>
      </c>
    </row>
    <row r="393" spans="1:10" x14ac:dyDescent="0.3">
      <c r="A393" s="19" t="s">
        <v>762</v>
      </c>
      <c r="B393" s="15" t="s">
        <v>68</v>
      </c>
      <c r="C393" s="15" t="s">
        <v>85</v>
      </c>
      <c r="D393" s="59" t="s">
        <v>31</v>
      </c>
      <c r="E393" s="15">
        <v>20</v>
      </c>
      <c r="F393" s="59">
        <v>12</v>
      </c>
      <c r="G393" s="15" t="s">
        <v>43</v>
      </c>
      <c r="H393" s="15" t="s">
        <v>20</v>
      </c>
      <c r="I393" s="15" t="s">
        <v>763</v>
      </c>
      <c r="J393" s="20">
        <v>82</v>
      </c>
    </row>
    <row r="394" spans="1:10" hidden="1" x14ac:dyDescent="0.3">
      <c r="A394" s="4" t="s">
        <v>764</v>
      </c>
      <c r="B394" s="2" t="s">
        <v>18</v>
      </c>
      <c r="C394" s="2" t="s">
        <v>55</v>
      </c>
      <c r="D394" s="2" t="s">
        <v>13</v>
      </c>
      <c r="E394" s="2">
        <v>16</v>
      </c>
      <c r="F394" s="2">
        <v>12</v>
      </c>
      <c r="G394" s="2" t="s">
        <v>14</v>
      </c>
      <c r="H394" s="2" t="s">
        <v>40</v>
      </c>
      <c r="I394" s="2" t="s">
        <v>765</v>
      </c>
      <c r="J394" s="5">
        <v>61</v>
      </c>
    </row>
    <row r="395" spans="1:10" hidden="1" x14ac:dyDescent="0.3">
      <c r="A395" s="4" t="s">
        <v>766</v>
      </c>
      <c r="B395" s="2" t="s">
        <v>35</v>
      </c>
      <c r="C395" s="2" t="s">
        <v>58</v>
      </c>
      <c r="D395" s="2" t="s">
        <v>13</v>
      </c>
      <c r="E395" s="2">
        <v>20</v>
      </c>
      <c r="F395" s="2">
        <v>11</v>
      </c>
      <c r="G395" s="2" t="s">
        <v>32</v>
      </c>
      <c r="H395" s="2" t="s">
        <v>46</v>
      </c>
      <c r="I395" s="2" t="s">
        <v>767</v>
      </c>
      <c r="J395" s="5">
        <v>54</v>
      </c>
    </row>
    <row r="396" spans="1:10" hidden="1" x14ac:dyDescent="0.3">
      <c r="A396" s="4" t="s">
        <v>768</v>
      </c>
      <c r="B396" s="2" t="s">
        <v>23</v>
      </c>
      <c r="C396" s="2" t="s">
        <v>24</v>
      </c>
      <c r="D396" s="2" t="s">
        <v>13</v>
      </c>
      <c r="E396" s="2">
        <v>17</v>
      </c>
      <c r="F396" s="2">
        <v>11</v>
      </c>
      <c r="G396" s="2" t="s">
        <v>25</v>
      </c>
      <c r="H396" s="2" t="s">
        <v>40</v>
      </c>
      <c r="I396" s="2" t="s">
        <v>258</v>
      </c>
      <c r="J396" s="5">
        <v>61</v>
      </c>
    </row>
    <row r="397" spans="1:10" hidden="1" x14ac:dyDescent="0.3">
      <c r="A397" s="4" t="s">
        <v>769</v>
      </c>
      <c r="B397" s="2" t="s">
        <v>35</v>
      </c>
      <c r="C397" s="2" t="s">
        <v>30</v>
      </c>
      <c r="D397" s="2" t="s">
        <v>13</v>
      </c>
      <c r="E397" s="2">
        <v>16</v>
      </c>
      <c r="F397" s="2">
        <v>11</v>
      </c>
      <c r="G397" s="2" t="s">
        <v>32</v>
      </c>
      <c r="H397" s="2" t="s">
        <v>46</v>
      </c>
      <c r="I397" s="2" t="s">
        <v>770</v>
      </c>
      <c r="J397" s="5">
        <v>85</v>
      </c>
    </row>
    <row r="398" spans="1:10" hidden="1" x14ac:dyDescent="0.3">
      <c r="A398" s="4" t="s">
        <v>771</v>
      </c>
      <c r="B398" s="2" t="s">
        <v>23</v>
      </c>
      <c r="C398" s="2" t="s">
        <v>24</v>
      </c>
      <c r="D398" s="2" t="s">
        <v>31</v>
      </c>
      <c r="E398" s="2">
        <v>18</v>
      </c>
      <c r="F398" s="2">
        <v>11</v>
      </c>
      <c r="G398" s="2" t="s">
        <v>25</v>
      </c>
      <c r="H398" s="2" t="s">
        <v>46</v>
      </c>
      <c r="I398" s="2" t="s">
        <v>772</v>
      </c>
      <c r="J398" s="5">
        <v>89</v>
      </c>
    </row>
    <row r="399" spans="1:10" hidden="1" x14ac:dyDescent="0.3">
      <c r="A399" s="4" t="s">
        <v>773</v>
      </c>
      <c r="B399" s="2" t="s">
        <v>68</v>
      </c>
      <c r="C399" s="2" t="s">
        <v>19</v>
      </c>
      <c r="D399" s="2" t="s">
        <v>13</v>
      </c>
      <c r="E399" s="2">
        <v>14</v>
      </c>
      <c r="F399" s="2">
        <v>11</v>
      </c>
      <c r="G399" s="2" t="s">
        <v>14</v>
      </c>
      <c r="H399" s="2" t="s">
        <v>20</v>
      </c>
      <c r="I399" s="2" t="s">
        <v>774</v>
      </c>
      <c r="J399" s="5">
        <v>72</v>
      </c>
    </row>
    <row r="400" spans="1:10" hidden="1" x14ac:dyDescent="0.3">
      <c r="A400" s="4" t="s">
        <v>775</v>
      </c>
      <c r="B400" s="2" t="s">
        <v>29</v>
      </c>
      <c r="C400" s="2" t="s">
        <v>85</v>
      </c>
      <c r="D400" s="2" t="s">
        <v>31</v>
      </c>
      <c r="E400" s="2">
        <v>20</v>
      </c>
      <c r="F400" s="2">
        <v>10</v>
      </c>
      <c r="G400" s="2" t="s">
        <v>14</v>
      </c>
      <c r="H400" s="2" t="s">
        <v>46</v>
      </c>
      <c r="I400" s="2" t="s">
        <v>366</v>
      </c>
      <c r="J400" s="5">
        <v>100</v>
      </c>
    </row>
    <row r="401" spans="1:10" hidden="1" x14ac:dyDescent="0.3">
      <c r="A401" s="4" t="s">
        <v>776</v>
      </c>
      <c r="B401" s="2" t="s">
        <v>11</v>
      </c>
      <c r="C401" s="2" t="s">
        <v>12</v>
      </c>
      <c r="D401" s="2" t="s">
        <v>31</v>
      </c>
      <c r="E401" s="2">
        <v>20</v>
      </c>
      <c r="F401" s="2">
        <v>9</v>
      </c>
      <c r="G401" s="2" t="s">
        <v>14</v>
      </c>
      <c r="H401" s="2" t="s">
        <v>76</v>
      </c>
      <c r="I401" s="2" t="s">
        <v>777</v>
      </c>
      <c r="J401" s="5">
        <v>84</v>
      </c>
    </row>
    <row r="402" spans="1:10" hidden="1" x14ac:dyDescent="0.3">
      <c r="A402" s="4" t="s">
        <v>778</v>
      </c>
      <c r="B402" s="2" t="s">
        <v>73</v>
      </c>
      <c r="C402" s="2" t="s">
        <v>19</v>
      </c>
      <c r="D402" s="2" t="s">
        <v>13</v>
      </c>
      <c r="E402" s="2">
        <v>17</v>
      </c>
      <c r="F402" s="2">
        <v>12</v>
      </c>
      <c r="G402" s="2" t="s">
        <v>14</v>
      </c>
      <c r="H402" s="2" t="s">
        <v>37</v>
      </c>
      <c r="I402" s="2" t="s">
        <v>779</v>
      </c>
      <c r="J402" s="5">
        <v>76</v>
      </c>
    </row>
    <row r="403" spans="1:10" hidden="1" x14ac:dyDescent="0.3">
      <c r="A403" s="4" t="s">
        <v>780</v>
      </c>
      <c r="B403" s="2" t="s">
        <v>35</v>
      </c>
      <c r="C403" s="2" t="s">
        <v>36</v>
      </c>
      <c r="D403" s="2" t="s">
        <v>31</v>
      </c>
      <c r="E403" s="2">
        <v>14</v>
      </c>
      <c r="F403" s="2">
        <v>9</v>
      </c>
      <c r="G403" s="2" t="s">
        <v>25</v>
      </c>
      <c r="H403" s="2" t="s">
        <v>40</v>
      </c>
      <c r="I403" s="2" t="s">
        <v>781</v>
      </c>
      <c r="J403" s="5">
        <v>36</v>
      </c>
    </row>
    <row r="404" spans="1:10" hidden="1" x14ac:dyDescent="0.3">
      <c r="A404" s="4" t="s">
        <v>782</v>
      </c>
      <c r="B404" s="2" t="s">
        <v>84</v>
      </c>
      <c r="C404" s="2" t="s">
        <v>12</v>
      </c>
      <c r="D404" s="2" t="s">
        <v>31</v>
      </c>
      <c r="E404" s="2">
        <v>14</v>
      </c>
      <c r="F404" s="2">
        <v>11</v>
      </c>
      <c r="G404" s="2" t="s">
        <v>14</v>
      </c>
      <c r="H404" s="2" t="s">
        <v>37</v>
      </c>
      <c r="I404" s="2" t="s">
        <v>252</v>
      </c>
      <c r="J404" s="5">
        <v>95</v>
      </c>
    </row>
    <row r="405" spans="1:10" hidden="1" x14ac:dyDescent="0.3">
      <c r="A405" s="4" t="s">
        <v>783</v>
      </c>
      <c r="B405" s="2" t="s">
        <v>54</v>
      </c>
      <c r="C405" s="2" t="s">
        <v>79</v>
      </c>
      <c r="D405" s="2" t="s">
        <v>31</v>
      </c>
      <c r="E405" s="2">
        <v>15</v>
      </c>
      <c r="F405" s="2">
        <v>11</v>
      </c>
      <c r="G405" s="2" t="s">
        <v>25</v>
      </c>
      <c r="H405" s="2" t="s">
        <v>61</v>
      </c>
      <c r="I405" s="2" t="s">
        <v>628</v>
      </c>
      <c r="J405" s="5">
        <v>39</v>
      </c>
    </row>
    <row r="406" spans="1:10" hidden="1" x14ac:dyDescent="0.3">
      <c r="A406" s="4" t="s">
        <v>784</v>
      </c>
      <c r="B406" s="2" t="s">
        <v>84</v>
      </c>
      <c r="C406" s="2" t="s">
        <v>12</v>
      </c>
      <c r="D406" s="2" t="s">
        <v>13</v>
      </c>
      <c r="E406" s="2">
        <v>17</v>
      </c>
      <c r="F406" s="2">
        <v>9</v>
      </c>
      <c r="G406" s="2" t="s">
        <v>43</v>
      </c>
      <c r="H406" s="2" t="s">
        <v>76</v>
      </c>
      <c r="I406" s="2" t="s">
        <v>685</v>
      </c>
      <c r="J406" s="5">
        <v>89</v>
      </c>
    </row>
    <row r="407" spans="1:10" hidden="1" x14ac:dyDescent="0.3">
      <c r="A407" s="4" t="s">
        <v>785</v>
      </c>
      <c r="B407" s="2" t="s">
        <v>35</v>
      </c>
      <c r="C407" s="2" t="s">
        <v>58</v>
      </c>
      <c r="D407" s="2" t="s">
        <v>13</v>
      </c>
      <c r="E407" s="2">
        <v>18</v>
      </c>
      <c r="F407" s="2">
        <v>12</v>
      </c>
      <c r="G407" s="2" t="s">
        <v>43</v>
      </c>
      <c r="H407" s="2" t="s">
        <v>20</v>
      </c>
      <c r="I407" s="2" t="s">
        <v>786</v>
      </c>
      <c r="J407" s="5">
        <v>93</v>
      </c>
    </row>
    <row r="408" spans="1:10" hidden="1" x14ac:dyDescent="0.3">
      <c r="A408" s="4" t="s">
        <v>787</v>
      </c>
      <c r="B408" s="2" t="s">
        <v>18</v>
      </c>
      <c r="C408" s="2" t="s">
        <v>36</v>
      </c>
      <c r="D408" s="2" t="s">
        <v>31</v>
      </c>
      <c r="E408" s="2">
        <v>16</v>
      </c>
      <c r="F408" s="2">
        <v>9</v>
      </c>
      <c r="G408" s="2" t="s">
        <v>14</v>
      </c>
      <c r="H408" s="2" t="s">
        <v>76</v>
      </c>
      <c r="I408" s="2" t="s">
        <v>788</v>
      </c>
      <c r="J408" s="5">
        <v>88</v>
      </c>
    </row>
    <row r="409" spans="1:10" hidden="1" x14ac:dyDescent="0.3">
      <c r="A409" s="4" t="s">
        <v>789</v>
      </c>
      <c r="B409" s="2" t="s">
        <v>54</v>
      </c>
      <c r="C409" s="2" t="s">
        <v>12</v>
      </c>
      <c r="D409" s="2" t="s">
        <v>31</v>
      </c>
      <c r="E409" s="2">
        <v>18</v>
      </c>
      <c r="F409" s="2">
        <v>10</v>
      </c>
      <c r="G409" s="2" t="s">
        <v>25</v>
      </c>
      <c r="H409" s="2" t="s">
        <v>15</v>
      </c>
      <c r="I409" s="2" t="s">
        <v>790</v>
      </c>
      <c r="J409" s="5">
        <v>95</v>
      </c>
    </row>
    <row r="410" spans="1:10" hidden="1" x14ac:dyDescent="0.3">
      <c r="A410" s="4" t="s">
        <v>791</v>
      </c>
      <c r="B410" s="2" t="s">
        <v>51</v>
      </c>
      <c r="C410" s="2" t="s">
        <v>85</v>
      </c>
      <c r="D410" s="2" t="s">
        <v>13</v>
      </c>
      <c r="E410" s="2">
        <v>14</v>
      </c>
      <c r="F410" s="2">
        <v>9</v>
      </c>
      <c r="G410" s="2" t="s">
        <v>43</v>
      </c>
      <c r="H410" s="2" t="s">
        <v>61</v>
      </c>
      <c r="I410" s="2" t="s">
        <v>792</v>
      </c>
      <c r="J410" s="5">
        <v>96</v>
      </c>
    </row>
    <row r="411" spans="1:10" hidden="1" x14ac:dyDescent="0.3">
      <c r="A411" s="4" t="s">
        <v>793</v>
      </c>
      <c r="B411" s="2" t="s">
        <v>35</v>
      </c>
      <c r="C411" s="2" t="s">
        <v>19</v>
      </c>
      <c r="D411" s="2" t="s">
        <v>31</v>
      </c>
      <c r="E411" s="2">
        <v>20</v>
      </c>
      <c r="F411" s="2">
        <v>11</v>
      </c>
      <c r="G411" s="2" t="s">
        <v>32</v>
      </c>
      <c r="H411" s="2" t="s">
        <v>20</v>
      </c>
      <c r="I411" s="2" t="s">
        <v>794</v>
      </c>
      <c r="J411" s="5">
        <v>74</v>
      </c>
    </row>
    <row r="412" spans="1:10" hidden="1" x14ac:dyDescent="0.3">
      <c r="A412" s="4" t="s">
        <v>795</v>
      </c>
      <c r="B412" s="2" t="s">
        <v>54</v>
      </c>
      <c r="C412" s="2" t="s">
        <v>30</v>
      </c>
      <c r="D412" s="2" t="s">
        <v>13</v>
      </c>
      <c r="E412" s="2">
        <v>18</v>
      </c>
      <c r="F412" s="2">
        <v>12</v>
      </c>
      <c r="G412" s="2" t="s">
        <v>32</v>
      </c>
      <c r="H412" s="2" t="s">
        <v>20</v>
      </c>
      <c r="I412" s="2" t="s">
        <v>796</v>
      </c>
      <c r="J412" s="5">
        <v>55</v>
      </c>
    </row>
    <row r="413" spans="1:10" hidden="1" x14ac:dyDescent="0.3">
      <c r="A413" s="4" t="s">
        <v>797</v>
      </c>
      <c r="B413" s="2" t="s">
        <v>23</v>
      </c>
      <c r="C413" s="2" t="s">
        <v>85</v>
      </c>
      <c r="D413" s="2" t="s">
        <v>13</v>
      </c>
      <c r="E413" s="2">
        <v>17</v>
      </c>
      <c r="F413" s="2">
        <v>12</v>
      </c>
      <c r="G413" s="2" t="s">
        <v>14</v>
      </c>
      <c r="H413" s="2" t="s">
        <v>76</v>
      </c>
      <c r="I413" s="2" t="s">
        <v>71</v>
      </c>
      <c r="J413" s="5">
        <v>77</v>
      </c>
    </row>
    <row r="414" spans="1:10" hidden="1" x14ac:dyDescent="0.3">
      <c r="A414" s="4" t="s">
        <v>798</v>
      </c>
      <c r="B414" s="2" t="s">
        <v>23</v>
      </c>
      <c r="C414" s="2" t="s">
        <v>19</v>
      </c>
      <c r="D414" s="2" t="s">
        <v>13</v>
      </c>
      <c r="E414" s="2">
        <v>17</v>
      </c>
      <c r="F414" s="2">
        <v>12</v>
      </c>
      <c r="G414" s="2" t="s">
        <v>14</v>
      </c>
      <c r="H414" s="2" t="s">
        <v>40</v>
      </c>
      <c r="I414" s="2" t="s">
        <v>159</v>
      </c>
      <c r="J414" s="5">
        <v>95</v>
      </c>
    </row>
    <row r="415" spans="1:10" x14ac:dyDescent="0.3">
      <c r="A415" s="19" t="s">
        <v>799</v>
      </c>
      <c r="B415" s="15" t="s">
        <v>54</v>
      </c>
      <c r="C415" s="15" t="s">
        <v>36</v>
      </c>
      <c r="D415" s="59" t="s">
        <v>31</v>
      </c>
      <c r="E415" s="15">
        <v>17</v>
      </c>
      <c r="F415" s="59">
        <v>12</v>
      </c>
      <c r="G415" s="15" t="s">
        <v>14</v>
      </c>
      <c r="H415" s="15" t="s">
        <v>46</v>
      </c>
      <c r="I415" s="15" t="s">
        <v>533</v>
      </c>
      <c r="J415" s="20">
        <v>59</v>
      </c>
    </row>
    <row r="416" spans="1:10" hidden="1" x14ac:dyDescent="0.3">
      <c r="A416" s="4" t="s">
        <v>800</v>
      </c>
      <c r="B416" s="2" t="s">
        <v>23</v>
      </c>
      <c r="C416" s="2" t="s">
        <v>79</v>
      </c>
      <c r="D416" s="2" t="s">
        <v>31</v>
      </c>
      <c r="E416" s="2">
        <v>18</v>
      </c>
      <c r="F416" s="2">
        <v>11</v>
      </c>
      <c r="G416" s="2" t="s">
        <v>32</v>
      </c>
      <c r="H416" s="2" t="s">
        <v>76</v>
      </c>
      <c r="I416" s="2" t="s">
        <v>801</v>
      </c>
      <c r="J416" s="5">
        <v>97</v>
      </c>
    </row>
    <row r="417" spans="1:10" hidden="1" x14ac:dyDescent="0.3">
      <c r="A417" s="4" t="s">
        <v>802</v>
      </c>
      <c r="B417" s="2" t="s">
        <v>29</v>
      </c>
      <c r="C417" s="2" t="s">
        <v>96</v>
      </c>
      <c r="D417" s="2" t="s">
        <v>13</v>
      </c>
      <c r="E417" s="2">
        <v>14</v>
      </c>
      <c r="F417" s="2">
        <v>10</v>
      </c>
      <c r="G417" s="2" t="s">
        <v>25</v>
      </c>
      <c r="H417" s="2" t="s">
        <v>61</v>
      </c>
      <c r="I417" s="2" t="s">
        <v>803</v>
      </c>
      <c r="J417" s="5">
        <v>89</v>
      </c>
    </row>
    <row r="418" spans="1:10" hidden="1" x14ac:dyDescent="0.3">
      <c r="A418" s="4" t="s">
        <v>804</v>
      </c>
      <c r="B418" s="2" t="s">
        <v>54</v>
      </c>
      <c r="C418" s="2" t="s">
        <v>79</v>
      </c>
      <c r="D418" s="2" t="s">
        <v>13</v>
      </c>
      <c r="E418" s="2">
        <v>19</v>
      </c>
      <c r="F418" s="2">
        <v>9</v>
      </c>
      <c r="G418" s="2" t="s">
        <v>25</v>
      </c>
      <c r="H418" s="2" t="s">
        <v>61</v>
      </c>
      <c r="I418" s="2" t="s">
        <v>56</v>
      </c>
      <c r="J418" s="5">
        <v>43</v>
      </c>
    </row>
    <row r="419" spans="1:10" hidden="1" x14ac:dyDescent="0.3">
      <c r="A419" s="4" t="s">
        <v>805</v>
      </c>
      <c r="B419" s="2" t="s">
        <v>29</v>
      </c>
      <c r="C419" s="2" t="s">
        <v>36</v>
      </c>
      <c r="D419" s="2" t="s">
        <v>31</v>
      </c>
      <c r="E419" s="2">
        <v>17</v>
      </c>
      <c r="F419" s="2">
        <v>10</v>
      </c>
      <c r="G419" s="2" t="s">
        <v>25</v>
      </c>
      <c r="H419" s="2" t="s">
        <v>15</v>
      </c>
      <c r="I419" s="2" t="s">
        <v>806</v>
      </c>
      <c r="J419" s="5">
        <v>59</v>
      </c>
    </row>
    <row r="420" spans="1:10" hidden="1" x14ac:dyDescent="0.3">
      <c r="A420" s="4" t="s">
        <v>807</v>
      </c>
      <c r="B420" s="2" t="s">
        <v>68</v>
      </c>
      <c r="C420" s="2" t="s">
        <v>79</v>
      </c>
      <c r="D420" s="2" t="s">
        <v>31</v>
      </c>
      <c r="E420" s="2">
        <v>16</v>
      </c>
      <c r="F420" s="2">
        <v>10</v>
      </c>
      <c r="G420" s="2" t="s">
        <v>43</v>
      </c>
      <c r="H420" s="2" t="s">
        <v>76</v>
      </c>
      <c r="I420" s="2" t="s">
        <v>305</v>
      </c>
      <c r="J420" s="5">
        <v>40</v>
      </c>
    </row>
    <row r="421" spans="1:10" hidden="1" x14ac:dyDescent="0.3">
      <c r="A421" s="4" t="s">
        <v>808</v>
      </c>
      <c r="B421" s="2" t="s">
        <v>54</v>
      </c>
      <c r="C421" s="2" t="s">
        <v>24</v>
      </c>
      <c r="D421" s="2" t="s">
        <v>13</v>
      </c>
      <c r="E421" s="2">
        <v>14</v>
      </c>
      <c r="F421" s="2">
        <v>9</v>
      </c>
      <c r="G421" s="2" t="s">
        <v>25</v>
      </c>
      <c r="H421" s="2" t="s">
        <v>46</v>
      </c>
      <c r="I421" s="2" t="s">
        <v>809</v>
      </c>
      <c r="J421" s="5">
        <v>92</v>
      </c>
    </row>
    <row r="422" spans="1:10" hidden="1" x14ac:dyDescent="0.3">
      <c r="A422" s="4" t="s">
        <v>810</v>
      </c>
      <c r="B422" s="2" t="s">
        <v>73</v>
      </c>
      <c r="C422" s="2" t="s">
        <v>12</v>
      </c>
      <c r="D422" s="2" t="s">
        <v>13</v>
      </c>
      <c r="E422" s="2">
        <v>14</v>
      </c>
      <c r="F422" s="2">
        <v>10</v>
      </c>
      <c r="G422" s="2" t="s">
        <v>14</v>
      </c>
      <c r="H422" s="2" t="s">
        <v>46</v>
      </c>
      <c r="I422" s="2" t="s">
        <v>385</v>
      </c>
      <c r="J422" s="5">
        <v>49</v>
      </c>
    </row>
    <row r="423" spans="1:10" hidden="1" x14ac:dyDescent="0.3">
      <c r="A423" s="4" t="s">
        <v>811</v>
      </c>
      <c r="B423" s="2" t="s">
        <v>29</v>
      </c>
      <c r="C423" s="2" t="s">
        <v>58</v>
      </c>
      <c r="D423" s="2" t="s">
        <v>13</v>
      </c>
      <c r="E423" s="2">
        <v>20</v>
      </c>
      <c r="F423" s="2">
        <v>11</v>
      </c>
      <c r="G423" s="2" t="s">
        <v>14</v>
      </c>
      <c r="H423" s="2" t="s">
        <v>61</v>
      </c>
      <c r="I423" s="2" t="s">
        <v>358</v>
      </c>
      <c r="J423" s="5">
        <v>44</v>
      </c>
    </row>
    <row r="424" spans="1:10" hidden="1" x14ac:dyDescent="0.3">
      <c r="A424" s="4" t="s">
        <v>812</v>
      </c>
      <c r="B424" s="2" t="s">
        <v>51</v>
      </c>
      <c r="C424" s="2" t="s">
        <v>55</v>
      </c>
      <c r="D424" s="2" t="s">
        <v>13</v>
      </c>
      <c r="E424" s="2">
        <v>15</v>
      </c>
      <c r="F424" s="2">
        <v>10</v>
      </c>
      <c r="G424" s="2" t="s">
        <v>43</v>
      </c>
      <c r="H424" s="2" t="s">
        <v>46</v>
      </c>
      <c r="I424" s="2" t="s">
        <v>82</v>
      </c>
      <c r="J424" s="5">
        <v>62</v>
      </c>
    </row>
    <row r="425" spans="1:10" hidden="1" x14ac:dyDescent="0.3">
      <c r="A425" s="4" t="s">
        <v>813</v>
      </c>
      <c r="B425" s="2" t="s">
        <v>73</v>
      </c>
      <c r="C425" s="2" t="s">
        <v>58</v>
      </c>
      <c r="D425" s="2" t="s">
        <v>13</v>
      </c>
      <c r="E425" s="2">
        <v>17</v>
      </c>
      <c r="F425" s="2">
        <v>12</v>
      </c>
      <c r="G425" s="2" t="s">
        <v>32</v>
      </c>
      <c r="H425" s="2" t="s">
        <v>46</v>
      </c>
      <c r="I425" s="2" t="s">
        <v>346</v>
      </c>
      <c r="J425" s="5">
        <v>60</v>
      </c>
    </row>
    <row r="426" spans="1:10" hidden="1" x14ac:dyDescent="0.3">
      <c r="A426" s="4" t="s">
        <v>814</v>
      </c>
      <c r="B426" s="2" t="s">
        <v>18</v>
      </c>
      <c r="C426" s="2" t="s">
        <v>24</v>
      </c>
      <c r="D426" s="2" t="s">
        <v>31</v>
      </c>
      <c r="E426" s="2">
        <v>17</v>
      </c>
      <c r="F426" s="2">
        <v>10</v>
      </c>
      <c r="G426" s="2" t="s">
        <v>14</v>
      </c>
      <c r="H426" s="2" t="s">
        <v>76</v>
      </c>
      <c r="I426" s="2" t="s">
        <v>815</v>
      </c>
      <c r="J426" s="5">
        <v>47</v>
      </c>
    </row>
    <row r="427" spans="1:10" hidden="1" x14ac:dyDescent="0.3">
      <c r="A427" s="4" t="s">
        <v>816</v>
      </c>
      <c r="B427" s="2" t="s">
        <v>23</v>
      </c>
      <c r="C427" s="2" t="s">
        <v>79</v>
      </c>
      <c r="D427" s="2" t="s">
        <v>31</v>
      </c>
      <c r="E427" s="2">
        <v>15</v>
      </c>
      <c r="F427" s="2">
        <v>9</v>
      </c>
      <c r="G427" s="2" t="s">
        <v>25</v>
      </c>
      <c r="H427" s="2" t="s">
        <v>76</v>
      </c>
      <c r="I427" s="2" t="s">
        <v>149</v>
      </c>
      <c r="J427" s="5">
        <v>79</v>
      </c>
    </row>
    <row r="428" spans="1:10" hidden="1" x14ac:dyDescent="0.3">
      <c r="A428" s="4" t="s">
        <v>817</v>
      </c>
      <c r="B428" s="2" t="s">
        <v>51</v>
      </c>
      <c r="C428" s="2" t="s">
        <v>55</v>
      </c>
      <c r="D428" s="2" t="s">
        <v>31</v>
      </c>
      <c r="E428" s="2">
        <v>19</v>
      </c>
      <c r="F428" s="2">
        <v>11</v>
      </c>
      <c r="G428" s="2" t="s">
        <v>14</v>
      </c>
      <c r="H428" s="2" t="s">
        <v>26</v>
      </c>
      <c r="I428" s="2" t="s">
        <v>818</v>
      </c>
      <c r="J428" s="5">
        <v>56</v>
      </c>
    </row>
    <row r="429" spans="1:10" hidden="1" x14ac:dyDescent="0.3">
      <c r="A429" s="4" t="s">
        <v>819</v>
      </c>
      <c r="B429" s="2" t="s">
        <v>18</v>
      </c>
      <c r="C429" s="2" t="s">
        <v>36</v>
      </c>
      <c r="D429" s="2" t="s">
        <v>31</v>
      </c>
      <c r="E429" s="2">
        <v>14</v>
      </c>
      <c r="F429" s="2">
        <v>10</v>
      </c>
      <c r="G429" s="2" t="s">
        <v>43</v>
      </c>
      <c r="H429" s="2" t="s">
        <v>76</v>
      </c>
      <c r="I429" s="2" t="s">
        <v>820</v>
      </c>
      <c r="J429" s="5">
        <v>56</v>
      </c>
    </row>
    <row r="430" spans="1:10" hidden="1" x14ac:dyDescent="0.3">
      <c r="A430" s="4" t="s">
        <v>821</v>
      </c>
      <c r="B430" s="2" t="s">
        <v>18</v>
      </c>
      <c r="C430" s="2" t="s">
        <v>79</v>
      </c>
      <c r="D430" s="2" t="s">
        <v>13</v>
      </c>
      <c r="E430" s="2">
        <v>20</v>
      </c>
      <c r="F430" s="2">
        <v>12</v>
      </c>
      <c r="G430" s="2" t="s">
        <v>32</v>
      </c>
      <c r="H430" s="2" t="s">
        <v>26</v>
      </c>
      <c r="I430" s="2" t="s">
        <v>822</v>
      </c>
      <c r="J430" s="5">
        <v>52</v>
      </c>
    </row>
    <row r="431" spans="1:10" x14ac:dyDescent="0.3">
      <c r="A431" s="19" t="s">
        <v>823</v>
      </c>
      <c r="B431" s="15" t="s">
        <v>11</v>
      </c>
      <c r="C431" s="15" t="s">
        <v>79</v>
      </c>
      <c r="D431" s="59" t="s">
        <v>31</v>
      </c>
      <c r="E431" s="15">
        <v>18</v>
      </c>
      <c r="F431" s="59">
        <v>12</v>
      </c>
      <c r="G431" s="15" t="s">
        <v>43</v>
      </c>
      <c r="H431" s="15" t="s">
        <v>37</v>
      </c>
      <c r="I431" s="15" t="s">
        <v>292</v>
      </c>
      <c r="J431" s="20">
        <v>94</v>
      </c>
    </row>
    <row r="432" spans="1:10" hidden="1" x14ac:dyDescent="0.3">
      <c r="A432" s="4" t="s">
        <v>824</v>
      </c>
      <c r="B432" s="2" t="s">
        <v>54</v>
      </c>
      <c r="C432" s="2" t="s">
        <v>19</v>
      </c>
      <c r="D432" s="2" t="s">
        <v>31</v>
      </c>
      <c r="E432" s="2">
        <v>20</v>
      </c>
      <c r="F432" s="2">
        <v>9</v>
      </c>
      <c r="G432" s="2" t="s">
        <v>14</v>
      </c>
      <c r="H432" s="2" t="s">
        <v>37</v>
      </c>
      <c r="I432" s="2" t="s">
        <v>825</v>
      </c>
      <c r="J432" s="5">
        <v>43</v>
      </c>
    </row>
    <row r="433" spans="1:10" hidden="1" x14ac:dyDescent="0.3">
      <c r="A433" s="4" t="s">
        <v>826</v>
      </c>
      <c r="B433" s="2" t="s">
        <v>51</v>
      </c>
      <c r="C433" s="2" t="s">
        <v>55</v>
      </c>
      <c r="D433" s="2" t="s">
        <v>31</v>
      </c>
      <c r="E433" s="2">
        <v>15</v>
      </c>
      <c r="F433" s="2">
        <v>10</v>
      </c>
      <c r="G433" s="2" t="s">
        <v>43</v>
      </c>
      <c r="H433" s="2" t="s">
        <v>37</v>
      </c>
      <c r="I433" s="2" t="s">
        <v>174</v>
      </c>
      <c r="J433" s="5">
        <v>42</v>
      </c>
    </row>
    <row r="434" spans="1:10" hidden="1" x14ac:dyDescent="0.3">
      <c r="A434" s="4" t="s">
        <v>827</v>
      </c>
      <c r="B434" s="2" t="s">
        <v>35</v>
      </c>
      <c r="C434" s="2" t="s">
        <v>12</v>
      </c>
      <c r="D434" s="2" t="s">
        <v>13</v>
      </c>
      <c r="E434" s="2">
        <v>14</v>
      </c>
      <c r="F434" s="2">
        <v>12</v>
      </c>
      <c r="G434" s="2" t="s">
        <v>25</v>
      </c>
      <c r="H434" s="2" t="s">
        <v>61</v>
      </c>
      <c r="I434" s="2" t="s">
        <v>570</v>
      </c>
      <c r="J434" s="5">
        <v>65</v>
      </c>
    </row>
    <row r="435" spans="1:10" hidden="1" x14ac:dyDescent="0.3">
      <c r="A435" s="4" t="s">
        <v>828</v>
      </c>
      <c r="B435" s="2" t="s">
        <v>29</v>
      </c>
      <c r="C435" s="2" t="s">
        <v>55</v>
      </c>
      <c r="D435" s="2" t="s">
        <v>13</v>
      </c>
      <c r="E435" s="2">
        <v>15</v>
      </c>
      <c r="F435" s="2">
        <v>9</v>
      </c>
      <c r="G435" s="2" t="s">
        <v>32</v>
      </c>
      <c r="H435" s="2" t="s">
        <v>40</v>
      </c>
      <c r="I435" s="2" t="s">
        <v>829</v>
      </c>
      <c r="J435" s="5">
        <v>64</v>
      </c>
    </row>
    <row r="436" spans="1:10" hidden="1" x14ac:dyDescent="0.3">
      <c r="A436" s="4" t="s">
        <v>830</v>
      </c>
      <c r="B436" s="2" t="s">
        <v>23</v>
      </c>
      <c r="C436" s="2" t="s">
        <v>58</v>
      </c>
      <c r="D436" s="2" t="s">
        <v>31</v>
      </c>
      <c r="E436" s="2">
        <v>17</v>
      </c>
      <c r="F436" s="2">
        <v>9</v>
      </c>
      <c r="G436" s="2" t="s">
        <v>43</v>
      </c>
      <c r="H436" s="2" t="s">
        <v>61</v>
      </c>
      <c r="I436" s="2" t="s">
        <v>820</v>
      </c>
      <c r="J436" s="5">
        <v>59</v>
      </c>
    </row>
    <row r="437" spans="1:10" hidden="1" x14ac:dyDescent="0.3">
      <c r="A437" s="4" t="s">
        <v>831</v>
      </c>
      <c r="B437" s="2" t="s">
        <v>54</v>
      </c>
      <c r="C437" s="2" t="s">
        <v>36</v>
      </c>
      <c r="D437" s="2" t="s">
        <v>31</v>
      </c>
      <c r="E437" s="2">
        <v>19</v>
      </c>
      <c r="F437" s="2">
        <v>9</v>
      </c>
      <c r="G437" s="2" t="s">
        <v>32</v>
      </c>
      <c r="H437" s="2" t="s">
        <v>15</v>
      </c>
      <c r="I437" s="2" t="s">
        <v>832</v>
      </c>
      <c r="J437" s="5">
        <v>35</v>
      </c>
    </row>
    <row r="438" spans="1:10" hidden="1" x14ac:dyDescent="0.3">
      <c r="A438" s="4" t="s">
        <v>833</v>
      </c>
      <c r="B438" s="2" t="s">
        <v>73</v>
      </c>
      <c r="C438" s="2" t="s">
        <v>96</v>
      </c>
      <c r="D438" s="2" t="s">
        <v>31</v>
      </c>
      <c r="E438" s="2">
        <v>15</v>
      </c>
      <c r="F438" s="2">
        <v>10</v>
      </c>
      <c r="G438" s="2" t="s">
        <v>43</v>
      </c>
      <c r="H438" s="2" t="s">
        <v>76</v>
      </c>
      <c r="I438" s="2" t="s">
        <v>834</v>
      </c>
      <c r="J438" s="5">
        <v>37</v>
      </c>
    </row>
    <row r="439" spans="1:10" hidden="1" x14ac:dyDescent="0.3">
      <c r="A439" s="4" t="s">
        <v>835</v>
      </c>
      <c r="B439" s="2" t="s">
        <v>18</v>
      </c>
      <c r="C439" s="2" t="s">
        <v>55</v>
      </c>
      <c r="D439" s="2" t="s">
        <v>31</v>
      </c>
      <c r="E439" s="2">
        <v>16</v>
      </c>
      <c r="F439" s="2">
        <v>10</v>
      </c>
      <c r="G439" s="2" t="s">
        <v>14</v>
      </c>
      <c r="H439" s="2" t="s">
        <v>61</v>
      </c>
      <c r="I439" s="2" t="s">
        <v>411</v>
      </c>
      <c r="J439" s="5">
        <v>52</v>
      </c>
    </row>
    <row r="440" spans="1:10" hidden="1" x14ac:dyDescent="0.3">
      <c r="A440" s="4" t="s">
        <v>836</v>
      </c>
      <c r="B440" s="2" t="s">
        <v>18</v>
      </c>
      <c r="C440" s="2" t="s">
        <v>58</v>
      </c>
      <c r="D440" s="2" t="s">
        <v>13</v>
      </c>
      <c r="E440" s="2">
        <v>16</v>
      </c>
      <c r="F440" s="2">
        <v>9</v>
      </c>
      <c r="G440" s="2" t="s">
        <v>14</v>
      </c>
      <c r="H440" s="2" t="s">
        <v>37</v>
      </c>
      <c r="I440" s="2" t="s">
        <v>837</v>
      </c>
      <c r="J440" s="5">
        <v>64</v>
      </c>
    </row>
    <row r="441" spans="1:10" hidden="1" x14ac:dyDescent="0.3">
      <c r="A441" s="4" t="s">
        <v>838</v>
      </c>
      <c r="B441" s="2" t="s">
        <v>29</v>
      </c>
      <c r="C441" s="2" t="s">
        <v>36</v>
      </c>
      <c r="D441" s="2" t="s">
        <v>31</v>
      </c>
      <c r="E441" s="2">
        <v>17</v>
      </c>
      <c r="F441" s="2">
        <v>10</v>
      </c>
      <c r="G441" s="2" t="s">
        <v>25</v>
      </c>
      <c r="H441" s="2" t="s">
        <v>15</v>
      </c>
      <c r="I441" s="2" t="s">
        <v>839</v>
      </c>
      <c r="J441" s="5">
        <v>35</v>
      </c>
    </row>
    <row r="442" spans="1:10" hidden="1" x14ac:dyDescent="0.3">
      <c r="A442" s="4" t="s">
        <v>840</v>
      </c>
      <c r="B442" s="2" t="s">
        <v>29</v>
      </c>
      <c r="C442" s="2" t="s">
        <v>12</v>
      </c>
      <c r="D442" s="2" t="s">
        <v>31</v>
      </c>
      <c r="E442" s="2">
        <v>20</v>
      </c>
      <c r="F442" s="2">
        <v>10</v>
      </c>
      <c r="G442" s="2" t="s">
        <v>43</v>
      </c>
      <c r="H442" s="2" t="s">
        <v>15</v>
      </c>
      <c r="I442" s="2" t="s">
        <v>841</v>
      </c>
      <c r="J442" s="5">
        <v>37</v>
      </c>
    </row>
    <row r="443" spans="1:10" hidden="1" x14ac:dyDescent="0.3">
      <c r="A443" s="4" t="s">
        <v>842</v>
      </c>
      <c r="B443" s="2" t="s">
        <v>23</v>
      </c>
      <c r="C443" s="2" t="s">
        <v>30</v>
      </c>
      <c r="D443" s="2" t="s">
        <v>13</v>
      </c>
      <c r="E443" s="2">
        <v>15</v>
      </c>
      <c r="F443" s="2">
        <v>9</v>
      </c>
      <c r="G443" s="2" t="s">
        <v>32</v>
      </c>
      <c r="H443" s="2" t="s">
        <v>37</v>
      </c>
      <c r="I443" s="2" t="s">
        <v>477</v>
      </c>
      <c r="J443" s="5">
        <v>51</v>
      </c>
    </row>
    <row r="444" spans="1:10" hidden="1" x14ac:dyDescent="0.3">
      <c r="A444" s="4" t="s">
        <v>843</v>
      </c>
      <c r="B444" s="2" t="s">
        <v>54</v>
      </c>
      <c r="C444" s="2" t="s">
        <v>12</v>
      </c>
      <c r="D444" s="2" t="s">
        <v>31</v>
      </c>
      <c r="E444" s="2">
        <v>17</v>
      </c>
      <c r="F444" s="2">
        <v>10</v>
      </c>
      <c r="G444" s="2" t="s">
        <v>25</v>
      </c>
      <c r="H444" s="2" t="s">
        <v>40</v>
      </c>
      <c r="I444" s="2" t="s">
        <v>844</v>
      </c>
      <c r="J444" s="5">
        <v>43</v>
      </c>
    </row>
    <row r="445" spans="1:10" hidden="1" x14ac:dyDescent="0.3">
      <c r="A445" s="4" t="s">
        <v>845</v>
      </c>
      <c r="B445" s="2" t="s">
        <v>11</v>
      </c>
      <c r="C445" s="2" t="s">
        <v>19</v>
      </c>
      <c r="D445" s="2" t="s">
        <v>31</v>
      </c>
      <c r="E445" s="2">
        <v>19</v>
      </c>
      <c r="F445" s="2">
        <v>11</v>
      </c>
      <c r="G445" s="2" t="s">
        <v>43</v>
      </c>
      <c r="H445" s="2" t="s">
        <v>76</v>
      </c>
      <c r="I445" s="2" t="s">
        <v>282</v>
      </c>
      <c r="J445" s="5">
        <v>44</v>
      </c>
    </row>
    <row r="446" spans="1:10" hidden="1" x14ac:dyDescent="0.3">
      <c r="A446" s="4" t="s">
        <v>846</v>
      </c>
      <c r="B446" s="2" t="s">
        <v>35</v>
      </c>
      <c r="C446" s="2" t="s">
        <v>79</v>
      </c>
      <c r="D446" s="2" t="s">
        <v>13</v>
      </c>
      <c r="E446" s="2">
        <v>17</v>
      </c>
      <c r="F446" s="2">
        <v>12</v>
      </c>
      <c r="G446" s="2" t="s">
        <v>25</v>
      </c>
      <c r="H446" s="2" t="s">
        <v>46</v>
      </c>
      <c r="I446" s="2" t="s">
        <v>847</v>
      </c>
      <c r="J446" s="5">
        <v>41</v>
      </c>
    </row>
    <row r="447" spans="1:10" hidden="1" x14ac:dyDescent="0.3">
      <c r="A447" s="4" t="s">
        <v>848</v>
      </c>
      <c r="B447" s="2" t="s">
        <v>18</v>
      </c>
      <c r="C447" s="2" t="s">
        <v>24</v>
      </c>
      <c r="D447" s="2" t="s">
        <v>31</v>
      </c>
      <c r="E447" s="2">
        <v>16</v>
      </c>
      <c r="F447" s="2">
        <v>10</v>
      </c>
      <c r="G447" s="2" t="s">
        <v>25</v>
      </c>
      <c r="H447" s="2" t="s">
        <v>61</v>
      </c>
      <c r="I447" s="2" t="s">
        <v>849</v>
      </c>
      <c r="J447" s="5">
        <v>78</v>
      </c>
    </row>
    <row r="448" spans="1:10" hidden="1" x14ac:dyDescent="0.3">
      <c r="A448" s="4" t="s">
        <v>850</v>
      </c>
      <c r="B448" s="2" t="s">
        <v>51</v>
      </c>
      <c r="C448" s="2" t="s">
        <v>96</v>
      </c>
      <c r="D448" s="2" t="s">
        <v>13</v>
      </c>
      <c r="E448" s="2">
        <v>14</v>
      </c>
      <c r="F448" s="2">
        <v>9</v>
      </c>
      <c r="G448" s="2" t="s">
        <v>25</v>
      </c>
      <c r="H448" s="2" t="s">
        <v>26</v>
      </c>
      <c r="I448" s="2" t="s">
        <v>851</v>
      </c>
      <c r="J448" s="5">
        <v>90</v>
      </c>
    </row>
    <row r="449" spans="1:10" hidden="1" x14ac:dyDescent="0.3">
      <c r="A449" s="4" t="s">
        <v>852</v>
      </c>
      <c r="B449" s="2" t="s">
        <v>29</v>
      </c>
      <c r="C449" s="2" t="s">
        <v>55</v>
      </c>
      <c r="D449" s="2" t="s">
        <v>13</v>
      </c>
      <c r="E449" s="2">
        <v>15</v>
      </c>
      <c r="F449" s="2">
        <v>9</v>
      </c>
      <c r="G449" s="2" t="s">
        <v>14</v>
      </c>
      <c r="H449" s="2" t="s">
        <v>20</v>
      </c>
      <c r="I449" s="2" t="s">
        <v>853</v>
      </c>
      <c r="J449" s="5">
        <v>74</v>
      </c>
    </row>
    <row r="450" spans="1:10" hidden="1" x14ac:dyDescent="0.3">
      <c r="A450" s="4" t="s">
        <v>854</v>
      </c>
      <c r="B450" s="2" t="s">
        <v>51</v>
      </c>
      <c r="C450" s="2" t="s">
        <v>55</v>
      </c>
      <c r="D450" s="2" t="s">
        <v>13</v>
      </c>
      <c r="E450" s="2">
        <v>15</v>
      </c>
      <c r="F450" s="2">
        <v>11</v>
      </c>
      <c r="G450" s="2" t="s">
        <v>14</v>
      </c>
      <c r="H450" s="2" t="s">
        <v>61</v>
      </c>
      <c r="I450" s="2" t="s">
        <v>855</v>
      </c>
      <c r="J450" s="5">
        <v>84</v>
      </c>
    </row>
    <row r="451" spans="1:10" hidden="1" x14ac:dyDescent="0.3">
      <c r="A451" s="4" t="s">
        <v>856</v>
      </c>
      <c r="B451" s="2" t="s">
        <v>29</v>
      </c>
      <c r="C451" s="2" t="s">
        <v>85</v>
      </c>
      <c r="D451" s="2" t="s">
        <v>13</v>
      </c>
      <c r="E451" s="2">
        <v>16</v>
      </c>
      <c r="F451" s="2">
        <v>9</v>
      </c>
      <c r="G451" s="2" t="s">
        <v>14</v>
      </c>
      <c r="H451" s="2" t="s">
        <v>61</v>
      </c>
      <c r="I451" s="2" t="s">
        <v>262</v>
      </c>
      <c r="J451" s="5">
        <v>78</v>
      </c>
    </row>
    <row r="452" spans="1:10" hidden="1" x14ac:dyDescent="0.3">
      <c r="A452" s="4" t="s">
        <v>857</v>
      </c>
      <c r="B452" s="2" t="s">
        <v>18</v>
      </c>
      <c r="C452" s="2" t="s">
        <v>96</v>
      </c>
      <c r="D452" s="2" t="s">
        <v>13</v>
      </c>
      <c r="E452" s="2">
        <v>20</v>
      </c>
      <c r="F452" s="2">
        <v>11</v>
      </c>
      <c r="G452" s="2" t="s">
        <v>32</v>
      </c>
      <c r="H452" s="2" t="s">
        <v>61</v>
      </c>
      <c r="I452" s="2" t="s">
        <v>570</v>
      </c>
      <c r="J452" s="5">
        <v>94</v>
      </c>
    </row>
    <row r="453" spans="1:10" hidden="1" x14ac:dyDescent="0.3">
      <c r="A453" s="4" t="s">
        <v>858</v>
      </c>
      <c r="B453" s="2" t="s">
        <v>35</v>
      </c>
      <c r="C453" s="2" t="s">
        <v>12</v>
      </c>
      <c r="D453" s="2" t="s">
        <v>31</v>
      </c>
      <c r="E453" s="2">
        <v>19</v>
      </c>
      <c r="F453" s="2">
        <v>9</v>
      </c>
      <c r="G453" s="2" t="s">
        <v>43</v>
      </c>
      <c r="H453" s="2" t="s">
        <v>26</v>
      </c>
      <c r="I453" s="2" t="s">
        <v>859</v>
      </c>
      <c r="J453" s="5">
        <v>88</v>
      </c>
    </row>
    <row r="454" spans="1:10" hidden="1" x14ac:dyDescent="0.3">
      <c r="A454" s="4" t="s">
        <v>860</v>
      </c>
      <c r="B454" s="2" t="s">
        <v>68</v>
      </c>
      <c r="C454" s="2" t="s">
        <v>12</v>
      </c>
      <c r="D454" s="2" t="s">
        <v>13</v>
      </c>
      <c r="E454" s="2">
        <v>16</v>
      </c>
      <c r="F454" s="2">
        <v>12</v>
      </c>
      <c r="G454" s="2" t="s">
        <v>14</v>
      </c>
      <c r="H454" s="2" t="s">
        <v>37</v>
      </c>
      <c r="I454" s="2" t="s">
        <v>861</v>
      </c>
      <c r="J454" s="5">
        <v>84</v>
      </c>
    </row>
    <row r="455" spans="1:10" hidden="1" x14ac:dyDescent="0.3">
      <c r="A455" s="4" t="s">
        <v>862</v>
      </c>
      <c r="B455" s="2" t="s">
        <v>51</v>
      </c>
      <c r="C455" s="2" t="s">
        <v>24</v>
      </c>
      <c r="D455" s="2" t="s">
        <v>13</v>
      </c>
      <c r="E455" s="2">
        <v>17</v>
      </c>
      <c r="F455" s="2">
        <v>9</v>
      </c>
      <c r="G455" s="2" t="s">
        <v>43</v>
      </c>
      <c r="H455" s="2" t="s">
        <v>15</v>
      </c>
      <c r="I455" s="2" t="s">
        <v>863</v>
      </c>
      <c r="J455" s="5">
        <v>86</v>
      </c>
    </row>
    <row r="456" spans="1:10" hidden="1" x14ac:dyDescent="0.3">
      <c r="A456" s="4" t="s">
        <v>864</v>
      </c>
      <c r="B456" s="2" t="s">
        <v>35</v>
      </c>
      <c r="C456" s="2" t="s">
        <v>58</v>
      </c>
      <c r="D456" s="2" t="s">
        <v>13</v>
      </c>
      <c r="E456" s="2">
        <v>17</v>
      </c>
      <c r="F456" s="2">
        <v>10</v>
      </c>
      <c r="G456" s="2" t="s">
        <v>14</v>
      </c>
      <c r="H456" s="2" t="s">
        <v>20</v>
      </c>
      <c r="I456" s="2" t="s">
        <v>865</v>
      </c>
      <c r="J456" s="5">
        <v>92</v>
      </c>
    </row>
    <row r="457" spans="1:10" hidden="1" x14ac:dyDescent="0.3">
      <c r="A457" s="4" t="s">
        <v>866</v>
      </c>
      <c r="B457" s="2" t="s">
        <v>18</v>
      </c>
      <c r="C457" s="2" t="s">
        <v>24</v>
      </c>
      <c r="D457" s="2" t="s">
        <v>13</v>
      </c>
      <c r="E457" s="2">
        <v>15</v>
      </c>
      <c r="F457" s="2">
        <v>11</v>
      </c>
      <c r="G457" s="2" t="s">
        <v>14</v>
      </c>
      <c r="H457" s="2" t="s">
        <v>61</v>
      </c>
      <c r="I457" s="2" t="s">
        <v>867</v>
      </c>
      <c r="J457" s="5">
        <v>97</v>
      </c>
    </row>
    <row r="458" spans="1:10" hidden="1" x14ac:dyDescent="0.3">
      <c r="A458" s="4" t="s">
        <v>868</v>
      </c>
      <c r="B458" s="2" t="s">
        <v>84</v>
      </c>
      <c r="C458" s="2" t="s">
        <v>30</v>
      </c>
      <c r="D458" s="2" t="s">
        <v>31</v>
      </c>
      <c r="E458" s="2">
        <v>15</v>
      </c>
      <c r="F458" s="2">
        <v>9</v>
      </c>
      <c r="G458" s="2" t="s">
        <v>43</v>
      </c>
      <c r="H458" s="2" t="s">
        <v>61</v>
      </c>
      <c r="I458" s="2" t="s">
        <v>151</v>
      </c>
      <c r="J458" s="5">
        <v>45</v>
      </c>
    </row>
    <row r="459" spans="1:10" hidden="1" x14ac:dyDescent="0.3">
      <c r="A459" s="4" t="s">
        <v>869</v>
      </c>
      <c r="B459" s="2" t="s">
        <v>73</v>
      </c>
      <c r="C459" s="2" t="s">
        <v>96</v>
      </c>
      <c r="D459" s="2" t="s">
        <v>31</v>
      </c>
      <c r="E459" s="2">
        <v>17</v>
      </c>
      <c r="F459" s="2">
        <v>9</v>
      </c>
      <c r="G459" s="2" t="s">
        <v>43</v>
      </c>
      <c r="H459" s="2" t="s">
        <v>26</v>
      </c>
      <c r="I459" s="2" t="s">
        <v>870</v>
      </c>
      <c r="J459" s="5">
        <v>53</v>
      </c>
    </row>
    <row r="460" spans="1:10" hidden="1" x14ac:dyDescent="0.3">
      <c r="A460" s="4" t="s">
        <v>871</v>
      </c>
      <c r="B460" s="2" t="s">
        <v>11</v>
      </c>
      <c r="C460" s="2" t="s">
        <v>12</v>
      </c>
      <c r="D460" s="2" t="s">
        <v>13</v>
      </c>
      <c r="E460" s="2">
        <v>20</v>
      </c>
      <c r="F460" s="2">
        <v>10</v>
      </c>
      <c r="G460" s="2" t="s">
        <v>25</v>
      </c>
      <c r="H460" s="2" t="s">
        <v>76</v>
      </c>
      <c r="I460" s="2" t="s">
        <v>872</v>
      </c>
      <c r="J460" s="5">
        <v>66</v>
      </c>
    </row>
    <row r="461" spans="1:10" x14ac:dyDescent="0.3">
      <c r="A461" s="19" t="s">
        <v>873</v>
      </c>
      <c r="B461" s="15" t="s">
        <v>18</v>
      </c>
      <c r="C461" s="15" t="s">
        <v>79</v>
      </c>
      <c r="D461" s="59" t="s">
        <v>31</v>
      </c>
      <c r="E461" s="15">
        <v>19</v>
      </c>
      <c r="F461" s="59">
        <v>12</v>
      </c>
      <c r="G461" s="15" t="s">
        <v>32</v>
      </c>
      <c r="H461" s="15" t="s">
        <v>76</v>
      </c>
      <c r="I461" s="15" t="s">
        <v>742</v>
      </c>
      <c r="J461" s="20">
        <v>83</v>
      </c>
    </row>
    <row r="462" spans="1:10" hidden="1" x14ac:dyDescent="0.3">
      <c r="A462" s="4" t="s">
        <v>874</v>
      </c>
      <c r="B462" s="2" t="s">
        <v>35</v>
      </c>
      <c r="C462" s="2" t="s">
        <v>36</v>
      </c>
      <c r="D462" s="2" t="s">
        <v>13</v>
      </c>
      <c r="E462" s="2">
        <v>16</v>
      </c>
      <c r="F462" s="2">
        <v>10</v>
      </c>
      <c r="G462" s="2" t="s">
        <v>14</v>
      </c>
      <c r="H462" s="2" t="s">
        <v>61</v>
      </c>
      <c r="I462" s="2" t="s">
        <v>875</v>
      </c>
      <c r="J462" s="5">
        <v>35</v>
      </c>
    </row>
    <row r="463" spans="1:10" hidden="1" x14ac:dyDescent="0.3">
      <c r="A463" s="4" t="s">
        <v>876</v>
      </c>
      <c r="B463" s="2" t="s">
        <v>18</v>
      </c>
      <c r="C463" s="2" t="s">
        <v>24</v>
      </c>
      <c r="D463" s="2" t="s">
        <v>31</v>
      </c>
      <c r="E463" s="2">
        <v>16</v>
      </c>
      <c r="F463" s="2">
        <v>9</v>
      </c>
      <c r="G463" s="2" t="s">
        <v>43</v>
      </c>
      <c r="H463" s="2" t="s">
        <v>26</v>
      </c>
      <c r="I463" s="2" t="s">
        <v>515</v>
      </c>
      <c r="J463" s="5">
        <v>48</v>
      </c>
    </row>
    <row r="464" spans="1:10" hidden="1" x14ac:dyDescent="0.3">
      <c r="A464" s="4" t="s">
        <v>877</v>
      </c>
      <c r="B464" s="2" t="s">
        <v>73</v>
      </c>
      <c r="C464" s="2" t="s">
        <v>85</v>
      </c>
      <c r="D464" s="2" t="s">
        <v>13</v>
      </c>
      <c r="E464" s="2">
        <v>19</v>
      </c>
      <c r="F464" s="2">
        <v>10</v>
      </c>
      <c r="G464" s="2" t="s">
        <v>25</v>
      </c>
      <c r="H464" s="2" t="s">
        <v>26</v>
      </c>
      <c r="I464" s="2" t="s">
        <v>878</v>
      </c>
      <c r="J464" s="5">
        <v>81</v>
      </c>
    </row>
    <row r="465" spans="1:10" hidden="1" x14ac:dyDescent="0.3">
      <c r="A465" s="4" t="s">
        <v>879</v>
      </c>
      <c r="B465" s="2" t="s">
        <v>18</v>
      </c>
      <c r="C465" s="2" t="s">
        <v>85</v>
      </c>
      <c r="D465" s="2" t="s">
        <v>13</v>
      </c>
      <c r="E465" s="2">
        <v>15</v>
      </c>
      <c r="F465" s="2">
        <v>11</v>
      </c>
      <c r="G465" s="2" t="s">
        <v>32</v>
      </c>
      <c r="H465" s="2" t="s">
        <v>37</v>
      </c>
      <c r="I465" s="2" t="s">
        <v>880</v>
      </c>
      <c r="J465" s="5">
        <v>86</v>
      </c>
    </row>
    <row r="466" spans="1:10" x14ac:dyDescent="0.3">
      <c r="A466" s="19" t="s">
        <v>881</v>
      </c>
      <c r="B466" s="15" t="s">
        <v>73</v>
      </c>
      <c r="C466" s="15" t="s">
        <v>24</v>
      </c>
      <c r="D466" s="59" t="s">
        <v>31</v>
      </c>
      <c r="E466" s="15">
        <v>14</v>
      </c>
      <c r="F466" s="59">
        <v>12</v>
      </c>
      <c r="G466" s="15" t="s">
        <v>25</v>
      </c>
      <c r="H466" s="15" t="s">
        <v>46</v>
      </c>
      <c r="I466" s="15" t="s">
        <v>882</v>
      </c>
      <c r="J466" s="20">
        <v>58</v>
      </c>
    </row>
    <row r="467" spans="1:10" hidden="1" x14ac:dyDescent="0.3">
      <c r="A467" s="4" t="s">
        <v>883</v>
      </c>
      <c r="B467" s="2" t="s">
        <v>23</v>
      </c>
      <c r="C467" s="2" t="s">
        <v>85</v>
      </c>
      <c r="D467" s="2" t="s">
        <v>13</v>
      </c>
      <c r="E467" s="2">
        <v>19</v>
      </c>
      <c r="F467" s="2">
        <v>9</v>
      </c>
      <c r="G467" s="2" t="s">
        <v>43</v>
      </c>
      <c r="H467" s="2" t="s">
        <v>20</v>
      </c>
      <c r="I467" s="2" t="s">
        <v>884</v>
      </c>
      <c r="J467" s="5">
        <v>69</v>
      </c>
    </row>
    <row r="468" spans="1:10" hidden="1" x14ac:dyDescent="0.3">
      <c r="A468" s="4" t="s">
        <v>885</v>
      </c>
      <c r="B468" s="2" t="s">
        <v>51</v>
      </c>
      <c r="C468" s="2" t="s">
        <v>55</v>
      </c>
      <c r="D468" s="2" t="s">
        <v>13</v>
      </c>
      <c r="E468" s="2">
        <v>16</v>
      </c>
      <c r="F468" s="2">
        <v>11</v>
      </c>
      <c r="G468" s="2" t="s">
        <v>32</v>
      </c>
      <c r="H468" s="2" t="s">
        <v>76</v>
      </c>
      <c r="I468" s="2" t="s">
        <v>886</v>
      </c>
      <c r="J468" s="5">
        <v>65</v>
      </c>
    </row>
    <row r="469" spans="1:10" hidden="1" x14ac:dyDescent="0.3">
      <c r="A469" s="4" t="s">
        <v>887</v>
      </c>
      <c r="B469" s="2" t="s">
        <v>11</v>
      </c>
      <c r="C469" s="2" t="s">
        <v>30</v>
      </c>
      <c r="D469" s="2" t="s">
        <v>31</v>
      </c>
      <c r="E469" s="2">
        <v>17</v>
      </c>
      <c r="F469" s="2">
        <v>9</v>
      </c>
      <c r="G469" s="2" t="s">
        <v>14</v>
      </c>
      <c r="H469" s="2" t="s">
        <v>76</v>
      </c>
      <c r="I469" s="2" t="s">
        <v>653</v>
      </c>
      <c r="J469" s="5">
        <v>53</v>
      </c>
    </row>
    <row r="470" spans="1:10" hidden="1" x14ac:dyDescent="0.3">
      <c r="A470" s="4" t="s">
        <v>888</v>
      </c>
      <c r="B470" s="2" t="s">
        <v>23</v>
      </c>
      <c r="C470" s="2" t="s">
        <v>58</v>
      </c>
      <c r="D470" s="2" t="s">
        <v>31</v>
      </c>
      <c r="E470" s="2">
        <v>18</v>
      </c>
      <c r="F470" s="2">
        <v>10</v>
      </c>
      <c r="G470" s="2" t="s">
        <v>14</v>
      </c>
      <c r="H470" s="2" t="s">
        <v>20</v>
      </c>
      <c r="I470" s="2" t="s">
        <v>153</v>
      </c>
      <c r="J470" s="5">
        <v>92</v>
      </c>
    </row>
    <row r="471" spans="1:10" x14ac:dyDescent="0.3">
      <c r="A471" s="19" t="s">
        <v>889</v>
      </c>
      <c r="B471" s="15" t="s">
        <v>68</v>
      </c>
      <c r="C471" s="15" t="s">
        <v>19</v>
      </c>
      <c r="D471" s="59" t="s">
        <v>31</v>
      </c>
      <c r="E471" s="15">
        <v>18</v>
      </c>
      <c r="F471" s="59">
        <v>12</v>
      </c>
      <c r="G471" s="15" t="s">
        <v>32</v>
      </c>
      <c r="H471" s="15" t="s">
        <v>46</v>
      </c>
      <c r="I471" s="15" t="s">
        <v>890</v>
      </c>
      <c r="J471" s="20">
        <v>88</v>
      </c>
    </row>
    <row r="472" spans="1:10" hidden="1" x14ac:dyDescent="0.3">
      <c r="A472" s="4" t="s">
        <v>891</v>
      </c>
      <c r="B472" s="2" t="s">
        <v>68</v>
      </c>
      <c r="C472" s="2" t="s">
        <v>79</v>
      </c>
      <c r="D472" s="2" t="s">
        <v>31</v>
      </c>
      <c r="E472" s="2">
        <v>17</v>
      </c>
      <c r="F472" s="2">
        <v>10</v>
      </c>
      <c r="G472" s="2" t="s">
        <v>32</v>
      </c>
      <c r="H472" s="2" t="s">
        <v>61</v>
      </c>
      <c r="I472" s="2" t="s">
        <v>892</v>
      </c>
      <c r="J472" s="5">
        <v>56</v>
      </c>
    </row>
    <row r="473" spans="1:10" hidden="1" x14ac:dyDescent="0.3">
      <c r="A473" s="4" t="s">
        <v>893</v>
      </c>
      <c r="B473" s="2" t="s">
        <v>29</v>
      </c>
      <c r="C473" s="2" t="s">
        <v>30</v>
      </c>
      <c r="D473" s="2" t="s">
        <v>13</v>
      </c>
      <c r="E473" s="2">
        <v>17</v>
      </c>
      <c r="F473" s="2">
        <v>9</v>
      </c>
      <c r="G473" s="2" t="s">
        <v>14</v>
      </c>
      <c r="H473" s="2" t="s">
        <v>46</v>
      </c>
      <c r="I473" s="2" t="s">
        <v>423</v>
      </c>
      <c r="J473" s="5">
        <v>46</v>
      </c>
    </row>
    <row r="474" spans="1:10" hidden="1" x14ac:dyDescent="0.3">
      <c r="A474" s="4" t="s">
        <v>894</v>
      </c>
      <c r="B474" s="2" t="s">
        <v>23</v>
      </c>
      <c r="C474" s="2" t="s">
        <v>79</v>
      </c>
      <c r="D474" s="2" t="s">
        <v>31</v>
      </c>
      <c r="E474" s="2">
        <v>20</v>
      </c>
      <c r="F474" s="2">
        <v>9</v>
      </c>
      <c r="G474" s="2" t="s">
        <v>14</v>
      </c>
      <c r="H474" s="2" t="s">
        <v>26</v>
      </c>
      <c r="I474" s="2" t="s">
        <v>895</v>
      </c>
      <c r="J474" s="5">
        <v>36</v>
      </c>
    </row>
    <row r="475" spans="1:10" hidden="1" x14ac:dyDescent="0.3">
      <c r="A475" s="4" t="s">
        <v>896</v>
      </c>
      <c r="B475" s="2" t="s">
        <v>11</v>
      </c>
      <c r="C475" s="2" t="s">
        <v>36</v>
      </c>
      <c r="D475" s="2" t="s">
        <v>13</v>
      </c>
      <c r="E475" s="2">
        <v>15</v>
      </c>
      <c r="F475" s="2">
        <v>11</v>
      </c>
      <c r="G475" s="2" t="s">
        <v>14</v>
      </c>
      <c r="H475" s="2" t="s">
        <v>26</v>
      </c>
      <c r="I475" s="2" t="s">
        <v>897</v>
      </c>
      <c r="J475" s="5">
        <v>95</v>
      </c>
    </row>
    <row r="476" spans="1:10" hidden="1" x14ac:dyDescent="0.3">
      <c r="A476" s="4" t="s">
        <v>898</v>
      </c>
      <c r="B476" s="2" t="s">
        <v>18</v>
      </c>
      <c r="C476" s="2" t="s">
        <v>19</v>
      </c>
      <c r="D476" s="2" t="s">
        <v>13</v>
      </c>
      <c r="E476" s="2">
        <v>17</v>
      </c>
      <c r="F476" s="2">
        <v>10</v>
      </c>
      <c r="G476" s="2" t="s">
        <v>25</v>
      </c>
      <c r="H476" s="2" t="s">
        <v>61</v>
      </c>
      <c r="I476" s="2" t="s">
        <v>471</v>
      </c>
      <c r="J476" s="5">
        <v>58</v>
      </c>
    </row>
    <row r="477" spans="1:10" hidden="1" x14ac:dyDescent="0.3">
      <c r="A477" s="4" t="s">
        <v>899</v>
      </c>
      <c r="B477" s="2" t="s">
        <v>11</v>
      </c>
      <c r="C477" s="2" t="s">
        <v>79</v>
      </c>
      <c r="D477" s="2" t="s">
        <v>13</v>
      </c>
      <c r="E477" s="2">
        <v>15</v>
      </c>
      <c r="F477" s="2">
        <v>10</v>
      </c>
      <c r="G477" s="2" t="s">
        <v>14</v>
      </c>
      <c r="H477" s="2" t="s">
        <v>37</v>
      </c>
      <c r="I477" s="2" t="s">
        <v>900</v>
      </c>
      <c r="J477" s="5">
        <v>88</v>
      </c>
    </row>
    <row r="478" spans="1:10" hidden="1" x14ac:dyDescent="0.3">
      <c r="A478" s="4" t="s">
        <v>901</v>
      </c>
      <c r="B478" s="2" t="s">
        <v>68</v>
      </c>
      <c r="C478" s="2" t="s">
        <v>19</v>
      </c>
      <c r="D478" s="2" t="s">
        <v>31</v>
      </c>
      <c r="E478" s="2">
        <v>18</v>
      </c>
      <c r="F478" s="2">
        <v>11</v>
      </c>
      <c r="G478" s="2" t="s">
        <v>14</v>
      </c>
      <c r="H478" s="2" t="s">
        <v>40</v>
      </c>
      <c r="I478" s="2" t="s">
        <v>139</v>
      </c>
      <c r="J478" s="5">
        <v>75</v>
      </c>
    </row>
    <row r="479" spans="1:10" hidden="1" x14ac:dyDescent="0.3">
      <c r="A479" s="4" t="s">
        <v>902</v>
      </c>
      <c r="B479" s="2" t="s">
        <v>35</v>
      </c>
      <c r="C479" s="2" t="s">
        <v>12</v>
      </c>
      <c r="D479" s="2" t="s">
        <v>31</v>
      </c>
      <c r="E479" s="2">
        <v>14</v>
      </c>
      <c r="F479" s="2">
        <v>11</v>
      </c>
      <c r="G479" s="2" t="s">
        <v>14</v>
      </c>
      <c r="H479" s="2" t="s">
        <v>37</v>
      </c>
      <c r="I479" s="2" t="s">
        <v>271</v>
      </c>
      <c r="J479" s="5">
        <v>59</v>
      </c>
    </row>
    <row r="480" spans="1:10" x14ac:dyDescent="0.3">
      <c r="A480" s="19" t="s">
        <v>903</v>
      </c>
      <c r="B480" s="15" t="s">
        <v>54</v>
      </c>
      <c r="C480" s="15" t="s">
        <v>30</v>
      </c>
      <c r="D480" s="59" t="s">
        <v>31</v>
      </c>
      <c r="E480" s="15">
        <v>20</v>
      </c>
      <c r="F480" s="59">
        <v>12</v>
      </c>
      <c r="G480" s="15" t="s">
        <v>43</v>
      </c>
      <c r="H480" s="15" t="s">
        <v>40</v>
      </c>
      <c r="I480" s="15" t="s">
        <v>904</v>
      </c>
      <c r="J480" s="20">
        <v>55</v>
      </c>
    </row>
    <row r="481" spans="1:10" hidden="1" x14ac:dyDescent="0.3">
      <c r="A481" s="4" t="s">
        <v>905</v>
      </c>
      <c r="B481" s="2" t="s">
        <v>54</v>
      </c>
      <c r="C481" s="2" t="s">
        <v>30</v>
      </c>
      <c r="D481" s="2" t="s">
        <v>13</v>
      </c>
      <c r="E481" s="2">
        <v>16</v>
      </c>
      <c r="F481" s="2">
        <v>12</v>
      </c>
      <c r="G481" s="2" t="s">
        <v>43</v>
      </c>
      <c r="H481" s="2" t="s">
        <v>40</v>
      </c>
      <c r="I481" s="2" t="s">
        <v>556</v>
      </c>
      <c r="J481" s="5">
        <v>81</v>
      </c>
    </row>
    <row r="482" spans="1:10" hidden="1" x14ac:dyDescent="0.3">
      <c r="A482" s="4" t="s">
        <v>906</v>
      </c>
      <c r="B482" s="2" t="s">
        <v>73</v>
      </c>
      <c r="C482" s="2" t="s">
        <v>36</v>
      </c>
      <c r="D482" s="2" t="s">
        <v>13</v>
      </c>
      <c r="E482" s="2">
        <v>17</v>
      </c>
      <c r="F482" s="2">
        <v>12</v>
      </c>
      <c r="G482" s="2" t="s">
        <v>25</v>
      </c>
      <c r="H482" s="2" t="s">
        <v>76</v>
      </c>
      <c r="I482" s="2" t="s">
        <v>907</v>
      </c>
      <c r="J482" s="5">
        <v>75</v>
      </c>
    </row>
    <row r="483" spans="1:10" hidden="1" x14ac:dyDescent="0.3">
      <c r="A483" s="4" t="s">
        <v>908</v>
      </c>
      <c r="B483" s="2" t="s">
        <v>11</v>
      </c>
      <c r="C483" s="2" t="s">
        <v>79</v>
      </c>
      <c r="D483" s="2" t="s">
        <v>31</v>
      </c>
      <c r="E483" s="2">
        <v>14</v>
      </c>
      <c r="F483" s="2">
        <v>10</v>
      </c>
      <c r="G483" s="2" t="s">
        <v>14</v>
      </c>
      <c r="H483" s="2" t="s">
        <v>46</v>
      </c>
      <c r="I483" s="2" t="s">
        <v>909</v>
      </c>
      <c r="J483" s="5">
        <v>55</v>
      </c>
    </row>
    <row r="484" spans="1:10" hidden="1" x14ac:dyDescent="0.3">
      <c r="A484" s="4" t="s">
        <v>910</v>
      </c>
      <c r="B484" s="2" t="s">
        <v>84</v>
      </c>
      <c r="C484" s="2" t="s">
        <v>12</v>
      </c>
      <c r="D484" s="2" t="s">
        <v>31</v>
      </c>
      <c r="E484" s="2">
        <v>18</v>
      </c>
      <c r="F484" s="2">
        <v>11</v>
      </c>
      <c r="G484" s="2" t="s">
        <v>25</v>
      </c>
      <c r="H484" s="2" t="s">
        <v>15</v>
      </c>
      <c r="I484" s="2" t="s">
        <v>911</v>
      </c>
      <c r="J484" s="5">
        <v>87</v>
      </c>
    </row>
    <row r="485" spans="1:10" x14ac:dyDescent="0.3">
      <c r="A485" s="19" t="s">
        <v>912</v>
      </c>
      <c r="B485" s="15" t="s">
        <v>23</v>
      </c>
      <c r="C485" s="15" t="s">
        <v>79</v>
      </c>
      <c r="D485" s="59" t="s">
        <v>31</v>
      </c>
      <c r="E485" s="15">
        <v>17</v>
      </c>
      <c r="F485" s="59">
        <v>12</v>
      </c>
      <c r="G485" s="15" t="s">
        <v>32</v>
      </c>
      <c r="H485" s="15" t="s">
        <v>46</v>
      </c>
      <c r="I485" s="15" t="s">
        <v>400</v>
      </c>
      <c r="J485" s="20">
        <v>70</v>
      </c>
    </row>
    <row r="486" spans="1:10" hidden="1" x14ac:dyDescent="0.3">
      <c r="A486" s="4" t="s">
        <v>913</v>
      </c>
      <c r="B486" s="2" t="s">
        <v>68</v>
      </c>
      <c r="C486" s="2" t="s">
        <v>58</v>
      </c>
      <c r="D486" s="2" t="s">
        <v>13</v>
      </c>
      <c r="E486" s="2">
        <v>14</v>
      </c>
      <c r="F486" s="2">
        <v>10</v>
      </c>
      <c r="G486" s="2" t="s">
        <v>14</v>
      </c>
      <c r="H486" s="2" t="s">
        <v>15</v>
      </c>
      <c r="I486" s="2" t="s">
        <v>914</v>
      </c>
      <c r="J486" s="5">
        <v>69</v>
      </c>
    </row>
    <row r="487" spans="1:10" hidden="1" x14ac:dyDescent="0.3">
      <c r="A487" s="4" t="s">
        <v>915</v>
      </c>
      <c r="B487" s="2" t="s">
        <v>23</v>
      </c>
      <c r="C487" s="2" t="s">
        <v>58</v>
      </c>
      <c r="D487" s="2" t="s">
        <v>31</v>
      </c>
      <c r="E487" s="2">
        <v>17</v>
      </c>
      <c r="F487" s="2">
        <v>9</v>
      </c>
      <c r="G487" s="2" t="s">
        <v>25</v>
      </c>
      <c r="H487" s="2" t="s">
        <v>46</v>
      </c>
      <c r="I487" s="2" t="s">
        <v>916</v>
      </c>
      <c r="J487" s="5">
        <v>85</v>
      </c>
    </row>
    <row r="488" spans="1:10" hidden="1" x14ac:dyDescent="0.3">
      <c r="A488" s="4" t="s">
        <v>917</v>
      </c>
      <c r="B488" s="2" t="s">
        <v>11</v>
      </c>
      <c r="C488" s="2" t="s">
        <v>96</v>
      </c>
      <c r="D488" s="2" t="s">
        <v>31</v>
      </c>
      <c r="E488" s="2">
        <v>19</v>
      </c>
      <c r="F488" s="2">
        <v>11</v>
      </c>
      <c r="G488" s="2" t="s">
        <v>43</v>
      </c>
      <c r="H488" s="2" t="s">
        <v>26</v>
      </c>
      <c r="I488" s="2" t="s">
        <v>918</v>
      </c>
      <c r="J488" s="5">
        <v>87</v>
      </c>
    </row>
    <row r="489" spans="1:10" hidden="1" x14ac:dyDescent="0.3">
      <c r="A489" s="4" t="s">
        <v>919</v>
      </c>
      <c r="B489" s="2" t="s">
        <v>23</v>
      </c>
      <c r="C489" s="2" t="s">
        <v>19</v>
      </c>
      <c r="D489" s="2" t="s">
        <v>13</v>
      </c>
      <c r="E489" s="2">
        <v>14</v>
      </c>
      <c r="F489" s="2">
        <v>12</v>
      </c>
      <c r="G489" s="2" t="s">
        <v>14</v>
      </c>
      <c r="H489" s="2" t="s">
        <v>15</v>
      </c>
      <c r="I489" s="2" t="s">
        <v>920</v>
      </c>
      <c r="J489" s="5">
        <v>92</v>
      </c>
    </row>
    <row r="490" spans="1:10" hidden="1" x14ac:dyDescent="0.3">
      <c r="A490" s="4" t="s">
        <v>921</v>
      </c>
      <c r="B490" s="2" t="s">
        <v>18</v>
      </c>
      <c r="C490" s="2" t="s">
        <v>24</v>
      </c>
      <c r="D490" s="2" t="s">
        <v>13</v>
      </c>
      <c r="E490" s="2">
        <v>19</v>
      </c>
      <c r="F490" s="2">
        <v>10</v>
      </c>
      <c r="G490" s="2" t="s">
        <v>14</v>
      </c>
      <c r="H490" s="2" t="s">
        <v>20</v>
      </c>
      <c r="I490" s="2" t="s">
        <v>922</v>
      </c>
      <c r="J490" s="5">
        <v>58</v>
      </c>
    </row>
    <row r="491" spans="1:10" x14ac:dyDescent="0.3">
      <c r="A491" s="19" t="s">
        <v>923</v>
      </c>
      <c r="B491" s="15" t="s">
        <v>68</v>
      </c>
      <c r="C491" s="15" t="s">
        <v>55</v>
      </c>
      <c r="D491" s="59" t="s">
        <v>31</v>
      </c>
      <c r="E491" s="15">
        <v>16</v>
      </c>
      <c r="F491" s="59">
        <v>12</v>
      </c>
      <c r="G491" s="15" t="s">
        <v>43</v>
      </c>
      <c r="H491" s="15" t="s">
        <v>37</v>
      </c>
      <c r="I491" s="15" t="s">
        <v>924</v>
      </c>
      <c r="J491" s="20">
        <v>77</v>
      </c>
    </row>
    <row r="492" spans="1:10" hidden="1" x14ac:dyDescent="0.3">
      <c r="A492" s="4" t="s">
        <v>925</v>
      </c>
      <c r="B492" s="2" t="s">
        <v>68</v>
      </c>
      <c r="C492" s="2" t="s">
        <v>30</v>
      </c>
      <c r="D492" s="2" t="s">
        <v>31</v>
      </c>
      <c r="E492" s="2">
        <v>18</v>
      </c>
      <c r="F492" s="2">
        <v>9</v>
      </c>
      <c r="G492" s="2" t="s">
        <v>32</v>
      </c>
      <c r="H492" s="2" t="s">
        <v>20</v>
      </c>
      <c r="I492" s="2" t="s">
        <v>732</v>
      </c>
      <c r="J492" s="5">
        <v>86</v>
      </c>
    </row>
    <row r="493" spans="1:10" hidden="1" x14ac:dyDescent="0.3">
      <c r="A493" s="4" t="s">
        <v>926</v>
      </c>
      <c r="B493" s="2" t="s">
        <v>73</v>
      </c>
      <c r="C493" s="2" t="s">
        <v>85</v>
      </c>
      <c r="D493" s="2" t="s">
        <v>13</v>
      </c>
      <c r="E493" s="2">
        <v>14</v>
      </c>
      <c r="F493" s="2">
        <v>9</v>
      </c>
      <c r="G493" s="2" t="s">
        <v>32</v>
      </c>
      <c r="H493" s="2" t="s">
        <v>20</v>
      </c>
      <c r="I493" s="2" t="s">
        <v>927</v>
      </c>
      <c r="J493" s="5">
        <v>94</v>
      </c>
    </row>
    <row r="494" spans="1:10" hidden="1" x14ac:dyDescent="0.3">
      <c r="A494" s="4" t="s">
        <v>928</v>
      </c>
      <c r="B494" s="2" t="s">
        <v>23</v>
      </c>
      <c r="C494" s="2" t="s">
        <v>55</v>
      </c>
      <c r="D494" s="2" t="s">
        <v>13</v>
      </c>
      <c r="E494" s="2">
        <v>20</v>
      </c>
      <c r="F494" s="2">
        <v>11</v>
      </c>
      <c r="G494" s="2" t="s">
        <v>14</v>
      </c>
      <c r="H494" s="2" t="s">
        <v>15</v>
      </c>
      <c r="I494" s="2" t="s">
        <v>608</v>
      </c>
      <c r="J494" s="5">
        <v>49</v>
      </c>
    </row>
    <row r="495" spans="1:10" hidden="1" x14ac:dyDescent="0.3">
      <c r="A495" s="4" t="s">
        <v>929</v>
      </c>
      <c r="B495" s="2" t="s">
        <v>35</v>
      </c>
      <c r="C495" s="2" t="s">
        <v>30</v>
      </c>
      <c r="D495" s="2" t="s">
        <v>13</v>
      </c>
      <c r="E495" s="2">
        <v>15</v>
      </c>
      <c r="F495" s="2">
        <v>12</v>
      </c>
      <c r="G495" s="2" t="s">
        <v>32</v>
      </c>
      <c r="H495" s="2" t="s">
        <v>26</v>
      </c>
      <c r="I495" s="2" t="s">
        <v>262</v>
      </c>
      <c r="J495" s="5">
        <v>55</v>
      </c>
    </row>
    <row r="496" spans="1:10" hidden="1" x14ac:dyDescent="0.3">
      <c r="A496" s="4" t="s">
        <v>930</v>
      </c>
      <c r="B496" s="2" t="s">
        <v>35</v>
      </c>
      <c r="C496" s="2" t="s">
        <v>96</v>
      </c>
      <c r="D496" s="2" t="s">
        <v>31</v>
      </c>
      <c r="E496" s="2">
        <v>20</v>
      </c>
      <c r="F496" s="2">
        <v>9</v>
      </c>
      <c r="G496" s="2" t="s">
        <v>25</v>
      </c>
      <c r="H496" s="2" t="s">
        <v>61</v>
      </c>
      <c r="I496" s="2" t="s">
        <v>342</v>
      </c>
      <c r="J496" s="5">
        <v>62</v>
      </c>
    </row>
    <row r="497" spans="1:10" hidden="1" x14ac:dyDescent="0.3">
      <c r="A497" s="4" t="s">
        <v>931</v>
      </c>
      <c r="B497" s="2" t="s">
        <v>23</v>
      </c>
      <c r="C497" s="2" t="s">
        <v>36</v>
      </c>
      <c r="D497" s="2" t="s">
        <v>13</v>
      </c>
      <c r="E497" s="2">
        <v>20</v>
      </c>
      <c r="F497" s="2">
        <v>9</v>
      </c>
      <c r="G497" s="2" t="s">
        <v>43</v>
      </c>
      <c r="H497" s="2" t="s">
        <v>40</v>
      </c>
      <c r="I497" s="2" t="s">
        <v>932</v>
      </c>
      <c r="J497" s="5">
        <v>85</v>
      </c>
    </row>
    <row r="498" spans="1:10" hidden="1" x14ac:dyDescent="0.3">
      <c r="A498" s="4" t="s">
        <v>933</v>
      </c>
      <c r="B498" s="2" t="s">
        <v>51</v>
      </c>
      <c r="C498" s="2" t="s">
        <v>96</v>
      </c>
      <c r="D498" s="2" t="s">
        <v>13</v>
      </c>
      <c r="E498" s="2">
        <v>20</v>
      </c>
      <c r="F498" s="2">
        <v>11</v>
      </c>
      <c r="G498" s="2" t="s">
        <v>25</v>
      </c>
      <c r="H498" s="2" t="s">
        <v>15</v>
      </c>
      <c r="I498" s="2" t="s">
        <v>494</v>
      </c>
      <c r="J498" s="5">
        <v>42</v>
      </c>
    </row>
    <row r="499" spans="1:10" hidden="1" x14ac:dyDescent="0.3">
      <c r="A499" s="4" t="s">
        <v>934</v>
      </c>
      <c r="B499" s="2" t="s">
        <v>51</v>
      </c>
      <c r="C499" s="2" t="s">
        <v>58</v>
      </c>
      <c r="D499" s="2" t="s">
        <v>31</v>
      </c>
      <c r="E499" s="2">
        <v>18</v>
      </c>
      <c r="F499" s="2">
        <v>11</v>
      </c>
      <c r="G499" s="2" t="s">
        <v>14</v>
      </c>
      <c r="H499" s="2" t="s">
        <v>37</v>
      </c>
      <c r="I499" s="2" t="s">
        <v>806</v>
      </c>
      <c r="J499" s="5">
        <v>88</v>
      </c>
    </row>
    <row r="500" spans="1:10" hidden="1" x14ac:dyDescent="0.3">
      <c r="A500" s="4" t="s">
        <v>935</v>
      </c>
      <c r="B500" s="2" t="s">
        <v>18</v>
      </c>
      <c r="C500" s="2" t="s">
        <v>12</v>
      </c>
      <c r="D500" s="2" t="s">
        <v>13</v>
      </c>
      <c r="E500" s="2">
        <v>20</v>
      </c>
      <c r="F500" s="2">
        <v>11</v>
      </c>
      <c r="G500" s="2" t="s">
        <v>43</v>
      </c>
      <c r="H500" s="2" t="s">
        <v>46</v>
      </c>
      <c r="I500" s="2" t="s">
        <v>936</v>
      </c>
      <c r="J500" s="5">
        <v>94</v>
      </c>
    </row>
    <row r="501" spans="1:10" hidden="1" x14ac:dyDescent="0.3">
      <c r="A501" s="4" t="s">
        <v>937</v>
      </c>
      <c r="B501" s="2" t="s">
        <v>73</v>
      </c>
      <c r="C501" s="2" t="s">
        <v>85</v>
      </c>
      <c r="D501" s="2" t="s">
        <v>31</v>
      </c>
      <c r="E501" s="2">
        <v>16</v>
      </c>
      <c r="F501" s="2">
        <v>10</v>
      </c>
      <c r="G501" s="2" t="s">
        <v>25</v>
      </c>
      <c r="H501" s="2" t="s">
        <v>76</v>
      </c>
      <c r="I501" s="2" t="s">
        <v>305</v>
      </c>
      <c r="J501" s="5">
        <v>90</v>
      </c>
    </row>
    <row r="502" spans="1:10" hidden="1" x14ac:dyDescent="0.3">
      <c r="A502" s="4" t="s">
        <v>938</v>
      </c>
      <c r="B502" s="2" t="s">
        <v>18</v>
      </c>
      <c r="C502" s="2" t="s">
        <v>58</v>
      </c>
      <c r="D502" s="2" t="s">
        <v>13</v>
      </c>
      <c r="E502" s="2">
        <v>16</v>
      </c>
      <c r="F502" s="2">
        <v>12</v>
      </c>
      <c r="G502" s="2" t="s">
        <v>25</v>
      </c>
      <c r="H502" s="2" t="s">
        <v>26</v>
      </c>
      <c r="I502" s="2" t="s">
        <v>939</v>
      </c>
      <c r="J502" s="5">
        <v>41</v>
      </c>
    </row>
    <row r="503" spans="1:10" hidden="1" x14ac:dyDescent="0.3">
      <c r="A503" s="9" t="s">
        <v>940</v>
      </c>
      <c r="B503" s="10" t="s">
        <v>51</v>
      </c>
      <c r="C503" s="10" t="s">
        <v>96</v>
      </c>
      <c r="D503" s="10" t="s">
        <v>31</v>
      </c>
      <c r="E503" s="10">
        <v>18</v>
      </c>
      <c r="F503" s="10">
        <v>9</v>
      </c>
      <c r="G503" s="10" t="s">
        <v>43</v>
      </c>
      <c r="H503" s="10" t="s">
        <v>76</v>
      </c>
      <c r="I503" s="10" t="s">
        <v>506</v>
      </c>
      <c r="J503" s="11">
        <v>36</v>
      </c>
    </row>
  </sheetData>
  <mergeCells count="1">
    <mergeCell ref="B1:J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465E-82A8-4154-8408-F21555C3C8CB}">
  <dimension ref="A1:J504"/>
  <sheetViews>
    <sheetView tabSelected="1" workbookViewId="0">
      <selection activeCell="R457" sqref="R457"/>
    </sheetView>
  </sheetViews>
  <sheetFormatPr defaultRowHeight="14.4" x14ac:dyDescent="0.3"/>
  <cols>
    <col min="1" max="2" width="10.44140625" bestFit="1" customWidth="1"/>
    <col min="3" max="3" width="10.33203125" bestFit="1" customWidth="1"/>
    <col min="4" max="4" width="7.109375" bestFit="1" customWidth="1"/>
    <col min="5" max="5" width="4.21875" bestFit="1" customWidth="1"/>
    <col min="6" max="6" width="5.109375" bestFit="1" customWidth="1"/>
    <col min="7" max="7" width="7.21875" bestFit="1" customWidth="1"/>
    <col min="8" max="8" width="9.77734375" bestFit="1" customWidth="1"/>
    <col min="9" max="9" width="14.6640625" bestFit="1" customWidth="1"/>
    <col min="10" max="10" width="6.21875" bestFit="1" customWidth="1"/>
  </cols>
  <sheetData>
    <row r="1" spans="1:10" ht="18" x14ac:dyDescent="0.35">
      <c r="A1" s="16">
        <v>12</v>
      </c>
      <c r="B1" s="29" t="s">
        <v>968</v>
      </c>
      <c r="C1" s="29"/>
      <c r="D1" s="29"/>
      <c r="E1" s="29"/>
      <c r="F1" s="29"/>
      <c r="G1" s="29"/>
      <c r="H1" s="29"/>
      <c r="I1" s="29"/>
      <c r="J1" s="29"/>
    </row>
    <row r="2" spans="1:10" ht="18" x14ac:dyDescent="0.35">
      <c r="A2" s="16">
        <v>13</v>
      </c>
      <c r="B2" s="29" t="s">
        <v>969</v>
      </c>
      <c r="C2" s="29"/>
      <c r="D2" s="29"/>
      <c r="E2" s="29"/>
      <c r="F2" s="29"/>
      <c r="G2" s="29"/>
      <c r="H2" s="29"/>
      <c r="I2" s="29"/>
      <c r="J2" s="29"/>
    </row>
    <row r="4" spans="1:10" x14ac:dyDescent="0.3">
      <c r="A4" s="14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</row>
    <row r="5" spans="1:10" x14ac:dyDescent="0.3">
      <c r="A5" s="15" t="s">
        <v>10</v>
      </c>
      <c r="B5" s="15" t="s">
        <v>11</v>
      </c>
      <c r="C5" s="15" t="s">
        <v>12</v>
      </c>
      <c r="D5" s="15" t="s">
        <v>13</v>
      </c>
      <c r="E5" s="15">
        <v>16</v>
      </c>
      <c r="F5" s="15">
        <v>10</v>
      </c>
      <c r="G5" s="15" t="s">
        <v>14</v>
      </c>
      <c r="H5" s="15" t="s">
        <v>15</v>
      </c>
      <c r="I5" s="15" t="s">
        <v>16</v>
      </c>
      <c r="J5" s="15">
        <v>37</v>
      </c>
    </row>
    <row r="6" spans="1:10" x14ac:dyDescent="0.3">
      <c r="A6" s="15" t="s">
        <v>17</v>
      </c>
      <c r="B6" s="15" t="s">
        <v>18</v>
      </c>
      <c r="C6" s="15" t="s">
        <v>19</v>
      </c>
      <c r="D6" s="15" t="s">
        <v>13</v>
      </c>
      <c r="E6" s="15">
        <v>15</v>
      </c>
      <c r="F6" s="15">
        <v>12</v>
      </c>
      <c r="G6" s="15" t="s">
        <v>14</v>
      </c>
      <c r="H6" s="15" t="s">
        <v>20</v>
      </c>
      <c r="I6" s="15" t="s">
        <v>21</v>
      </c>
      <c r="J6" s="15">
        <v>98</v>
      </c>
    </row>
    <row r="7" spans="1:10" x14ac:dyDescent="0.3">
      <c r="A7" s="15" t="s">
        <v>22</v>
      </c>
      <c r="B7" s="15" t="s">
        <v>23</v>
      </c>
      <c r="C7" s="15" t="s">
        <v>24</v>
      </c>
      <c r="D7" s="15" t="s">
        <v>13</v>
      </c>
      <c r="E7" s="15">
        <v>14</v>
      </c>
      <c r="F7" s="15">
        <v>12</v>
      </c>
      <c r="G7" s="15" t="s">
        <v>25</v>
      </c>
      <c r="H7" s="15" t="s">
        <v>26</v>
      </c>
      <c r="I7" s="15" t="s">
        <v>27</v>
      </c>
      <c r="J7" s="15">
        <v>38</v>
      </c>
    </row>
    <row r="8" spans="1:10" x14ac:dyDescent="0.3">
      <c r="A8" s="15" t="s">
        <v>28</v>
      </c>
      <c r="B8" s="15" t="s">
        <v>29</v>
      </c>
      <c r="C8" s="15" t="s">
        <v>30</v>
      </c>
      <c r="D8" s="15" t="s">
        <v>31</v>
      </c>
      <c r="E8" s="15">
        <v>20</v>
      </c>
      <c r="F8" s="15">
        <v>9</v>
      </c>
      <c r="G8" s="15" t="s">
        <v>32</v>
      </c>
      <c r="H8" s="15" t="s">
        <v>26</v>
      </c>
      <c r="I8" s="15" t="s">
        <v>33</v>
      </c>
      <c r="J8" s="15">
        <v>84</v>
      </c>
    </row>
    <row r="9" spans="1:10" x14ac:dyDescent="0.3">
      <c r="A9" s="15" t="s">
        <v>34</v>
      </c>
      <c r="B9" s="15" t="s">
        <v>35</v>
      </c>
      <c r="C9" s="15" t="s">
        <v>36</v>
      </c>
      <c r="D9" s="15" t="s">
        <v>31</v>
      </c>
      <c r="E9" s="15">
        <v>17</v>
      </c>
      <c r="F9" s="15">
        <v>10</v>
      </c>
      <c r="G9" s="15" t="s">
        <v>32</v>
      </c>
      <c r="H9" s="15" t="s">
        <v>37</v>
      </c>
      <c r="I9" s="15" t="s">
        <v>38</v>
      </c>
      <c r="J9" s="15">
        <v>45</v>
      </c>
    </row>
    <row r="10" spans="1:10" x14ac:dyDescent="0.3">
      <c r="A10" s="15" t="s">
        <v>39</v>
      </c>
      <c r="B10" s="15" t="s">
        <v>11</v>
      </c>
      <c r="C10" s="15" t="s">
        <v>12</v>
      </c>
      <c r="D10" s="15" t="s">
        <v>31</v>
      </c>
      <c r="E10" s="15">
        <v>19</v>
      </c>
      <c r="F10" s="15">
        <v>10</v>
      </c>
      <c r="G10" s="15" t="s">
        <v>14</v>
      </c>
      <c r="H10" s="15" t="s">
        <v>40</v>
      </c>
      <c r="I10" s="15" t="s">
        <v>41</v>
      </c>
      <c r="J10" s="15">
        <v>36</v>
      </c>
    </row>
    <row r="11" spans="1:10" x14ac:dyDescent="0.3">
      <c r="A11" s="15" t="s">
        <v>42</v>
      </c>
      <c r="B11" s="15" t="s">
        <v>29</v>
      </c>
      <c r="C11" s="15" t="s">
        <v>24</v>
      </c>
      <c r="D11" s="15" t="s">
        <v>31</v>
      </c>
      <c r="E11" s="15">
        <v>20</v>
      </c>
      <c r="F11" s="15">
        <v>9</v>
      </c>
      <c r="G11" s="15" t="s">
        <v>43</v>
      </c>
      <c r="H11" s="15" t="s">
        <v>40</v>
      </c>
      <c r="I11" s="15" t="s">
        <v>44</v>
      </c>
      <c r="J11" s="15">
        <v>88</v>
      </c>
    </row>
    <row r="12" spans="1:10" x14ac:dyDescent="0.3">
      <c r="A12" s="15" t="s">
        <v>45</v>
      </c>
      <c r="B12" s="15" t="s">
        <v>35</v>
      </c>
      <c r="C12" s="15" t="s">
        <v>12</v>
      </c>
      <c r="D12" s="15" t="s">
        <v>13</v>
      </c>
      <c r="E12" s="15">
        <v>19</v>
      </c>
      <c r="F12" s="15">
        <v>12</v>
      </c>
      <c r="G12" s="15" t="s">
        <v>32</v>
      </c>
      <c r="H12" s="15" t="s">
        <v>46</v>
      </c>
      <c r="I12" s="15" t="s">
        <v>47</v>
      </c>
      <c r="J12" s="15">
        <v>60</v>
      </c>
    </row>
    <row r="13" spans="1:10" x14ac:dyDescent="0.3">
      <c r="A13" s="15" t="s">
        <v>48</v>
      </c>
      <c r="B13" s="15" t="s">
        <v>18</v>
      </c>
      <c r="C13" s="15" t="s">
        <v>30</v>
      </c>
      <c r="D13" s="15" t="s">
        <v>31</v>
      </c>
      <c r="E13" s="15">
        <v>19</v>
      </c>
      <c r="F13" s="15">
        <v>12</v>
      </c>
      <c r="G13" s="15" t="s">
        <v>14</v>
      </c>
      <c r="H13" s="15" t="s">
        <v>46</v>
      </c>
      <c r="I13" s="15" t="s">
        <v>49</v>
      </c>
      <c r="J13" s="15">
        <v>92</v>
      </c>
    </row>
    <row r="14" spans="1:10" x14ac:dyDescent="0.3">
      <c r="A14" s="15" t="s">
        <v>50</v>
      </c>
      <c r="B14" s="15" t="s">
        <v>51</v>
      </c>
      <c r="C14" s="15" t="s">
        <v>24</v>
      </c>
      <c r="D14" s="15" t="s">
        <v>31</v>
      </c>
      <c r="E14" s="15">
        <v>15</v>
      </c>
      <c r="F14" s="15">
        <v>9</v>
      </c>
      <c r="G14" s="15" t="s">
        <v>43</v>
      </c>
      <c r="H14" s="15" t="s">
        <v>15</v>
      </c>
      <c r="I14" s="15" t="s">
        <v>52</v>
      </c>
      <c r="J14" s="15">
        <v>90</v>
      </c>
    </row>
    <row r="15" spans="1:10" x14ac:dyDescent="0.3">
      <c r="A15" s="15" t="s">
        <v>53</v>
      </c>
      <c r="B15" s="15" t="s">
        <v>54</v>
      </c>
      <c r="C15" s="15" t="s">
        <v>55</v>
      </c>
      <c r="D15" s="15" t="s">
        <v>31</v>
      </c>
      <c r="E15" s="15">
        <v>20</v>
      </c>
      <c r="F15" s="15">
        <v>10</v>
      </c>
      <c r="G15" s="15" t="s">
        <v>25</v>
      </c>
      <c r="H15" s="15" t="s">
        <v>40</v>
      </c>
      <c r="I15" s="15" t="s">
        <v>56</v>
      </c>
      <c r="J15" s="15">
        <v>59</v>
      </c>
    </row>
    <row r="16" spans="1:10" x14ac:dyDescent="0.3">
      <c r="A16" s="15" t="s">
        <v>57</v>
      </c>
      <c r="B16" s="15" t="s">
        <v>51</v>
      </c>
      <c r="C16" s="15" t="s">
        <v>58</v>
      </c>
      <c r="D16" s="15" t="s">
        <v>13</v>
      </c>
      <c r="E16" s="15">
        <v>14</v>
      </c>
      <c r="F16" s="15">
        <v>12</v>
      </c>
      <c r="G16" s="15" t="s">
        <v>32</v>
      </c>
      <c r="H16" s="15" t="s">
        <v>40</v>
      </c>
      <c r="I16" s="15" t="s">
        <v>59</v>
      </c>
      <c r="J16" s="15">
        <v>43</v>
      </c>
    </row>
    <row r="17" spans="1:10" x14ac:dyDescent="0.3">
      <c r="A17" s="15" t="s">
        <v>60</v>
      </c>
      <c r="B17" s="15" t="s">
        <v>35</v>
      </c>
      <c r="C17" s="15" t="s">
        <v>55</v>
      </c>
      <c r="D17" s="15" t="s">
        <v>13</v>
      </c>
      <c r="E17" s="15">
        <v>15</v>
      </c>
      <c r="F17" s="15">
        <v>12</v>
      </c>
      <c r="G17" s="15" t="s">
        <v>14</v>
      </c>
      <c r="H17" s="15" t="s">
        <v>61</v>
      </c>
      <c r="I17" s="15" t="s">
        <v>62</v>
      </c>
      <c r="J17" s="15">
        <v>51</v>
      </c>
    </row>
    <row r="18" spans="1:10" x14ac:dyDescent="0.3">
      <c r="A18" s="15" t="s">
        <v>63</v>
      </c>
      <c r="B18" s="15" t="s">
        <v>11</v>
      </c>
      <c r="C18" s="15" t="s">
        <v>55</v>
      </c>
      <c r="D18" s="15" t="s">
        <v>13</v>
      </c>
      <c r="E18" s="15">
        <v>16</v>
      </c>
      <c r="F18" s="15">
        <v>10</v>
      </c>
      <c r="G18" s="15" t="s">
        <v>25</v>
      </c>
      <c r="H18" s="15" t="s">
        <v>26</v>
      </c>
      <c r="I18" s="15" t="s">
        <v>64</v>
      </c>
      <c r="J18" s="15">
        <v>42</v>
      </c>
    </row>
    <row r="19" spans="1:10" x14ac:dyDescent="0.3">
      <c r="A19" s="15" t="s">
        <v>65</v>
      </c>
      <c r="B19" s="15" t="s">
        <v>23</v>
      </c>
      <c r="C19" s="15" t="s">
        <v>30</v>
      </c>
      <c r="D19" s="15" t="s">
        <v>13</v>
      </c>
      <c r="E19" s="15">
        <v>20</v>
      </c>
      <c r="F19" s="15">
        <v>12</v>
      </c>
      <c r="G19" s="15" t="s">
        <v>14</v>
      </c>
      <c r="H19" s="15" t="s">
        <v>40</v>
      </c>
      <c r="I19" s="15" t="s">
        <v>66</v>
      </c>
      <c r="J19" s="15">
        <v>62</v>
      </c>
    </row>
    <row r="20" spans="1:10" x14ac:dyDescent="0.3">
      <c r="A20" s="15" t="s">
        <v>67</v>
      </c>
      <c r="B20" s="15" t="s">
        <v>68</v>
      </c>
      <c r="C20" s="15" t="s">
        <v>19</v>
      </c>
      <c r="D20" s="15" t="s">
        <v>13</v>
      </c>
      <c r="E20" s="15">
        <v>20</v>
      </c>
      <c r="F20" s="15">
        <v>9</v>
      </c>
      <c r="G20" s="15" t="s">
        <v>14</v>
      </c>
      <c r="H20" s="15" t="s">
        <v>20</v>
      </c>
      <c r="I20" s="15" t="s">
        <v>69</v>
      </c>
      <c r="J20" s="15">
        <v>55</v>
      </c>
    </row>
    <row r="21" spans="1:10" x14ac:dyDescent="0.3">
      <c r="A21" s="15" t="s">
        <v>70</v>
      </c>
      <c r="B21" s="15" t="s">
        <v>51</v>
      </c>
      <c r="C21" s="15" t="s">
        <v>36</v>
      </c>
      <c r="D21" s="15" t="s">
        <v>13</v>
      </c>
      <c r="E21" s="15">
        <v>14</v>
      </c>
      <c r="F21" s="15">
        <v>12</v>
      </c>
      <c r="G21" s="15" t="s">
        <v>25</v>
      </c>
      <c r="H21" s="15" t="s">
        <v>37</v>
      </c>
      <c r="I21" s="15" t="s">
        <v>71</v>
      </c>
      <c r="J21" s="15">
        <v>42</v>
      </c>
    </row>
    <row r="22" spans="1:10" x14ac:dyDescent="0.3">
      <c r="A22" s="15" t="s">
        <v>72</v>
      </c>
      <c r="B22" s="15" t="s">
        <v>73</v>
      </c>
      <c r="C22" s="15" t="s">
        <v>58</v>
      </c>
      <c r="D22" s="15" t="s">
        <v>31</v>
      </c>
      <c r="E22" s="15">
        <v>19</v>
      </c>
      <c r="F22" s="15">
        <v>9</v>
      </c>
      <c r="G22" s="15" t="s">
        <v>32</v>
      </c>
      <c r="H22" s="15" t="s">
        <v>46</v>
      </c>
      <c r="I22" s="15" t="s">
        <v>74</v>
      </c>
      <c r="J22" s="15">
        <v>76</v>
      </c>
    </row>
    <row r="23" spans="1:10" x14ac:dyDescent="0.3">
      <c r="A23" s="15" t="s">
        <v>75</v>
      </c>
      <c r="B23" s="15" t="s">
        <v>29</v>
      </c>
      <c r="C23" s="15" t="s">
        <v>58</v>
      </c>
      <c r="D23" s="15" t="s">
        <v>31</v>
      </c>
      <c r="E23" s="15">
        <v>17</v>
      </c>
      <c r="F23" s="15">
        <v>12</v>
      </c>
      <c r="G23" s="15" t="s">
        <v>32</v>
      </c>
      <c r="H23" s="15" t="s">
        <v>76</v>
      </c>
      <c r="I23" s="15" t="s">
        <v>77</v>
      </c>
      <c r="J23" s="15">
        <v>66</v>
      </c>
    </row>
    <row r="24" spans="1:10" x14ac:dyDescent="0.3">
      <c r="A24" s="15" t="s">
        <v>78</v>
      </c>
      <c r="B24" s="15" t="s">
        <v>68</v>
      </c>
      <c r="C24" s="15" t="s">
        <v>79</v>
      </c>
      <c r="D24" s="15" t="s">
        <v>31</v>
      </c>
      <c r="E24" s="15">
        <v>15</v>
      </c>
      <c r="F24" s="15">
        <v>10</v>
      </c>
      <c r="G24" s="15" t="s">
        <v>14</v>
      </c>
      <c r="H24" s="15" t="s">
        <v>20</v>
      </c>
      <c r="I24" s="15" t="s">
        <v>80</v>
      </c>
      <c r="J24" s="15">
        <v>59</v>
      </c>
    </row>
    <row r="25" spans="1:10" x14ac:dyDescent="0.3">
      <c r="A25" s="15" t="s">
        <v>81</v>
      </c>
      <c r="B25" s="15" t="s">
        <v>29</v>
      </c>
      <c r="C25" s="15" t="s">
        <v>58</v>
      </c>
      <c r="D25" s="15" t="s">
        <v>31</v>
      </c>
      <c r="E25" s="15">
        <v>19</v>
      </c>
      <c r="F25" s="15">
        <v>9</v>
      </c>
      <c r="G25" s="15" t="s">
        <v>14</v>
      </c>
      <c r="H25" s="15" t="s">
        <v>61</v>
      </c>
      <c r="I25" s="15" t="s">
        <v>82</v>
      </c>
      <c r="J25" s="15">
        <v>50</v>
      </c>
    </row>
    <row r="26" spans="1:10" x14ac:dyDescent="0.3">
      <c r="A26" s="15" t="s">
        <v>83</v>
      </c>
      <c r="B26" s="15" t="s">
        <v>84</v>
      </c>
      <c r="C26" s="15" t="s">
        <v>85</v>
      </c>
      <c r="D26" s="15" t="s">
        <v>31</v>
      </c>
      <c r="E26" s="15">
        <v>16</v>
      </c>
      <c r="F26" s="15">
        <v>9</v>
      </c>
      <c r="G26" s="15" t="s">
        <v>43</v>
      </c>
      <c r="H26" s="15" t="s">
        <v>37</v>
      </c>
      <c r="I26" s="15" t="s">
        <v>86</v>
      </c>
      <c r="J26" s="15">
        <v>52</v>
      </c>
    </row>
    <row r="27" spans="1:10" x14ac:dyDescent="0.3">
      <c r="A27" s="15" t="s">
        <v>87</v>
      </c>
      <c r="B27" s="15" t="s">
        <v>18</v>
      </c>
      <c r="C27" s="15" t="s">
        <v>12</v>
      </c>
      <c r="D27" s="15" t="s">
        <v>13</v>
      </c>
      <c r="E27" s="15">
        <v>20</v>
      </c>
      <c r="F27" s="15">
        <v>12</v>
      </c>
      <c r="G27" s="15" t="s">
        <v>32</v>
      </c>
      <c r="H27" s="15" t="s">
        <v>26</v>
      </c>
      <c r="I27" s="15" t="s">
        <v>88</v>
      </c>
      <c r="J27" s="15">
        <v>86</v>
      </c>
    </row>
    <row r="28" spans="1:10" x14ac:dyDescent="0.3">
      <c r="A28" s="15" t="s">
        <v>89</v>
      </c>
      <c r="B28" s="15" t="s">
        <v>68</v>
      </c>
      <c r="C28" s="15" t="s">
        <v>85</v>
      </c>
      <c r="D28" s="15" t="s">
        <v>31</v>
      </c>
      <c r="E28" s="15">
        <v>16</v>
      </c>
      <c r="F28" s="15">
        <v>9</v>
      </c>
      <c r="G28" s="15" t="s">
        <v>43</v>
      </c>
      <c r="H28" s="15" t="s">
        <v>20</v>
      </c>
      <c r="I28" s="15" t="s">
        <v>90</v>
      </c>
      <c r="J28" s="15">
        <v>52</v>
      </c>
    </row>
    <row r="29" spans="1:10" x14ac:dyDescent="0.3">
      <c r="A29" s="15" t="s">
        <v>91</v>
      </c>
      <c r="B29" s="15" t="s">
        <v>73</v>
      </c>
      <c r="C29" s="15" t="s">
        <v>12</v>
      </c>
      <c r="D29" s="15" t="s">
        <v>13</v>
      </c>
      <c r="E29" s="15">
        <v>20</v>
      </c>
      <c r="F29" s="15">
        <v>10</v>
      </c>
      <c r="G29" s="15" t="s">
        <v>43</v>
      </c>
      <c r="H29" s="15" t="s">
        <v>46</v>
      </c>
      <c r="I29" s="15" t="s">
        <v>92</v>
      </c>
      <c r="J29" s="15">
        <v>82</v>
      </c>
    </row>
    <row r="30" spans="1:10" x14ac:dyDescent="0.3">
      <c r="A30" s="15" t="s">
        <v>93</v>
      </c>
      <c r="B30" s="15" t="s">
        <v>29</v>
      </c>
      <c r="C30" s="15" t="s">
        <v>24</v>
      </c>
      <c r="D30" s="15" t="s">
        <v>31</v>
      </c>
      <c r="E30" s="15">
        <v>14</v>
      </c>
      <c r="F30" s="15">
        <v>12</v>
      </c>
      <c r="G30" s="15" t="s">
        <v>32</v>
      </c>
      <c r="H30" s="15" t="s">
        <v>61</v>
      </c>
      <c r="I30" s="15" t="s">
        <v>94</v>
      </c>
      <c r="J30" s="15">
        <v>72</v>
      </c>
    </row>
    <row r="31" spans="1:10" x14ac:dyDescent="0.3">
      <c r="A31" s="15" t="s">
        <v>95</v>
      </c>
      <c r="B31" s="15" t="s">
        <v>18</v>
      </c>
      <c r="C31" s="15" t="s">
        <v>96</v>
      </c>
      <c r="D31" s="15" t="s">
        <v>13</v>
      </c>
      <c r="E31" s="15">
        <v>19</v>
      </c>
      <c r="F31" s="15">
        <v>12</v>
      </c>
      <c r="G31" s="15" t="s">
        <v>14</v>
      </c>
      <c r="H31" s="15" t="s">
        <v>15</v>
      </c>
      <c r="I31" s="15" t="s">
        <v>97</v>
      </c>
      <c r="J31" s="15">
        <v>56</v>
      </c>
    </row>
    <row r="32" spans="1:10" x14ac:dyDescent="0.3">
      <c r="A32" s="15" t="s">
        <v>98</v>
      </c>
      <c r="B32" s="15" t="s">
        <v>68</v>
      </c>
      <c r="C32" s="15" t="s">
        <v>55</v>
      </c>
      <c r="D32" s="15" t="s">
        <v>13</v>
      </c>
      <c r="E32" s="15">
        <v>19</v>
      </c>
      <c r="F32" s="15">
        <v>11</v>
      </c>
      <c r="G32" s="15" t="s">
        <v>43</v>
      </c>
      <c r="H32" s="15" t="s">
        <v>15</v>
      </c>
      <c r="I32" s="15" t="s">
        <v>99</v>
      </c>
      <c r="J32" s="15">
        <v>56</v>
      </c>
    </row>
    <row r="33" spans="1:10" x14ac:dyDescent="0.3">
      <c r="A33" s="15" t="s">
        <v>100</v>
      </c>
      <c r="B33" s="15" t="s">
        <v>35</v>
      </c>
      <c r="C33" s="15" t="s">
        <v>12</v>
      </c>
      <c r="D33" s="15" t="s">
        <v>31</v>
      </c>
      <c r="E33" s="15">
        <v>19</v>
      </c>
      <c r="F33" s="15">
        <v>12</v>
      </c>
      <c r="G33" s="15" t="s">
        <v>25</v>
      </c>
      <c r="H33" s="15" t="s">
        <v>76</v>
      </c>
      <c r="I33" s="15" t="s">
        <v>101</v>
      </c>
      <c r="J33" s="15">
        <v>54</v>
      </c>
    </row>
    <row r="34" spans="1:10" x14ac:dyDescent="0.3">
      <c r="A34" s="15" t="s">
        <v>102</v>
      </c>
      <c r="B34" s="15" t="s">
        <v>35</v>
      </c>
      <c r="C34" s="15" t="s">
        <v>12</v>
      </c>
      <c r="D34" s="15" t="s">
        <v>13</v>
      </c>
      <c r="E34" s="15">
        <v>20</v>
      </c>
      <c r="F34" s="15">
        <v>11</v>
      </c>
      <c r="G34" s="15" t="s">
        <v>14</v>
      </c>
      <c r="H34" s="15" t="s">
        <v>26</v>
      </c>
      <c r="I34" s="15" t="s">
        <v>103</v>
      </c>
      <c r="J34" s="15">
        <v>70</v>
      </c>
    </row>
    <row r="35" spans="1:10" x14ac:dyDescent="0.3">
      <c r="A35" s="15" t="s">
        <v>104</v>
      </c>
      <c r="B35" s="15" t="s">
        <v>29</v>
      </c>
      <c r="C35" s="15" t="s">
        <v>79</v>
      </c>
      <c r="D35" s="15" t="s">
        <v>31</v>
      </c>
      <c r="E35" s="15">
        <v>18</v>
      </c>
      <c r="F35" s="15">
        <v>10</v>
      </c>
      <c r="G35" s="15" t="s">
        <v>25</v>
      </c>
      <c r="H35" s="15" t="s">
        <v>61</v>
      </c>
      <c r="I35" s="15" t="s">
        <v>105</v>
      </c>
      <c r="J35" s="15">
        <v>57</v>
      </c>
    </row>
    <row r="36" spans="1:10" x14ac:dyDescent="0.3">
      <c r="A36" s="15" t="s">
        <v>106</v>
      </c>
      <c r="B36" s="15" t="s">
        <v>51</v>
      </c>
      <c r="C36" s="15" t="s">
        <v>55</v>
      </c>
      <c r="D36" s="15" t="s">
        <v>13</v>
      </c>
      <c r="E36" s="15">
        <v>20</v>
      </c>
      <c r="F36" s="15">
        <v>9</v>
      </c>
      <c r="G36" s="15" t="s">
        <v>32</v>
      </c>
      <c r="H36" s="15" t="s">
        <v>26</v>
      </c>
      <c r="I36" s="15" t="s">
        <v>107</v>
      </c>
      <c r="J36" s="15">
        <v>91</v>
      </c>
    </row>
    <row r="37" spans="1:10" x14ac:dyDescent="0.3">
      <c r="A37" s="15" t="s">
        <v>108</v>
      </c>
      <c r="B37" s="15" t="s">
        <v>29</v>
      </c>
      <c r="C37" s="15" t="s">
        <v>96</v>
      </c>
      <c r="D37" s="15" t="s">
        <v>31</v>
      </c>
      <c r="E37" s="15">
        <v>15</v>
      </c>
      <c r="F37" s="15">
        <v>11</v>
      </c>
      <c r="G37" s="15" t="s">
        <v>43</v>
      </c>
      <c r="H37" s="15" t="s">
        <v>26</v>
      </c>
      <c r="I37" s="15" t="s">
        <v>109</v>
      </c>
      <c r="J37" s="15">
        <v>77</v>
      </c>
    </row>
    <row r="38" spans="1:10" x14ac:dyDescent="0.3">
      <c r="A38" s="15" t="s">
        <v>110</v>
      </c>
      <c r="B38" s="15" t="s">
        <v>51</v>
      </c>
      <c r="C38" s="15" t="s">
        <v>58</v>
      </c>
      <c r="D38" s="15" t="s">
        <v>31</v>
      </c>
      <c r="E38" s="15">
        <v>14</v>
      </c>
      <c r="F38" s="15">
        <v>10</v>
      </c>
      <c r="G38" s="15" t="s">
        <v>32</v>
      </c>
      <c r="H38" s="15" t="s">
        <v>76</v>
      </c>
      <c r="I38" s="15" t="s">
        <v>111</v>
      </c>
      <c r="J38" s="15">
        <v>60</v>
      </c>
    </row>
    <row r="39" spans="1:10" x14ac:dyDescent="0.3">
      <c r="A39" s="15" t="s">
        <v>112</v>
      </c>
      <c r="B39" s="15" t="s">
        <v>73</v>
      </c>
      <c r="C39" s="15" t="s">
        <v>30</v>
      </c>
      <c r="D39" s="15" t="s">
        <v>13</v>
      </c>
      <c r="E39" s="15">
        <v>15</v>
      </c>
      <c r="F39" s="15">
        <v>9</v>
      </c>
      <c r="G39" s="15" t="s">
        <v>14</v>
      </c>
      <c r="H39" s="15" t="s">
        <v>26</v>
      </c>
      <c r="I39" s="15" t="s">
        <v>113</v>
      </c>
      <c r="J39" s="15">
        <v>58</v>
      </c>
    </row>
    <row r="40" spans="1:10" x14ac:dyDescent="0.3">
      <c r="A40" s="15" t="s">
        <v>114</v>
      </c>
      <c r="B40" s="15" t="s">
        <v>73</v>
      </c>
      <c r="C40" s="15" t="s">
        <v>58</v>
      </c>
      <c r="D40" s="15" t="s">
        <v>13</v>
      </c>
      <c r="E40" s="15">
        <v>20</v>
      </c>
      <c r="F40" s="15">
        <v>9</v>
      </c>
      <c r="G40" s="15" t="s">
        <v>25</v>
      </c>
      <c r="H40" s="15" t="s">
        <v>46</v>
      </c>
      <c r="I40" s="15" t="s">
        <v>115</v>
      </c>
      <c r="J40" s="15">
        <v>40</v>
      </c>
    </row>
    <row r="41" spans="1:10" x14ac:dyDescent="0.3">
      <c r="A41" s="15" t="s">
        <v>116</v>
      </c>
      <c r="B41" s="15" t="s">
        <v>84</v>
      </c>
      <c r="C41" s="15" t="s">
        <v>19</v>
      </c>
      <c r="D41" s="15" t="s">
        <v>13</v>
      </c>
      <c r="E41" s="15">
        <v>19</v>
      </c>
      <c r="F41" s="15">
        <v>12</v>
      </c>
      <c r="G41" s="15" t="s">
        <v>14</v>
      </c>
      <c r="H41" s="15" t="s">
        <v>20</v>
      </c>
      <c r="I41" s="15" t="s">
        <v>117</v>
      </c>
      <c r="J41" s="15">
        <v>56</v>
      </c>
    </row>
    <row r="42" spans="1:10" x14ac:dyDescent="0.3">
      <c r="A42" s="15" t="s">
        <v>118</v>
      </c>
      <c r="B42" s="15" t="s">
        <v>84</v>
      </c>
      <c r="C42" s="15" t="s">
        <v>58</v>
      </c>
      <c r="D42" s="15" t="s">
        <v>31</v>
      </c>
      <c r="E42" s="15">
        <v>20</v>
      </c>
      <c r="F42" s="15">
        <v>10</v>
      </c>
      <c r="G42" s="15" t="s">
        <v>32</v>
      </c>
      <c r="H42" s="15" t="s">
        <v>26</v>
      </c>
      <c r="I42" s="15" t="s">
        <v>119</v>
      </c>
      <c r="J42" s="15">
        <v>52</v>
      </c>
    </row>
    <row r="43" spans="1:10" x14ac:dyDescent="0.3">
      <c r="A43" s="15" t="s">
        <v>120</v>
      </c>
      <c r="B43" s="15" t="s">
        <v>35</v>
      </c>
      <c r="C43" s="15" t="s">
        <v>36</v>
      </c>
      <c r="D43" s="15" t="s">
        <v>31</v>
      </c>
      <c r="E43" s="15">
        <v>20</v>
      </c>
      <c r="F43" s="15">
        <v>10</v>
      </c>
      <c r="G43" s="15" t="s">
        <v>43</v>
      </c>
      <c r="H43" s="15" t="s">
        <v>61</v>
      </c>
      <c r="I43" s="15" t="s">
        <v>121</v>
      </c>
      <c r="J43" s="15">
        <v>37</v>
      </c>
    </row>
    <row r="44" spans="1:10" x14ac:dyDescent="0.3">
      <c r="A44" s="15" t="s">
        <v>122</v>
      </c>
      <c r="B44" s="15" t="s">
        <v>18</v>
      </c>
      <c r="C44" s="15" t="s">
        <v>19</v>
      </c>
      <c r="D44" s="15" t="s">
        <v>13</v>
      </c>
      <c r="E44" s="15">
        <v>15</v>
      </c>
      <c r="F44" s="15">
        <v>10</v>
      </c>
      <c r="G44" s="15" t="s">
        <v>32</v>
      </c>
      <c r="H44" s="15" t="s">
        <v>20</v>
      </c>
      <c r="I44" s="15" t="s">
        <v>123</v>
      </c>
      <c r="J44" s="15">
        <v>51</v>
      </c>
    </row>
    <row r="45" spans="1:10" x14ac:dyDescent="0.3">
      <c r="A45" s="15" t="s">
        <v>124</v>
      </c>
      <c r="B45" s="15" t="s">
        <v>68</v>
      </c>
      <c r="C45" s="15" t="s">
        <v>36</v>
      </c>
      <c r="D45" s="15" t="s">
        <v>13</v>
      </c>
      <c r="E45" s="15">
        <v>18</v>
      </c>
      <c r="F45" s="15">
        <v>10</v>
      </c>
      <c r="G45" s="15" t="s">
        <v>43</v>
      </c>
      <c r="H45" s="15" t="s">
        <v>20</v>
      </c>
      <c r="I45" s="15" t="s">
        <v>125</v>
      </c>
      <c r="J45" s="15">
        <v>66</v>
      </c>
    </row>
    <row r="46" spans="1:10" x14ac:dyDescent="0.3">
      <c r="A46" s="15" t="s">
        <v>126</v>
      </c>
      <c r="B46" s="15" t="s">
        <v>18</v>
      </c>
      <c r="C46" s="15" t="s">
        <v>24</v>
      </c>
      <c r="D46" s="15" t="s">
        <v>13</v>
      </c>
      <c r="E46" s="15">
        <v>15</v>
      </c>
      <c r="F46" s="15">
        <v>9</v>
      </c>
      <c r="G46" s="15" t="s">
        <v>25</v>
      </c>
      <c r="H46" s="15" t="s">
        <v>76</v>
      </c>
      <c r="I46" s="15" t="s">
        <v>127</v>
      </c>
      <c r="J46" s="15">
        <v>59</v>
      </c>
    </row>
    <row r="47" spans="1:10" x14ac:dyDescent="0.3">
      <c r="A47" s="15" t="s">
        <v>128</v>
      </c>
      <c r="B47" s="15" t="s">
        <v>11</v>
      </c>
      <c r="C47" s="15" t="s">
        <v>24</v>
      </c>
      <c r="D47" s="15" t="s">
        <v>31</v>
      </c>
      <c r="E47" s="15">
        <v>17</v>
      </c>
      <c r="F47" s="15">
        <v>12</v>
      </c>
      <c r="G47" s="15" t="s">
        <v>32</v>
      </c>
      <c r="H47" s="15" t="s">
        <v>15</v>
      </c>
      <c r="I47" s="15" t="s">
        <v>129</v>
      </c>
      <c r="J47" s="15">
        <v>68</v>
      </c>
    </row>
    <row r="48" spans="1:10" x14ac:dyDescent="0.3">
      <c r="A48" s="15" t="s">
        <v>130</v>
      </c>
      <c r="B48" s="15" t="s">
        <v>73</v>
      </c>
      <c r="C48" s="15" t="s">
        <v>30</v>
      </c>
      <c r="D48" s="15" t="s">
        <v>13</v>
      </c>
      <c r="E48" s="15">
        <v>17</v>
      </c>
      <c r="F48" s="15">
        <v>12</v>
      </c>
      <c r="G48" s="15" t="s">
        <v>25</v>
      </c>
      <c r="H48" s="15" t="s">
        <v>40</v>
      </c>
      <c r="I48" s="15" t="s">
        <v>131</v>
      </c>
      <c r="J48" s="15">
        <v>82</v>
      </c>
    </row>
    <row r="49" spans="1:10" x14ac:dyDescent="0.3">
      <c r="A49" s="15" t="s">
        <v>132</v>
      </c>
      <c r="B49" s="15" t="s">
        <v>29</v>
      </c>
      <c r="C49" s="15" t="s">
        <v>12</v>
      </c>
      <c r="D49" s="15" t="s">
        <v>13</v>
      </c>
      <c r="E49" s="15">
        <v>17</v>
      </c>
      <c r="F49" s="15">
        <v>10</v>
      </c>
      <c r="G49" s="15" t="s">
        <v>25</v>
      </c>
      <c r="H49" s="15" t="s">
        <v>37</v>
      </c>
      <c r="I49" s="15" t="s">
        <v>133</v>
      </c>
      <c r="J49" s="15">
        <v>88</v>
      </c>
    </row>
    <row r="50" spans="1:10" x14ac:dyDescent="0.3">
      <c r="A50" s="15" t="s">
        <v>134</v>
      </c>
      <c r="B50" s="15" t="s">
        <v>23</v>
      </c>
      <c r="C50" s="15" t="s">
        <v>30</v>
      </c>
      <c r="D50" s="15" t="s">
        <v>31</v>
      </c>
      <c r="E50" s="15">
        <v>20</v>
      </c>
      <c r="F50" s="15">
        <v>9</v>
      </c>
      <c r="G50" s="15" t="s">
        <v>14</v>
      </c>
      <c r="H50" s="15" t="s">
        <v>15</v>
      </c>
      <c r="I50" s="15" t="s">
        <v>135</v>
      </c>
      <c r="J50" s="15">
        <v>50</v>
      </c>
    </row>
    <row r="51" spans="1:10" x14ac:dyDescent="0.3">
      <c r="A51" s="15" t="s">
        <v>136</v>
      </c>
      <c r="B51" s="15" t="s">
        <v>11</v>
      </c>
      <c r="C51" s="15" t="s">
        <v>79</v>
      </c>
      <c r="D51" s="15" t="s">
        <v>13</v>
      </c>
      <c r="E51" s="15">
        <v>14</v>
      </c>
      <c r="F51" s="15">
        <v>10</v>
      </c>
      <c r="G51" s="15" t="s">
        <v>43</v>
      </c>
      <c r="H51" s="15" t="s">
        <v>61</v>
      </c>
      <c r="I51" s="15" t="s">
        <v>137</v>
      </c>
      <c r="J51" s="15">
        <v>65</v>
      </c>
    </row>
    <row r="52" spans="1:10" x14ac:dyDescent="0.3">
      <c r="A52" s="15" t="s">
        <v>138</v>
      </c>
      <c r="B52" s="15" t="s">
        <v>51</v>
      </c>
      <c r="C52" s="15" t="s">
        <v>85</v>
      </c>
      <c r="D52" s="15" t="s">
        <v>13</v>
      </c>
      <c r="E52" s="15">
        <v>18</v>
      </c>
      <c r="F52" s="15">
        <v>11</v>
      </c>
      <c r="G52" s="15" t="s">
        <v>43</v>
      </c>
      <c r="H52" s="15" t="s">
        <v>61</v>
      </c>
      <c r="I52" s="15" t="s">
        <v>139</v>
      </c>
      <c r="J52" s="15">
        <v>100</v>
      </c>
    </row>
    <row r="53" spans="1:10" x14ac:dyDescent="0.3">
      <c r="A53" s="15" t="s">
        <v>140</v>
      </c>
      <c r="B53" s="15" t="s">
        <v>35</v>
      </c>
      <c r="C53" s="15" t="s">
        <v>30</v>
      </c>
      <c r="D53" s="15" t="s">
        <v>31</v>
      </c>
      <c r="E53" s="15">
        <v>19</v>
      </c>
      <c r="F53" s="15">
        <v>10</v>
      </c>
      <c r="G53" s="15" t="s">
        <v>32</v>
      </c>
      <c r="H53" s="15" t="s">
        <v>76</v>
      </c>
      <c r="I53" s="15" t="s">
        <v>141</v>
      </c>
      <c r="J53" s="15">
        <v>93</v>
      </c>
    </row>
    <row r="54" spans="1:10" x14ac:dyDescent="0.3">
      <c r="A54" s="15" t="s">
        <v>142</v>
      </c>
      <c r="B54" s="15" t="s">
        <v>29</v>
      </c>
      <c r="C54" s="15" t="s">
        <v>96</v>
      </c>
      <c r="D54" s="15" t="s">
        <v>31</v>
      </c>
      <c r="E54" s="15">
        <v>16</v>
      </c>
      <c r="F54" s="15">
        <v>12</v>
      </c>
      <c r="G54" s="15" t="s">
        <v>14</v>
      </c>
      <c r="H54" s="15" t="s">
        <v>37</v>
      </c>
      <c r="I54" s="15" t="s">
        <v>143</v>
      </c>
      <c r="J54" s="15">
        <v>85</v>
      </c>
    </row>
    <row r="55" spans="1:10" x14ac:dyDescent="0.3">
      <c r="A55" s="15" t="s">
        <v>144</v>
      </c>
      <c r="B55" s="15" t="s">
        <v>73</v>
      </c>
      <c r="C55" s="15" t="s">
        <v>12</v>
      </c>
      <c r="D55" s="15" t="s">
        <v>31</v>
      </c>
      <c r="E55" s="15">
        <v>20</v>
      </c>
      <c r="F55" s="15">
        <v>10</v>
      </c>
      <c r="G55" s="15" t="s">
        <v>14</v>
      </c>
      <c r="H55" s="15" t="s">
        <v>26</v>
      </c>
      <c r="I55" s="15" t="s">
        <v>145</v>
      </c>
      <c r="J55" s="15">
        <v>71</v>
      </c>
    </row>
    <row r="56" spans="1:10" x14ac:dyDescent="0.3">
      <c r="A56" s="15" t="s">
        <v>146</v>
      </c>
      <c r="B56" s="15" t="s">
        <v>35</v>
      </c>
      <c r="C56" s="15" t="s">
        <v>30</v>
      </c>
      <c r="D56" s="15" t="s">
        <v>31</v>
      </c>
      <c r="E56" s="15">
        <v>20</v>
      </c>
      <c r="F56" s="15">
        <v>9</v>
      </c>
      <c r="G56" s="15" t="s">
        <v>43</v>
      </c>
      <c r="H56" s="15" t="s">
        <v>15</v>
      </c>
      <c r="I56" s="15" t="s">
        <v>147</v>
      </c>
      <c r="J56" s="15">
        <v>40</v>
      </c>
    </row>
    <row r="57" spans="1:10" x14ac:dyDescent="0.3">
      <c r="A57" s="15" t="s">
        <v>148</v>
      </c>
      <c r="B57" s="15" t="s">
        <v>51</v>
      </c>
      <c r="C57" s="15" t="s">
        <v>96</v>
      </c>
      <c r="D57" s="15" t="s">
        <v>13</v>
      </c>
      <c r="E57" s="15">
        <v>19</v>
      </c>
      <c r="F57" s="15">
        <v>11</v>
      </c>
      <c r="G57" s="15" t="s">
        <v>14</v>
      </c>
      <c r="H57" s="15" t="s">
        <v>76</v>
      </c>
      <c r="I57" s="15" t="s">
        <v>149</v>
      </c>
      <c r="J57" s="15">
        <v>83</v>
      </c>
    </row>
    <row r="58" spans="1:10" x14ac:dyDescent="0.3">
      <c r="A58" s="15" t="s">
        <v>150</v>
      </c>
      <c r="B58" s="15" t="s">
        <v>23</v>
      </c>
      <c r="C58" s="15" t="s">
        <v>55</v>
      </c>
      <c r="D58" s="15" t="s">
        <v>31</v>
      </c>
      <c r="E58" s="15">
        <v>17</v>
      </c>
      <c r="F58" s="15">
        <v>9</v>
      </c>
      <c r="G58" s="15" t="s">
        <v>25</v>
      </c>
      <c r="H58" s="15" t="s">
        <v>20</v>
      </c>
      <c r="I58" s="15" t="s">
        <v>151</v>
      </c>
      <c r="J58" s="15">
        <v>55</v>
      </c>
    </row>
    <row r="59" spans="1:10" x14ac:dyDescent="0.3">
      <c r="A59" s="15" t="s">
        <v>152</v>
      </c>
      <c r="B59" s="15" t="s">
        <v>23</v>
      </c>
      <c r="C59" s="15" t="s">
        <v>55</v>
      </c>
      <c r="D59" s="15" t="s">
        <v>13</v>
      </c>
      <c r="E59" s="15">
        <v>17</v>
      </c>
      <c r="F59" s="15">
        <v>12</v>
      </c>
      <c r="G59" s="15" t="s">
        <v>32</v>
      </c>
      <c r="H59" s="15" t="s">
        <v>46</v>
      </c>
      <c r="I59" s="15" t="s">
        <v>153</v>
      </c>
      <c r="J59" s="15">
        <v>39</v>
      </c>
    </row>
    <row r="60" spans="1:10" x14ac:dyDescent="0.3">
      <c r="A60" s="15" t="s">
        <v>154</v>
      </c>
      <c r="B60" s="15" t="s">
        <v>51</v>
      </c>
      <c r="C60" s="15" t="s">
        <v>36</v>
      </c>
      <c r="D60" s="15" t="s">
        <v>31</v>
      </c>
      <c r="E60" s="15">
        <v>18</v>
      </c>
      <c r="F60" s="15">
        <v>12</v>
      </c>
      <c r="G60" s="15" t="s">
        <v>43</v>
      </c>
      <c r="H60" s="15" t="s">
        <v>76</v>
      </c>
      <c r="I60" s="15" t="s">
        <v>155</v>
      </c>
      <c r="J60" s="15">
        <v>77</v>
      </c>
    </row>
    <row r="61" spans="1:10" x14ac:dyDescent="0.3">
      <c r="A61" s="15" t="s">
        <v>156</v>
      </c>
      <c r="B61" s="15" t="s">
        <v>35</v>
      </c>
      <c r="C61" s="15" t="s">
        <v>55</v>
      </c>
      <c r="D61" s="15" t="s">
        <v>13</v>
      </c>
      <c r="E61" s="15">
        <v>19</v>
      </c>
      <c r="F61" s="15">
        <v>11</v>
      </c>
      <c r="G61" s="15" t="s">
        <v>14</v>
      </c>
      <c r="H61" s="15" t="s">
        <v>40</v>
      </c>
      <c r="I61" s="15" t="s">
        <v>157</v>
      </c>
      <c r="J61" s="15">
        <v>63</v>
      </c>
    </row>
    <row r="62" spans="1:10" x14ac:dyDescent="0.3">
      <c r="A62" s="15" t="s">
        <v>158</v>
      </c>
      <c r="B62" s="15" t="s">
        <v>18</v>
      </c>
      <c r="C62" s="15" t="s">
        <v>19</v>
      </c>
      <c r="D62" s="15" t="s">
        <v>13</v>
      </c>
      <c r="E62" s="15">
        <v>16</v>
      </c>
      <c r="F62" s="15">
        <v>12</v>
      </c>
      <c r="G62" s="15" t="s">
        <v>43</v>
      </c>
      <c r="H62" s="15" t="s">
        <v>40</v>
      </c>
      <c r="I62" s="15" t="s">
        <v>159</v>
      </c>
      <c r="J62" s="15">
        <v>36</v>
      </c>
    </row>
    <row r="63" spans="1:10" x14ac:dyDescent="0.3">
      <c r="A63" s="15" t="s">
        <v>160</v>
      </c>
      <c r="B63" s="15" t="s">
        <v>51</v>
      </c>
      <c r="C63" s="15" t="s">
        <v>85</v>
      </c>
      <c r="D63" s="15" t="s">
        <v>31</v>
      </c>
      <c r="E63" s="15">
        <v>17</v>
      </c>
      <c r="F63" s="15">
        <v>11</v>
      </c>
      <c r="G63" s="15" t="s">
        <v>43</v>
      </c>
      <c r="H63" s="15" t="s">
        <v>37</v>
      </c>
      <c r="I63" s="15" t="s">
        <v>161</v>
      </c>
      <c r="J63" s="15">
        <v>99</v>
      </c>
    </row>
    <row r="64" spans="1:10" x14ac:dyDescent="0.3">
      <c r="A64" s="15" t="s">
        <v>162</v>
      </c>
      <c r="B64" s="15" t="s">
        <v>73</v>
      </c>
      <c r="C64" s="15" t="s">
        <v>36</v>
      </c>
      <c r="D64" s="15" t="s">
        <v>31</v>
      </c>
      <c r="E64" s="15">
        <v>20</v>
      </c>
      <c r="F64" s="15">
        <v>9</v>
      </c>
      <c r="G64" s="15" t="s">
        <v>32</v>
      </c>
      <c r="H64" s="15" t="s">
        <v>20</v>
      </c>
      <c r="I64" s="15" t="s">
        <v>163</v>
      </c>
      <c r="J64" s="15">
        <v>49</v>
      </c>
    </row>
    <row r="65" spans="1:10" x14ac:dyDescent="0.3">
      <c r="A65" s="15" t="s">
        <v>164</v>
      </c>
      <c r="B65" s="15" t="s">
        <v>23</v>
      </c>
      <c r="C65" s="15" t="s">
        <v>19</v>
      </c>
      <c r="D65" s="15" t="s">
        <v>31</v>
      </c>
      <c r="E65" s="15">
        <v>17</v>
      </c>
      <c r="F65" s="15">
        <v>9</v>
      </c>
      <c r="G65" s="15" t="s">
        <v>25</v>
      </c>
      <c r="H65" s="15" t="s">
        <v>15</v>
      </c>
      <c r="I65" s="15" t="s">
        <v>165</v>
      </c>
      <c r="J65" s="15">
        <v>64</v>
      </c>
    </row>
    <row r="66" spans="1:10" x14ac:dyDescent="0.3">
      <c r="A66" s="15" t="s">
        <v>166</v>
      </c>
      <c r="B66" s="15" t="s">
        <v>84</v>
      </c>
      <c r="C66" s="15" t="s">
        <v>24</v>
      </c>
      <c r="D66" s="15" t="s">
        <v>13</v>
      </c>
      <c r="E66" s="15">
        <v>14</v>
      </c>
      <c r="F66" s="15">
        <v>10</v>
      </c>
      <c r="G66" s="15" t="s">
        <v>43</v>
      </c>
      <c r="H66" s="15" t="s">
        <v>15</v>
      </c>
      <c r="I66" s="15" t="s">
        <v>167</v>
      </c>
      <c r="J66" s="15">
        <v>45</v>
      </c>
    </row>
    <row r="67" spans="1:10" x14ac:dyDescent="0.3">
      <c r="A67" s="15" t="s">
        <v>168</v>
      </c>
      <c r="B67" s="15" t="s">
        <v>18</v>
      </c>
      <c r="C67" s="15" t="s">
        <v>79</v>
      </c>
      <c r="D67" s="15" t="s">
        <v>13</v>
      </c>
      <c r="E67" s="15">
        <v>17</v>
      </c>
      <c r="F67" s="15">
        <v>12</v>
      </c>
      <c r="G67" s="15" t="s">
        <v>25</v>
      </c>
      <c r="H67" s="15" t="s">
        <v>26</v>
      </c>
      <c r="I67" s="15" t="s">
        <v>137</v>
      </c>
      <c r="J67" s="15">
        <v>82</v>
      </c>
    </row>
    <row r="68" spans="1:10" x14ac:dyDescent="0.3">
      <c r="A68" s="15" t="s">
        <v>169</v>
      </c>
      <c r="B68" s="15" t="s">
        <v>11</v>
      </c>
      <c r="C68" s="15" t="s">
        <v>30</v>
      </c>
      <c r="D68" s="15" t="s">
        <v>31</v>
      </c>
      <c r="E68" s="15">
        <v>18</v>
      </c>
      <c r="F68" s="15">
        <v>9</v>
      </c>
      <c r="G68" s="15" t="s">
        <v>25</v>
      </c>
      <c r="H68" s="15" t="s">
        <v>46</v>
      </c>
      <c r="I68" s="15" t="s">
        <v>170</v>
      </c>
      <c r="J68" s="15">
        <v>60</v>
      </c>
    </row>
    <row r="69" spans="1:10" x14ac:dyDescent="0.3">
      <c r="A69" s="15" t="s">
        <v>171</v>
      </c>
      <c r="B69" s="15" t="s">
        <v>29</v>
      </c>
      <c r="C69" s="15" t="s">
        <v>85</v>
      </c>
      <c r="D69" s="15" t="s">
        <v>13</v>
      </c>
      <c r="E69" s="15">
        <v>14</v>
      </c>
      <c r="F69" s="15">
        <v>10</v>
      </c>
      <c r="G69" s="15" t="s">
        <v>32</v>
      </c>
      <c r="H69" s="15" t="s">
        <v>61</v>
      </c>
      <c r="I69" s="15" t="s">
        <v>172</v>
      </c>
      <c r="J69" s="15">
        <v>51</v>
      </c>
    </row>
    <row r="70" spans="1:10" x14ac:dyDescent="0.3">
      <c r="A70" s="15" t="s">
        <v>173</v>
      </c>
      <c r="B70" s="15" t="s">
        <v>54</v>
      </c>
      <c r="C70" s="15" t="s">
        <v>30</v>
      </c>
      <c r="D70" s="15" t="s">
        <v>31</v>
      </c>
      <c r="E70" s="15">
        <v>18</v>
      </c>
      <c r="F70" s="15">
        <v>9</v>
      </c>
      <c r="G70" s="15" t="s">
        <v>32</v>
      </c>
      <c r="H70" s="15" t="s">
        <v>40</v>
      </c>
      <c r="I70" s="15" t="s">
        <v>174</v>
      </c>
      <c r="J70" s="15">
        <v>54</v>
      </c>
    </row>
    <row r="71" spans="1:10" x14ac:dyDescent="0.3">
      <c r="A71" s="15" t="s">
        <v>175</v>
      </c>
      <c r="B71" s="15" t="s">
        <v>35</v>
      </c>
      <c r="C71" s="15" t="s">
        <v>30</v>
      </c>
      <c r="D71" s="15" t="s">
        <v>31</v>
      </c>
      <c r="E71" s="15">
        <v>20</v>
      </c>
      <c r="F71" s="15">
        <v>9</v>
      </c>
      <c r="G71" s="15" t="s">
        <v>14</v>
      </c>
      <c r="H71" s="15" t="s">
        <v>61</v>
      </c>
      <c r="I71" s="15" t="s">
        <v>176</v>
      </c>
      <c r="J71" s="15">
        <v>76</v>
      </c>
    </row>
    <row r="72" spans="1:10" x14ac:dyDescent="0.3">
      <c r="A72" s="15" t="s">
        <v>177</v>
      </c>
      <c r="B72" s="15" t="s">
        <v>29</v>
      </c>
      <c r="C72" s="15" t="s">
        <v>58</v>
      </c>
      <c r="D72" s="15" t="s">
        <v>31</v>
      </c>
      <c r="E72" s="15">
        <v>19</v>
      </c>
      <c r="F72" s="15">
        <v>12</v>
      </c>
      <c r="G72" s="15" t="s">
        <v>43</v>
      </c>
      <c r="H72" s="15" t="s">
        <v>61</v>
      </c>
      <c r="I72" s="15" t="s">
        <v>178</v>
      </c>
      <c r="J72" s="15">
        <v>99</v>
      </c>
    </row>
    <row r="73" spans="1:10" x14ac:dyDescent="0.3">
      <c r="A73" s="15" t="s">
        <v>179</v>
      </c>
      <c r="B73" s="15" t="s">
        <v>29</v>
      </c>
      <c r="C73" s="15" t="s">
        <v>58</v>
      </c>
      <c r="D73" s="15" t="s">
        <v>31</v>
      </c>
      <c r="E73" s="15">
        <v>16</v>
      </c>
      <c r="F73" s="15">
        <v>11</v>
      </c>
      <c r="G73" s="15" t="s">
        <v>25</v>
      </c>
      <c r="H73" s="15" t="s">
        <v>26</v>
      </c>
      <c r="I73" s="15" t="s">
        <v>180</v>
      </c>
      <c r="J73" s="15">
        <v>75</v>
      </c>
    </row>
    <row r="74" spans="1:10" x14ac:dyDescent="0.3">
      <c r="A74" s="15" t="s">
        <v>181</v>
      </c>
      <c r="B74" s="15" t="s">
        <v>11</v>
      </c>
      <c r="C74" s="15" t="s">
        <v>55</v>
      </c>
      <c r="D74" s="15" t="s">
        <v>31</v>
      </c>
      <c r="E74" s="15">
        <v>18</v>
      </c>
      <c r="F74" s="15">
        <v>10</v>
      </c>
      <c r="G74" s="15" t="s">
        <v>25</v>
      </c>
      <c r="H74" s="15" t="s">
        <v>46</v>
      </c>
      <c r="I74" s="15" t="s">
        <v>182</v>
      </c>
      <c r="J74" s="15">
        <v>98</v>
      </c>
    </row>
    <row r="75" spans="1:10" x14ac:dyDescent="0.3">
      <c r="A75" s="15" t="s">
        <v>183</v>
      </c>
      <c r="B75" s="15" t="s">
        <v>11</v>
      </c>
      <c r="C75" s="15" t="s">
        <v>30</v>
      </c>
      <c r="D75" s="15" t="s">
        <v>31</v>
      </c>
      <c r="E75" s="15">
        <v>17</v>
      </c>
      <c r="F75" s="15">
        <v>12</v>
      </c>
      <c r="G75" s="15" t="s">
        <v>14</v>
      </c>
      <c r="H75" s="15" t="s">
        <v>37</v>
      </c>
      <c r="I75" s="15" t="s">
        <v>184</v>
      </c>
      <c r="J75" s="15">
        <v>49</v>
      </c>
    </row>
    <row r="76" spans="1:10" x14ac:dyDescent="0.3">
      <c r="A76" s="15" t="s">
        <v>185</v>
      </c>
      <c r="B76" s="15" t="s">
        <v>35</v>
      </c>
      <c r="C76" s="15" t="s">
        <v>30</v>
      </c>
      <c r="D76" s="15" t="s">
        <v>31</v>
      </c>
      <c r="E76" s="15">
        <v>14</v>
      </c>
      <c r="F76" s="15">
        <v>12</v>
      </c>
      <c r="G76" s="15" t="s">
        <v>43</v>
      </c>
      <c r="H76" s="15" t="s">
        <v>61</v>
      </c>
      <c r="I76" s="15" t="s">
        <v>186</v>
      </c>
      <c r="J76" s="15">
        <v>45</v>
      </c>
    </row>
    <row r="77" spans="1:10" x14ac:dyDescent="0.3">
      <c r="A77" s="15" t="s">
        <v>187</v>
      </c>
      <c r="B77" s="15" t="s">
        <v>51</v>
      </c>
      <c r="C77" s="15" t="s">
        <v>12</v>
      </c>
      <c r="D77" s="15" t="s">
        <v>31</v>
      </c>
      <c r="E77" s="15">
        <v>17</v>
      </c>
      <c r="F77" s="15">
        <v>10</v>
      </c>
      <c r="G77" s="15" t="s">
        <v>43</v>
      </c>
      <c r="H77" s="15" t="s">
        <v>46</v>
      </c>
      <c r="I77" s="15" t="s">
        <v>101</v>
      </c>
      <c r="J77" s="15">
        <v>66</v>
      </c>
    </row>
    <row r="78" spans="1:10" x14ac:dyDescent="0.3">
      <c r="A78" s="15" t="s">
        <v>188</v>
      </c>
      <c r="B78" s="15" t="s">
        <v>23</v>
      </c>
      <c r="C78" s="15" t="s">
        <v>55</v>
      </c>
      <c r="D78" s="15" t="s">
        <v>31</v>
      </c>
      <c r="E78" s="15">
        <v>15</v>
      </c>
      <c r="F78" s="15">
        <v>9</v>
      </c>
      <c r="G78" s="15" t="s">
        <v>43</v>
      </c>
      <c r="H78" s="15" t="s">
        <v>20</v>
      </c>
      <c r="I78" s="15" t="s">
        <v>189</v>
      </c>
      <c r="J78" s="15">
        <v>88</v>
      </c>
    </row>
    <row r="79" spans="1:10" x14ac:dyDescent="0.3">
      <c r="A79" s="15" t="s">
        <v>190</v>
      </c>
      <c r="B79" s="15" t="s">
        <v>18</v>
      </c>
      <c r="C79" s="15" t="s">
        <v>19</v>
      </c>
      <c r="D79" s="15" t="s">
        <v>31</v>
      </c>
      <c r="E79" s="15">
        <v>14</v>
      </c>
      <c r="F79" s="15">
        <v>12</v>
      </c>
      <c r="G79" s="15" t="s">
        <v>32</v>
      </c>
      <c r="H79" s="15" t="s">
        <v>37</v>
      </c>
      <c r="I79" s="15" t="s">
        <v>191</v>
      </c>
      <c r="J79" s="15">
        <v>63</v>
      </c>
    </row>
    <row r="80" spans="1:10" x14ac:dyDescent="0.3">
      <c r="A80" s="15" t="s">
        <v>192</v>
      </c>
      <c r="B80" s="15" t="s">
        <v>68</v>
      </c>
      <c r="C80" s="15" t="s">
        <v>85</v>
      </c>
      <c r="D80" s="15" t="s">
        <v>13</v>
      </c>
      <c r="E80" s="15">
        <v>19</v>
      </c>
      <c r="F80" s="15">
        <v>11</v>
      </c>
      <c r="G80" s="15" t="s">
        <v>43</v>
      </c>
      <c r="H80" s="15" t="s">
        <v>61</v>
      </c>
      <c r="I80" s="15" t="s">
        <v>193</v>
      </c>
      <c r="J80" s="15">
        <v>78</v>
      </c>
    </row>
    <row r="81" spans="1:10" x14ac:dyDescent="0.3">
      <c r="A81" s="15" t="s">
        <v>194</v>
      </c>
      <c r="B81" s="15" t="s">
        <v>23</v>
      </c>
      <c r="C81" s="15" t="s">
        <v>19</v>
      </c>
      <c r="D81" s="15" t="s">
        <v>31</v>
      </c>
      <c r="E81" s="15">
        <v>20</v>
      </c>
      <c r="F81" s="15">
        <v>9</v>
      </c>
      <c r="G81" s="15" t="s">
        <v>25</v>
      </c>
      <c r="H81" s="15" t="s">
        <v>76</v>
      </c>
      <c r="I81" s="15" t="s">
        <v>195</v>
      </c>
      <c r="J81" s="15">
        <v>76</v>
      </c>
    </row>
    <row r="82" spans="1:10" x14ac:dyDescent="0.3">
      <c r="A82" s="15" t="s">
        <v>196</v>
      </c>
      <c r="B82" s="15" t="s">
        <v>23</v>
      </c>
      <c r="C82" s="15" t="s">
        <v>79</v>
      </c>
      <c r="D82" s="15" t="s">
        <v>13</v>
      </c>
      <c r="E82" s="15">
        <v>18</v>
      </c>
      <c r="F82" s="15">
        <v>12</v>
      </c>
      <c r="G82" s="15" t="s">
        <v>43</v>
      </c>
      <c r="H82" s="15" t="s">
        <v>76</v>
      </c>
      <c r="I82" s="15" t="s">
        <v>197</v>
      </c>
      <c r="J82" s="15">
        <v>67</v>
      </c>
    </row>
    <row r="83" spans="1:10" x14ac:dyDescent="0.3">
      <c r="A83" s="15" t="s">
        <v>198</v>
      </c>
      <c r="B83" s="15" t="s">
        <v>11</v>
      </c>
      <c r="C83" s="15" t="s">
        <v>85</v>
      </c>
      <c r="D83" s="15" t="s">
        <v>31</v>
      </c>
      <c r="E83" s="15">
        <v>14</v>
      </c>
      <c r="F83" s="15">
        <v>10</v>
      </c>
      <c r="G83" s="15" t="s">
        <v>25</v>
      </c>
      <c r="H83" s="15" t="s">
        <v>61</v>
      </c>
      <c r="I83" s="15" t="s">
        <v>199</v>
      </c>
      <c r="J83" s="15">
        <v>97</v>
      </c>
    </row>
    <row r="84" spans="1:10" x14ac:dyDescent="0.3">
      <c r="A84" s="15" t="s">
        <v>200</v>
      </c>
      <c r="B84" s="15" t="s">
        <v>29</v>
      </c>
      <c r="C84" s="15" t="s">
        <v>12</v>
      </c>
      <c r="D84" s="15" t="s">
        <v>13</v>
      </c>
      <c r="E84" s="15">
        <v>18</v>
      </c>
      <c r="F84" s="15">
        <v>12</v>
      </c>
      <c r="G84" s="15" t="s">
        <v>25</v>
      </c>
      <c r="H84" s="15" t="s">
        <v>26</v>
      </c>
      <c r="I84" s="15" t="s">
        <v>201</v>
      </c>
      <c r="J84" s="15">
        <v>89</v>
      </c>
    </row>
    <row r="85" spans="1:10" x14ac:dyDescent="0.3">
      <c r="A85" s="15" t="s">
        <v>202</v>
      </c>
      <c r="B85" s="15" t="s">
        <v>51</v>
      </c>
      <c r="C85" s="15" t="s">
        <v>55</v>
      </c>
      <c r="D85" s="15" t="s">
        <v>31</v>
      </c>
      <c r="E85" s="15">
        <v>15</v>
      </c>
      <c r="F85" s="15">
        <v>9</v>
      </c>
      <c r="G85" s="15" t="s">
        <v>14</v>
      </c>
      <c r="H85" s="15" t="s">
        <v>40</v>
      </c>
      <c r="I85" s="15" t="s">
        <v>111</v>
      </c>
      <c r="J85" s="15">
        <v>70</v>
      </c>
    </row>
    <row r="86" spans="1:10" x14ac:dyDescent="0.3">
      <c r="A86" s="15" t="s">
        <v>203</v>
      </c>
      <c r="B86" s="15" t="s">
        <v>35</v>
      </c>
      <c r="C86" s="15" t="s">
        <v>96</v>
      </c>
      <c r="D86" s="15" t="s">
        <v>13</v>
      </c>
      <c r="E86" s="15">
        <v>17</v>
      </c>
      <c r="F86" s="15">
        <v>12</v>
      </c>
      <c r="G86" s="15" t="s">
        <v>25</v>
      </c>
      <c r="H86" s="15" t="s">
        <v>20</v>
      </c>
      <c r="I86" s="15" t="s">
        <v>204</v>
      </c>
      <c r="J86" s="15">
        <v>90</v>
      </c>
    </row>
    <row r="87" spans="1:10" x14ac:dyDescent="0.3">
      <c r="A87" s="15" t="s">
        <v>205</v>
      </c>
      <c r="B87" s="15" t="s">
        <v>73</v>
      </c>
      <c r="C87" s="15" t="s">
        <v>24</v>
      </c>
      <c r="D87" s="15" t="s">
        <v>13</v>
      </c>
      <c r="E87" s="15">
        <v>17</v>
      </c>
      <c r="F87" s="15">
        <v>9</v>
      </c>
      <c r="G87" s="15" t="s">
        <v>14</v>
      </c>
      <c r="H87" s="15" t="s">
        <v>46</v>
      </c>
      <c r="I87" s="15" t="s">
        <v>206</v>
      </c>
      <c r="J87" s="15">
        <v>59</v>
      </c>
    </row>
    <row r="88" spans="1:10" x14ac:dyDescent="0.3">
      <c r="A88" s="15" t="s">
        <v>207</v>
      </c>
      <c r="B88" s="15" t="s">
        <v>54</v>
      </c>
      <c r="C88" s="15" t="s">
        <v>19</v>
      </c>
      <c r="D88" s="15" t="s">
        <v>31</v>
      </c>
      <c r="E88" s="15">
        <v>19</v>
      </c>
      <c r="F88" s="15">
        <v>9</v>
      </c>
      <c r="G88" s="15" t="s">
        <v>14</v>
      </c>
      <c r="H88" s="15" t="s">
        <v>61</v>
      </c>
      <c r="I88" s="15" t="s">
        <v>208</v>
      </c>
      <c r="J88" s="15">
        <v>76</v>
      </c>
    </row>
    <row r="89" spans="1:10" x14ac:dyDescent="0.3">
      <c r="A89" s="15" t="s">
        <v>209</v>
      </c>
      <c r="B89" s="15" t="s">
        <v>29</v>
      </c>
      <c r="C89" s="15" t="s">
        <v>30</v>
      </c>
      <c r="D89" s="15" t="s">
        <v>31</v>
      </c>
      <c r="E89" s="15">
        <v>18</v>
      </c>
      <c r="F89" s="15">
        <v>11</v>
      </c>
      <c r="G89" s="15" t="s">
        <v>43</v>
      </c>
      <c r="H89" s="15" t="s">
        <v>20</v>
      </c>
      <c r="I89" s="15" t="s">
        <v>210</v>
      </c>
      <c r="J89" s="15">
        <v>78</v>
      </c>
    </row>
    <row r="90" spans="1:10" x14ac:dyDescent="0.3">
      <c r="A90" s="15" t="s">
        <v>211</v>
      </c>
      <c r="B90" s="15" t="s">
        <v>35</v>
      </c>
      <c r="C90" s="15" t="s">
        <v>19</v>
      </c>
      <c r="D90" s="15" t="s">
        <v>31</v>
      </c>
      <c r="E90" s="15">
        <v>16</v>
      </c>
      <c r="F90" s="15">
        <v>9</v>
      </c>
      <c r="G90" s="15" t="s">
        <v>14</v>
      </c>
      <c r="H90" s="15" t="s">
        <v>37</v>
      </c>
      <c r="I90" s="15" t="s">
        <v>212</v>
      </c>
      <c r="J90" s="15">
        <v>57</v>
      </c>
    </row>
    <row r="91" spans="1:10" x14ac:dyDescent="0.3">
      <c r="A91" s="15" t="s">
        <v>213</v>
      </c>
      <c r="B91" s="15" t="s">
        <v>29</v>
      </c>
      <c r="C91" s="15" t="s">
        <v>24</v>
      </c>
      <c r="D91" s="15" t="s">
        <v>31</v>
      </c>
      <c r="E91" s="15">
        <v>17</v>
      </c>
      <c r="F91" s="15">
        <v>11</v>
      </c>
      <c r="G91" s="15" t="s">
        <v>14</v>
      </c>
      <c r="H91" s="15" t="s">
        <v>76</v>
      </c>
      <c r="I91" s="15" t="s">
        <v>214</v>
      </c>
      <c r="J91" s="15">
        <v>74</v>
      </c>
    </row>
    <row r="92" spans="1:10" x14ac:dyDescent="0.3">
      <c r="A92" s="15" t="s">
        <v>215</v>
      </c>
      <c r="B92" s="15" t="s">
        <v>84</v>
      </c>
      <c r="C92" s="15" t="s">
        <v>36</v>
      </c>
      <c r="D92" s="15" t="s">
        <v>31</v>
      </c>
      <c r="E92" s="15">
        <v>19</v>
      </c>
      <c r="F92" s="15">
        <v>12</v>
      </c>
      <c r="G92" s="15" t="s">
        <v>14</v>
      </c>
      <c r="H92" s="15" t="s">
        <v>37</v>
      </c>
      <c r="I92" s="15" t="s">
        <v>216</v>
      </c>
      <c r="J92" s="15">
        <v>84</v>
      </c>
    </row>
    <row r="93" spans="1:10" x14ac:dyDescent="0.3">
      <c r="A93" s="15" t="s">
        <v>217</v>
      </c>
      <c r="B93" s="15" t="s">
        <v>84</v>
      </c>
      <c r="C93" s="15" t="s">
        <v>96</v>
      </c>
      <c r="D93" s="15" t="s">
        <v>31</v>
      </c>
      <c r="E93" s="15">
        <v>17</v>
      </c>
      <c r="F93" s="15">
        <v>10</v>
      </c>
      <c r="G93" s="15" t="s">
        <v>43</v>
      </c>
      <c r="H93" s="15" t="s">
        <v>46</v>
      </c>
      <c r="I93" s="15" t="s">
        <v>218</v>
      </c>
      <c r="J93" s="15">
        <v>46</v>
      </c>
    </row>
    <row r="94" spans="1:10" x14ac:dyDescent="0.3">
      <c r="A94" s="15" t="s">
        <v>219</v>
      </c>
      <c r="B94" s="15" t="s">
        <v>68</v>
      </c>
      <c r="C94" s="15" t="s">
        <v>19</v>
      </c>
      <c r="D94" s="15" t="s">
        <v>13</v>
      </c>
      <c r="E94" s="15">
        <v>19</v>
      </c>
      <c r="F94" s="15">
        <v>9</v>
      </c>
      <c r="G94" s="15" t="s">
        <v>14</v>
      </c>
      <c r="H94" s="15" t="s">
        <v>40</v>
      </c>
      <c r="I94" s="15" t="s">
        <v>220</v>
      </c>
      <c r="J94" s="15">
        <v>63</v>
      </c>
    </row>
    <row r="95" spans="1:10" x14ac:dyDescent="0.3">
      <c r="A95" s="15" t="s">
        <v>221</v>
      </c>
      <c r="B95" s="15" t="s">
        <v>51</v>
      </c>
      <c r="C95" s="15" t="s">
        <v>55</v>
      </c>
      <c r="D95" s="15" t="s">
        <v>13</v>
      </c>
      <c r="E95" s="15">
        <v>14</v>
      </c>
      <c r="F95" s="15">
        <v>10</v>
      </c>
      <c r="G95" s="15" t="s">
        <v>43</v>
      </c>
      <c r="H95" s="15" t="s">
        <v>61</v>
      </c>
      <c r="I95" s="15" t="s">
        <v>222</v>
      </c>
      <c r="J95" s="15">
        <v>72</v>
      </c>
    </row>
    <row r="96" spans="1:10" x14ac:dyDescent="0.3">
      <c r="A96" s="15" t="s">
        <v>223</v>
      </c>
      <c r="B96" s="15" t="s">
        <v>68</v>
      </c>
      <c r="C96" s="15" t="s">
        <v>24</v>
      </c>
      <c r="D96" s="15" t="s">
        <v>13</v>
      </c>
      <c r="E96" s="15">
        <v>18</v>
      </c>
      <c r="F96" s="15">
        <v>11</v>
      </c>
      <c r="G96" s="15" t="s">
        <v>32</v>
      </c>
      <c r="H96" s="15" t="s">
        <v>40</v>
      </c>
      <c r="I96" s="15" t="s">
        <v>224</v>
      </c>
      <c r="J96" s="15">
        <v>87</v>
      </c>
    </row>
    <row r="97" spans="1:10" x14ac:dyDescent="0.3">
      <c r="A97" s="15" t="s">
        <v>225</v>
      </c>
      <c r="B97" s="15" t="s">
        <v>35</v>
      </c>
      <c r="C97" s="15" t="s">
        <v>85</v>
      </c>
      <c r="D97" s="15" t="s">
        <v>13</v>
      </c>
      <c r="E97" s="15">
        <v>20</v>
      </c>
      <c r="F97" s="15">
        <v>9</v>
      </c>
      <c r="G97" s="15" t="s">
        <v>14</v>
      </c>
      <c r="H97" s="15" t="s">
        <v>40</v>
      </c>
      <c r="I97" s="15" t="s">
        <v>226</v>
      </c>
      <c r="J97" s="15">
        <v>55</v>
      </c>
    </row>
    <row r="98" spans="1:10" x14ac:dyDescent="0.3">
      <c r="A98" s="15" t="s">
        <v>227</v>
      </c>
      <c r="B98" s="15" t="s">
        <v>68</v>
      </c>
      <c r="C98" s="15" t="s">
        <v>58</v>
      </c>
      <c r="D98" s="15" t="s">
        <v>13</v>
      </c>
      <c r="E98" s="15">
        <v>17</v>
      </c>
      <c r="F98" s="15">
        <v>12</v>
      </c>
      <c r="G98" s="15" t="s">
        <v>32</v>
      </c>
      <c r="H98" s="15" t="s">
        <v>26</v>
      </c>
      <c r="I98" s="15" t="s">
        <v>228</v>
      </c>
      <c r="J98" s="15">
        <v>37</v>
      </c>
    </row>
    <row r="99" spans="1:10" x14ac:dyDescent="0.3">
      <c r="A99" s="15" t="s">
        <v>229</v>
      </c>
      <c r="B99" s="15" t="s">
        <v>68</v>
      </c>
      <c r="C99" s="15" t="s">
        <v>24</v>
      </c>
      <c r="D99" s="15" t="s">
        <v>13</v>
      </c>
      <c r="E99" s="15">
        <v>17</v>
      </c>
      <c r="F99" s="15">
        <v>11</v>
      </c>
      <c r="G99" s="15" t="s">
        <v>43</v>
      </c>
      <c r="H99" s="15" t="s">
        <v>26</v>
      </c>
      <c r="I99" s="15" t="s">
        <v>230</v>
      </c>
      <c r="J99" s="15">
        <v>53</v>
      </c>
    </row>
    <row r="100" spans="1:10" x14ac:dyDescent="0.3">
      <c r="A100" s="15" t="s">
        <v>231</v>
      </c>
      <c r="B100" s="15" t="s">
        <v>23</v>
      </c>
      <c r="C100" s="15" t="s">
        <v>24</v>
      </c>
      <c r="D100" s="15" t="s">
        <v>31</v>
      </c>
      <c r="E100" s="15">
        <v>18</v>
      </c>
      <c r="F100" s="15">
        <v>9</v>
      </c>
      <c r="G100" s="15" t="s">
        <v>25</v>
      </c>
      <c r="H100" s="15" t="s">
        <v>61</v>
      </c>
      <c r="I100" s="15" t="s">
        <v>232</v>
      </c>
      <c r="J100" s="15">
        <v>88</v>
      </c>
    </row>
    <row r="101" spans="1:10" x14ac:dyDescent="0.3">
      <c r="A101" s="15" t="s">
        <v>233</v>
      </c>
      <c r="B101" s="15" t="s">
        <v>11</v>
      </c>
      <c r="C101" s="15" t="s">
        <v>55</v>
      </c>
      <c r="D101" s="15" t="s">
        <v>13</v>
      </c>
      <c r="E101" s="15">
        <v>14</v>
      </c>
      <c r="F101" s="15">
        <v>9</v>
      </c>
      <c r="G101" s="15" t="s">
        <v>25</v>
      </c>
      <c r="H101" s="15" t="s">
        <v>37</v>
      </c>
      <c r="I101" s="15" t="s">
        <v>234</v>
      </c>
      <c r="J101" s="15">
        <v>66</v>
      </c>
    </row>
    <row r="102" spans="1:10" x14ac:dyDescent="0.3">
      <c r="A102" s="15" t="s">
        <v>235</v>
      </c>
      <c r="B102" s="15" t="s">
        <v>11</v>
      </c>
      <c r="C102" s="15" t="s">
        <v>36</v>
      </c>
      <c r="D102" s="15" t="s">
        <v>31</v>
      </c>
      <c r="E102" s="15">
        <v>14</v>
      </c>
      <c r="F102" s="15">
        <v>12</v>
      </c>
      <c r="G102" s="15" t="s">
        <v>43</v>
      </c>
      <c r="H102" s="15" t="s">
        <v>40</v>
      </c>
      <c r="I102" s="15" t="s">
        <v>236</v>
      </c>
      <c r="J102" s="15">
        <v>65</v>
      </c>
    </row>
    <row r="103" spans="1:10" x14ac:dyDescent="0.3">
      <c r="A103" s="15" t="s">
        <v>237</v>
      </c>
      <c r="B103" s="15" t="s">
        <v>23</v>
      </c>
      <c r="C103" s="15" t="s">
        <v>24</v>
      </c>
      <c r="D103" s="15" t="s">
        <v>31</v>
      </c>
      <c r="E103" s="15">
        <v>16</v>
      </c>
      <c r="F103" s="15">
        <v>10</v>
      </c>
      <c r="G103" s="15" t="s">
        <v>43</v>
      </c>
      <c r="H103" s="15" t="s">
        <v>20</v>
      </c>
      <c r="I103" s="15" t="s">
        <v>238</v>
      </c>
      <c r="J103" s="15">
        <v>71</v>
      </c>
    </row>
    <row r="104" spans="1:10" x14ac:dyDescent="0.3">
      <c r="A104" s="15" t="s">
        <v>239</v>
      </c>
      <c r="B104" s="15" t="s">
        <v>68</v>
      </c>
      <c r="C104" s="15" t="s">
        <v>58</v>
      </c>
      <c r="D104" s="15" t="s">
        <v>13</v>
      </c>
      <c r="E104" s="15">
        <v>18</v>
      </c>
      <c r="F104" s="15">
        <v>11</v>
      </c>
      <c r="G104" s="15" t="s">
        <v>25</v>
      </c>
      <c r="H104" s="15" t="s">
        <v>15</v>
      </c>
      <c r="I104" s="15" t="s">
        <v>240</v>
      </c>
      <c r="J104" s="15">
        <v>48</v>
      </c>
    </row>
    <row r="105" spans="1:10" x14ac:dyDescent="0.3">
      <c r="A105" s="15" t="s">
        <v>241</v>
      </c>
      <c r="B105" s="15" t="s">
        <v>54</v>
      </c>
      <c r="C105" s="15" t="s">
        <v>85</v>
      </c>
      <c r="D105" s="15" t="s">
        <v>31</v>
      </c>
      <c r="E105" s="15">
        <v>15</v>
      </c>
      <c r="F105" s="15">
        <v>12</v>
      </c>
      <c r="G105" s="15" t="s">
        <v>14</v>
      </c>
      <c r="H105" s="15" t="s">
        <v>40</v>
      </c>
      <c r="I105" s="15" t="s">
        <v>242</v>
      </c>
      <c r="J105" s="15">
        <v>100</v>
      </c>
    </row>
    <row r="106" spans="1:10" x14ac:dyDescent="0.3">
      <c r="A106" s="15" t="s">
        <v>243</v>
      </c>
      <c r="B106" s="15" t="s">
        <v>23</v>
      </c>
      <c r="C106" s="15" t="s">
        <v>96</v>
      </c>
      <c r="D106" s="15" t="s">
        <v>31</v>
      </c>
      <c r="E106" s="15">
        <v>15</v>
      </c>
      <c r="F106" s="15">
        <v>11</v>
      </c>
      <c r="G106" s="15" t="s">
        <v>25</v>
      </c>
      <c r="H106" s="15" t="s">
        <v>61</v>
      </c>
      <c r="I106" s="15" t="s">
        <v>244</v>
      </c>
      <c r="J106" s="15">
        <v>72</v>
      </c>
    </row>
    <row r="107" spans="1:10" x14ac:dyDescent="0.3">
      <c r="A107" s="15" t="s">
        <v>245</v>
      </c>
      <c r="B107" s="15" t="s">
        <v>54</v>
      </c>
      <c r="C107" s="15" t="s">
        <v>19</v>
      </c>
      <c r="D107" s="15" t="s">
        <v>31</v>
      </c>
      <c r="E107" s="15">
        <v>18</v>
      </c>
      <c r="F107" s="15">
        <v>12</v>
      </c>
      <c r="G107" s="15" t="s">
        <v>32</v>
      </c>
      <c r="H107" s="15" t="s">
        <v>26</v>
      </c>
      <c r="I107" s="15" t="s">
        <v>246</v>
      </c>
      <c r="J107" s="15">
        <v>74</v>
      </c>
    </row>
    <row r="108" spans="1:10" x14ac:dyDescent="0.3">
      <c r="A108" s="15" t="s">
        <v>247</v>
      </c>
      <c r="B108" s="15" t="s">
        <v>29</v>
      </c>
      <c r="C108" s="15" t="s">
        <v>58</v>
      </c>
      <c r="D108" s="15" t="s">
        <v>31</v>
      </c>
      <c r="E108" s="15">
        <v>14</v>
      </c>
      <c r="F108" s="15">
        <v>12</v>
      </c>
      <c r="G108" s="15" t="s">
        <v>14</v>
      </c>
      <c r="H108" s="15" t="s">
        <v>40</v>
      </c>
      <c r="I108" s="15" t="s">
        <v>248</v>
      </c>
      <c r="J108" s="15">
        <v>66</v>
      </c>
    </row>
    <row r="109" spans="1:10" x14ac:dyDescent="0.3">
      <c r="A109" s="15" t="s">
        <v>249</v>
      </c>
      <c r="B109" s="15" t="s">
        <v>68</v>
      </c>
      <c r="C109" s="15" t="s">
        <v>30</v>
      </c>
      <c r="D109" s="15" t="s">
        <v>31</v>
      </c>
      <c r="E109" s="15">
        <v>16</v>
      </c>
      <c r="F109" s="15">
        <v>11</v>
      </c>
      <c r="G109" s="15" t="s">
        <v>32</v>
      </c>
      <c r="H109" s="15" t="s">
        <v>20</v>
      </c>
      <c r="I109" s="15" t="s">
        <v>250</v>
      </c>
      <c r="J109" s="15">
        <v>90</v>
      </c>
    </row>
    <row r="110" spans="1:10" x14ac:dyDescent="0.3">
      <c r="A110" s="15" t="s">
        <v>251</v>
      </c>
      <c r="B110" s="15" t="s">
        <v>23</v>
      </c>
      <c r="C110" s="15" t="s">
        <v>24</v>
      </c>
      <c r="D110" s="15" t="s">
        <v>13</v>
      </c>
      <c r="E110" s="15">
        <v>16</v>
      </c>
      <c r="F110" s="15">
        <v>12</v>
      </c>
      <c r="G110" s="15" t="s">
        <v>43</v>
      </c>
      <c r="H110" s="15" t="s">
        <v>40</v>
      </c>
      <c r="I110" s="15" t="s">
        <v>252</v>
      </c>
      <c r="J110" s="15">
        <v>50</v>
      </c>
    </row>
    <row r="111" spans="1:10" x14ac:dyDescent="0.3">
      <c r="A111" s="15" t="s">
        <v>253</v>
      </c>
      <c r="B111" s="15" t="s">
        <v>18</v>
      </c>
      <c r="C111" s="15" t="s">
        <v>24</v>
      </c>
      <c r="D111" s="15" t="s">
        <v>13</v>
      </c>
      <c r="E111" s="15">
        <v>15</v>
      </c>
      <c r="F111" s="15">
        <v>9</v>
      </c>
      <c r="G111" s="15" t="s">
        <v>25</v>
      </c>
      <c r="H111" s="15" t="s">
        <v>20</v>
      </c>
      <c r="I111" s="15" t="s">
        <v>254</v>
      </c>
      <c r="J111" s="15">
        <v>36</v>
      </c>
    </row>
    <row r="112" spans="1:10" x14ac:dyDescent="0.3">
      <c r="A112" s="15" t="s">
        <v>255</v>
      </c>
      <c r="B112" s="15" t="s">
        <v>51</v>
      </c>
      <c r="C112" s="15" t="s">
        <v>79</v>
      </c>
      <c r="D112" s="15" t="s">
        <v>31</v>
      </c>
      <c r="E112" s="15">
        <v>20</v>
      </c>
      <c r="F112" s="15">
        <v>12</v>
      </c>
      <c r="G112" s="15" t="s">
        <v>43</v>
      </c>
      <c r="H112" s="15" t="s">
        <v>40</v>
      </c>
      <c r="I112" s="15" t="s">
        <v>256</v>
      </c>
      <c r="J112" s="15">
        <v>48</v>
      </c>
    </row>
    <row r="113" spans="1:10" x14ac:dyDescent="0.3">
      <c r="A113" s="15" t="s">
        <v>257</v>
      </c>
      <c r="B113" s="15" t="s">
        <v>68</v>
      </c>
      <c r="C113" s="15" t="s">
        <v>79</v>
      </c>
      <c r="D113" s="15" t="s">
        <v>31</v>
      </c>
      <c r="E113" s="15">
        <v>20</v>
      </c>
      <c r="F113" s="15">
        <v>11</v>
      </c>
      <c r="G113" s="15" t="s">
        <v>43</v>
      </c>
      <c r="H113" s="15" t="s">
        <v>46</v>
      </c>
      <c r="I113" s="15" t="s">
        <v>258</v>
      </c>
      <c r="J113" s="15">
        <v>52</v>
      </c>
    </row>
    <row r="114" spans="1:10" x14ac:dyDescent="0.3">
      <c r="A114" s="15" t="s">
        <v>259</v>
      </c>
      <c r="B114" s="15" t="s">
        <v>54</v>
      </c>
      <c r="C114" s="15" t="s">
        <v>85</v>
      </c>
      <c r="D114" s="15" t="s">
        <v>13</v>
      </c>
      <c r="E114" s="15">
        <v>14</v>
      </c>
      <c r="F114" s="15">
        <v>11</v>
      </c>
      <c r="G114" s="15" t="s">
        <v>43</v>
      </c>
      <c r="H114" s="15" t="s">
        <v>46</v>
      </c>
      <c r="I114" s="15" t="s">
        <v>260</v>
      </c>
      <c r="J114" s="15">
        <v>62</v>
      </c>
    </row>
    <row r="115" spans="1:10" x14ac:dyDescent="0.3">
      <c r="A115" s="15" t="s">
        <v>261</v>
      </c>
      <c r="B115" s="15" t="s">
        <v>23</v>
      </c>
      <c r="C115" s="15" t="s">
        <v>36</v>
      </c>
      <c r="D115" s="15" t="s">
        <v>13</v>
      </c>
      <c r="E115" s="15">
        <v>15</v>
      </c>
      <c r="F115" s="15">
        <v>11</v>
      </c>
      <c r="G115" s="15" t="s">
        <v>25</v>
      </c>
      <c r="H115" s="15" t="s">
        <v>26</v>
      </c>
      <c r="I115" s="15" t="s">
        <v>262</v>
      </c>
      <c r="J115" s="15">
        <v>63</v>
      </c>
    </row>
    <row r="116" spans="1:10" x14ac:dyDescent="0.3">
      <c r="A116" s="15" t="s">
        <v>263</v>
      </c>
      <c r="B116" s="15" t="s">
        <v>29</v>
      </c>
      <c r="C116" s="15" t="s">
        <v>19</v>
      </c>
      <c r="D116" s="15" t="s">
        <v>13</v>
      </c>
      <c r="E116" s="15">
        <v>15</v>
      </c>
      <c r="F116" s="15">
        <v>11</v>
      </c>
      <c r="G116" s="15" t="s">
        <v>25</v>
      </c>
      <c r="H116" s="15" t="s">
        <v>46</v>
      </c>
      <c r="I116" s="15" t="s">
        <v>264</v>
      </c>
      <c r="J116" s="15">
        <v>58</v>
      </c>
    </row>
    <row r="117" spans="1:10" x14ac:dyDescent="0.3">
      <c r="A117" s="15" t="s">
        <v>265</v>
      </c>
      <c r="B117" s="15" t="s">
        <v>11</v>
      </c>
      <c r="C117" s="15" t="s">
        <v>85</v>
      </c>
      <c r="D117" s="15" t="s">
        <v>31</v>
      </c>
      <c r="E117" s="15">
        <v>14</v>
      </c>
      <c r="F117" s="15">
        <v>9</v>
      </c>
      <c r="G117" s="15" t="s">
        <v>43</v>
      </c>
      <c r="H117" s="15" t="s">
        <v>61</v>
      </c>
      <c r="I117" s="15" t="s">
        <v>56</v>
      </c>
      <c r="J117" s="15">
        <v>41</v>
      </c>
    </row>
    <row r="118" spans="1:10" x14ac:dyDescent="0.3">
      <c r="A118" s="15" t="s">
        <v>266</v>
      </c>
      <c r="B118" s="15" t="s">
        <v>54</v>
      </c>
      <c r="C118" s="15" t="s">
        <v>58</v>
      </c>
      <c r="D118" s="15" t="s">
        <v>13</v>
      </c>
      <c r="E118" s="15">
        <v>19</v>
      </c>
      <c r="F118" s="15">
        <v>11</v>
      </c>
      <c r="G118" s="15" t="s">
        <v>14</v>
      </c>
      <c r="H118" s="15" t="s">
        <v>40</v>
      </c>
      <c r="I118" s="15" t="s">
        <v>267</v>
      </c>
      <c r="J118" s="15">
        <v>41</v>
      </c>
    </row>
    <row r="119" spans="1:10" x14ac:dyDescent="0.3">
      <c r="A119" s="15" t="s">
        <v>268</v>
      </c>
      <c r="B119" s="15" t="s">
        <v>68</v>
      </c>
      <c r="C119" s="15" t="s">
        <v>24</v>
      </c>
      <c r="D119" s="15" t="s">
        <v>31</v>
      </c>
      <c r="E119" s="15">
        <v>16</v>
      </c>
      <c r="F119" s="15">
        <v>12</v>
      </c>
      <c r="G119" s="15" t="s">
        <v>43</v>
      </c>
      <c r="H119" s="15" t="s">
        <v>26</v>
      </c>
      <c r="I119" s="15" t="s">
        <v>269</v>
      </c>
      <c r="J119" s="15">
        <v>47</v>
      </c>
    </row>
    <row r="120" spans="1:10" x14ac:dyDescent="0.3">
      <c r="A120" s="15" t="s">
        <v>270</v>
      </c>
      <c r="B120" s="15" t="s">
        <v>73</v>
      </c>
      <c r="C120" s="15" t="s">
        <v>30</v>
      </c>
      <c r="D120" s="15" t="s">
        <v>31</v>
      </c>
      <c r="E120" s="15">
        <v>15</v>
      </c>
      <c r="F120" s="15">
        <v>9</v>
      </c>
      <c r="G120" s="15" t="s">
        <v>43</v>
      </c>
      <c r="H120" s="15" t="s">
        <v>26</v>
      </c>
      <c r="I120" s="15" t="s">
        <v>271</v>
      </c>
      <c r="J120" s="15">
        <v>76</v>
      </c>
    </row>
    <row r="121" spans="1:10" x14ac:dyDescent="0.3">
      <c r="A121" s="15" t="s">
        <v>272</v>
      </c>
      <c r="B121" s="15" t="s">
        <v>54</v>
      </c>
      <c r="C121" s="15" t="s">
        <v>24</v>
      </c>
      <c r="D121" s="15" t="s">
        <v>13</v>
      </c>
      <c r="E121" s="15">
        <v>15</v>
      </c>
      <c r="F121" s="15">
        <v>9</v>
      </c>
      <c r="G121" s="15" t="s">
        <v>43</v>
      </c>
      <c r="H121" s="15" t="s">
        <v>20</v>
      </c>
      <c r="I121" s="15" t="s">
        <v>273</v>
      </c>
      <c r="J121" s="15">
        <v>50</v>
      </c>
    </row>
    <row r="122" spans="1:10" x14ac:dyDescent="0.3">
      <c r="A122" s="15" t="s">
        <v>274</v>
      </c>
      <c r="B122" s="15" t="s">
        <v>35</v>
      </c>
      <c r="C122" s="15" t="s">
        <v>36</v>
      </c>
      <c r="D122" s="15" t="s">
        <v>13</v>
      </c>
      <c r="E122" s="15">
        <v>19</v>
      </c>
      <c r="F122" s="15">
        <v>9</v>
      </c>
      <c r="G122" s="15" t="s">
        <v>32</v>
      </c>
      <c r="H122" s="15" t="s">
        <v>61</v>
      </c>
      <c r="I122" s="15" t="s">
        <v>275</v>
      </c>
      <c r="J122" s="15">
        <v>63</v>
      </c>
    </row>
    <row r="123" spans="1:10" x14ac:dyDescent="0.3">
      <c r="A123" s="15" t="s">
        <v>276</v>
      </c>
      <c r="B123" s="15" t="s">
        <v>84</v>
      </c>
      <c r="C123" s="15" t="s">
        <v>30</v>
      </c>
      <c r="D123" s="15" t="s">
        <v>31</v>
      </c>
      <c r="E123" s="15">
        <v>14</v>
      </c>
      <c r="F123" s="15">
        <v>12</v>
      </c>
      <c r="G123" s="15" t="s">
        <v>14</v>
      </c>
      <c r="H123" s="15" t="s">
        <v>26</v>
      </c>
      <c r="I123" s="15" t="s">
        <v>277</v>
      </c>
      <c r="J123" s="15">
        <v>62</v>
      </c>
    </row>
    <row r="124" spans="1:10" x14ac:dyDescent="0.3">
      <c r="A124" s="15" t="s">
        <v>278</v>
      </c>
      <c r="B124" s="15" t="s">
        <v>73</v>
      </c>
      <c r="C124" s="15" t="s">
        <v>36</v>
      </c>
      <c r="D124" s="15" t="s">
        <v>13</v>
      </c>
      <c r="E124" s="15">
        <v>14</v>
      </c>
      <c r="F124" s="15">
        <v>11</v>
      </c>
      <c r="G124" s="15" t="s">
        <v>32</v>
      </c>
      <c r="H124" s="15" t="s">
        <v>37</v>
      </c>
      <c r="I124" s="15" t="s">
        <v>279</v>
      </c>
      <c r="J124" s="15">
        <v>51</v>
      </c>
    </row>
    <row r="125" spans="1:10" x14ac:dyDescent="0.3">
      <c r="A125" s="15" t="s">
        <v>280</v>
      </c>
      <c r="B125" s="15" t="s">
        <v>84</v>
      </c>
      <c r="C125" s="15" t="s">
        <v>58</v>
      </c>
      <c r="D125" s="15" t="s">
        <v>13</v>
      </c>
      <c r="E125" s="15">
        <v>18</v>
      </c>
      <c r="F125" s="15">
        <v>12</v>
      </c>
      <c r="G125" s="15" t="s">
        <v>32</v>
      </c>
      <c r="H125" s="15" t="s">
        <v>76</v>
      </c>
      <c r="I125" s="15" t="s">
        <v>159</v>
      </c>
      <c r="J125" s="15">
        <v>98</v>
      </c>
    </row>
    <row r="126" spans="1:10" x14ac:dyDescent="0.3">
      <c r="A126" s="15" t="s">
        <v>281</v>
      </c>
      <c r="B126" s="15" t="s">
        <v>51</v>
      </c>
      <c r="C126" s="15" t="s">
        <v>36</v>
      </c>
      <c r="D126" s="15" t="s">
        <v>31</v>
      </c>
      <c r="E126" s="15">
        <v>15</v>
      </c>
      <c r="F126" s="15">
        <v>11</v>
      </c>
      <c r="G126" s="15" t="s">
        <v>43</v>
      </c>
      <c r="H126" s="15" t="s">
        <v>37</v>
      </c>
      <c r="I126" s="15" t="s">
        <v>282</v>
      </c>
      <c r="J126" s="15">
        <v>66</v>
      </c>
    </row>
    <row r="127" spans="1:10" x14ac:dyDescent="0.3">
      <c r="A127" s="15" t="s">
        <v>283</v>
      </c>
      <c r="B127" s="15" t="s">
        <v>68</v>
      </c>
      <c r="C127" s="15" t="s">
        <v>79</v>
      </c>
      <c r="D127" s="15" t="s">
        <v>31</v>
      </c>
      <c r="E127" s="15">
        <v>16</v>
      </c>
      <c r="F127" s="15">
        <v>11</v>
      </c>
      <c r="G127" s="15" t="s">
        <v>32</v>
      </c>
      <c r="H127" s="15" t="s">
        <v>40</v>
      </c>
      <c r="I127" s="15" t="s">
        <v>284</v>
      </c>
      <c r="J127" s="15">
        <v>95</v>
      </c>
    </row>
    <row r="128" spans="1:10" x14ac:dyDescent="0.3">
      <c r="A128" s="15" t="s">
        <v>285</v>
      </c>
      <c r="B128" s="15" t="s">
        <v>18</v>
      </c>
      <c r="C128" s="15" t="s">
        <v>36</v>
      </c>
      <c r="D128" s="15" t="s">
        <v>31</v>
      </c>
      <c r="E128" s="15">
        <v>14</v>
      </c>
      <c r="F128" s="15">
        <v>11</v>
      </c>
      <c r="G128" s="15" t="s">
        <v>25</v>
      </c>
      <c r="H128" s="15" t="s">
        <v>46</v>
      </c>
      <c r="I128" s="15" t="s">
        <v>286</v>
      </c>
      <c r="J128" s="15">
        <v>64</v>
      </c>
    </row>
    <row r="129" spans="1:10" x14ac:dyDescent="0.3">
      <c r="A129" s="15" t="s">
        <v>287</v>
      </c>
      <c r="B129" s="15" t="s">
        <v>54</v>
      </c>
      <c r="C129" s="15" t="s">
        <v>24</v>
      </c>
      <c r="D129" s="15" t="s">
        <v>31</v>
      </c>
      <c r="E129" s="15">
        <v>14</v>
      </c>
      <c r="F129" s="15">
        <v>12</v>
      </c>
      <c r="G129" s="15" t="s">
        <v>32</v>
      </c>
      <c r="H129" s="15" t="s">
        <v>76</v>
      </c>
      <c r="I129" s="15" t="s">
        <v>288</v>
      </c>
      <c r="J129" s="15">
        <v>48</v>
      </c>
    </row>
    <row r="130" spans="1:10" x14ac:dyDescent="0.3">
      <c r="A130" s="15" t="s">
        <v>289</v>
      </c>
      <c r="B130" s="15" t="s">
        <v>23</v>
      </c>
      <c r="C130" s="15" t="s">
        <v>79</v>
      </c>
      <c r="D130" s="15" t="s">
        <v>31</v>
      </c>
      <c r="E130" s="15">
        <v>17</v>
      </c>
      <c r="F130" s="15">
        <v>9</v>
      </c>
      <c r="G130" s="15" t="s">
        <v>25</v>
      </c>
      <c r="H130" s="15" t="s">
        <v>37</v>
      </c>
      <c r="I130" s="15" t="s">
        <v>290</v>
      </c>
      <c r="J130" s="15">
        <v>62</v>
      </c>
    </row>
    <row r="131" spans="1:10" x14ac:dyDescent="0.3">
      <c r="A131" s="15" t="s">
        <v>291</v>
      </c>
      <c r="B131" s="15" t="s">
        <v>11</v>
      </c>
      <c r="C131" s="15" t="s">
        <v>30</v>
      </c>
      <c r="D131" s="15" t="s">
        <v>31</v>
      </c>
      <c r="E131" s="15">
        <v>16</v>
      </c>
      <c r="F131" s="15">
        <v>9</v>
      </c>
      <c r="G131" s="15" t="s">
        <v>25</v>
      </c>
      <c r="H131" s="15" t="s">
        <v>61</v>
      </c>
      <c r="I131" s="15" t="s">
        <v>292</v>
      </c>
      <c r="J131" s="15">
        <v>97</v>
      </c>
    </row>
    <row r="132" spans="1:10" x14ac:dyDescent="0.3">
      <c r="A132" s="15" t="s">
        <v>293</v>
      </c>
      <c r="B132" s="15" t="s">
        <v>73</v>
      </c>
      <c r="C132" s="15" t="s">
        <v>96</v>
      </c>
      <c r="D132" s="15" t="s">
        <v>31</v>
      </c>
      <c r="E132" s="15">
        <v>20</v>
      </c>
      <c r="F132" s="15">
        <v>9</v>
      </c>
      <c r="G132" s="15" t="s">
        <v>43</v>
      </c>
      <c r="H132" s="15" t="s">
        <v>26</v>
      </c>
      <c r="I132" s="15" t="s">
        <v>74</v>
      </c>
      <c r="J132" s="15">
        <v>100</v>
      </c>
    </row>
    <row r="133" spans="1:10" x14ac:dyDescent="0.3">
      <c r="A133" s="15" t="s">
        <v>294</v>
      </c>
      <c r="B133" s="15" t="s">
        <v>35</v>
      </c>
      <c r="C133" s="15" t="s">
        <v>55</v>
      </c>
      <c r="D133" s="15" t="s">
        <v>13</v>
      </c>
      <c r="E133" s="15">
        <v>20</v>
      </c>
      <c r="F133" s="15">
        <v>9</v>
      </c>
      <c r="G133" s="15" t="s">
        <v>25</v>
      </c>
      <c r="H133" s="15" t="s">
        <v>46</v>
      </c>
      <c r="I133" s="15" t="s">
        <v>295</v>
      </c>
      <c r="J133" s="15">
        <v>99</v>
      </c>
    </row>
    <row r="134" spans="1:10" x14ac:dyDescent="0.3">
      <c r="A134" s="15" t="s">
        <v>296</v>
      </c>
      <c r="B134" s="15" t="s">
        <v>84</v>
      </c>
      <c r="C134" s="15" t="s">
        <v>19</v>
      </c>
      <c r="D134" s="15" t="s">
        <v>31</v>
      </c>
      <c r="E134" s="15">
        <v>20</v>
      </c>
      <c r="F134" s="15">
        <v>10</v>
      </c>
      <c r="G134" s="15" t="s">
        <v>43</v>
      </c>
      <c r="H134" s="15" t="s">
        <v>20</v>
      </c>
      <c r="I134" s="15" t="s">
        <v>297</v>
      </c>
      <c r="J134" s="15">
        <v>100</v>
      </c>
    </row>
    <row r="135" spans="1:10" x14ac:dyDescent="0.3">
      <c r="A135" s="15" t="s">
        <v>298</v>
      </c>
      <c r="B135" s="15" t="s">
        <v>29</v>
      </c>
      <c r="C135" s="15" t="s">
        <v>96</v>
      </c>
      <c r="D135" s="15" t="s">
        <v>31</v>
      </c>
      <c r="E135" s="15">
        <v>20</v>
      </c>
      <c r="F135" s="15">
        <v>10</v>
      </c>
      <c r="G135" s="15" t="s">
        <v>32</v>
      </c>
      <c r="H135" s="15" t="s">
        <v>26</v>
      </c>
      <c r="I135" s="15" t="s">
        <v>299</v>
      </c>
      <c r="J135" s="15">
        <v>56</v>
      </c>
    </row>
    <row r="136" spans="1:10" x14ac:dyDescent="0.3">
      <c r="A136" s="15" t="s">
        <v>300</v>
      </c>
      <c r="B136" s="15" t="s">
        <v>11</v>
      </c>
      <c r="C136" s="15" t="s">
        <v>79</v>
      </c>
      <c r="D136" s="15" t="s">
        <v>31</v>
      </c>
      <c r="E136" s="15">
        <v>18</v>
      </c>
      <c r="F136" s="15">
        <v>9</v>
      </c>
      <c r="G136" s="15" t="s">
        <v>14</v>
      </c>
      <c r="H136" s="15" t="s">
        <v>20</v>
      </c>
      <c r="I136" s="15" t="s">
        <v>301</v>
      </c>
      <c r="J136" s="15">
        <v>66</v>
      </c>
    </row>
    <row r="137" spans="1:10" x14ac:dyDescent="0.3">
      <c r="A137" s="15" t="s">
        <v>302</v>
      </c>
      <c r="B137" s="15" t="s">
        <v>29</v>
      </c>
      <c r="C137" s="15" t="s">
        <v>79</v>
      </c>
      <c r="D137" s="15" t="s">
        <v>13</v>
      </c>
      <c r="E137" s="15">
        <v>14</v>
      </c>
      <c r="F137" s="15">
        <v>12</v>
      </c>
      <c r="G137" s="15" t="s">
        <v>14</v>
      </c>
      <c r="H137" s="15" t="s">
        <v>20</v>
      </c>
      <c r="I137" s="15" t="s">
        <v>303</v>
      </c>
      <c r="J137" s="15">
        <v>66</v>
      </c>
    </row>
    <row r="138" spans="1:10" x14ac:dyDescent="0.3">
      <c r="A138" s="15" t="s">
        <v>304</v>
      </c>
      <c r="B138" s="15" t="s">
        <v>51</v>
      </c>
      <c r="C138" s="15" t="s">
        <v>36</v>
      </c>
      <c r="D138" s="15" t="s">
        <v>31</v>
      </c>
      <c r="E138" s="15">
        <v>15</v>
      </c>
      <c r="F138" s="15">
        <v>12</v>
      </c>
      <c r="G138" s="15" t="s">
        <v>32</v>
      </c>
      <c r="H138" s="15" t="s">
        <v>46</v>
      </c>
      <c r="I138" s="15" t="s">
        <v>305</v>
      </c>
      <c r="J138" s="15">
        <v>77</v>
      </c>
    </row>
    <row r="139" spans="1:10" x14ac:dyDescent="0.3">
      <c r="A139" s="15" t="s">
        <v>306</v>
      </c>
      <c r="B139" s="15" t="s">
        <v>23</v>
      </c>
      <c r="C139" s="15" t="s">
        <v>19</v>
      </c>
      <c r="D139" s="15" t="s">
        <v>31</v>
      </c>
      <c r="E139" s="15">
        <v>16</v>
      </c>
      <c r="F139" s="15">
        <v>10</v>
      </c>
      <c r="G139" s="15" t="s">
        <v>43</v>
      </c>
      <c r="H139" s="15" t="s">
        <v>61</v>
      </c>
      <c r="I139" s="15" t="s">
        <v>307</v>
      </c>
      <c r="J139" s="15">
        <v>47</v>
      </c>
    </row>
    <row r="140" spans="1:10" x14ac:dyDescent="0.3">
      <c r="A140" s="15" t="s">
        <v>308</v>
      </c>
      <c r="B140" s="15" t="s">
        <v>23</v>
      </c>
      <c r="C140" s="15" t="s">
        <v>36</v>
      </c>
      <c r="D140" s="15" t="s">
        <v>13</v>
      </c>
      <c r="E140" s="15">
        <v>18</v>
      </c>
      <c r="F140" s="15">
        <v>10</v>
      </c>
      <c r="G140" s="15" t="s">
        <v>43</v>
      </c>
      <c r="H140" s="15" t="s">
        <v>40</v>
      </c>
      <c r="I140" s="15" t="s">
        <v>309</v>
      </c>
      <c r="J140" s="15">
        <v>57</v>
      </c>
    </row>
    <row r="141" spans="1:10" x14ac:dyDescent="0.3">
      <c r="A141" s="15" t="s">
        <v>310</v>
      </c>
      <c r="B141" s="15" t="s">
        <v>29</v>
      </c>
      <c r="C141" s="15" t="s">
        <v>96</v>
      </c>
      <c r="D141" s="15" t="s">
        <v>31</v>
      </c>
      <c r="E141" s="15">
        <v>16</v>
      </c>
      <c r="F141" s="15">
        <v>9</v>
      </c>
      <c r="G141" s="15" t="s">
        <v>32</v>
      </c>
      <c r="H141" s="15" t="s">
        <v>46</v>
      </c>
      <c r="I141" s="15" t="s">
        <v>311</v>
      </c>
      <c r="J141" s="15">
        <v>67</v>
      </c>
    </row>
    <row r="142" spans="1:10" x14ac:dyDescent="0.3">
      <c r="A142" s="15" t="s">
        <v>312</v>
      </c>
      <c r="B142" s="15" t="s">
        <v>29</v>
      </c>
      <c r="C142" s="15" t="s">
        <v>12</v>
      </c>
      <c r="D142" s="15" t="s">
        <v>31</v>
      </c>
      <c r="E142" s="15">
        <v>14</v>
      </c>
      <c r="F142" s="15">
        <v>12</v>
      </c>
      <c r="G142" s="15" t="s">
        <v>43</v>
      </c>
      <c r="H142" s="15" t="s">
        <v>61</v>
      </c>
      <c r="I142" s="15" t="s">
        <v>313</v>
      </c>
      <c r="J142" s="15">
        <v>44</v>
      </c>
    </row>
    <row r="143" spans="1:10" x14ac:dyDescent="0.3">
      <c r="A143" s="15" t="s">
        <v>314</v>
      </c>
      <c r="B143" s="15" t="s">
        <v>68</v>
      </c>
      <c r="C143" s="15" t="s">
        <v>79</v>
      </c>
      <c r="D143" s="15" t="s">
        <v>13</v>
      </c>
      <c r="E143" s="15">
        <v>15</v>
      </c>
      <c r="F143" s="15">
        <v>11</v>
      </c>
      <c r="G143" s="15" t="s">
        <v>14</v>
      </c>
      <c r="H143" s="15" t="s">
        <v>46</v>
      </c>
      <c r="I143" s="15" t="s">
        <v>315</v>
      </c>
      <c r="J143" s="15">
        <v>35</v>
      </c>
    </row>
    <row r="144" spans="1:10" x14ac:dyDescent="0.3">
      <c r="A144" s="15" t="s">
        <v>316</v>
      </c>
      <c r="B144" s="15" t="s">
        <v>23</v>
      </c>
      <c r="C144" s="15" t="s">
        <v>36</v>
      </c>
      <c r="D144" s="15" t="s">
        <v>31</v>
      </c>
      <c r="E144" s="15">
        <v>20</v>
      </c>
      <c r="F144" s="15">
        <v>11</v>
      </c>
      <c r="G144" s="15" t="s">
        <v>14</v>
      </c>
      <c r="H144" s="15" t="s">
        <v>37</v>
      </c>
      <c r="I144" s="15" t="s">
        <v>317</v>
      </c>
      <c r="J144" s="15">
        <v>52</v>
      </c>
    </row>
    <row r="145" spans="1:10" x14ac:dyDescent="0.3">
      <c r="A145" s="15" t="s">
        <v>318</v>
      </c>
      <c r="B145" s="15" t="s">
        <v>54</v>
      </c>
      <c r="C145" s="15" t="s">
        <v>96</v>
      </c>
      <c r="D145" s="15" t="s">
        <v>13</v>
      </c>
      <c r="E145" s="15">
        <v>18</v>
      </c>
      <c r="F145" s="15">
        <v>9</v>
      </c>
      <c r="G145" s="15" t="s">
        <v>32</v>
      </c>
      <c r="H145" s="15" t="s">
        <v>76</v>
      </c>
      <c r="I145" s="15" t="s">
        <v>319</v>
      </c>
      <c r="J145" s="15">
        <v>86</v>
      </c>
    </row>
    <row r="146" spans="1:10" x14ac:dyDescent="0.3">
      <c r="A146" s="15" t="s">
        <v>320</v>
      </c>
      <c r="B146" s="15" t="s">
        <v>84</v>
      </c>
      <c r="C146" s="15" t="s">
        <v>55</v>
      </c>
      <c r="D146" s="15" t="s">
        <v>31</v>
      </c>
      <c r="E146" s="15">
        <v>16</v>
      </c>
      <c r="F146" s="15">
        <v>12</v>
      </c>
      <c r="G146" s="15" t="s">
        <v>32</v>
      </c>
      <c r="H146" s="15" t="s">
        <v>76</v>
      </c>
      <c r="I146" s="15" t="s">
        <v>321</v>
      </c>
      <c r="J146" s="15">
        <v>66</v>
      </c>
    </row>
    <row r="147" spans="1:10" x14ac:dyDescent="0.3">
      <c r="A147" s="15" t="s">
        <v>322</v>
      </c>
      <c r="B147" s="15" t="s">
        <v>35</v>
      </c>
      <c r="C147" s="15" t="s">
        <v>12</v>
      </c>
      <c r="D147" s="15" t="s">
        <v>13</v>
      </c>
      <c r="E147" s="15">
        <v>14</v>
      </c>
      <c r="F147" s="15">
        <v>11</v>
      </c>
      <c r="G147" s="15" t="s">
        <v>14</v>
      </c>
      <c r="H147" s="15" t="s">
        <v>26</v>
      </c>
      <c r="I147" s="15" t="s">
        <v>323</v>
      </c>
      <c r="J147" s="15">
        <v>93</v>
      </c>
    </row>
    <row r="148" spans="1:10" x14ac:dyDescent="0.3">
      <c r="A148" s="15" t="s">
        <v>324</v>
      </c>
      <c r="B148" s="15" t="s">
        <v>23</v>
      </c>
      <c r="C148" s="15" t="s">
        <v>85</v>
      </c>
      <c r="D148" s="15" t="s">
        <v>31</v>
      </c>
      <c r="E148" s="15">
        <v>16</v>
      </c>
      <c r="F148" s="15">
        <v>9</v>
      </c>
      <c r="G148" s="15" t="s">
        <v>32</v>
      </c>
      <c r="H148" s="15" t="s">
        <v>61</v>
      </c>
      <c r="I148" s="15" t="s">
        <v>325</v>
      </c>
      <c r="J148" s="15">
        <v>54</v>
      </c>
    </row>
    <row r="149" spans="1:10" x14ac:dyDescent="0.3">
      <c r="A149" s="15" t="s">
        <v>326</v>
      </c>
      <c r="B149" s="15" t="s">
        <v>54</v>
      </c>
      <c r="C149" s="15" t="s">
        <v>55</v>
      </c>
      <c r="D149" s="15" t="s">
        <v>13</v>
      </c>
      <c r="E149" s="15">
        <v>20</v>
      </c>
      <c r="F149" s="15">
        <v>9</v>
      </c>
      <c r="G149" s="15" t="s">
        <v>32</v>
      </c>
      <c r="H149" s="15" t="s">
        <v>15</v>
      </c>
      <c r="I149" s="15" t="s">
        <v>77</v>
      </c>
      <c r="J149" s="15">
        <v>75</v>
      </c>
    </row>
    <row r="150" spans="1:10" x14ac:dyDescent="0.3">
      <c r="A150" s="15" t="s">
        <v>327</v>
      </c>
      <c r="B150" s="15" t="s">
        <v>73</v>
      </c>
      <c r="C150" s="15" t="s">
        <v>96</v>
      </c>
      <c r="D150" s="15" t="s">
        <v>13</v>
      </c>
      <c r="E150" s="15">
        <v>20</v>
      </c>
      <c r="F150" s="15">
        <v>9</v>
      </c>
      <c r="G150" s="15" t="s">
        <v>32</v>
      </c>
      <c r="H150" s="15" t="s">
        <v>61</v>
      </c>
      <c r="I150" s="15" t="s">
        <v>328</v>
      </c>
      <c r="J150" s="15">
        <v>40</v>
      </c>
    </row>
    <row r="151" spans="1:10" x14ac:dyDescent="0.3">
      <c r="A151" s="15" t="s">
        <v>329</v>
      </c>
      <c r="B151" s="15" t="s">
        <v>11</v>
      </c>
      <c r="C151" s="15" t="s">
        <v>24</v>
      </c>
      <c r="D151" s="15" t="s">
        <v>31</v>
      </c>
      <c r="E151" s="15">
        <v>15</v>
      </c>
      <c r="F151" s="15">
        <v>9</v>
      </c>
      <c r="G151" s="15" t="s">
        <v>43</v>
      </c>
      <c r="H151" s="15" t="s">
        <v>61</v>
      </c>
      <c r="I151" s="15" t="s">
        <v>330</v>
      </c>
      <c r="J151" s="15">
        <v>83</v>
      </c>
    </row>
    <row r="152" spans="1:10" x14ac:dyDescent="0.3">
      <c r="A152" s="15" t="s">
        <v>331</v>
      </c>
      <c r="B152" s="15" t="s">
        <v>73</v>
      </c>
      <c r="C152" s="15" t="s">
        <v>30</v>
      </c>
      <c r="D152" s="15" t="s">
        <v>31</v>
      </c>
      <c r="E152" s="15">
        <v>19</v>
      </c>
      <c r="F152" s="15">
        <v>10</v>
      </c>
      <c r="G152" s="15" t="s">
        <v>43</v>
      </c>
      <c r="H152" s="15" t="s">
        <v>20</v>
      </c>
      <c r="I152" s="15" t="s">
        <v>191</v>
      </c>
      <c r="J152" s="15">
        <v>93</v>
      </c>
    </row>
    <row r="153" spans="1:10" x14ac:dyDescent="0.3">
      <c r="A153" s="15" t="s">
        <v>332</v>
      </c>
      <c r="B153" s="15" t="s">
        <v>29</v>
      </c>
      <c r="C153" s="15" t="s">
        <v>12</v>
      </c>
      <c r="D153" s="15" t="s">
        <v>31</v>
      </c>
      <c r="E153" s="15">
        <v>16</v>
      </c>
      <c r="F153" s="15">
        <v>11</v>
      </c>
      <c r="G153" s="15" t="s">
        <v>32</v>
      </c>
      <c r="H153" s="15" t="s">
        <v>76</v>
      </c>
      <c r="I153" s="15" t="s">
        <v>333</v>
      </c>
      <c r="J153" s="15">
        <v>42</v>
      </c>
    </row>
    <row r="154" spans="1:10" x14ac:dyDescent="0.3">
      <c r="A154" s="15" t="s">
        <v>334</v>
      </c>
      <c r="B154" s="15" t="s">
        <v>73</v>
      </c>
      <c r="C154" s="15" t="s">
        <v>12</v>
      </c>
      <c r="D154" s="15" t="s">
        <v>31</v>
      </c>
      <c r="E154" s="15">
        <v>18</v>
      </c>
      <c r="F154" s="15">
        <v>11</v>
      </c>
      <c r="G154" s="15" t="s">
        <v>32</v>
      </c>
      <c r="H154" s="15" t="s">
        <v>76</v>
      </c>
      <c r="I154" s="15" t="s">
        <v>335</v>
      </c>
      <c r="J154" s="15">
        <v>97</v>
      </c>
    </row>
    <row r="155" spans="1:10" x14ac:dyDescent="0.3">
      <c r="A155" s="15" t="s">
        <v>336</v>
      </c>
      <c r="B155" s="15" t="s">
        <v>11</v>
      </c>
      <c r="C155" s="15" t="s">
        <v>58</v>
      </c>
      <c r="D155" s="15" t="s">
        <v>31</v>
      </c>
      <c r="E155" s="15">
        <v>19</v>
      </c>
      <c r="F155" s="15">
        <v>12</v>
      </c>
      <c r="G155" s="15" t="s">
        <v>25</v>
      </c>
      <c r="H155" s="15" t="s">
        <v>61</v>
      </c>
      <c r="I155" s="15" t="s">
        <v>218</v>
      </c>
      <c r="J155" s="15">
        <v>68</v>
      </c>
    </row>
    <row r="156" spans="1:10" x14ac:dyDescent="0.3">
      <c r="A156" s="15" t="s">
        <v>337</v>
      </c>
      <c r="B156" s="15" t="s">
        <v>23</v>
      </c>
      <c r="C156" s="15" t="s">
        <v>30</v>
      </c>
      <c r="D156" s="15" t="s">
        <v>31</v>
      </c>
      <c r="E156" s="15">
        <v>19</v>
      </c>
      <c r="F156" s="15">
        <v>9</v>
      </c>
      <c r="G156" s="15" t="s">
        <v>32</v>
      </c>
      <c r="H156" s="15" t="s">
        <v>61</v>
      </c>
      <c r="I156" s="15" t="s">
        <v>338</v>
      </c>
      <c r="J156" s="15">
        <v>51</v>
      </c>
    </row>
    <row r="157" spans="1:10" x14ac:dyDescent="0.3">
      <c r="A157" s="15" t="s">
        <v>339</v>
      </c>
      <c r="B157" s="15" t="s">
        <v>23</v>
      </c>
      <c r="C157" s="15" t="s">
        <v>36</v>
      </c>
      <c r="D157" s="15" t="s">
        <v>13</v>
      </c>
      <c r="E157" s="15">
        <v>18</v>
      </c>
      <c r="F157" s="15">
        <v>9</v>
      </c>
      <c r="G157" s="15" t="s">
        <v>32</v>
      </c>
      <c r="H157" s="15" t="s">
        <v>37</v>
      </c>
      <c r="I157" s="15" t="s">
        <v>340</v>
      </c>
      <c r="J157" s="15">
        <v>64</v>
      </c>
    </row>
    <row r="158" spans="1:10" x14ac:dyDescent="0.3">
      <c r="A158" s="15" t="s">
        <v>341</v>
      </c>
      <c r="B158" s="15" t="s">
        <v>54</v>
      </c>
      <c r="C158" s="15" t="s">
        <v>55</v>
      </c>
      <c r="D158" s="15" t="s">
        <v>13</v>
      </c>
      <c r="E158" s="15">
        <v>14</v>
      </c>
      <c r="F158" s="15">
        <v>9</v>
      </c>
      <c r="G158" s="15" t="s">
        <v>25</v>
      </c>
      <c r="H158" s="15" t="s">
        <v>37</v>
      </c>
      <c r="I158" s="15" t="s">
        <v>342</v>
      </c>
      <c r="J158" s="15">
        <v>82</v>
      </c>
    </row>
    <row r="159" spans="1:10" x14ac:dyDescent="0.3">
      <c r="A159" s="15" t="s">
        <v>343</v>
      </c>
      <c r="B159" s="15" t="s">
        <v>68</v>
      </c>
      <c r="C159" s="15" t="s">
        <v>79</v>
      </c>
      <c r="D159" s="15" t="s">
        <v>13</v>
      </c>
      <c r="E159" s="15">
        <v>19</v>
      </c>
      <c r="F159" s="15">
        <v>11</v>
      </c>
      <c r="G159" s="15" t="s">
        <v>14</v>
      </c>
      <c r="H159" s="15" t="s">
        <v>40</v>
      </c>
      <c r="I159" s="15" t="s">
        <v>344</v>
      </c>
      <c r="J159" s="15">
        <v>35</v>
      </c>
    </row>
    <row r="160" spans="1:10" x14ac:dyDescent="0.3">
      <c r="A160" s="15" t="s">
        <v>345</v>
      </c>
      <c r="B160" s="15" t="s">
        <v>29</v>
      </c>
      <c r="C160" s="15" t="s">
        <v>24</v>
      </c>
      <c r="D160" s="15" t="s">
        <v>31</v>
      </c>
      <c r="E160" s="15">
        <v>15</v>
      </c>
      <c r="F160" s="15">
        <v>9</v>
      </c>
      <c r="G160" s="15" t="s">
        <v>14</v>
      </c>
      <c r="H160" s="15" t="s">
        <v>26</v>
      </c>
      <c r="I160" s="15" t="s">
        <v>346</v>
      </c>
      <c r="J160" s="15">
        <v>49</v>
      </c>
    </row>
    <row r="161" spans="1:10" x14ac:dyDescent="0.3">
      <c r="A161" s="15" t="s">
        <v>347</v>
      </c>
      <c r="B161" s="15" t="s">
        <v>23</v>
      </c>
      <c r="C161" s="15" t="s">
        <v>85</v>
      </c>
      <c r="D161" s="15" t="s">
        <v>31</v>
      </c>
      <c r="E161" s="15">
        <v>15</v>
      </c>
      <c r="F161" s="15">
        <v>11</v>
      </c>
      <c r="G161" s="15" t="s">
        <v>32</v>
      </c>
      <c r="H161" s="15" t="s">
        <v>26</v>
      </c>
      <c r="I161" s="15" t="s">
        <v>348</v>
      </c>
      <c r="J161" s="15">
        <v>37</v>
      </c>
    </row>
    <row r="162" spans="1:10" x14ac:dyDescent="0.3">
      <c r="A162" s="15" t="s">
        <v>349</v>
      </c>
      <c r="B162" s="15" t="s">
        <v>35</v>
      </c>
      <c r="C162" s="15" t="s">
        <v>30</v>
      </c>
      <c r="D162" s="15" t="s">
        <v>31</v>
      </c>
      <c r="E162" s="15">
        <v>18</v>
      </c>
      <c r="F162" s="15">
        <v>12</v>
      </c>
      <c r="G162" s="15" t="s">
        <v>43</v>
      </c>
      <c r="H162" s="15" t="s">
        <v>37</v>
      </c>
      <c r="I162" s="15" t="s">
        <v>350</v>
      </c>
      <c r="J162" s="15">
        <v>53</v>
      </c>
    </row>
    <row r="163" spans="1:10" x14ac:dyDescent="0.3">
      <c r="A163" s="15" t="s">
        <v>351</v>
      </c>
      <c r="B163" s="15" t="s">
        <v>68</v>
      </c>
      <c r="C163" s="15" t="s">
        <v>96</v>
      </c>
      <c r="D163" s="15" t="s">
        <v>13</v>
      </c>
      <c r="E163" s="15">
        <v>15</v>
      </c>
      <c r="F163" s="15">
        <v>10</v>
      </c>
      <c r="G163" s="15" t="s">
        <v>25</v>
      </c>
      <c r="H163" s="15" t="s">
        <v>20</v>
      </c>
      <c r="I163" s="15" t="s">
        <v>352</v>
      </c>
      <c r="J163" s="15">
        <v>50</v>
      </c>
    </row>
    <row r="164" spans="1:10" x14ac:dyDescent="0.3">
      <c r="A164" s="15" t="s">
        <v>353</v>
      </c>
      <c r="B164" s="15" t="s">
        <v>51</v>
      </c>
      <c r="C164" s="15" t="s">
        <v>55</v>
      </c>
      <c r="D164" s="15" t="s">
        <v>31</v>
      </c>
      <c r="E164" s="15">
        <v>20</v>
      </c>
      <c r="F164" s="15">
        <v>9</v>
      </c>
      <c r="G164" s="15" t="s">
        <v>25</v>
      </c>
      <c r="H164" s="15" t="s">
        <v>46</v>
      </c>
      <c r="I164" s="15" t="s">
        <v>354</v>
      </c>
      <c r="J164" s="15">
        <v>53</v>
      </c>
    </row>
    <row r="165" spans="1:10" x14ac:dyDescent="0.3">
      <c r="A165" s="15" t="s">
        <v>355</v>
      </c>
      <c r="B165" s="15" t="s">
        <v>68</v>
      </c>
      <c r="C165" s="15" t="s">
        <v>79</v>
      </c>
      <c r="D165" s="15" t="s">
        <v>13</v>
      </c>
      <c r="E165" s="15">
        <v>15</v>
      </c>
      <c r="F165" s="15">
        <v>12</v>
      </c>
      <c r="G165" s="15" t="s">
        <v>14</v>
      </c>
      <c r="H165" s="15" t="s">
        <v>20</v>
      </c>
      <c r="I165" s="15" t="s">
        <v>356</v>
      </c>
      <c r="J165" s="15">
        <v>37</v>
      </c>
    </row>
    <row r="166" spans="1:10" x14ac:dyDescent="0.3">
      <c r="A166" s="15" t="s">
        <v>357</v>
      </c>
      <c r="B166" s="15" t="s">
        <v>23</v>
      </c>
      <c r="C166" s="15" t="s">
        <v>24</v>
      </c>
      <c r="D166" s="15" t="s">
        <v>13</v>
      </c>
      <c r="E166" s="15">
        <v>16</v>
      </c>
      <c r="F166" s="15">
        <v>9</v>
      </c>
      <c r="G166" s="15" t="s">
        <v>25</v>
      </c>
      <c r="H166" s="15" t="s">
        <v>20</v>
      </c>
      <c r="I166" s="15" t="s">
        <v>358</v>
      </c>
      <c r="J166" s="15">
        <v>66</v>
      </c>
    </row>
    <row r="167" spans="1:10" x14ac:dyDescent="0.3">
      <c r="A167" s="15" t="s">
        <v>359</v>
      </c>
      <c r="B167" s="15" t="s">
        <v>68</v>
      </c>
      <c r="C167" s="15" t="s">
        <v>85</v>
      </c>
      <c r="D167" s="15" t="s">
        <v>13</v>
      </c>
      <c r="E167" s="15">
        <v>19</v>
      </c>
      <c r="F167" s="15">
        <v>11</v>
      </c>
      <c r="G167" s="15" t="s">
        <v>43</v>
      </c>
      <c r="H167" s="15" t="s">
        <v>76</v>
      </c>
      <c r="I167" s="15" t="s">
        <v>360</v>
      </c>
      <c r="J167" s="15">
        <v>64</v>
      </c>
    </row>
    <row r="168" spans="1:10" x14ac:dyDescent="0.3">
      <c r="A168" s="15" t="s">
        <v>361</v>
      </c>
      <c r="B168" s="15" t="s">
        <v>11</v>
      </c>
      <c r="C168" s="15" t="s">
        <v>30</v>
      </c>
      <c r="D168" s="15" t="s">
        <v>13</v>
      </c>
      <c r="E168" s="15">
        <v>20</v>
      </c>
      <c r="F168" s="15">
        <v>10</v>
      </c>
      <c r="G168" s="15" t="s">
        <v>32</v>
      </c>
      <c r="H168" s="15" t="s">
        <v>15</v>
      </c>
      <c r="I168" s="15" t="s">
        <v>362</v>
      </c>
      <c r="J168" s="15">
        <v>49</v>
      </c>
    </row>
    <row r="169" spans="1:10" x14ac:dyDescent="0.3">
      <c r="A169" s="15" t="s">
        <v>363</v>
      </c>
      <c r="B169" s="15" t="s">
        <v>11</v>
      </c>
      <c r="C169" s="15" t="s">
        <v>85</v>
      </c>
      <c r="D169" s="15" t="s">
        <v>31</v>
      </c>
      <c r="E169" s="15">
        <v>15</v>
      </c>
      <c r="F169" s="15">
        <v>10</v>
      </c>
      <c r="G169" s="15" t="s">
        <v>14</v>
      </c>
      <c r="H169" s="15" t="s">
        <v>37</v>
      </c>
      <c r="I169" s="15" t="s">
        <v>364</v>
      </c>
      <c r="J169" s="15">
        <v>71</v>
      </c>
    </row>
    <row r="170" spans="1:10" x14ac:dyDescent="0.3">
      <c r="A170" s="15" t="s">
        <v>365</v>
      </c>
      <c r="B170" s="15" t="s">
        <v>11</v>
      </c>
      <c r="C170" s="15" t="s">
        <v>55</v>
      </c>
      <c r="D170" s="15" t="s">
        <v>13</v>
      </c>
      <c r="E170" s="15">
        <v>16</v>
      </c>
      <c r="F170" s="15">
        <v>10</v>
      </c>
      <c r="G170" s="15" t="s">
        <v>32</v>
      </c>
      <c r="H170" s="15" t="s">
        <v>15</v>
      </c>
      <c r="I170" s="15" t="s">
        <v>366</v>
      </c>
      <c r="J170" s="15">
        <v>72</v>
      </c>
    </row>
    <row r="171" spans="1:10" x14ac:dyDescent="0.3">
      <c r="A171" s="15" t="s">
        <v>367</v>
      </c>
      <c r="B171" s="15" t="s">
        <v>35</v>
      </c>
      <c r="C171" s="15" t="s">
        <v>12</v>
      </c>
      <c r="D171" s="15" t="s">
        <v>31</v>
      </c>
      <c r="E171" s="15">
        <v>15</v>
      </c>
      <c r="F171" s="15">
        <v>10</v>
      </c>
      <c r="G171" s="15" t="s">
        <v>32</v>
      </c>
      <c r="H171" s="15" t="s">
        <v>20</v>
      </c>
      <c r="I171" s="15" t="s">
        <v>368</v>
      </c>
      <c r="J171" s="15">
        <v>99</v>
      </c>
    </row>
    <row r="172" spans="1:10" x14ac:dyDescent="0.3">
      <c r="A172" s="15" t="s">
        <v>369</v>
      </c>
      <c r="B172" s="15" t="s">
        <v>23</v>
      </c>
      <c r="C172" s="15" t="s">
        <v>24</v>
      </c>
      <c r="D172" s="15" t="s">
        <v>31</v>
      </c>
      <c r="E172" s="15">
        <v>17</v>
      </c>
      <c r="F172" s="15">
        <v>12</v>
      </c>
      <c r="G172" s="15" t="s">
        <v>43</v>
      </c>
      <c r="H172" s="15" t="s">
        <v>61</v>
      </c>
      <c r="I172" s="15" t="s">
        <v>370</v>
      </c>
      <c r="J172" s="15">
        <v>96</v>
      </c>
    </row>
    <row r="173" spans="1:10" x14ac:dyDescent="0.3">
      <c r="A173" s="15" t="s">
        <v>371</v>
      </c>
      <c r="B173" s="15" t="s">
        <v>35</v>
      </c>
      <c r="C173" s="15" t="s">
        <v>58</v>
      </c>
      <c r="D173" s="15" t="s">
        <v>31</v>
      </c>
      <c r="E173" s="15">
        <v>19</v>
      </c>
      <c r="F173" s="15">
        <v>9</v>
      </c>
      <c r="G173" s="15" t="s">
        <v>14</v>
      </c>
      <c r="H173" s="15" t="s">
        <v>20</v>
      </c>
      <c r="I173" s="15" t="s">
        <v>372</v>
      </c>
      <c r="J173" s="15">
        <v>87</v>
      </c>
    </row>
    <row r="174" spans="1:10" x14ac:dyDescent="0.3">
      <c r="A174" s="15" t="s">
        <v>373</v>
      </c>
      <c r="B174" s="15" t="s">
        <v>51</v>
      </c>
      <c r="C174" s="15" t="s">
        <v>19</v>
      </c>
      <c r="D174" s="15" t="s">
        <v>13</v>
      </c>
      <c r="E174" s="15">
        <v>15</v>
      </c>
      <c r="F174" s="15">
        <v>11</v>
      </c>
      <c r="G174" s="15" t="s">
        <v>14</v>
      </c>
      <c r="H174" s="15" t="s">
        <v>61</v>
      </c>
      <c r="I174" s="15" t="s">
        <v>374</v>
      </c>
      <c r="J174" s="15">
        <v>78</v>
      </c>
    </row>
    <row r="175" spans="1:10" x14ac:dyDescent="0.3">
      <c r="A175" s="15" t="s">
        <v>375</v>
      </c>
      <c r="B175" s="15" t="s">
        <v>35</v>
      </c>
      <c r="C175" s="15" t="s">
        <v>36</v>
      </c>
      <c r="D175" s="15" t="s">
        <v>13</v>
      </c>
      <c r="E175" s="15">
        <v>18</v>
      </c>
      <c r="F175" s="15">
        <v>11</v>
      </c>
      <c r="G175" s="15" t="s">
        <v>25</v>
      </c>
      <c r="H175" s="15" t="s">
        <v>40</v>
      </c>
      <c r="I175" s="15" t="s">
        <v>376</v>
      </c>
      <c r="J175" s="15">
        <v>62</v>
      </c>
    </row>
    <row r="176" spans="1:10" x14ac:dyDescent="0.3">
      <c r="A176" s="15" t="s">
        <v>377</v>
      </c>
      <c r="B176" s="15" t="s">
        <v>35</v>
      </c>
      <c r="C176" s="15" t="s">
        <v>30</v>
      </c>
      <c r="D176" s="15" t="s">
        <v>13</v>
      </c>
      <c r="E176" s="15">
        <v>20</v>
      </c>
      <c r="F176" s="15">
        <v>11</v>
      </c>
      <c r="G176" s="15" t="s">
        <v>32</v>
      </c>
      <c r="H176" s="15" t="s">
        <v>37</v>
      </c>
      <c r="I176" s="15" t="s">
        <v>189</v>
      </c>
      <c r="J176" s="15">
        <v>79</v>
      </c>
    </row>
    <row r="177" spans="1:10" x14ac:dyDescent="0.3">
      <c r="A177" s="15" t="s">
        <v>378</v>
      </c>
      <c r="B177" s="15" t="s">
        <v>18</v>
      </c>
      <c r="C177" s="15" t="s">
        <v>55</v>
      </c>
      <c r="D177" s="15" t="s">
        <v>31</v>
      </c>
      <c r="E177" s="15">
        <v>17</v>
      </c>
      <c r="F177" s="15">
        <v>9</v>
      </c>
      <c r="G177" s="15" t="s">
        <v>32</v>
      </c>
      <c r="H177" s="15" t="s">
        <v>26</v>
      </c>
      <c r="I177" s="15" t="s">
        <v>379</v>
      </c>
      <c r="J177" s="15">
        <v>66</v>
      </c>
    </row>
    <row r="178" spans="1:10" x14ac:dyDescent="0.3">
      <c r="A178" s="15" t="s">
        <v>380</v>
      </c>
      <c r="B178" s="15" t="s">
        <v>11</v>
      </c>
      <c r="C178" s="15" t="s">
        <v>24</v>
      </c>
      <c r="D178" s="15" t="s">
        <v>31</v>
      </c>
      <c r="E178" s="15">
        <v>18</v>
      </c>
      <c r="F178" s="15">
        <v>11</v>
      </c>
      <c r="G178" s="15" t="s">
        <v>32</v>
      </c>
      <c r="H178" s="15" t="s">
        <v>61</v>
      </c>
      <c r="I178" s="15" t="s">
        <v>381</v>
      </c>
      <c r="J178" s="15">
        <v>67</v>
      </c>
    </row>
    <row r="179" spans="1:10" x14ac:dyDescent="0.3">
      <c r="A179" s="15" t="s">
        <v>382</v>
      </c>
      <c r="B179" s="15" t="s">
        <v>51</v>
      </c>
      <c r="C179" s="15" t="s">
        <v>85</v>
      </c>
      <c r="D179" s="15" t="s">
        <v>13</v>
      </c>
      <c r="E179" s="15">
        <v>16</v>
      </c>
      <c r="F179" s="15">
        <v>10</v>
      </c>
      <c r="G179" s="15" t="s">
        <v>43</v>
      </c>
      <c r="H179" s="15" t="s">
        <v>61</v>
      </c>
      <c r="I179" s="15" t="s">
        <v>383</v>
      </c>
      <c r="J179" s="15">
        <v>72</v>
      </c>
    </row>
    <row r="180" spans="1:10" x14ac:dyDescent="0.3">
      <c r="A180" s="15" t="s">
        <v>384</v>
      </c>
      <c r="B180" s="15" t="s">
        <v>54</v>
      </c>
      <c r="C180" s="15" t="s">
        <v>19</v>
      </c>
      <c r="D180" s="15" t="s">
        <v>31</v>
      </c>
      <c r="E180" s="15">
        <v>16</v>
      </c>
      <c r="F180" s="15">
        <v>12</v>
      </c>
      <c r="G180" s="15" t="s">
        <v>25</v>
      </c>
      <c r="H180" s="15" t="s">
        <v>20</v>
      </c>
      <c r="I180" s="15" t="s">
        <v>385</v>
      </c>
      <c r="J180" s="15">
        <v>39</v>
      </c>
    </row>
    <row r="181" spans="1:10" x14ac:dyDescent="0.3">
      <c r="A181" s="15" t="s">
        <v>386</v>
      </c>
      <c r="B181" s="15" t="s">
        <v>68</v>
      </c>
      <c r="C181" s="15" t="s">
        <v>96</v>
      </c>
      <c r="D181" s="15" t="s">
        <v>13</v>
      </c>
      <c r="E181" s="15">
        <v>18</v>
      </c>
      <c r="F181" s="15">
        <v>9</v>
      </c>
      <c r="G181" s="15" t="s">
        <v>25</v>
      </c>
      <c r="H181" s="15" t="s">
        <v>46</v>
      </c>
      <c r="I181" s="15" t="s">
        <v>387</v>
      </c>
      <c r="J181" s="15">
        <v>74</v>
      </c>
    </row>
    <row r="182" spans="1:10" x14ac:dyDescent="0.3">
      <c r="A182" s="15" t="s">
        <v>388</v>
      </c>
      <c r="B182" s="15" t="s">
        <v>73</v>
      </c>
      <c r="C182" s="15" t="s">
        <v>12</v>
      </c>
      <c r="D182" s="15" t="s">
        <v>31</v>
      </c>
      <c r="E182" s="15">
        <v>19</v>
      </c>
      <c r="F182" s="15">
        <v>11</v>
      </c>
      <c r="G182" s="15" t="s">
        <v>43</v>
      </c>
      <c r="H182" s="15" t="s">
        <v>61</v>
      </c>
      <c r="I182" s="15" t="s">
        <v>214</v>
      </c>
      <c r="J182" s="15">
        <v>88</v>
      </c>
    </row>
    <row r="183" spans="1:10" x14ac:dyDescent="0.3">
      <c r="A183" s="15" t="s">
        <v>389</v>
      </c>
      <c r="B183" s="15" t="s">
        <v>54</v>
      </c>
      <c r="C183" s="15" t="s">
        <v>58</v>
      </c>
      <c r="D183" s="15" t="s">
        <v>31</v>
      </c>
      <c r="E183" s="15">
        <v>14</v>
      </c>
      <c r="F183" s="15">
        <v>11</v>
      </c>
      <c r="G183" s="15" t="s">
        <v>32</v>
      </c>
      <c r="H183" s="15" t="s">
        <v>76</v>
      </c>
      <c r="I183" s="15" t="s">
        <v>390</v>
      </c>
      <c r="J183" s="15">
        <v>54</v>
      </c>
    </row>
    <row r="184" spans="1:10" x14ac:dyDescent="0.3">
      <c r="A184" s="15" t="s">
        <v>391</v>
      </c>
      <c r="B184" s="15" t="s">
        <v>68</v>
      </c>
      <c r="C184" s="15" t="s">
        <v>19</v>
      </c>
      <c r="D184" s="15" t="s">
        <v>13</v>
      </c>
      <c r="E184" s="15">
        <v>19</v>
      </c>
      <c r="F184" s="15">
        <v>12</v>
      </c>
      <c r="G184" s="15" t="s">
        <v>25</v>
      </c>
      <c r="H184" s="15" t="s">
        <v>46</v>
      </c>
      <c r="I184" s="15" t="s">
        <v>392</v>
      </c>
      <c r="J184" s="15">
        <v>46</v>
      </c>
    </row>
    <row r="185" spans="1:10" x14ac:dyDescent="0.3">
      <c r="A185" s="15" t="s">
        <v>393</v>
      </c>
      <c r="B185" s="15" t="s">
        <v>68</v>
      </c>
      <c r="C185" s="15" t="s">
        <v>85</v>
      </c>
      <c r="D185" s="15" t="s">
        <v>13</v>
      </c>
      <c r="E185" s="15">
        <v>15</v>
      </c>
      <c r="F185" s="15">
        <v>10</v>
      </c>
      <c r="G185" s="15" t="s">
        <v>32</v>
      </c>
      <c r="H185" s="15" t="s">
        <v>37</v>
      </c>
      <c r="I185" s="15" t="s">
        <v>394</v>
      </c>
      <c r="J185" s="15">
        <v>89</v>
      </c>
    </row>
    <row r="186" spans="1:10" x14ac:dyDescent="0.3">
      <c r="A186" s="15" t="s">
        <v>395</v>
      </c>
      <c r="B186" s="15" t="s">
        <v>11</v>
      </c>
      <c r="C186" s="15" t="s">
        <v>96</v>
      </c>
      <c r="D186" s="15" t="s">
        <v>13</v>
      </c>
      <c r="E186" s="15">
        <v>18</v>
      </c>
      <c r="F186" s="15">
        <v>11</v>
      </c>
      <c r="G186" s="15" t="s">
        <v>25</v>
      </c>
      <c r="H186" s="15" t="s">
        <v>37</v>
      </c>
      <c r="I186" s="15" t="s">
        <v>396</v>
      </c>
      <c r="J186" s="15">
        <v>65</v>
      </c>
    </row>
    <row r="187" spans="1:10" x14ac:dyDescent="0.3">
      <c r="A187" s="15" t="s">
        <v>397</v>
      </c>
      <c r="B187" s="15" t="s">
        <v>23</v>
      </c>
      <c r="C187" s="15" t="s">
        <v>12</v>
      </c>
      <c r="D187" s="15" t="s">
        <v>13</v>
      </c>
      <c r="E187" s="15">
        <v>20</v>
      </c>
      <c r="F187" s="15">
        <v>9</v>
      </c>
      <c r="G187" s="15" t="s">
        <v>25</v>
      </c>
      <c r="H187" s="15" t="s">
        <v>46</v>
      </c>
      <c r="I187" s="15" t="s">
        <v>398</v>
      </c>
      <c r="J187" s="15">
        <v>91</v>
      </c>
    </row>
    <row r="188" spans="1:10" x14ac:dyDescent="0.3">
      <c r="A188" s="15" t="s">
        <v>399</v>
      </c>
      <c r="B188" s="15" t="s">
        <v>35</v>
      </c>
      <c r="C188" s="15" t="s">
        <v>79</v>
      </c>
      <c r="D188" s="15" t="s">
        <v>13</v>
      </c>
      <c r="E188" s="15">
        <v>17</v>
      </c>
      <c r="F188" s="15">
        <v>10</v>
      </c>
      <c r="G188" s="15" t="s">
        <v>43</v>
      </c>
      <c r="H188" s="15" t="s">
        <v>37</v>
      </c>
      <c r="I188" s="15" t="s">
        <v>400</v>
      </c>
      <c r="J188" s="15">
        <v>78</v>
      </c>
    </row>
    <row r="189" spans="1:10" x14ac:dyDescent="0.3">
      <c r="A189" s="15" t="s">
        <v>401</v>
      </c>
      <c r="B189" s="15" t="s">
        <v>11</v>
      </c>
      <c r="C189" s="15" t="s">
        <v>79</v>
      </c>
      <c r="D189" s="15" t="s">
        <v>31</v>
      </c>
      <c r="E189" s="15">
        <v>15</v>
      </c>
      <c r="F189" s="15">
        <v>11</v>
      </c>
      <c r="G189" s="15" t="s">
        <v>43</v>
      </c>
      <c r="H189" s="15" t="s">
        <v>40</v>
      </c>
      <c r="I189" s="15" t="s">
        <v>402</v>
      </c>
      <c r="J189" s="15">
        <v>84</v>
      </c>
    </row>
    <row r="190" spans="1:10" x14ac:dyDescent="0.3">
      <c r="A190" s="15" t="s">
        <v>403</v>
      </c>
      <c r="B190" s="15" t="s">
        <v>11</v>
      </c>
      <c r="C190" s="15" t="s">
        <v>12</v>
      </c>
      <c r="D190" s="15" t="s">
        <v>31</v>
      </c>
      <c r="E190" s="15">
        <v>19</v>
      </c>
      <c r="F190" s="15">
        <v>9</v>
      </c>
      <c r="G190" s="15" t="s">
        <v>43</v>
      </c>
      <c r="H190" s="15" t="s">
        <v>46</v>
      </c>
      <c r="I190" s="15" t="s">
        <v>404</v>
      </c>
      <c r="J190" s="15">
        <v>37</v>
      </c>
    </row>
    <row r="191" spans="1:10" x14ac:dyDescent="0.3">
      <c r="A191" s="15" t="s">
        <v>405</v>
      </c>
      <c r="B191" s="15" t="s">
        <v>18</v>
      </c>
      <c r="C191" s="15" t="s">
        <v>19</v>
      </c>
      <c r="D191" s="15" t="s">
        <v>31</v>
      </c>
      <c r="E191" s="15">
        <v>18</v>
      </c>
      <c r="F191" s="15">
        <v>12</v>
      </c>
      <c r="G191" s="15" t="s">
        <v>25</v>
      </c>
      <c r="H191" s="15" t="s">
        <v>37</v>
      </c>
      <c r="I191" s="15" t="s">
        <v>406</v>
      </c>
      <c r="J191" s="15">
        <v>70</v>
      </c>
    </row>
    <row r="192" spans="1:10" x14ac:dyDescent="0.3">
      <c r="A192" s="15" t="s">
        <v>407</v>
      </c>
      <c r="B192" s="15" t="s">
        <v>29</v>
      </c>
      <c r="C192" s="15" t="s">
        <v>12</v>
      </c>
      <c r="D192" s="15" t="s">
        <v>31</v>
      </c>
      <c r="E192" s="15">
        <v>16</v>
      </c>
      <c r="F192" s="15">
        <v>10</v>
      </c>
      <c r="G192" s="15" t="s">
        <v>14</v>
      </c>
      <c r="H192" s="15" t="s">
        <v>40</v>
      </c>
      <c r="I192" s="15" t="s">
        <v>71</v>
      </c>
      <c r="J192" s="15">
        <v>100</v>
      </c>
    </row>
    <row r="193" spans="1:10" x14ac:dyDescent="0.3">
      <c r="A193" s="15" t="s">
        <v>408</v>
      </c>
      <c r="B193" s="15" t="s">
        <v>51</v>
      </c>
      <c r="C193" s="15" t="s">
        <v>85</v>
      </c>
      <c r="D193" s="15" t="s">
        <v>13</v>
      </c>
      <c r="E193" s="15">
        <v>17</v>
      </c>
      <c r="F193" s="15">
        <v>11</v>
      </c>
      <c r="G193" s="15" t="s">
        <v>25</v>
      </c>
      <c r="H193" s="15" t="s">
        <v>46</v>
      </c>
      <c r="I193" s="15" t="s">
        <v>52</v>
      </c>
      <c r="J193" s="15">
        <v>42</v>
      </c>
    </row>
    <row r="194" spans="1:10" x14ac:dyDescent="0.3">
      <c r="A194" s="15" t="s">
        <v>409</v>
      </c>
      <c r="B194" s="15" t="s">
        <v>84</v>
      </c>
      <c r="C194" s="15" t="s">
        <v>24</v>
      </c>
      <c r="D194" s="15" t="s">
        <v>13</v>
      </c>
      <c r="E194" s="15">
        <v>20</v>
      </c>
      <c r="F194" s="15">
        <v>9</v>
      </c>
      <c r="G194" s="15" t="s">
        <v>25</v>
      </c>
      <c r="H194" s="15" t="s">
        <v>46</v>
      </c>
      <c r="I194" s="15" t="s">
        <v>290</v>
      </c>
      <c r="J194" s="15">
        <v>68</v>
      </c>
    </row>
    <row r="195" spans="1:10" x14ac:dyDescent="0.3">
      <c r="A195" s="15" t="s">
        <v>410</v>
      </c>
      <c r="B195" s="15" t="s">
        <v>18</v>
      </c>
      <c r="C195" s="15" t="s">
        <v>55</v>
      </c>
      <c r="D195" s="15" t="s">
        <v>31</v>
      </c>
      <c r="E195" s="15">
        <v>20</v>
      </c>
      <c r="F195" s="15">
        <v>10</v>
      </c>
      <c r="G195" s="15" t="s">
        <v>43</v>
      </c>
      <c r="H195" s="15" t="s">
        <v>40</v>
      </c>
      <c r="I195" s="15" t="s">
        <v>411</v>
      </c>
      <c r="J195" s="15">
        <v>59</v>
      </c>
    </row>
    <row r="196" spans="1:10" x14ac:dyDescent="0.3">
      <c r="A196" s="15" t="s">
        <v>412</v>
      </c>
      <c r="B196" s="15" t="s">
        <v>73</v>
      </c>
      <c r="C196" s="15" t="s">
        <v>55</v>
      </c>
      <c r="D196" s="15" t="s">
        <v>13</v>
      </c>
      <c r="E196" s="15">
        <v>16</v>
      </c>
      <c r="F196" s="15">
        <v>12</v>
      </c>
      <c r="G196" s="15" t="s">
        <v>32</v>
      </c>
      <c r="H196" s="15" t="s">
        <v>46</v>
      </c>
      <c r="I196" s="15" t="s">
        <v>413</v>
      </c>
      <c r="J196" s="15">
        <v>85</v>
      </c>
    </row>
    <row r="197" spans="1:10" x14ac:dyDescent="0.3">
      <c r="A197" s="15" t="s">
        <v>414</v>
      </c>
      <c r="B197" s="15" t="s">
        <v>11</v>
      </c>
      <c r="C197" s="15" t="s">
        <v>55</v>
      </c>
      <c r="D197" s="15" t="s">
        <v>13</v>
      </c>
      <c r="E197" s="15">
        <v>16</v>
      </c>
      <c r="F197" s="15">
        <v>12</v>
      </c>
      <c r="G197" s="15" t="s">
        <v>32</v>
      </c>
      <c r="H197" s="15" t="s">
        <v>37</v>
      </c>
      <c r="I197" s="15" t="s">
        <v>415</v>
      </c>
      <c r="J197" s="15">
        <v>47</v>
      </c>
    </row>
    <row r="198" spans="1:10" x14ac:dyDescent="0.3">
      <c r="A198" s="15" t="s">
        <v>416</v>
      </c>
      <c r="B198" s="15" t="s">
        <v>18</v>
      </c>
      <c r="C198" s="15" t="s">
        <v>79</v>
      </c>
      <c r="D198" s="15" t="s">
        <v>31</v>
      </c>
      <c r="E198" s="15">
        <v>20</v>
      </c>
      <c r="F198" s="15">
        <v>9</v>
      </c>
      <c r="G198" s="15" t="s">
        <v>25</v>
      </c>
      <c r="H198" s="15" t="s">
        <v>37</v>
      </c>
      <c r="I198" s="15" t="s">
        <v>417</v>
      </c>
      <c r="J198" s="15">
        <v>53</v>
      </c>
    </row>
    <row r="199" spans="1:10" x14ac:dyDescent="0.3">
      <c r="A199" s="15" t="s">
        <v>418</v>
      </c>
      <c r="B199" s="15" t="s">
        <v>84</v>
      </c>
      <c r="C199" s="15" t="s">
        <v>24</v>
      </c>
      <c r="D199" s="15" t="s">
        <v>13</v>
      </c>
      <c r="E199" s="15">
        <v>15</v>
      </c>
      <c r="F199" s="15">
        <v>9</v>
      </c>
      <c r="G199" s="15" t="s">
        <v>25</v>
      </c>
      <c r="H199" s="15" t="s">
        <v>20</v>
      </c>
      <c r="I199" s="15" t="s">
        <v>419</v>
      </c>
      <c r="J199" s="15">
        <v>63</v>
      </c>
    </row>
    <row r="200" spans="1:10" x14ac:dyDescent="0.3">
      <c r="A200" s="15" t="s">
        <v>420</v>
      </c>
      <c r="B200" s="15" t="s">
        <v>73</v>
      </c>
      <c r="C200" s="15" t="s">
        <v>85</v>
      </c>
      <c r="D200" s="15" t="s">
        <v>13</v>
      </c>
      <c r="E200" s="15">
        <v>16</v>
      </c>
      <c r="F200" s="15">
        <v>11</v>
      </c>
      <c r="G200" s="15" t="s">
        <v>43</v>
      </c>
      <c r="H200" s="15" t="s">
        <v>46</v>
      </c>
      <c r="I200" s="15" t="s">
        <v>421</v>
      </c>
      <c r="J200" s="15">
        <v>55</v>
      </c>
    </row>
    <row r="201" spans="1:10" x14ac:dyDescent="0.3">
      <c r="A201" s="15" t="s">
        <v>422</v>
      </c>
      <c r="B201" s="15" t="s">
        <v>73</v>
      </c>
      <c r="C201" s="15" t="s">
        <v>96</v>
      </c>
      <c r="D201" s="15" t="s">
        <v>13</v>
      </c>
      <c r="E201" s="15">
        <v>14</v>
      </c>
      <c r="F201" s="15">
        <v>10</v>
      </c>
      <c r="G201" s="15" t="s">
        <v>25</v>
      </c>
      <c r="H201" s="15" t="s">
        <v>15</v>
      </c>
      <c r="I201" s="15" t="s">
        <v>423</v>
      </c>
      <c r="J201" s="15">
        <v>99</v>
      </c>
    </row>
    <row r="202" spans="1:10" x14ac:dyDescent="0.3">
      <c r="A202" s="15" t="s">
        <v>424</v>
      </c>
      <c r="B202" s="15" t="s">
        <v>29</v>
      </c>
      <c r="C202" s="15" t="s">
        <v>36</v>
      </c>
      <c r="D202" s="15" t="s">
        <v>31</v>
      </c>
      <c r="E202" s="15">
        <v>16</v>
      </c>
      <c r="F202" s="15">
        <v>12</v>
      </c>
      <c r="G202" s="15" t="s">
        <v>32</v>
      </c>
      <c r="H202" s="15" t="s">
        <v>37</v>
      </c>
      <c r="I202" s="15" t="s">
        <v>180</v>
      </c>
      <c r="J202" s="15">
        <v>89</v>
      </c>
    </row>
    <row r="203" spans="1:10" x14ac:dyDescent="0.3">
      <c r="A203" s="15" t="s">
        <v>425</v>
      </c>
      <c r="B203" s="15" t="s">
        <v>73</v>
      </c>
      <c r="C203" s="15" t="s">
        <v>30</v>
      </c>
      <c r="D203" s="15" t="s">
        <v>31</v>
      </c>
      <c r="E203" s="15">
        <v>15</v>
      </c>
      <c r="F203" s="15">
        <v>9</v>
      </c>
      <c r="G203" s="15" t="s">
        <v>14</v>
      </c>
      <c r="H203" s="15" t="s">
        <v>76</v>
      </c>
      <c r="I203" s="15" t="s">
        <v>149</v>
      </c>
      <c r="J203" s="15">
        <v>54</v>
      </c>
    </row>
    <row r="204" spans="1:10" x14ac:dyDescent="0.3">
      <c r="A204" s="15" t="s">
        <v>426</v>
      </c>
      <c r="B204" s="15" t="s">
        <v>54</v>
      </c>
      <c r="C204" s="15" t="s">
        <v>96</v>
      </c>
      <c r="D204" s="15" t="s">
        <v>31</v>
      </c>
      <c r="E204" s="15">
        <v>16</v>
      </c>
      <c r="F204" s="15">
        <v>12</v>
      </c>
      <c r="G204" s="15" t="s">
        <v>25</v>
      </c>
      <c r="H204" s="15" t="s">
        <v>20</v>
      </c>
      <c r="I204" s="15" t="s">
        <v>427</v>
      </c>
      <c r="J204" s="15">
        <v>82</v>
      </c>
    </row>
    <row r="205" spans="1:10" x14ac:dyDescent="0.3">
      <c r="A205" s="15" t="s">
        <v>428</v>
      </c>
      <c r="B205" s="15" t="s">
        <v>54</v>
      </c>
      <c r="C205" s="15" t="s">
        <v>55</v>
      </c>
      <c r="D205" s="15" t="s">
        <v>13</v>
      </c>
      <c r="E205" s="15">
        <v>16</v>
      </c>
      <c r="F205" s="15">
        <v>11</v>
      </c>
      <c r="G205" s="15" t="s">
        <v>25</v>
      </c>
      <c r="H205" s="15" t="s">
        <v>15</v>
      </c>
      <c r="I205" s="15" t="s">
        <v>429</v>
      </c>
      <c r="J205" s="15">
        <v>86</v>
      </c>
    </row>
    <row r="206" spans="1:10" x14ac:dyDescent="0.3">
      <c r="A206" s="15" t="s">
        <v>430</v>
      </c>
      <c r="B206" s="15" t="s">
        <v>54</v>
      </c>
      <c r="C206" s="15" t="s">
        <v>30</v>
      </c>
      <c r="D206" s="15" t="s">
        <v>13</v>
      </c>
      <c r="E206" s="15">
        <v>18</v>
      </c>
      <c r="F206" s="15">
        <v>11</v>
      </c>
      <c r="G206" s="15" t="s">
        <v>25</v>
      </c>
      <c r="H206" s="15" t="s">
        <v>26</v>
      </c>
      <c r="I206" s="15" t="s">
        <v>431</v>
      </c>
      <c r="J206" s="15">
        <v>91</v>
      </c>
    </row>
    <row r="207" spans="1:10" x14ac:dyDescent="0.3">
      <c r="A207" s="15" t="s">
        <v>432</v>
      </c>
      <c r="B207" s="15" t="s">
        <v>51</v>
      </c>
      <c r="C207" s="15" t="s">
        <v>24</v>
      </c>
      <c r="D207" s="15" t="s">
        <v>31</v>
      </c>
      <c r="E207" s="15">
        <v>17</v>
      </c>
      <c r="F207" s="15">
        <v>11</v>
      </c>
      <c r="G207" s="15" t="s">
        <v>43</v>
      </c>
      <c r="H207" s="15" t="s">
        <v>15</v>
      </c>
      <c r="I207" s="15" t="s">
        <v>400</v>
      </c>
      <c r="J207" s="15">
        <v>53</v>
      </c>
    </row>
    <row r="208" spans="1:10" x14ac:dyDescent="0.3">
      <c r="A208" s="15" t="s">
        <v>433</v>
      </c>
      <c r="B208" s="15" t="s">
        <v>84</v>
      </c>
      <c r="C208" s="15" t="s">
        <v>36</v>
      </c>
      <c r="D208" s="15" t="s">
        <v>13</v>
      </c>
      <c r="E208" s="15">
        <v>14</v>
      </c>
      <c r="F208" s="15">
        <v>9</v>
      </c>
      <c r="G208" s="15" t="s">
        <v>32</v>
      </c>
      <c r="H208" s="15" t="s">
        <v>15</v>
      </c>
      <c r="I208" s="15" t="s">
        <v>434</v>
      </c>
      <c r="J208" s="15">
        <v>47</v>
      </c>
    </row>
    <row r="209" spans="1:10" x14ac:dyDescent="0.3">
      <c r="A209" s="15" t="s">
        <v>435</v>
      </c>
      <c r="B209" s="15" t="s">
        <v>29</v>
      </c>
      <c r="C209" s="15" t="s">
        <v>30</v>
      </c>
      <c r="D209" s="15" t="s">
        <v>31</v>
      </c>
      <c r="E209" s="15">
        <v>20</v>
      </c>
      <c r="F209" s="15">
        <v>12</v>
      </c>
      <c r="G209" s="15" t="s">
        <v>43</v>
      </c>
      <c r="H209" s="15" t="s">
        <v>26</v>
      </c>
      <c r="I209" s="15" t="s">
        <v>436</v>
      </c>
      <c r="J209" s="15">
        <v>36</v>
      </c>
    </row>
    <row r="210" spans="1:10" x14ac:dyDescent="0.3">
      <c r="A210" s="15" t="s">
        <v>437</v>
      </c>
      <c r="B210" s="15" t="s">
        <v>73</v>
      </c>
      <c r="C210" s="15" t="s">
        <v>30</v>
      </c>
      <c r="D210" s="15" t="s">
        <v>13</v>
      </c>
      <c r="E210" s="15">
        <v>14</v>
      </c>
      <c r="F210" s="15">
        <v>11</v>
      </c>
      <c r="G210" s="15" t="s">
        <v>32</v>
      </c>
      <c r="H210" s="15" t="s">
        <v>76</v>
      </c>
      <c r="I210" s="15" t="s">
        <v>438</v>
      </c>
      <c r="J210" s="15">
        <v>62</v>
      </c>
    </row>
    <row r="211" spans="1:10" x14ac:dyDescent="0.3">
      <c r="A211" s="15" t="s">
        <v>439</v>
      </c>
      <c r="B211" s="15" t="s">
        <v>11</v>
      </c>
      <c r="C211" s="15" t="s">
        <v>12</v>
      </c>
      <c r="D211" s="15" t="s">
        <v>13</v>
      </c>
      <c r="E211" s="15">
        <v>15</v>
      </c>
      <c r="F211" s="15">
        <v>9</v>
      </c>
      <c r="G211" s="15" t="s">
        <v>25</v>
      </c>
      <c r="H211" s="15" t="s">
        <v>15</v>
      </c>
      <c r="I211" s="15" t="s">
        <v>440</v>
      </c>
      <c r="J211" s="15">
        <v>90</v>
      </c>
    </row>
    <row r="212" spans="1:10" x14ac:dyDescent="0.3">
      <c r="A212" s="15" t="s">
        <v>441</v>
      </c>
      <c r="B212" s="15" t="s">
        <v>35</v>
      </c>
      <c r="C212" s="15" t="s">
        <v>12</v>
      </c>
      <c r="D212" s="15" t="s">
        <v>13</v>
      </c>
      <c r="E212" s="15">
        <v>17</v>
      </c>
      <c r="F212" s="15">
        <v>10</v>
      </c>
      <c r="G212" s="15" t="s">
        <v>32</v>
      </c>
      <c r="H212" s="15" t="s">
        <v>15</v>
      </c>
      <c r="I212" s="15" t="s">
        <v>442</v>
      </c>
      <c r="J212" s="15">
        <v>91</v>
      </c>
    </row>
    <row r="213" spans="1:10" x14ac:dyDescent="0.3">
      <c r="A213" s="15" t="s">
        <v>443</v>
      </c>
      <c r="B213" s="15" t="s">
        <v>18</v>
      </c>
      <c r="C213" s="15" t="s">
        <v>96</v>
      </c>
      <c r="D213" s="15" t="s">
        <v>13</v>
      </c>
      <c r="E213" s="15">
        <v>17</v>
      </c>
      <c r="F213" s="15">
        <v>9</v>
      </c>
      <c r="G213" s="15" t="s">
        <v>43</v>
      </c>
      <c r="H213" s="15" t="s">
        <v>37</v>
      </c>
      <c r="I213" s="15" t="s">
        <v>444</v>
      </c>
      <c r="J213" s="15">
        <v>60</v>
      </c>
    </row>
    <row r="214" spans="1:10" x14ac:dyDescent="0.3">
      <c r="A214" s="15" t="s">
        <v>445</v>
      </c>
      <c r="B214" s="15" t="s">
        <v>54</v>
      </c>
      <c r="C214" s="15" t="s">
        <v>96</v>
      </c>
      <c r="D214" s="15" t="s">
        <v>13</v>
      </c>
      <c r="E214" s="15">
        <v>20</v>
      </c>
      <c r="F214" s="15">
        <v>10</v>
      </c>
      <c r="G214" s="15" t="s">
        <v>32</v>
      </c>
      <c r="H214" s="15" t="s">
        <v>46</v>
      </c>
      <c r="I214" s="15" t="s">
        <v>182</v>
      </c>
      <c r="J214" s="15">
        <v>85</v>
      </c>
    </row>
    <row r="215" spans="1:10" x14ac:dyDescent="0.3">
      <c r="A215" s="15" t="s">
        <v>446</v>
      </c>
      <c r="B215" s="15" t="s">
        <v>73</v>
      </c>
      <c r="C215" s="15" t="s">
        <v>24</v>
      </c>
      <c r="D215" s="15" t="s">
        <v>13</v>
      </c>
      <c r="E215" s="15">
        <v>17</v>
      </c>
      <c r="F215" s="15">
        <v>10</v>
      </c>
      <c r="G215" s="15" t="s">
        <v>14</v>
      </c>
      <c r="H215" s="15" t="s">
        <v>20</v>
      </c>
      <c r="I215" s="15" t="s">
        <v>447</v>
      </c>
      <c r="J215" s="15">
        <v>58</v>
      </c>
    </row>
    <row r="216" spans="1:10" x14ac:dyDescent="0.3">
      <c r="A216" s="15" t="s">
        <v>448</v>
      </c>
      <c r="B216" s="15" t="s">
        <v>73</v>
      </c>
      <c r="C216" s="15" t="s">
        <v>36</v>
      </c>
      <c r="D216" s="15" t="s">
        <v>31</v>
      </c>
      <c r="E216" s="15">
        <v>19</v>
      </c>
      <c r="F216" s="15">
        <v>12</v>
      </c>
      <c r="G216" s="15" t="s">
        <v>14</v>
      </c>
      <c r="H216" s="15" t="s">
        <v>37</v>
      </c>
      <c r="I216" s="15" t="s">
        <v>449</v>
      </c>
      <c r="J216" s="15">
        <v>65</v>
      </c>
    </row>
    <row r="217" spans="1:10" x14ac:dyDescent="0.3">
      <c r="A217" s="15" t="s">
        <v>450</v>
      </c>
      <c r="B217" s="15" t="s">
        <v>54</v>
      </c>
      <c r="C217" s="15" t="s">
        <v>55</v>
      </c>
      <c r="D217" s="15" t="s">
        <v>31</v>
      </c>
      <c r="E217" s="15">
        <v>19</v>
      </c>
      <c r="F217" s="15">
        <v>12</v>
      </c>
      <c r="G217" s="15" t="s">
        <v>43</v>
      </c>
      <c r="H217" s="15" t="s">
        <v>20</v>
      </c>
      <c r="I217" s="15" t="s">
        <v>451</v>
      </c>
      <c r="J217" s="15">
        <v>58</v>
      </c>
    </row>
    <row r="218" spans="1:10" x14ac:dyDescent="0.3">
      <c r="A218" s="15" t="s">
        <v>452</v>
      </c>
      <c r="B218" s="15" t="s">
        <v>51</v>
      </c>
      <c r="C218" s="15" t="s">
        <v>12</v>
      </c>
      <c r="D218" s="15" t="s">
        <v>13</v>
      </c>
      <c r="E218" s="15">
        <v>18</v>
      </c>
      <c r="F218" s="15">
        <v>9</v>
      </c>
      <c r="G218" s="15" t="s">
        <v>32</v>
      </c>
      <c r="H218" s="15" t="s">
        <v>76</v>
      </c>
      <c r="I218" s="15" t="s">
        <v>453</v>
      </c>
      <c r="J218" s="15">
        <v>35</v>
      </c>
    </row>
    <row r="219" spans="1:10" x14ac:dyDescent="0.3">
      <c r="A219" s="15" t="s">
        <v>454</v>
      </c>
      <c r="B219" s="15" t="s">
        <v>29</v>
      </c>
      <c r="C219" s="15" t="s">
        <v>12</v>
      </c>
      <c r="D219" s="15" t="s">
        <v>31</v>
      </c>
      <c r="E219" s="15">
        <v>16</v>
      </c>
      <c r="F219" s="15">
        <v>11</v>
      </c>
      <c r="G219" s="15" t="s">
        <v>43</v>
      </c>
      <c r="H219" s="15" t="s">
        <v>61</v>
      </c>
      <c r="I219" s="15" t="s">
        <v>385</v>
      </c>
      <c r="J219" s="15">
        <v>40</v>
      </c>
    </row>
    <row r="220" spans="1:10" x14ac:dyDescent="0.3">
      <c r="A220" s="15" t="s">
        <v>455</v>
      </c>
      <c r="B220" s="15" t="s">
        <v>29</v>
      </c>
      <c r="C220" s="15" t="s">
        <v>30</v>
      </c>
      <c r="D220" s="15" t="s">
        <v>13</v>
      </c>
      <c r="E220" s="15">
        <v>16</v>
      </c>
      <c r="F220" s="15">
        <v>9</v>
      </c>
      <c r="G220" s="15" t="s">
        <v>14</v>
      </c>
      <c r="H220" s="15" t="s">
        <v>61</v>
      </c>
      <c r="I220" s="15" t="s">
        <v>447</v>
      </c>
      <c r="J220" s="15">
        <v>60</v>
      </c>
    </row>
    <row r="221" spans="1:10" x14ac:dyDescent="0.3">
      <c r="A221" s="15" t="s">
        <v>456</v>
      </c>
      <c r="B221" s="15" t="s">
        <v>11</v>
      </c>
      <c r="C221" s="15" t="s">
        <v>55</v>
      </c>
      <c r="D221" s="15" t="s">
        <v>13</v>
      </c>
      <c r="E221" s="15">
        <v>15</v>
      </c>
      <c r="F221" s="15">
        <v>9</v>
      </c>
      <c r="G221" s="15" t="s">
        <v>32</v>
      </c>
      <c r="H221" s="15" t="s">
        <v>61</v>
      </c>
      <c r="I221" s="15" t="s">
        <v>457</v>
      </c>
      <c r="J221" s="15">
        <v>97</v>
      </c>
    </row>
    <row r="222" spans="1:10" x14ac:dyDescent="0.3">
      <c r="A222" s="15" t="s">
        <v>458</v>
      </c>
      <c r="B222" s="15" t="s">
        <v>11</v>
      </c>
      <c r="C222" s="15" t="s">
        <v>55</v>
      </c>
      <c r="D222" s="15" t="s">
        <v>13</v>
      </c>
      <c r="E222" s="15">
        <v>19</v>
      </c>
      <c r="F222" s="15">
        <v>11</v>
      </c>
      <c r="G222" s="15" t="s">
        <v>14</v>
      </c>
      <c r="H222" s="15" t="s">
        <v>46</v>
      </c>
      <c r="I222" s="15" t="s">
        <v>459</v>
      </c>
      <c r="J222" s="15">
        <v>81</v>
      </c>
    </row>
    <row r="223" spans="1:10" x14ac:dyDescent="0.3">
      <c r="A223" s="15" t="s">
        <v>460</v>
      </c>
      <c r="B223" s="15" t="s">
        <v>51</v>
      </c>
      <c r="C223" s="15" t="s">
        <v>96</v>
      </c>
      <c r="D223" s="15" t="s">
        <v>31</v>
      </c>
      <c r="E223" s="15">
        <v>16</v>
      </c>
      <c r="F223" s="15">
        <v>12</v>
      </c>
      <c r="G223" s="15" t="s">
        <v>43</v>
      </c>
      <c r="H223" s="15" t="s">
        <v>15</v>
      </c>
      <c r="I223" s="15" t="s">
        <v>461</v>
      </c>
      <c r="J223" s="15">
        <v>65</v>
      </c>
    </row>
    <row r="224" spans="1:10" x14ac:dyDescent="0.3">
      <c r="A224" s="15" t="s">
        <v>462</v>
      </c>
      <c r="B224" s="15" t="s">
        <v>11</v>
      </c>
      <c r="C224" s="15" t="s">
        <v>24</v>
      </c>
      <c r="D224" s="15" t="s">
        <v>31</v>
      </c>
      <c r="E224" s="15">
        <v>19</v>
      </c>
      <c r="F224" s="15">
        <v>12</v>
      </c>
      <c r="G224" s="15" t="s">
        <v>43</v>
      </c>
      <c r="H224" s="15" t="s">
        <v>37</v>
      </c>
      <c r="I224" s="15" t="s">
        <v>463</v>
      </c>
      <c r="J224" s="15">
        <v>45</v>
      </c>
    </row>
    <row r="225" spans="1:10" x14ac:dyDescent="0.3">
      <c r="A225" s="15" t="s">
        <v>464</v>
      </c>
      <c r="B225" s="15" t="s">
        <v>11</v>
      </c>
      <c r="C225" s="15" t="s">
        <v>36</v>
      </c>
      <c r="D225" s="15" t="s">
        <v>13</v>
      </c>
      <c r="E225" s="15">
        <v>16</v>
      </c>
      <c r="F225" s="15">
        <v>11</v>
      </c>
      <c r="G225" s="15" t="s">
        <v>25</v>
      </c>
      <c r="H225" s="15" t="s">
        <v>40</v>
      </c>
      <c r="I225" s="15" t="s">
        <v>465</v>
      </c>
      <c r="J225" s="15">
        <v>79</v>
      </c>
    </row>
    <row r="226" spans="1:10" x14ac:dyDescent="0.3">
      <c r="A226" s="15" t="s">
        <v>466</v>
      </c>
      <c r="B226" s="15" t="s">
        <v>11</v>
      </c>
      <c r="C226" s="15" t="s">
        <v>55</v>
      </c>
      <c r="D226" s="15" t="s">
        <v>31</v>
      </c>
      <c r="E226" s="15">
        <v>20</v>
      </c>
      <c r="F226" s="15">
        <v>11</v>
      </c>
      <c r="G226" s="15" t="s">
        <v>32</v>
      </c>
      <c r="H226" s="15" t="s">
        <v>40</v>
      </c>
      <c r="I226" s="15" t="s">
        <v>467</v>
      </c>
      <c r="J226" s="15">
        <v>46</v>
      </c>
    </row>
    <row r="227" spans="1:10" x14ac:dyDescent="0.3">
      <c r="A227" s="15" t="s">
        <v>468</v>
      </c>
      <c r="B227" s="15" t="s">
        <v>73</v>
      </c>
      <c r="C227" s="15" t="s">
        <v>12</v>
      </c>
      <c r="D227" s="15" t="s">
        <v>13</v>
      </c>
      <c r="E227" s="15">
        <v>17</v>
      </c>
      <c r="F227" s="15">
        <v>10</v>
      </c>
      <c r="G227" s="15" t="s">
        <v>43</v>
      </c>
      <c r="H227" s="15" t="s">
        <v>15</v>
      </c>
      <c r="I227" s="15" t="s">
        <v>469</v>
      </c>
      <c r="J227" s="15">
        <v>75</v>
      </c>
    </row>
    <row r="228" spans="1:10" x14ac:dyDescent="0.3">
      <c r="A228" s="15" t="s">
        <v>470</v>
      </c>
      <c r="B228" s="15" t="s">
        <v>35</v>
      </c>
      <c r="C228" s="15" t="s">
        <v>96</v>
      </c>
      <c r="D228" s="15" t="s">
        <v>31</v>
      </c>
      <c r="E228" s="15">
        <v>16</v>
      </c>
      <c r="F228" s="15">
        <v>11</v>
      </c>
      <c r="G228" s="15" t="s">
        <v>32</v>
      </c>
      <c r="H228" s="15" t="s">
        <v>61</v>
      </c>
      <c r="I228" s="15" t="s">
        <v>471</v>
      </c>
      <c r="J228" s="15">
        <v>65</v>
      </c>
    </row>
    <row r="229" spans="1:10" x14ac:dyDescent="0.3">
      <c r="A229" s="15" t="s">
        <v>472</v>
      </c>
      <c r="B229" s="15" t="s">
        <v>84</v>
      </c>
      <c r="C229" s="15" t="s">
        <v>79</v>
      </c>
      <c r="D229" s="15" t="s">
        <v>31</v>
      </c>
      <c r="E229" s="15">
        <v>15</v>
      </c>
      <c r="F229" s="15">
        <v>11</v>
      </c>
      <c r="G229" s="15" t="s">
        <v>14</v>
      </c>
      <c r="H229" s="15" t="s">
        <v>40</v>
      </c>
      <c r="I229" s="15" t="s">
        <v>317</v>
      </c>
      <c r="J229" s="15">
        <v>72</v>
      </c>
    </row>
    <row r="230" spans="1:10" x14ac:dyDescent="0.3">
      <c r="A230" s="15" t="s">
        <v>473</v>
      </c>
      <c r="B230" s="15" t="s">
        <v>18</v>
      </c>
      <c r="C230" s="15" t="s">
        <v>19</v>
      </c>
      <c r="D230" s="15" t="s">
        <v>31</v>
      </c>
      <c r="E230" s="15">
        <v>16</v>
      </c>
      <c r="F230" s="15">
        <v>11</v>
      </c>
      <c r="G230" s="15" t="s">
        <v>14</v>
      </c>
      <c r="H230" s="15" t="s">
        <v>61</v>
      </c>
      <c r="I230" s="15" t="s">
        <v>474</v>
      </c>
      <c r="J230" s="15">
        <v>75</v>
      </c>
    </row>
    <row r="231" spans="1:10" x14ac:dyDescent="0.3">
      <c r="A231" s="15" t="s">
        <v>475</v>
      </c>
      <c r="B231" s="15" t="s">
        <v>35</v>
      </c>
      <c r="C231" s="15" t="s">
        <v>79</v>
      </c>
      <c r="D231" s="15" t="s">
        <v>13</v>
      </c>
      <c r="E231" s="15">
        <v>17</v>
      </c>
      <c r="F231" s="15">
        <v>9</v>
      </c>
      <c r="G231" s="15" t="s">
        <v>32</v>
      </c>
      <c r="H231" s="15" t="s">
        <v>15</v>
      </c>
      <c r="I231" s="15" t="s">
        <v>248</v>
      </c>
      <c r="J231" s="15">
        <v>50</v>
      </c>
    </row>
    <row r="232" spans="1:10" x14ac:dyDescent="0.3">
      <c r="A232" s="15" t="s">
        <v>476</v>
      </c>
      <c r="B232" s="15" t="s">
        <v>29</v>
      </c>
      <c r="C232" s="15" t="s">
        <v>55</v>
      </c>
      <c r="D232" s="15" t="s">
        <v>13</v>
      </c>
      <c r="E232" s="15">
        <v>19</v>
      </c>
      <c r="F232" s="15">
        <v>10</v>
      </c>
      <c r="G232" s="15" t="s">
        <v>43</v>
      </c>
      <c r="H232" s="15" t="s">
        <v>26</v>
      </c>
      <c r="I232" s="15" t="s">
        <v>477</v>
      </c>
      <c r="J232" s="15">
        <v>88</v>
      </c>
    </row>
    <row r="233" spans="1:10" x14ac:dyDescent="0.3">
      <c r="A233" s="15" t="s">
        <v>478</v>
      </c>
      <c r="B233" s="15" t="s">
        <v>11</v>
      </c>
      <c r="C233" s="15" t="s">
        <v>36</v>
      </c>
      <c r="D233" s="15" t="s">
        <v>13</v>
      </c>
      <c r="E233" s="15">
        <v>17</v>
      </c>
      <c r="F233" s="15">
        <v>12</v>
      </c>
      <c r="G233" s="15" t="s">
        <v>14</v>
      </c>
      <c r="H233" s="15" t="s">
        <v>37</v>
      </c>
      <c r="I233" s="15" t="s">
        <v>479</v>
      </c>
      <c r="J233" s="15">
        <v>63</v>
      </c>
    </row>
    <row r="234" spans="1:10" x14ac:dyDescent="0.3">
      <c r="A234" s="15" t="s">
        <v>480</v>
      </c>
      <c r="B234" s="15" t="s">
        <v>35</v>
      </c>
      <c r="C234" s="15" t="s">
        <v>12</v>
      </c>
      <c r="D234" s="15" t="s">
        <v>31</v>
      </c>
      <c r="E234" s="15">
        <v>18</v>
      </c>
      <c r="F234" s="15">
        <v>10</v>
      </c>
      <c r="G234" s="15" t="s">
        <v>14</v>
      </c>
      <c r="H234" s="15" t="s">
        <v>37</v>
      </c>
      <c r="I234" s="15" t="s">
        <v>481</v>
      </c>
      <c r="J234" s="15">
        <v>36</v>
      </c>
    </row>
    <row r="235" spans="1:10" x14ac:dyDescent="0.3">
      <c r="A235" s="15" t="s">
        <v>482</v>
      </c>
      <c r="B235" s="15" t="s">
        <v>35</v>
      </c>
      <c r="C235" s="15" t="s">
        <v>24</v>
      </c>
      <c r="D235" s="15" t="s">
        <v>13</v>
      </c>
      <c r="E235" s="15">
        <v>18</v>
      </c>
      <c r="F235" s="15">
        <v>11</v>
      </c>
      <c r="G235" s="15" t="s">
        <v>14</v>
      </c>
      <c r="H235" s="15" t="s">
        <v>61</v>
      </c>
      <c r="I235" s="15" t="s">
        <v>483</v>
      </c>
      <c r="J235" s="15">
        <v>86</v>
      </c>
    </row>
    <row r="236" spans="1:10" x14ac:dyDescent="0.3">
      <c r="A236" s="15" t="s">
        <v>484</v>
      </c>
      <c r="B236" s="15" t="s">
        <v>29</v>
      </c>
      <c r="C236" s="15" t="s">
        <v>79</v>
      </c>
      <c r="D236" s="15" t="s">
        <v>31</v>
      </c>
      <c r="E236" s="15">
        <v>14</v>
      </c>
      <c r="F236" s="15">
        <v>11</v>
      </c>
      <c r="G236" s="15" t="s">
        <v>32</v>
      </c>
      <c r="H236" s="15" t="s">
        <v>40</v>
      </c>
      <c r="I236" s="15" t="s">
        <v>184</v>
      </c>
      <c r="J236" s="15">
        <v>42</v>
      </c>
    </row>
    <row r="237" spans="1:10" x14ac:dyDescent="0.3">
      <c r="A237" s="15" t="s">
        <v>485</v>
      </c>
      <c r="B237" s="15" t="s">
        <v>18</v>
      </c>
      <c r="C237" s="15" t="s">
        <v>12</v>
      </c>
      <c r="D237" s="15" t="s">
        <v>31</v>
      </c>
      <c r="E237" s="15">
        <v>16</v>
      </c>
      <c r="F237" s="15">
        <v>12</v>
      </c>
      <c r="G237" s="15" t="s">
        <v>14</v>
      </c>
      <c r="H237" s="15" t="s">
        <v>76</v>
      </c>
      <c r="I237" s="15" t="s">
        <v>486</v>
      </c>
      <c r="J237" s="15">
        <v>70</v>
      </c>
    </row>
    <row r="238" spans="1:10" x14ac:dyDescent="0.3">
      <c r="A238" s="15" t="s">
        <v>487</v>
      </c>
      <c r="B238" s="15" t="s">
        <v>18</v>
      </c>
      <c r="C238" s="15" t="s">
        <v>79</v>
      </c>
      <c r="D238" s="15" t="s">
        <v>13</v>
      </c>
      <c r="E238" s="15">
        <v>16</v>
      </c>
      <c r="F238" s="15">
        <v>11</v>
      </c>
      <c r="G238" s="15" t="s">
        <v>43</v>
      </c>
      <c r="H238" s="15" t="s">
        <v>61</v>
      </c>
      <c r="I238" s="15" t="s">
        <v>488</v>
      </c>
      <c r="J238" s="15">
        <v>86</v>
      </c>
    </row>
    <row r="239" spans="1:10" x14ac:dyDescent="0.3">
      <c r="A239" s="15" t="s">
        <v>489</v>
      </c>
      <c r="B239" s="15" t="s">
        <v>68</v>
      </c>
      <c r="C239" s="15" t="s">
        <v>58</v>
      </c>
      <c r="D239" s="15" t="s">
        <v>31</v>
      </c>
      <c r="E239" s="15">
        <v>20</v>
      </c>
      <c r="F239" s="15">
        <v>10</v>
      </c>
      <c r="G239" s="15" t="s">
        <v>32</v>
      </c>
      <c r="H239" s="15" t="s">
        <v>20</v>
      </c>
      <c r="I239" s="15" t="s">
        <v>370</v>
      </c>
      <c r="J239" s="15">
        <v>93</v>
      </c>
    </row>
    <row r="240" spans="1:10" x14ac:dyDescent="0.3">
      <c r="A240" s="15" t="s">
        <v>490</v>
      </c>
      <c r="B240" s="15" t="s">
        <v>73</v>
      </c>
      <c r="C240" s="15" t="s">
        <v>96</v>
      </c>
      <c r="D240" s="15" t="s">
        <v>13</v>
      </c>
      <c r="E240" s="15">
        <v>17</v>
      </c>
      <c r="F240" s="15">
        <v>10</v>
      </c>
      <c r="G240" s="15" t="s">
        <v>32</v>
      </c>
      <c r="H240" s="15" t="s">
        <v>61</v>
      </c>
      <c r="I240" s="15" t="s">
        <v>491</v>
      </c>
      <c r="J240" s="15">
        <v>60</v>
      </c>
    </row>
    <row r="241" spans="1:10" x14ac:dyDescent="0.3">
      <c r="A241" s="15" t="s">
        <v>492</v>
      </c>
      <c r="B241" s="15" t="s">
        <v>18</v>
      </c>
      <c r="C241" s="15" t="s">
        <v>85</v>
      </c>
      <c r="D241" s="15" t="s">
        <v>31</v>
      </c>
      <c r="E241" s="15">
        <v>19</v>
      </c>
      <c r="F241" s="15">
        <v>11</v>
      </c>
      <c r="G241" s="15" t="s">
        <v>43</v>
      </c>
      <c r="H241" s="15" t="s">
        <v>15</v>
      </c>
      <c r="I241" s="15" t="s">
        <v>394</v>
      </c>
      <c r="J241" s="15">
        <v>50</v>
      </c>
    </row>
    <row r="242" spans="1:10" x14ac:dyDescent="0.3">
      <c r="A242" s="15" t="s">
        <v>493</v>
      </c>
      <c r="B242" s="15" t="s">
        <v>51</v>
      </c>
      <c r="C242" s="15" t="s">
        <v>96</v>
      </c>
      <c r="D242" s="15" t="s">
        <v>31</v>
      </c>
      <c r="E242" s="15">
        <v>14</v>
      </c>
      <c r="F242" s="15">
        <v>12</v>
      </c>
      <c r="G242" s="15" t="s">
        <v>14</v>
      </c>
      <c r="H242" s="15" t="s">
        <v>26</v>
      </c>
      <c r="I242" s="15" t="s">
        <v>494</v>
      </c>
      <c r="J242" s="15">
        <v>47</v>
      </c>
    </row>
    <row r="243" spans="1:10" x14ac:dyDescent="0.3">
      <c r="A243" s="15" t="s">
        <v>495</v>
      </c>
      <c r="B243" s="15" t="s">
        <v>35</v>
      </c>
      <c r="C243" s="15" t="s">
        <v>12</v>
      </c>
      <c r="D243" s="15" t="s">
        <v>13</v>
      </c>
      <c r="E243" s="15">
        <v>15</v>
      </c>
      <c r="F243" s="15">
        <v>12</v>
      </c>
      <c r="G243" s="15" t="s">
        <v>43</v>
      </c>
      <c r="H243" s="15" t="s">
        <v>20</v>
      </c>
      <c r="I243" s="15" t="s">
        <v>496</v>
      </c>
      <c r="J243" s="15">
        <v>49</v>
      </c>
    </row>
    <row r="244" spans="1:10" x14ac:dyDescent="0.3">
      <c r="A244" s="15" t="s">
        <v>497</v>
      </c>
      <c r="B244" s="15" t="s">
        <v>51</v>
      </c>
      <c r="C244" s="15" t="s">
        <v>96</v>
      </c>
      <c r="D244" s="15" t="s">
        <v>13</v>
      </c>
      <c r="E244" s="15">
        <v>16</v>
      </c>
      <c r="F244" s="15">
        <v>9</v>
      </c>
      <c r="G244" s="15" t="s">
        <v>25</v>
      </c>
      <c r="H244" s="15" t="s">
        <v>26</v>
      </c>
      <c r="I244" s="15" t="s">
        <v>498</v>
      </c>
      <c r="J244" s="15">
        <v>42</v>
      </c>
    </row>
    <row r="245" spans="1:10" x14ac:dyDescent="0.3">
      <c r="A245" s="15" t="s">
        <v>499</v>
      </c>
      <c r="B245" s="15" t="s">
        <v>54</v>
      </c>
      <c r="C245" s="15" t="s">
        <v>19</v>
      </c>
      <c r="D245" s="15" t="s">
        <v>31</v>
      </c>
      <c r="E245" s="15">
        <v>20</v>
      </c>
      <c r="F245" s="15">
        <v>9</v>
      </c>
      <c r="G245" s="15" t="s">
        <v>32</v>
      </c>
      <c r="H245" s="15" t="s">
        <v>46</v>
      </c>
      <c r="I245" s="15" t="s">
        <v>500</v>
      </c>
      <c r="J245" s="15">
        <v>42</v>
      </c>
    </row>
    <row r="246" spans="1:10" x14ac:dyDescent="0.3">
      <c r="A246" s="15" t="s">
        <v>501</v>
      </c>
      <c r="B246" s="15" t="s">
        <v>84</v>
      </c>
      <c r="C246" s="15" t="s">
        <v>19</v>
      </c>
      <c r="D246" s="15" t="s">
        <v>13</v>
      </c>
      <c r="E246" s="15">
        <v>18</v>
      </c>
      <c r="F246" s="15">
        <v>10</v>
      </c>
      <c r="G246" s="15" t="s">
        <v>14</v>
      </c>
      <c r="H246" s="15" t="s">
        <v>61</v>
      </c>
      <c r="I246" s="15" t="s">
        <v>502</v>
      </c>
      <c r="J246" s="15">
        <v>76</v>
      </c>
    </row>
    <row r="247" spans="1:10" x14ac:dyDescent="0.3">
      <c r="A247" s="15" t="s">
        <v>503</v>
      </c>
      <c r="B247" s="15" t="s">
        <v>84</v>
      </c>
      <c r="C247" s="15" t="s">
        <v>19</v>
      </c>
      <c r="D247" s="15" t="s">
        <v>31</v>
      </c>
      <c r="E247" s="15">
        <v>15</v>
      </c>
      <c r="F247" s="15">
        <v>10</v>
      </c>
      <c r="G247" s="15" t="s">
        <v>43</v>
      </c>
      <c r="H247" s="15" t="s">
        <v>61</v>
      </c>
      <c r="I247" s="15" t="s">
        <v>504</v>
      </c>
      <c r="J247" s="15">
        <v>44</v>
      </c>
    </row>
    <row r="248" spans="1:10" x14ac:dyDescent="0.3">
      <c r="A248" s="15" t="s">
        <v>505</v>
      </c>
      <c r="B248" s="15" t="s">
        <v>11</v>
      </c>
      <c r="C248" s="15" t="s">
        <v>12</v>
      </c>
      <c r="D248" s="15" t="s">
        <v>31</v>
      </c>
      <c r="E248" s="15">
        <v>19</v>
      </c>
      <c r="F248" s="15">
        <v>10</v>
      </c>
      <c r="G248" s="15" t="s">
        <v>14</v>
      </c>
      <c r="H248" s="15" t="s">
        <v>40</v>
      </c>
      <c r="I248" s="15" t="s">
        <v>506</v>
      </c>
      <c r="J248" s="15">
        <v>77</v>
      </c>
    </row>
    <row r="249" spans="1:10" x14ac:dyDescent="0.3">
      <c r="A249" s="15" t="s">
        <v>507</v>
      </c>
      <c r="B249" s="15" t="s">
        <v>54</v>
      </c>
      <c r="C249" s="15" t="s">
        <v>12</v>
      </c>
      <c r="D249" s="15" t="s">
        <v>31</v>
      </c>
      <c r="E249" s="15">
        <v>16</v>
      </c>
      <c r="F249" s="15">
        <v>12</v>
      </c>
      <c r="G249" s="15" t="s">
        <v>43</v>
      </c>
      <c r="H249" s="15" t="s">
        <v>61</v>
      </c>
      <c r="I249" s="15" t="s">
        <v>483</v>
      </c>
      <c r="J249" s="15">
        <v>45</v>
      </c>
    </row>
    <row r="250" spans="1:10" x14ac:dyDescent="0.3">
      <c r="A250" s="15" t="s">
        <v>508</v>
      </c>
      <c r="B250" s="15" t="s">
        <v>73</v>
      </c>
      <c r="C250" s="15" t="s">
        <v>55</v>
      </c>
      <c r="D250" s="15" t="s">
        <v>13</v>
      </c>
      <c r="E250" s="15">
        <v>15</v>
      </c>
      <c r="F250" s="15">
        <v>11</v>
      </c>
      <c r="G250" s="15" t="s">
        <v>43</v>
      </c>
      <c r="H250" s="15" t="s">
        <v>46</v>
      </c>
      <c r="I250" s="15" t="s">
        <v>509</v>
      </c>
      <c r="J250" s="15">
        <v>54</v>
      </c>
    </row>
    <row r="251" spans="1:10" x14ac:dyDescent="0.3">
      <c r="A251" s="15" t="s">
        <v>510</v>
      </c>
      <c r="B251" s="15" t="s">
        <v>54</v>
      </c>
      <c r="C251" s="15" t="s">
        <v>79</v>
      </c>
      <c r="D251" s="15" t="s">
        <v>31</v>
      </c>
      <c r="E251" s="15">
        <v>15</v>
      </c>
      <c r="F251" s="15">
        <v>9</v>
      </c>
      <c r="G251" s="15" t="s">
        <v>14</v>
      </c>
      <c r="H251" s="15" t="s">
        <v>40</v>
      </c>
      <c r="I251" s="15" t="s">
        <v>479</v>
      </c>
      <c r="J251" s="15">
        <v>66</v>
      </c>
    </row>
    <row r="252" spans="1:10" x14ac:dyDescent="0.3">
      <c r="A252" s="15" t="s">
        <v>511</v>
      </c>
      <c r="B252" s="15" t="s">
        <v>35</v>
      </c>
      <c r="C252" s="15" t="s">
        <v>19</v>
      </c>
      <c r="D252" s="15" t="s">
        <v>31</v>
      </c>
      <c r="E252" s="15">
        <v>15</v>
      </c>
      <c r="F252" s="15">
        <v>9</v>
      </c>
      <c r="G252" s="15" t="s">
        <v>25</v>
      </c>
      <c r="H252" s="15" t="s">
        <v>15</v>
      </c>
      <c r="I252" s="15" t="s">
        <v>512</v>
      </c>
      <c r="J252" s="15">
        <v>95</v>
      </c>
    </row>
    <row r="253" spans="1:10" x14ac:dyDescent="0.3">
      <c r="A253" s="15" t="s">
        <v>513</v>
      </c>
      <c r="B253" s="15" t="s">
        <v>11</v>
      </c>
      <c r="C253" s="15" t="s">
        <v>19</v>
      </c>
      <c r="D253" s="15" t="s">
        <v>31</v>
      </c>
      <c r="E253" s="15">
        <v>14</v>
      </c>
      <c r="F253" s="15">
        <v>12</v>
      </c>
      <c r="G253" s="15" t="s">
        <v>32</v>
      </c>
      <c r="H253" s="15" t="s">
        <v>15</v>
      </c>
      <c r="I253" s="15" t="s">
        <v>381</v>
      </c>
      <c r="J253" s="15">
        <v>65</v>
      </c>
    </row>
    <row r="254" spans="1:10" x14ac:dyDescent="0.3">
      <c r="A254" s="15" t="s">
        <v>514</v>
      </c>
      <c r="B254" s="15" t="s">
        <v>11</v>
      </c>
      <c r="C254" s="15" t="s">
        <v>12</v>
      </c>
      <c r="D254" s="15" t="s">
        <v>31</v>
      </c>
      <c r="E254" s="15">
        <v>15</v>
      </c>
      <c r="F254" s="15">
        <v>11</v>
      </c>
      <c r="G254" s="15" t="s">
        <v>25</v>
      </c>
      <c r="H254" s="15" t="s">
        <v>20</v>
      </c>
      <c r="I254" s="15" t="s">
        <v>515</v>
      </c>
      <c r="J254" s="15">
        <v>61</v>
      </c>
    </row>
    <row r="255" spans="1:10" x14ac:dyDescent="0.3">
      <c r="A255" s="15" t="s">
        <v>516</v>
      </c>
      <c r="B255" s="15" t="s">
        <v>18</v>
      </c>
      <c r="C255" s="15" t="s">
        <v>96</v>
      </c>
      <c r="D255" s="15" t="s">
        <v>31</v>
      </c>
      <c r="E255" s="15">
        <v>14</v>
      </c>
      <c r="F255" s="15">
        <v>11</v>
      </c>
      <c r="G255" s="15" t="s">
        <v>32</v>
      </c>
      <c r="H255" s="15" t="s">
        <v>46</v>
      </c>
      <c r="I255" s="15" t="s">
        <v>517</v>
      </c>
      <c r="J255" s="15">
        <v>86</v>
      </c>
    </row>
    <row r="256" spans="1:10" x14ac:dyDescent="0.3">
      <c r="A256" s="15" t="s">
        <v>518</v>
      </c>
      <c r="B256" s="15" t="s">
        <v>51</v>
      </c>
      <c r="C256" s="15" t="s">
        <v>96</v>
      </c>
      <c r="D256" s="15" t="s">
        <v>31</v>
      </c>
      <c r="E256" s="15">
        <v>17</v>
      </c>
      <c r="F256" s="15">
        <v>11</v>
      </c>
      <c r="G256" s="15" t="s">
        <v>25</v>
      </c>
      <c r="H256" s="15" t="s">
        <v>61</v>
      </c>
      <c r="I256" s="15" t="s">
        <v>519</v>
      </c>
      <c r="J256" s="15">
        <v>52</v>
      </c>
    </row>
    <row r="257" spans="1:10" x14ac:dyDescent="0.3">
      <c r="A257" s="15" t="s">
        <v>520</v>
      </c>
      <c r="B257" s="15" t="s">
        <v>68</v>
      </c>
      <c r="C257" s="15" t="s">
        <v>12</v>
      </c>
      <c r="D257" s="15" t="s">
        <v>31</v>
      </c>
      <c r="E257" s="15">
        <v>20</v>
      </c>
      <c r="F257" s="15">
        <v>10</v>
      </c>
      <c r="G257" s="15" t="s">
        <v>32</v>
      </c>
      <c r="H257" s="15" t="s">
        <v>26</v>
      </c>
      <c r="I257" s="15" t="s">
        <v>521</v>
      </c>
      <c r="J257" s="15">
        <v>42</v>
      </c>
    </row>
    <row r="258" spans="1:10" x14ac:dyDescent="0.3">
      <c r="A258" s="15" t="s">
        <v>522</v>
      </c>
      <c r="B258" s="15" t="s">
        <v>54</v>
      </c>
      <c r="C258" s="15" t="s">
        <v>79</v>
      </c>
      <c r="D258" s="15" t="s">
        <v>31</v>
      </c>
      <c r="E258" s="15">
        <v>18</v>
      </c>
      <c r="F258" s="15">
        <v>10</v>
      </c>
      <c r="G258" s="15" t="s">
        <v>14</v>
      </c>
      <c r="H258" s="15" t="s">
        <v>61</v>
      </c>
      <c r="I258" s="15" t="s">
        <v>523</v>
      </c>
      <c r="J258" s="15">
        <v>82</v>
      </c>
    </row>
    <row r="259" spans="1:10" x14ac:dyDescent="0.3">
      <c r="A259" s="15" t="s">
        <v>524</v>
      </c>
      <c r="B259" s="15" t="s">
        <v>35</v>
      </c>
      <c r="C259" s="15" t="s">
        <v>85</v>
      </c>
      <c r="D259" s="15" t="s">
        <v>13</v>
      </c>
      <c r="E259" s="15">
        <v>20</v>
      </c>
      <c r="F259" s="15">
        <v>10</v>
      </c>
      <c r="G259" s="15" t="s">
        <v>14</v>
      </c>
      <c r="H259" s="15" t="s">
        <v>40</v>
      </c>
      <c r="I259" s="15" t="s">
        <v>525</v>
      </c>
      <c r="J259" s="15">
        <v>92</v>
      </c>
    </row>
    <row r="260" spans="1:10" x14ac:dyDescent="0.3">
      <c r="A260" s="15" t="s">
        <v>526</v>
      </c>
      <c r="B260" s="15" t="s">
        <v>18</v>
      </c>
      <c r="C260" s="15" t="s">
        <v>12</v>
      </c>
      <c r="D260" s="15" t="s">
        <v>31</v>
      </c>
      <c r="E260" s="15">
        <v>18</v>
      </c>
      <c r="F260" s="15">
        <v>9</v>
      </c>
      <c r="G260" s="15" t="s">
        <v>14</v>
      </c>
      <c r="H260" s="15" t="s">
        <v>15</v>
      </c>
      <c r="I260" s="15" t="s">
        <v>346</v>
      </c>
      <c r="J260" s="15">
        <v>59</v>
      </c>
    </row>
    <row r="261" spans="1:10" x14ac:dyDescent="0.3">
      <c r="A261" s="15" t="s">
        <v>527</v>
      </c>
      <c r="B261" s="15" t="s">
        <v>11</v>
      </c>
      <c r="C261" s="15" t="s">
        <v>85</v>
      </c>
      <c r="D261" s="15" t="s">
        <v>13</v>
      </c>
      <c r="E261" s="15">
        <v>20</v>
      </c>
      <c r="F261" s="15">
        <v>12</v>
      </c>
      <c r="G261" s="15" t="s">
        <v>25</v>
      </c>
      <c r="H261" s="15" t="s">
        <v>46</v>
      </c>
      <c r="I261" s="15" t="s">
        <v>451</v>
      </c>
      <c r="J261" s="15">
        <v>86</v>
      </c>
    </row>
    <row r="262" spans="1:10" x14ac:dyDescent="0.3">
      <c r="A262" s="15" t="s">
        <v>528</v>
      </c>
      <c r="B262" s="15" t="s">
        <v>51</v>
      </c>
      <c r="C262" s="15" t="s">
        <v>19</v>
      </c>
      <c r="D262" s="15" t="s">
        <v>13</v>
      </c>
      <c r="E262" s="15">
        <v>19</v>
      </c>
      <c r="F262" s="15">
        <v>9</v>
      </c>
      <c r="G262" s="15" t="s">
        <v>43</v>
      </c>
      <c r="H262" s="15" t="s">
        <v>46</v>
      </c>
      <c r="I262" s="15" t="s">
        <v>222</v>
      </c>
      <c r="J262" s="15">
        <v>46</v>
      </c>
    </row>
    <row r="263" spans="1:10" x14ac:dyDescent="0.3">
      <c r="A263" s="15" t="s">
        <v>529</v>
      </c>
      <c r="B263" s="15" t="s">
        <v>84</v>
      </c>
      <c r="C263" s="15" t="s">
        <v>24</v>
      </c>
      <c r="D263" s="15" t="s">
        <v>31</v>
      </c>
      <c r="E263" s="15">
        <v>20</v>
      </c>
      <c r="F263" s="15">
        <v>12</v>
      </c>
      <c r="G263" s="15" t="s">
        <v>25</v>
      </c>
      <c r="H263" s="15" t="s">
        <v>76</v>
      </c>
      <c r="I263" s="15" t="s">
        <v>186</v>
      </c>
      <c r="J263" s="15">
        <v>51</v>
      </c>
    </row>
    <row r="264" spans="1:10" x14ac:dyDescent="0.3">
      <c r="A264" s="15" t="s">
        <v>530</v>
      </c>
      <c r="B264" s="15" t="s">
        <v>54</v>
      </c>
      <c r="C264" s="15" t="s">
        <v>58</v>
      </c>
      <c r="D264" s="15" t="s">
        <v>13</v>
      </c>
      <c r="E264" s="15">
        <v>17</v>
      </c>
      <c r="F264" s="15">
        <v>10</v>
      </c>
      <c r="G264" s="15" t="s">
        <v>32</v>
      </c>
      <c r="H264" s="15" t="s">
        <v>15</v>
      </c>
      <c r="I264" s="15" t="s">
        <v>64</v>
      </c>
      <c r="J264" s="15">
        <v>46</v>
      </c>
    </row>
    <row r="265" spans="1:10" x14ac:dyDescent="0.3">
      <c r="A265" s="15" t="s">
        <v>531</v>
      </c>
      <c r="B265" s="15" t="s">
        <v>23</v>
      </c>
      <c r="C265" s="15" t="s">
        <v>36</v>
      </c>
      <c r="D265" s="15" t="s">
        <v>13</v>
      </c>
      <c r="E265" s="15">
        <v>20</v>
      </c>
      <c r="F265" s="15">
        <v>11</v>
      </c>
      <c r="G265" s="15" t="s">
        <v>43</v>
      </c>
      <c r="H265" s="15" t="s">
        <v>20</v>
      </c>
      <c r="I265" s="15" t="s">
        <v>178</v>
      </c>
      <c r="J265" s="15">
        <v>44</v>
      </c>
    </row>
    <row r="266" spans="1:10" x14ac:dyDescent="0.3">
      <c r="A266" s="15" t="s">
        <v>532</v>
      </c>
      <c r="B266" s="15" t="s">
        <v>51</v>
      </c>
      <c r="C266" s="15" t="s">
        <v>19</v>
      </c>
      <c r="D266" s="15" t="s">
        <v>31</v>
      </c>
      <c r="E266" s="15">
        <v>14</v>
      </c>
      <c r="F266" s="15">
        <v>11</v>
      </c>
      <c r="G266" s="15" t="s">
        <v>43</v>
      </c>
      <c r="H266" s="15" t="s">
        <v>20</v>
      </c>
      <c r="I266" s="15" t="s">
        <v>533</v>
      </c>
      <c r="J266" s="15">
        <v>93</v>
      </c>
    </row>
    <row r="267" spans="1:10" x14ac:dyDescent="0.3">
      <c r="A267" s="15" t="s">
        <v>534</v>
      </c>
      <c r="B267" s="15" t="s">
        <v>23</v>
      </c>
      <c r="C267" s="15" t="s">
        <v>19</v>
      </c>
      <c r="D267" s="15" t="s">
        <v>13</v>
      </c>
      <c r="E267" s="15">
        <v>20</v>
      </c>
      <c r="F267" s="15">
        <v>11</v>
      </c>
      <c r="G267" s="15" t="s">
        <v>32</v>
      </c>
      <c r="H267" s="15" t="s">
        <v>76</v>
      </c>
      <c r="I267" s="15" t="s">
        <v>358</v>
      </c>
      <c r="J267" s="15">
        <v>41</v>
      </c>
    </row>
    <row r="268" spans="1:10" x14ac:dyDescent="0.3">
      <c r="A268" s="15" t="s">
        <v>535</v>
      </c>
      <c r="B268" s="15" t="s">
        <v>84</v>
      </c>
      <c r="C268" s="15" t="s">
        <v>58</v>
      </c>
      <c r="D268" s="15" t="s">
        <v>13</v>
      </c>
      <c r="E268" s="15">
        <v>20</v>
      </c>
      <c r="F268" s="15">
        <v>9</v>
      </c>
      <c r="G268" s="15" t="s">
        <v>25</v>
      </c>
      <c r="H268" s="15" t="s">
        <v>46</v>
      </c>
      <c r="I268" s="15" t="s">
        <v>536</v>
      </c>
      <c r="J268" s="15">
        <v>58</v>
      </c>
    </row>
    <row r="269" spans="1:10" x14ac:dyDescent="0.3">
      <c r="A269" s="15" t="s">
        <v>537</v>
      </c>
      <c r="B269" s="15" t="s">
        <v>68</v>
      </c>
      <c r="C269" s="15" t="s">
        <v>36</v>
      </c>
      <c r="D269" s="15" t="s">
        <v>31</v>
      </c>
      <c r="E269" s="15">
        <v>16</v>
      </c>
      <c r="F269" s="15">
        <v>12</v>
      </c>
      <c r="G269" s="15" t="s">
        <v>25</v>
      </c>
      <c r="H269" s="15" t="s">
        <v>26</v>
      </c>
      <c r="I269" s="15" t="s">
        <v>538</v>
      </c>
      <c r="J269" s="15">
        <v>42</v>
      </c>
    </row>
    <row r="270" spans="1:10" x14ac:dyDescent="0.3">
      <c r="A270" s="15" t="s">
        <v>539</v>
      </c>
      <c r="B270" s="15" t="s">
        <v>73</v>
      </c>
      <c r="C270" s="15" t="s">
        <v>36</v>
      </c>
      <c r="D270" s="15" t="s">
        <v>31</v>
      </c>
      <c r="E270" s="15">
        <v>14</v>
      </c>
      <c r="F270" s="15">
        <v>12</v>
      </c>
      <c r="G270" s="15" t="s">
        <v>43</v>
      </c>
      <c r="H270" s="15" t="s">
        <v>61</v>
      </c>
      <c r="I270" s="15" t="s">
        <v>387</v>
      </c>
      <c r="J270" s="15">
        <v>37</v>
      </c>
    </row>
    <row r="271" spans="1:10" x14ac:dyDescent="0.3">
      <c r="A271" s="15" t="s">
        <v>540</v>
      </c>
      <c r="B271" s="15" t="s">
        <v>51</v>
      </c>
      <c r="C271" s="15" t="s">
        <v>85</v>
      </c>
      <c r="D271" s="15" t="s">
        <v>13</v>
      </c>
      <c r="E271" s="15">
        <v>18</v>
      </c>
      <c r="F271" s="15">
        <v>10</v>
      </c>
      <c r="G271" s="15" t="s">
        <v>14</v>
      </c>
      <c r="H271" s="15" t="s">
        <v>46</v>
      </c>
      <c r="I271" s="15" t="s">
        <v>541</v>
      </c>
      <c r="J271" s="15">
        <v>63</v>
      </c>
    </row>
    <row r="272" spans="1:10" x14ac:dyDescent="0.3">
      <c r="A272" s="15" t="s">
        <v>542</v>
      </c>
      <c r="B272" s="15" t="s">
        <v>84</v>
      </c>
      <c r="C272" s="15" t="s">
        <v>55</v>
      </c>
      <c r="D272" s="15" t="s">
        <v>31</v>
      </c>
      <c r="E272" s="15">
        <v>18</v>
      </c>
      <c r="F272" s="15">
        <v>12</v>
      </c>
      <c r="G272" s="15" t="s">
        <v>32</v>
      </c>
      <c r="H272" s="15" t="s">
        <v>40</v>
      </c>
      <c r="I272" s="15" t="s">
        <v>543</v>
      </c>
      <c r="J272" s="15">
        <v>51</v>
      </c>
    </row>
    <row r="273" spans="1:10" x14ac:dyDescent="0.3">
      <c r="A273" s="15" t="s">
        <v>544</v>
      </c>
      <c r="B273" s="15" t="s">
        <v>68</v>
      </c>
      <c r="C273" s="15" t="s">
        <v>19</v>
      </c>
      <c r="D273" s="15" t="s">
        <v>31</v>
      </c>
      <c r="E273" s="15">
        <v>16</v>
      </c>
      <c r="F273" s="15">
        <v>9</v>
      </c>
      <c r="G273" s="15" t="s">
        <v>14</v>
      </c>
      <c r="H273" s="15" t="s">
        <v>40</v>
      </c>
      <c r="I273" s="15" t="s">
        <v>545</v>
      </c>
      <c r="J273" s="15">
        <v>37</v>
      </c>
    </row>
    <row r="274" spans="1:10" x14ac:dyDescent="0.3">
      <c r="A274" s="15" t="s">
        <v>546</v>
      </c>
      <c r="B274" s="15" t="s">
        <v>51</v>
      </c>
      <c r="C274" s="15" t="s">
        <v>36</v>
      </c>
      <c r="D274" s="15" t="s">
        <v>31</v>
      </c>
      <c r="E274" s="15">
        <v>14</v>
      </c>
      <c r="F274" s="15">
        <v>9</v>
      </c>
      <c r="G274" s="15" t="s">
        <v>14</v>
      </c>
      <c r="H274" s="15" t="s">
        <v>46</v>
      </c>
      <c r="I274" s="15" t="s">
        <v>547</v>
      </c>
      <c r="J274" s="15">
        <v>81</v>
      </c>
    </row>
    <row r="275" spans="1:10" x14ac:dyDescent="0.3">
      <c r="A275" s="15" t="s">
        <v>548</v>
      </c>
      <c r="B275" s="15" t="s">
        <v>51</v>
      </c>
      <c r="C275" s="15" t="s">
        <v>24</v>
      </c>
      <c r="D275" s="15" t="s">
        <v>31</v>
      </c>
      <c r="E275" s="15">
        <v>15</v>
      </c>
      <c r="F275" s="15">
        <v>11</v>
      </c>
      <c r="G275" s="15" t="s">
        <v>32</v>
      </c>
      <c r="H275" s="15" t="s">
        <v>40</v>
      </c>
      <c r="I275" s="15" t="s">
        <v>549</v>
      </c>
      <c r="J275" s="15">
        <v>90</v>
      </c>
    </row>
    <row r="276" spans="1:10" x14ac:dyDescent="0.3">
      <c r="A276" s="15" t="s">
        <v>550</v>
      </c>
      <c r="B276" s="15" t="s">
        <v>73</v>
      </c>
      <c r="C276" s="15" t="s">
        <v>19</v>
      </c>
      <c r="D276" s="15" t="s">
        <v>13</v>
      </c>
      <c r="E276" s="15">
        <v>14</v>
      </c>
      <c r="F276" s="15">
        <v>11</v>
      </c>
      <c r="G276" s="15" t="s">
        <v>32</v>
      </c>
      <c r="H276" s="15" t="s">
        <v>26</v>
      </c>
      <c r="I276" s="15" t="s">
        <v>551</v>
      </c>
      <c r="J276" s="15">
        <v>90</v>
      </c>
    </row>
    <row r="277" spans="1:10" x14ac:dyDescent="0.3">
      <c r="A277" s="15" t="s">
        <v>552</v>
      </c>
      <c r="B277" s="15" t="s">
        <v>35</v>
      </c>
      <c r="C277" s="15" t="s">
        <v>30</v>
      </c>
      <c r="D277" s="15" t="s">
        <v>13</v>
      </c>
      <c r="E277" s="15">
        <v>19</v>
      </c>
      <c r="F277" s="15">
        <v>11</v>
      </c>
      <c r="G277" s="15" t="s">
        <v>14</v>
      </c>
      <c r="H277" s="15" t="s">
        <v>76</v>
      </c>
      <c r="I277" s="15" t="s">
        <v>553</v>
      </c>
      <c r="J277" s="15">
        <v>81</v>
      </c>
    </row>
    <row r="278" spans="1:10" x14ac:dyDescent="0.3">
      <c r="A278" s="15" t="s">
        <v>554</v>
      </c>
      <c r="B278" s="15" t="s">
        <v>29</v>
      </c>
      <c r="C278" s="15" t="s">
        <v>79</v>
      </c>
      <c r="D278" s="15" t="s">
        <v>13</v>
      </c>
      <c r="E278" s="15">
        <v>15</v>
      </c>
      <c r="F278" s="15">
        <v>9</v>
      </c>
      <c r="G278" s="15" t="s">
        <v>32</v>
      </c>
      <c r="H278" s="15" t="s">
        <v>76</v>
      </c>
      <c r="I278" s="15" t="s">
        <v>184</v>
      </c>
      <c r="J278" s="15">
        <v>53</v>
      </c>
    </row>
    <row r="279" spans="1:10" x14ac:dyDescent="0.3">
      <c r="A279" s="15" t="s">
        <v>555</v>
      </c>
      <c r="B279" s="15" t="s">
        <v>73</v>
      </c>
      <c r="C279" s="15" t="s">
        <v>55</v>
      </c>
      <c r="D279" s="15" t="s">
        <v>31</v>
      </c>
      <c r="E279" s="15">
        <v>16</v>
      </c>
      <c r="F279" s="15">
        <v>9</v>
      </c>
      <c r="G279" s="15" t="s">
        <v>14</v>
      </c>
      <c r="H279" s="15" t="s">
        <v>76</v>
      </c>
      <c r="I279" s="15" t="s">
        <v>556</v>
      </c>
      <c r="J279" s="15">
        <v>93</v>
      </c>
    </row>
    <row r="280" spans="1:10" x14ac:dyDescent="0.3">
      <c r="A280" s="15" t="s">
        <v>557</v>
      </c>
      <c r="B280" s="15" t="s">
        <v>23</v>
      </c>
      <c r="C280" s="15" t="s">
        <v>96</v>
      </c>
      <c r="D280" s="15" t="s">
        <v>13</v>
      </c>
      <c r="E280" s="15">
        <v>18</v>
      </c>
      <c r="F280" s="15">
        <v>11</v>
      </c>
      <c r="G280" s="15" t="s">
        <v>25</v>
      </c>
      <c r="H280" s="15" t="s">
        <v>76</v>
      </c>
      <c r="I280" s="15" t="s">
        <v>182</v>
      </c>
      <c r="J280" s="15">
        <v>77</v>
      </c>
    </row>
    <row r="281" spans="1:10" x14ac:dyDescent="0.3">
      <c r="A281" s="15" t="s">
        <v>558</v>
      </c>
      <c r="B281" s="15" t="s">
        <v>54</v>
      </c>
      <c r="C281" s="15" t="s">
        <v>30</v>
      </c>
      <c r="D281" s="15" t="s">
        <v>31</v>
      </c>
      <c r="E281" s="15">
        <v>19</v>
      </c>
      <c r="F281" s="15">
        <v>10</v>
      </c>
      <c r="G281" s="15" t="s">
        <v>43</v>
      </c>
      <c r="H281" s="15" t="s">
        <v>76</v>
      </c>
      <c r="I281" s="15" t="s">
        <v>559</v>
      </c>
      <c r="J281" s="15">
        <v>40</v>
      </c>
    </row>
    <row r="282" spans="1:10" x14ac:dyDescent="0.3">
      <c r="A282" s="15" t="s">
        <v>560</v>
      </c>
      <c r="B282" s="15" t="s">
        <v>68</v>
      </c>
      <c r="C282" s="15" t="s">
        <v>85</v>
      </c>
      <c r="D282" s="15" t="s">
        <v>31</v>
      </c>
      <c r="E282" s="15">
        <v>15</v>
      </c>
      <c r="F282" s="15">
        <v>10</v>
      </c>
      <c r="G282" s="15" t="s">
        <v>43</v>
      </c>
      <c r="H282" s="15" t="s">
        <v>26</v>
      </c>
      <c r="I282" s="15" t="s">
        <v>561</v>
      </c>
      <c r="J282" s="15">
        <v>63</v>
      </c>
    </row>
    <row r="283" spans="1:10" x14ac:dyDescent="0.3">
      <c r="A283" s="15" t="s">
        <v>562</v>
      </c>
      <c r="B283" s="15" t="s">
        <v>29</v>
      </c>
      <c r="C283" s="15" t="s">
        <v>79</v>
      </c>
      <c r="D283" s="15" t="s">
        <v>31</v>
      </c>
      <c r="E283" s="15">
        <v>15</v>
      </c>
      <c r="F283" s="15">
        <v>12</v>
      </c>
      <c r="G283" s="15" t="s">
        <v>32</v>
      </c>
      <c r="H283" s="15" t="s">
        <v>46</v>
      </c>
      <c r="I283" s="15" t="s">
        <v>121</v>
      </c>
      <c r="J283" s="15">
        <v>53</v>
      </c>
    </row>
    <row r="284" spans="1:10" x14ac:dyDescent="0.3">
      <c r="A284" s="15" t="s">
        <v>563</v>
      </c>
      <c r="B284" s="15" t="s">
        <v>35</v>
      </c>
      <c r="C284" s="15" t="s">
        <v>55</v>
      </c>
      <c r="D284" s="15" t="s">
        <v>31</v>
      </c>
      <c r="E284" s="15">
        <v>19</v>
      </c>
      <c r="F284" s="15">
        <v>10</v>
      </c>
      <c r="G284" s="15" t="s">
        <v>43</v>
      </c>
      <c r="H284" s="15" t="s">
        <v>46</v>
      </c>
      <c r="I284" s="15" t="s">
        <v>564</v>
      </c>
      <c r="J284" s="15">
        <v>72</v>
      </c>
    </row>
    <row r="285" spans="1:10" x14ac:dyDescent="0.3">
      <c r="A285" s="15" t="s">
        <v>565</v>
      </c>
      <c r="B285" s="15" t="s">
        <v>54</v>
      </c>
      <c r="C285" s="15" t="s">
        <v>79</v>
      </c>
      <c r="D285" s="15" t="s">
        <v>31</v>
      </c>
      <c r="E285" s="15">
        <v>20</v>
      </c>
      <c r="F285" s="15">
        <v>9</v>
      </c>
      <c r="G285" s="15" t="s">
        <v>43</v>
      </c>
      <c r="H285" s="15" t="s">
        <v>20</v>
      </c>
      <c r="I285" s="15" t="s">
        <v>566</v>
      </c>
      <c r="J285" s="15">
        <v>67</v>
      </c>
    </row>
    <row r="286" spans="1:10" x14ac:dyDescent="0.3">
      <c r="A286" s="15" t="s">
        <v>567</v>
      </c>
      <c r="B286" s="15" t="s">
        <v>54</v>
      </c>
      <c r="C286" s="15" t="s">
        <v>12</v>
      </c>
      <c r="D286" s="15" t="s">
        <v>31</v>
      </c>
      <c r="E286" s="15">
        <v>18</v>
      </c>
      <c r="F286" s="15">
        <v>12</v>
      </c>
      <c r="G286" s="15" t="s">
        <v>25</v>
      </c>
      <c r="H286" s="15" t="s">
        <v>26</v>
      </c>
      <c r="I286" s="15" t="s">
        <v>568</v>
      </c>
      <c r="J286" s="15">
        <v>96</v>
      </c>
    </row>
    <row r="287" spans="1:10" x14ac:dyDescent="0.3">
      <c r="A287" s="15" t="s">
        <v>569</v>
      </c>
      <c r="B287" s="15" t="s">
        <v>54</v>
      </c>
      <c r="C287" s="15" t="s">
        <v>12</v>
      </c>
      <c r="D287" s="15" t="s">
        <v>31</v>
      </c>
      <c r="E287" s="15">
        <v>17</v>
      </c>
      <c r="F287" s="15">
        <v>9</v>
      </c>
      <c r="G287" s="15" t="s">
        <v>25</v>
      </c>
      <c r="H287" s="15" t="s">
        <v>37</v>
      </c>
      <c r="I287" s="15" t="s">
        <v>570</v>
      </c>
      <c r="J287" s="15">
        <v>100</v>
      </c>
    </row>
    <row r="288" spans="1:10" x14ac:dyDescent="0.3">
      <c r="A288" s="15" t="s">
        <v>571</v>
      </c>
      <c r="B288" s="15" t="s">
        <v>68</v>
      </c>
      <c r="C288" s="15" t="s">
        <v>12</v>
      </c>
      <c r="D288" s="15" t="s">
        <v>13</v>
      </c>
      <c r="E288" s="15">
        <v>16</v>
      </c>
      <c r="F288" s="15">
        <v>10</v>
      </c>
      <c r="G288" s="15" t="s">
        <v>25</v>
      </c>
      <c r="H288" s="15" t="s">
        <v>26</v>
      </c>
      <c r="I288" s="15" t="s">
        <v>434</v>
      </c>
      <c r="J288" s="15">
        <v>63</v>
      </c>
    </row>
    <row r="289" spans="1:10" x14ac:dyDescent="0.3">
      <c r="A289" s="15" t="s">
        <v>572</v>
      </c>
      <c r="B289" s="15" t="s">
        <v>23</v>
      </c>
      <c r="C289" s="15" t="s">
        <v>19</v>
      </c>
      <c r="D289" s="15" t="s">
        <v>31</v>
      </c>
      <c r="E289" s="15">
        <v>19</v>
      </c>
      <c r="F289" s="15">
        <v>10</v>
      </c>
      <c r="G289" s="15" t="s">
        <v>32</v>
      </c>
      <c r="H289" s="15" t="s">
        <v>20</v>
      </c>
      <c r="I289" s="15" t="s">
        <v>400</v>
      </c>
      <c r="J289" s="15">
        <v>53</v>
      </c>
    </row>
    <row r="290" spans="1:10" x14ac:dyDescent="0.3">
      <c r="A290" s="15" t="s">
        <v>573</v>
      </c>
      <c r="B290" s="15" t="s">
        <v>54</v>
      </c>
      <c r="C290" s="15" t="s">
        <v>24</v>
      </c>
      <c r="D290" s="15" t="s">
        <v>13</v>
      </c>
      <c r="E290" s="15">
        <v>19</v>
      </c>
      <c r="F290" s="15">
        <v>9</v>
      </c>
      <c r="G290" s="15" t="s">
        <v>43</v>
      </c>
      <c r="H290" s="15" t="s">
        <v>46</v>
      </c>
      <c r="I290" s="15" t="s">
        <v>574</v>
      </c>
      <c r="J290" s="15">
        <v>94</v>
      </c>
    </row>
    <row r="291" spans="1:10" x14ac:dyDescent="0.3">
      <c r="A291" s="15" t="s">
        <v>575</v>
      </c>
      <c r="B291" s="15" t="s">
        <v>35</v>
      </c>
      <c r="C291" s="15" t="s">
        <v>30</v>
      </c>
      <c r="D291" s="15" t="s">
        <v>31</v>
      </c>
      <c r="E291" s="15">
        <v>14</v>
      </c>
      <c r="F291" s="15">
        <v>10</v>
      </c>
      <c r="G291" s="15" t="s">
        <v>32</v>
      </c>
      <c r="H291" s="15" t="s">
        <v>40</v>
      </c>
      <c r="I291" s="15" t="s">
        <v>576</v>
      </c>
      <c r="J291" s="15">
        <v>50</v>
      </c>
    </row>
    <row r="292" spans="1:10" x14ac:dyDescent="0.3">
      <c r="A292" s="15" t="s">
        <v>577</v>
      </c>
      <c r="B292" s="15" t="s">
        <v>84</v>
      </c>
      <c r="C292" s="15" t="s">
        <v>79</v>
      </c>
      <c r="D292" s="15" t="s">
        <v>31</v>
      </c>
      <c r="E292" s="15">
        <v>15</v>
      </c>
      <c r="F292" s="15">
        <v>11</v>
      </c>
      <c r="G292" s="15" t="s">
        <v>25</v>
      </c>
      <c r="H292" s="15" t="s">
        <v>40</v>
      </c>
      <c r="I292" s="15" t="s">
        <v>578</v>
      </c>
      <c r="J292" s="15">
        <v>72</v>
      </c>
    </row>
    <row r="293" spans="1:10" x14ac:dyDescent="0.3">
      <c r="A293" s="15" t="s">
        <v>579</v>
      </c>
      <c r="B293" s="15" t="s">
        <v>51</v>
      </c>
      <c r="C293" s="15" t="s">
        <v>55</v>
      </c>
      <c r="D293" s="15" t="s">
        <v>31</v>
      </c>
      <c r="E293" s="15">
        <v>20</v>
      </c>
      <c r="F293" s="15">
        <v>9</v>
      </c>
      <c r="G293" s="15" t="s">
        <v>25</v>
      </c>
      <c r="H293" s="15" t="s">
        <v>26</v>
      </c>
      <c r="I293" s="15" t="s">
        <v>212</v>
      </c>
      <c r="J293" s="15">
        <v>35</v>
      </c>
    </row>
    <row r="294" spans="1:10" x14ac:dyDescent="0.3">
      <c r="A294" s="15" t="s">
        <v>580</v>
      </c>
      <c r="B294" s="15" t="s">
        <v>29</v>
      </c>
      <c r="C294" s="15" t="s">
        <v>36</v>
      </c>
      <c r="D294" s="15" t="s">
        <v>13</v>
      </c>
      <c r="E294" s="15">
        <v>17</v>
      </c>
      <c r="F294" s="15">
        <v>10</v>
      </c>
      <c r="G294" s="15" t="s">
        <v>32</v>
      </c>
      <c r="H294" s="15" t="s">
        <v>15</v>
      </c>
      <c r="I294" s="15" t="s">
        <v>581</v>
      </c>
      <c r="J294" s="15">
        <v>37</v>
      </c>
    </row>
    <row r="295" spans="1:10" x14ac:dyDescent="0.3">
      <c r="A295" s="15" t="s">
        <v>582</v>
      </c>
      <c r="B295" s="15" t="s">
        <v>51</v>
      </c>
      <c r="C295" s="15" t="s">
        <v>55</v>
      </c>
      <c r="D295" s="15" t="s">
        <v>31</v>
      </c>
      <c r="E295" s="15">
        <v>14</v>
      </c>
      <c r="F295" s="15">
        <v>11</v>
      </c>
      <c r="G295" s="15" t="s">
        <v>25</v>
      </c>
      <c r="H295" s="15" t="s">
        <v>37</v>
      </c>
      <c r="I295" s="15" t="s">
        <v>583</v>
      </c>
      <c r="J295" s="15">
        <v>47</v>
      </c>
    </row>
    <row r="296" spans="1:10" x14ac:dyDescent="0.3">
      <c r="A296" s="15" t="s">
        <v>584</v>
      </c>
      <c r="B296" s="15" t="s">
        <v>68</v>
      </c>
      <c r="C296" s="15" t="s">
        <v>55</v>
      </c>
      <c r="D296" s="15" t="s">
        <v>31</v>
      </c>
      <c r="E296" s="15">
        <v>16</v>
      </c>
      <c r="F296" s="15">
        <v>9</v>
      </c>
      <c r="G296" s="15" t="s">
        <v>14</v>
      </c>
      <c r="H296" s="15" t="s">
        <v>61</v>
      </c>
      <c r="I296" s="15" t="s">
        <v>585</v>
      </c>
      <c r="J296" s="15">
        <v>59</v>
      </c>
    </row>
    <row r="297" spans="1:10" x14ac:dyDescent="0.3">
      <c r="A297" s="15" t="s">
        <v>586</v>
      </c>
      <c r="B297" s="15" t="s">
        <v>11</v>
      </c>
      <c r="C297" s="15" t="s">
        <v>24</v>
      </c>
      <c r="D297" s="15" t="s">
        <v>31</v>
      </c>
      <c r="E297" s="15">
        <v>17</v>
      </c>
      <c r="F297" s="15">
        <v>11</v>
      </c>
      <c r="G297" s="15" t="s">
        <v>43</v>
      </c>
      <c r="H297" s="15" t="s">
        <v>61</v>
      </c>
      <c r="I297" s="15" t="s">
        <v>587</v>
      </c>
      <c r="J297" s="15">
        <v>73</v>
      </c>
    </row>
    <row r="298" spans="1:10" x14ac:dyDescent="0.3">
      <c r="A298" s="15" t="s">
        <v>588</v>
      </c>
      <c r="B298" s="15" t="s">
        <v>68</v>
      </c>
      <c r="C298" s="15" t="s">
        <v>85</v>
      </c>
      <c r="D298" s="15" t="s">
        <v>31</v>
      </c>
      <c r="E298" s="15">
        <v>17</v>
      </c>
      <c r="F298" s="15">
        <v>9</v>
      </c>
      <c r="G298" s="15" t="s">
        <v>25</v>
      </c>
      <c r="H298" s="15" t="s">
        <v>61</v>
      </c>
      <c r="I298" s="15" t="s">
        <v>589</v>
      </c>
      <c r="J298" s="15">
        <v>45</v>
      </c>
    </row>
    <row r="299" spans="1:10" x14ac:dyDescent="0.3">
      <c r="A299" s="15" t="s">
        <v>590</v>
      </c>
      <c r="B299" s="15" t="s">
        <v>35</v>
      </c>
      <c r="C299" s="15" t="s">
        <v>12</v>
      </c>
      <c r="D299" s="15" t="s">
        <v>13</v>
      </c>
      <c r="E299" s="15">
        <v>14</v>
      </c>
      <c r="F299" s="15">
        <v>11</v>
      </c>
      <c r="G299" s="15" t="s">
        <v>25</v>
      </c>
      <c r="H299" s="15" t="s">
        <v>20</v>
      </c>
      <c r="I299" s="15" t="s">
        <v>591</v>
      </c>
      <c r="J299" s="15">
        <v>64</v>
      </c>
    </row>
    <row r="300" spans="1:10" x14ac:dyDescent="0.3">
      <c r="A300" s="15" t="s">
        <v>592</v>
      </c>
      <c r="B300" s="15" t="s">
        <v>51</v>
      </c>
      <c r="C300" s="15" t="s">
        <v>19</v>
      </c>
      <c r="D300" s="15" t="s">
        <v>31</v>
      </c>
      <c r="E300" s="15">
        <v>18</v>
      </c>
      <c r="F300" s="15">
        <v>10</v>
      </c>
      <c r="G300" s="15" t="s">
        <v>43</v>
      </c>
      <c r="H300" s="15" t="s">
        <v>76</v>
      </c>
      <c r="I300" s="15" t="s">
        <v>593</v>
      </c>
      <c r="J300" s="15">
        <v>98</v>
      </c>
    </row>
    <row r="301" spans="1:10" x14ac:dyDescent="0.3">
      <c r="A301" s="15" t="s">
        <v>594</v>
      </c>
      <c r="B301" s="15" t="s">
        <v>54</v>
      </c>
      <c r="C301" s="15" t="s">
        <v>55</v>
      </c>
      <c r="D301" s="15" t="s">
        <v>13</v>
      </c>
      <c r="E301" s="15">
        <v>20</v>
      </c>
      <c r="F301" s="15">
        <v>11</v>
      </c>
      <c r="G301" s="15" t="s">
        <v>43</v>
      </c>
      <c r="H301" s="15" t="s">
        <v>40</v>
      </c>
      <c r="I301" s="15" t="s">
        <v>595</v>
      </c>
      <c r="J301" s="15">
        <v>84</v>
      </c>
    </row>
    <row r="302" spans="1:10" x14ac:dyDescent="0.3">
      <c r="A302" s="15" t="s">
        <v>596</v>
      </c>
      <c r="B302" s="15" t="s">
        <v>11</v>
      </c>
      <c r="C302" s="15" t="s">
        <v>30</v>
      </c>
      <c r="D302" s="15" t="s">
        <v>13</v>
      </c>
      <c r="E302" s="15">
        <v>14</v>
      </c>
      <c r="F302" s="15">
        <v>9</v>
      </c>
      <c r="G302" s="15" t="s">
        <v>25</v>
      </c>
      <c r="H302" s="15" t="s">
        <v>76</v>
      </c>
      <c r="I302" s="15" t="s">
        <v>447</v>
      </c>
      <c r="J302" s="15">
        <v>62</v>
      </c>
    </row>
    <row r="303" spans="1:10" x14ac:dyDescent="0.3">
      <c r="A303" s="15" t="s">
        <v>597</v>
      </c>
      <c r="B303" s="15" t="s">
        <v>18</v>
      </c>
      <c r="C303" s="15" t="s">
        <v>85</v>
      </c>
      <c r="D303" s="15" t="s">
        <v>31</v>
      </c>
      <c r="E303" s="15">
        <v>18</v>
      </c>
      <c r="F303" s="15">
        <v>11</v>
      </c>
      <c r="G303" s="15" t="s">
        <v>43</v>
      </c>
      <c r="H303" s="15" t="s">
        <v>40</v>
      </c>
      <c r="I303" s="15" t="s">
        <v>598</v>
      </c>
      <c r="J303" s="15">
        <v>55</v>
      </c>
    </row>
    <row r="304" spans="1:10" x14ac:dyDescent="0.3">
      <c r="A304" s="15" t="s">
        <v>599</v>
      </c>
      <c r="B304" s="15" t="s">
        <v>84</v>
      </c>
      <c r="C304" s="15" t="s">
        <v>30</v>
      </c>
      <c r="D304" s="15" t="s">
        <v>13</v>
      </c>
      <c r="E304" s="15">
        <v>17</v>
      </c>
      <c r="F304" s="15">
        <v>11</v>
      </c>
      <c r="G304" s="15" t="s">
        <v>43</v>
      </c>
      <c r="H304" s="15" t="s">
        <v>15</v>
      </c>
      <c r="I304" s="15" t="s">
        <v>600</v>
      </c>
      <c r="J304" s="15">
        <v>73</v>
      </c>
    </row>
    <row r="305" spans="1:10" x14ac:dyDescent="0.3">
      <c r="A305" s="15" t="s">
        <v>601</v>
      </c>
      <c r="B305" s="15" t="s">
        <v>73</v>
      </c>
      <c r="C305" s="15" t="s">
        <v>55</v>
      </c>
      <c r="D305" s="15" t="s">
        <v>31</v>
      </c>
      <c r="E305" s="15">
        <v>17</v>
      </c>
      <c r="F305" s="15">
        <v>11</v>
      </c>
      <c r="G305" s="15" t="s">
        <v>43</v>
      </c>
      <c r="H305" s="15" t="s">
        <v>61</v>
      </c>
      <c r="I305" s="15" t="s">
        <v>502</v>
      </c>
      <c r="J305" s="15">
        <v>76</v>
      </c>
    </row>
    <row r="306" spans="1:10" x14ac:dyDescent="0.3">
      <c r="A306" s="15" t="s">
        <v>602</v>
      </c>
      <c r="B306" s="15" t="s">
        <v>23</v>
      </c>
      <c r="C306" s="15" t="s">
        <v>19</v>
      </c>
      <c r="D306" s="15" t="s">
        <v>13</v>
      </c>
      <c r="E306" s="15">
        <v>15</v>
      </c>
      <c r="F306" s="15">
        <v>12</v>
      </c>
      <c r="G306" s="15" t="s">
        <v>14</v>
      </c>
      <c r="H306" s="15" t="s">
        <v>61</v>
      </c>
      <c r="I306" s="15" t="s">
        <v>603</v>
      </c>
      <c r="J306" s="15">
        <v>54</v>
      </c>
    </row>
    <row r="307" spans="1:10" x14ac:dyDescent="0.3">
      <c r="A307" s="15" t="s">
        <v>604</v>
      </c>
      <c r="B307" s="15" t="s">
        <v>51</v>
      </c>
      <c r="C307" s="15" t="s">
        <v>85</v>
      </c>
      <c r="D307" s="15" t="s">
        <v>31</v>
      </c>
      <c r="E307" s="15">
        <v>20</v>
      </c>
      <c r="F307" s="15">
        <v>12</v>
      </c>
      <c r="G307" s="15" t="s">
        <v>25</v>
      </c>
      <c r="H307" s="15" t="s">
        <v>26</v>
      </c>
      <c r="I307" s="15" t="s">
        <v>299</v>
      </c>
      <c r="J307" s="15">
        <v>69</v>
      </c>
    </row>
    <row r="308" spans="1:10" x14ac:dyDescent="0.3">
      <c r="A308" s="15" t="s">
        <v>605</v>
      </c>
      <c r="B308" s="15" t="s">
        <v>54</v>
      </c>
      <c r="C308" s="15" t="s">
        <v>19</v>
      </c>
      <c r="D308" s="15" t="s">
        <v>31</v>
      </c>
      <c r="E308" s="15">
        <v>20</v>
      </c>
      <c r="F308" s="15">
        <v>10</v>
      </c>
      <c r="G308" s="15" t="s">
        <v>43</v>
      </c>
      <c r="H308" s="15" t="s">
        <v>37</v>
      </c>
      <c r="I308" s="15" t="s">
        <v>606</v>
      </c>
      <c r="J308" s="15">
        <v>99</v>
      </c>
    </row>
    <row r="309" spans="1:10" x14ac:dyDescent="0.3">
      <c r="A309" s="15" t="s">
        <v>607</v>
      </c>
      <c r="B309" s="15" t="s">
        <v>68</v>
      </c>
      <c r="C309" s="15" t="s">
        <v>55</v>
      </c>
      <c r="D309" s="15" t="s">
        <v>13</v>
      </c>
      <c r="E309" s="15">
        <v>19</v>
      </c>
      <c r="F309" s="15">
        <v>11</v>
      </c>
      <c r="G309" s="15" t="s">
        <v>25</v>
      </c>
      <c r="H309" s="15" t="s">
        <v>20</v>
      </c>
      <c r="I309" s="15" t="s">
        <v>608</v>
      </c>
      <c r="J309" s="15">
        <v>43</v>
      </c>
    </row>
    <row r="310" spans="1:10" x14ac:dyDescent="0.3">
      <c r="A310" s="15" t="s">
        <v>609</v>
      </c>
      <c r="B310" s="15" t="s">
        <v>68</v>
      </c>
      <c r="C310" s="15" t="s">
        <v>58</v>
      </c>
      <c r="D310" s="15" t="s">
        <v>13</v>
      </c>
      <c r="E310" s="15">
        <v>14</v>
      </c>
      <c r="F310" s="15">
        <v>10</v>
      </c>
      <c r="G310" s="15" t="s">
        <v>25</v>
      </c>
      <c r="H310" s="15" t="s">
        <v>37</v>
      </c>
      <c r="I310" s="15" t="s">
        <v>610</v>
      </c>
      <c r="J310" s="15">
        <v>90</v>
      </c>
    </row>
    <row r="311" spans="1:10" x14ac:dyDescent="0.3">
      <c r="A311" s="15" t="s">
        <v>611</v>
      </c>
      <c r="B311" s="15" t="s">
        <v>18</v>
      </c>
      <c r="C311" s="15" t="s">
        <v>24</v>
      </c>
      <c r="D311" s="15" t="s">
        <v>31</v>
      </c>
      <c r="E311" s="15">
        <v>19</v>
      </c>
      <c r="F311" s="15">
        <v>12</v>
      </c>
      <c r="G311" s="15" t="s">
        <v>43</v>
      </c>
      <c r="H311" s="15" t="s">
        <v>26</v>
      </c>
      <c r="I311" s="15" t="s">
        <v>612</v>
      </c>
      <c r="J311" s="15">
        <v>82</v>
      </c>
    </row>
    <row r="312" spans="1:10" x14ac:dyDescent="0.3">
      <c r="A312" s="15" t="s">
        <v>613</v>
      </c>
      <c r="B312" s="15" t="s">
        <v>68</v>
      </c>
      <c r="C312" s="15" t="s">
        <v>85</v>
      </c>
      <c r="D312" s="15" t="s">
        <v>31</v>
      </c>
      <c r="E312" s="15">
        <v>15</v>
      </c>
      <c r="F312" s="15">
        <v>9</v>
      </c>
      <c r="G312" s="15" t="s">
        <v>32</v>
      </c>
      <c r="H312" s="15" t="s">
        <v>37</v>
      </c>
      <c r="I312" s="15" t="s">
        <v>614</v>
      </c>
      <c r="J312" s="15">
        <v>39</v>
      </c>
    </row>
    <row r="313" spans="1:10" x14ac:dyDescent="0.3">
      <c r="A313" s="15" t="s">
        <v>615</v>
      </c>
      <c r="B313" s="15" t="s">
        <v>18</v>
      </c>
      <c r="C313" s="15" t="s">
        <v>12</v>
      </c>
      <c r="D313" s="15" t="s">
        <v>13</v>
      </c>
      <c r="E313" s="15">
        <v>17</v>
      </c>
      <c r="F313" s="15">
        <v>12</v>
      </c>
      <c r="G313" s="15" t="s">
        <v>14</v>
      </c>
      <c r="H313" s="15" t="s">
        <v>61</v>
      </c>
      <c r="I313" s="15" t="s">
        <v>616</v>
      </c>
      <c r="J313" s="15">
        <v>99</v>
      </c>
    </row>
    <row r="314" spans="1:10" x14ac:dyDescent="0.3">
      <c r="A314" s="15" t="s">
        <v>617</v>
      </c>
      <c r="B314" s="15" t="s">
        <v>35</v>
      </c>
      <c r="C314" s="15" t="s">
        <v>12</v>
      </c>
      <c r="D314" s="15" t="s">
        <v>13</v>
      </c>
      <c r="E314" s="15">
        <v>15</v>
      </c>
      <c r="F314" s="15">
        <v>9</v>
      </c>
      <c r="G314" s="15" t="s">
        <v>25</v>
      </c>
      <c r="H314" s="15" t="s">
        <v>46</v>
      </c>
      <c r="I314" s="15" t="s">
        <v>155</v>
      </c>
      <c r="J314" s="15">
        <v>85</v>
      </c>
    </row>
    <row r="315" spans="1:10" x14ac:dyDescent="0.3">
      <c r="A315" s="15" t="s">
        <v>618</v>
      </c>
      <c r="B315" s="15" t="s">
        <v>73</v>
      </c>
      <c r="C315" s="15" t="s">
        <v>85</v>
      </c>
      <c r="D315" s="15" t="s">
        <v>31</v>
      </c>
      <c r="E315" s="15">
        <v>14</v>
      </c>
      <c r="F315" s="15">
        <v>11</v>
      </c>
      <c r="G315" s="15" t="s">
        <v>25</v>
      </c>
      <c r="H315" s="15" t="s">
        <v>20</v>
      </c>
      <c r="I315" s="15" t="s">
        <v>619</v>
      </c>
      <c r="J315" s="15">
        <v>67</v>
      </c>
    </row>
    <row r="316" spans="1:10" x14ac:dyDescent="0.3">
      <c r="A316" s="15" t="s">
        <v>620</v>
      </c>
      <c r="B316" s="15" t="s">
        <v>84</v>
      </c>
      <c r="C316" s="15" t="s">
        <v>24</v>
      </c>
      <c r="D316" s="15" t="s">
        <v>31</v>
      </c>
      <c r="E316" s="15">
        <v>19</v>
      </c>
      <c r="F316" s="15">
        <v>12</v>
      </c>
      <c r="G316" s="15" t="s">
        <v>14</v>
      </c>
      <c r="H316" s="15" t="s">
        <v>61</v>
      </c>
      <c r="I316" s="15" t="s">
        <v>621</v>
      </c>
      <c r="J316" s="15">
        <v>77</v>
      </c>
    </row>
    <row r="317" spans="1:10" x14ac:dyDescent="0.3">
      <c r="A317" s="15" t="s">
        <v>622</v>
      </c>
      <c r="B317" s="15" t="s">
        <v>23</v>
      </c>
      <c r="C317" s="15" t="s">
        <v>96</v>
      </c>
      <c r="D317" s="15" t="s">
        <v>31</v>
      </c>
      <c r="E317" s="15">
        <v>17</v>
      </c>
      <c r="F317" s="15">
        <v>12</v>
      </c>
      <c r="G317" s="15" t="s">
        <v>43</v>
      </c>
      <c r="H317" s="15" t="s">
        <v>46</v>
      </c>
      <c r="I317" s="15" t="s">
        <v>170</v>
      </c>
      <c r="J317" s="15">
        <v>62</v>
      </c>
    </row>
    <row r="318" spans="1:10" x14ac:dyDescent="0.3">
      <c r="A318" s="15" t="s">
        <v>623</v>
      </c>
      <c r="B318" s="15" t="s">
        <v>29</v>
      </c>
      <c r="C318" s="15" t="s">
        <v>12</v>
      </c>
      <c r="D318" s="15" t="s">
        <v>31</v>
      </c>
      <c r="E318" s="15">
        <v>19</v>
      </c>
      <c r="F318" s="15">
        <v>11</v>
      </c>
      <c r="G318" s="15" t="s">
        <v>25</v>
      </c>
      <c r="H318" s="15" t="s">
        <v>76</v>
      </c>
      <c r="I318" s="15" t="s">
        <v>624</v>
      </c>
      <c r="J318" s="15">
        <v>49</v>
      </c>
    </row>
    <row r="319" spans="1:10" x14ac:dyDescent="0.3">
      <c r="A319" s="15" t="s">
        <v>625</v>
      </c>
      <c r="B319" s="15" t="s">
        <v>68</v>
      </c>
      <c r="C319" s="15" t="s">
        <v>96</v>
      </c>
      <c r="D319" s="15" t="s">
        <v>31</v>
      </c>
      <c r="E319" s="15">
        <v>19</v>
      </c>
      <c r="F319" s="15">
        <v>12</v>
      </c>
      <c r="G319" s="15" t="s">
        <v>32</v>
      </c>
      <c r="H319" s="15" t="s">
        <v>15</v>
      </c>
      <c r="I319" s="15" t="s">
        <v>626</v>
      </c>
      <c r="J319" s="15">
        <v>86</v>
      </c>
    </row>
    <row r="320" spans="1:10" x14ac:dyDescent="0.3">
      <c r="A320" s="15" t="s">
        <v>627</v>
      </c>
      <c r="B320" s="15" t="s">
        <v>35</v>
      </c>
      <c r="C320" s="15" t="s">
        <v>85</v>
      </c>
      <c r="D320" s="15" t="s">
        <v>31</v>
      </c>
      <c r="E320" s="15">
        <v>16</v>
      </c>
      <c r="F320" s="15">
        <v>9</v>
      </c>
      <c r="G320" s="15" t="s">
        <v>43</v>
      </c>
      <c r="H320" s="15" t="s">
        <v>20</v>
      </c>
      <c r="I320" s="15" t="s">
        <v>628</v>
      </c>
      <c r="J320" s="15">
        <v>84</v>
      </c>
    </row>
    <row r="321" spans="1:10" x14ac:dyDescent="0.3">
      <c r="A321" s="15" t="s">
        <v>629</v>
      </c>
      <c r="B321" s="15" t="s">
        <v>35</v>
      </c>
      <c r="C321" s="15" t="s">
        <v>58</v>
      </c>
      <c r="D321" s="15" t="s">
        <v>13</v>
      </c>
      <c r="E321" s="15">
        <v>18</v>
      </c>
      <c r="F321" s="15">
        <v>9</v>
      </c>
      <c r="G321" s="15" t="s">
        <v>25</v>
      </c>
      <c r="H321" s="15" t="s">
        <v>76</v>
      </c>
      <c r="I321" s="15" t="s">
        <v>105</v>
      </c>
      <c r="J321" s="15">
        <v>82</v>
      </c>
    </row>
    <row r="322" spans="1:10" x14ac:dyDescent="0.3">
      <c r="A322" s="15" t="s">
        <v>630</v>
      </c>
      <c r="B322" s="15" t="s">
        <v>84</v>
      </c>
      <c r="C322" s="15" t="s">
        <v>96</v>
      </c>
      <c r="D322" s="15" t="s">
        <v>31</v>
      </c>
      <c r="E322" s="15">
        <v>19</v>
      </c>
      <c r="F322" s="15">
        <v>10</v>
      </c>
      <c r="G322" s="15" t="s">
        <v>43</v>
      </c>
      <c r="H322" s="15" t="s">
        <v>20</v>
      </c>
      <c r="I322" s="15" t="s">
        <v>631</v>
      </c>
      <c r="J322" s="15">
        <v>63</v>
      </c>
    </row>
    <row r="323" spans="1:10" x14ac:dyDescent="0.3">
      <c r="A323" s="15" t="s">
        <v>632</v>
      </c>
      <c r="B323" s="15" t="s">
        <v>54</v>
      </c>
      <c r="C323" s="15" t="s">
        <v>55</v>
      </c>
      <c r="D323" s="15" t="s">
        <v>31</v>
      </c>
      <c r="E323" s="15">
        <v>19</v>
      </c>
      <c r="F323" s="15">
        <v>11</v>
      </c>
      <c r="G323" s="15" t="s">
        <v>25</v>
      </c>
      <c r="H323" s="15" t="s">
        <v>61</v>
      </c>
      <c r="I323" s="15" t="s">
        <v>633</v>
      </c>
      <c r="J323" s="15">
        <v>82</v>
      </c>
    </row>
    <row r="324" spans="1:10" x14ac:dyDescent="0.3">
      <c r="A324" s="15" t="s">
        <v>634</v>
      </c>
      <c r="B324" s="15" t="s">
        <v>54</v>
      </c>
      <c r="C324" s="15" t="s">
        <v>30</v>
      </c>
      <c r="D324" s="15" t="s">
        <v>31</v>
      </c>
      <c r="E324" s="15">
        <v>15</v>
      </c>
      <c r="F324" s="15">
        <v>9</v>
      </c>
      <c r="G324" s="15" t="s">
        <v>25</v>
      </c>
      <c r="H324" s="15" t="s">
        <v>40</v>
      </c>
      <c r="I324" s="15" t="s">
        <v>635</v>
      </c>
      <c r="J324" s="15">
        <v>53</v>
      </c>
    </row>
    <row r="325" spans="1:10" x14ac:dyDescent="0.3">
      <c r="A325" s="15" t="s">
        <v>636</v>
      </c>
      <c r="B325" s="15" t="s">
        <v>11</v>
      </c>
      <c r="C325" s="15" t="s">
        <v>79</v>
      </c>
      <c r="D325" s="15" t="s">
        <v>13</v>
      </c>
      <c r="E325" s="15">
        <v>19</v>
      </c>
      <c r="F325" s="15">
        <v>9</v>
      </c>
      <c r="G325" s="15" t="s">
        <v>32</v>
      </c>
      <c r="H325" s="15" t="s">
        <v>76</v>
      </c>
      <c r="I325" s="15" t="s">
        <v>637</v>
      </c>
      <c r="J325" s="15">
        <v>97</v>
      </c>
    </row>
    <row r="326" spans="1:10" x14ac:dyDescent="0.3">
      <c r="A326" s="15" t="s">
        <v>638</v>
      </c>
      <c r="B326" s="15" t="s">
        <v>54</v>
      </c>
      <c r="C326" s="15" t="s">
        <v>12</v>
      </c>
      <c r="D326" s="15" t="s">
        <v>31</v>
      </c>
      <c r="E326" s="15">
        <v>15</v>
      </c>
      <c r="F326" s="15">
        <v>12</v>
      </c>
      <c r="G326" s="15" t="s">
        <v>43</v>
      </c>
      <c r="H326" s="15" t="s">
        <v>76</v>
      </c>
      <c r="I326" s="15" t="s">
        <v>639</v>
      </c>
      <c r="J326" s="15">
        <v>51</v>
      </c>
    </row>
    <row r="327" spans="1:10" x14ac:dyDescent="0.3">
      <c r="A327" s="15" t="s">
        <v>640</v>
      </c>
      <c r="B327" s="15" t="s">
        <v>84</v>
      </c>
      <c r="C327" s="15" t="s">
        <v>79</v>
      </c>
      <c r="D327" s="15" t="s">
        <v>31</v>
      </c>
      <c r="E327" s="15">
        <v>14</v>
      </c>
      <c r="F327" s="15">
        <v>9</v>
      </c>
      <c r="G327" s="15" t="s">
        <v>14</v>
      </c>
      <c r="H327" s="15" t="s">
        <v>37</v>
      </c>
      <c r="I327" s="15" t="s">
        <v>641</v>
      </c>
      <c r="J327" s="15">
        <v>43</v>
      </c>
    </row>
    <row r="328" spans="1:10" x14ac:dyDescent="0.3">
      <c r="A328" s="15" t="s">
        <v>642</v>
      </c>
      <c r="B328" s="15" t="s">
        <v>18</v>
      </c>
      <c r="C328" s="15" t="s">
        <v>19</v>
      </c>
      <c r="D328" s="15" t="s">
        <v>13</v>
      </c>
      <c r="E328" s="15">
        <v>14</v>
      </c>
      <c r="F328" s="15">
        <v>9</v>
      </c>
      <c r="G328" s="15" t="s">
        <v>43</v>
      </c>
      <c r="H328" s="15" t="s">
        <v>20</v>
      </c>
      <c r="I328" s="15" t="s">
        <v>643</v>
      </c>
      <c r="J328" s="15">
        <v>57</v>
      </c>
    </row>
    <row r="329" spans="1:10" x14ac:dyDescent="0.3">
      <c r="A329" s="15" t="s">
        <v>644</v>
      </c>
      <c r="B329" s="15" t="s">
        <v>51</v>
      </c>
      <c r="C329" s="15" t="s">
        <v>36</v>
      </c>
      <c r="D329" s="15" t="s">
        <v>31</v>
      </c>
      <c r="E329" s="15">
        <v>16</v>
      </c>
      <c r="F329" s="15">
        <v>11</v>
      </c>
      <c r="G329" s="15" t="s">
        <v>43</v>
      </c>
      <c r="H329" s="15" t="s">
        <v>20</v>
      </c>
      <c r="I329" s="15" t="s">
        <v>645</v>
      </c>
      <c r="J329" s="15">
        <v>81</v>
      </c>
    </row>
    <row r="330" spans="1:10" x14ac:dyDescent="0.3">
      <c r="A330" s="15" t="s">
        <v>646</v>
      </c>
      <c r="B330" s="15" t="s">
        <v>84</v>
      </c>
      <c r="C330" s="15" t="s">
        <v>12</v>
      </c>
      <c r="D330" s="15" t="s">
        <v>31</v>
      </c>
      <c r="E330" s="15">
        <v>17</v>
      </c>
      <c r="F330" s="15">
        <v>12</v>
      </c>
      <c r="G330" s="15" t="s">
        <v>25</v>
      </c>
      <c r="H330" s="15" t="s">
        <v>76</v>
      </c>
      <c r="I330" s="15" t="s">
        <v>647</v>
      </c>
      <c r="J330" s="15">
        <v>83</v>
      </c>
    </row>
    <row r="331" spans="1:10" x14ac:dyDescent="0.3">
      <c r="A331" s="15" t="s">
        <v>648</v>
      </c>
      <c r="B331" s="15" t="s">
        <v>51</v>
      </c>
      <c r="C331" s="15" t="s">
        <v>79</v>
      </c>
      <c r="D331" s="15" t="s">
        <v>13</v>
      </c>
      <c r="E331" s="15">
        <v>14</v>
      </c>
      <c r="F331" s="15">
        <v>9</v>
      </c>
      <c r="G331" s="15" t="s">
        <v>25</v>
      </c>
      <c r="H331" s="15" t="s">
        <v>15</v>
      </c>
      <c r="I331" s="15" t="s">
        <v>649</v>
      </c>
      <c r="J331" s="15">
        <v>77</v>
      </c>
    </row>
    <row r="332" spans="1:10" x14ac:dyDescent="0.3">
      <c r="A332" s="15" t="s">
        <v>650</v>
      </c>
      <c r="B332" s="15" t="s">
        <v>23</v>
      </c>
      <c r="C332" s="15" t="s">
        <v>24</v>
      </c>
      <c r="D332" s="15" t="s">
        <v>13</v>
      </c>
      <c r="E332" s="15">
        <v>17</v>
      </c>
      <c r="F332" s="15">
        <v>12</v>
      </c>
      <c r="G332" s="15" t="s">
        <v>25</v>
      </c>
      <c r="H332" s="15" t="s">
        <v>46</v>
      </c>
      <c r="I332" s="15" t="s">
        <v>651</v>
      </c>
      <c r="J332" s="15">
        <v>45</v>
      </c>
    </row>
    <row r="333" spans="1:10" x14ac:dyDescent="0.3">
      <c r="A333" s="15" t="s">
        <v>652</v>
      </c>
      <c r="B333" s="15" t="s">
        <v>51</v>
      </c>
      <c r="C333" s="15" t="s">
        <v>55</v>
      </c>
      <c r="D333" s="15" t="s">
        <v>13</v>
      </c>
      <c r="E333" s="15">
        <v>16</v>
      </c>
      <c r="F333" s="15">
        <v>12</v>
      </c>
      <c r="G333" s="15" t="s">
        <v>32</v>
      </c>
      <c r="H333" s="15" t="s">
        <v>61</v>
      </c>
      <c r="I333" s="15" t="s">
        <v>653</v>
      </c>
      <c r="J333" s="15">
        <v>45</v>
      </c>
    </row>
    <row r="334" spans="1:10" x14ac:dyDescent="0.3">
      <c r="A334" s="15" t="s">
        <v>654</v>
      </c>
      <c r="B334" s="15" t="s">
        <v>18</v>
      </c>
      <c r="C334" s="15" t="s">
        <v>24</v>
      </c>
      <c r="D334" s="15" t="s">
        <v>31</v>
      </c>
      <c r="E334" s="15">
        <v>14</v>
      </c>
      <c r="F334" s="15">
        <v>12</v>
      </c>
      <c r="G334" s="15" t="s">
        <v>14</v>
      </c>
      <c r="H334" s="15" t="s">
        <v>46</v>
      </c>
      <c r="I334" s="15" t="s">
        <v>655</v>
      </c>
      <c r="J334" s="15">
        <v>42</v>
      </c>
    </row>
    <row r="335" spans="1:10" x14ac:dyDescent="0.3">
      <c r="A335" s="15" t="s">
        <v>656</v>
      </c>
      <c r="B335" s="15" t="s">
        <v>29</v>
      </c>
      <c r="C335" s="15" t="s">
        <v>30</v>
      </c>
      <c r="D335" s="15" t="s">
        <v>13</v>
      </c>
      <c r="E335" s="15">
        <v>19</v>
      </c>
      <c r="F335" s="15">
        <v>10</v>
      </c>
      <c r="G335" s="15" t="s">
        <v>43</v>
      </c>
      <c r="H335" s="15" t="s">
        <v>15</v>
      </c>
      <c r="I335" s="15" t="s">
        <v>657</v>
      </c>
      <c r="J335" s="15">
        <v>85</v>
      </c>
    </row>
    <row r="336" spans="1:10" x14ac:dyDescent="0.3">
      <c r="A336" s="15" t="s">
        <v>658</v>
      </c>
      <c r="B336" s="15" t="s">
        <v>11</v>
      </c>
      <c r="C336" s="15" t="s">
        <v>96</v>
      </c>
      <c r="D336" s="15" t="s">
        <v>31</v>
      </c>
      <c r="E336" s="15">
        <v>20</v>
      </c>
      <c r="F336" s="15">
        <v>10</v>
      </c>
      <c r="G336" s="15" t="s">
        <v>43</v>
      </c>
      <c r="H336" s="15" t="s">
        <v>37</v>
      </c>
      <c r="I336" s="15" t="s">
        <v>659</v>
      </c>
      <c r="J336" s="15">
        <v>62</v>
      </c>
    </row>
    <row r="337" spans="1:10" x14ac:dyDescent="0.3">
      <c r="A337" s="15" t="s">
        <v>660</v>
      </c>
      <c r="B337" s="15" t="s">
        <v>23</v>
      </c>
      <c r="C337" s="15" t="s">
        <v>12</v>
      </c>
      <c r="D337" s="15" t="s">
        <v>13</v>
      </c>
      <c r="E337" s="15">
        <v>16</v>
      </c>
      <c r="F337" s="15">
        <v>11</v>
      </c>
      <c r="G337" s="15" t="s">
        <v>25</v>
      </c>
      <c r="H337" s="15" t="s">
        <v>40</v>
      </c>
      <c r="I337" s="15" t="s">
        <v>41</v>
      </c>
      <c r="J337" s="15">
        <v>86</v>
      </c>
    </row>
    <row r="338" spans="1:10" x14ac:dyDescent="0.3">
      <c r="A338" s="15" t="s">
        <v>661</v>
      </c>
      <c r="B338" s="15" t="s">
        <v>54</v>
      </c>
      <c r="C338" s="15" t="s">
        <v>12</v>
      </c>
      <c r="D338" s="15" t="s">
        <v>31</v>
      </c>
      <c r="E338" s="15">
        <v>19</v>
      </c>
      <c r="F338" s="15">
        <v>10</v>
      </c>
      <c r="G338" s="15" t="s">
        <v>14</v>
      </c>
      <c r="H338" s="15" t="s">
        <v>76</v>
      </c>
      <c r="I338" s="15" t="s">
        <v>662</v>
      </c>
      <c r="J338" s="15">
        <v>54</v>
      </c>
    </row>
    <row r="339" spans="1:10" x14ac:dyDescent="0.3">
      <c r="A339" s="15" t="s">
        <v>663</v>
      </c>
      <c r="B339" s="15" t="s">
        <v>73</v>
      </c>
      <c r="C339" s="15" t="s">
        <v>36</v>
      </c>
      <c r="D339" s="15" t="s">
        <v>13</v>
      </c>
      <c r="E339" s="15">
        <v>20</v>
      </c>
      <c r="F339" s="15">
        <v>12</v>
      </c>
      <c r="G339" s="15" t="s">
        <v>25</v>
      </c>
      <c r="H339" s="15" t="s">
        <v>40</v>
      </c>
      <c r="I339" s="15" t="s">
        <v>664</v>
      </c>
      <c r="J339" s="15">
        <v>50</v>
      </c>
    </row>
    <row r="340" spans="1:10" x14ac:dyDescent="0.3">
      <c r="A340" s="15" t="s">
        <v>665</v>
      </c>
      <c r="B340" s="15" t="s">
        <v>51</v>
      </c>
      <c r="C340" s="15" t="s">
        <v>96</v>
      </c>
      <c r="D340" s="15" t="s">
        <v>13</v>
      </c>
      <c r="E340" s="15">
        <v>14</v>
      </c>
      <c r="F340" s="15">
        <v>10</v>
      </c>
      <c r="G340" s="15" t="s">
        <v>14</v>
      </c>
      <c r="H340" s="15" t="s">
        <v>37</v>
      </c>
      <c r="I340" s="15" t="s">
        <v>666</v>
      </c>
      <c r="J340" s="15">
        <v>68</v>
      </c>
    </row>
    <row r="341" spans="1:10" x14ac:dyDescent="0.3">
      <c r="A341" s="15" t="s">
        <v>667</v>
      </c>
      <c r="B341" s="15" t="s">
        <v>35</v>
      </c>
      <c r="C341" s="15" t="s">
        <v>12</v>
      </c>
      <c r="D341" s="15" t="s">
        <v>31</v>
      </c>
      <c r="E341" s="15">
        <v>15</v>
      </c>
      <c r="F341" s="15">
        <v>12</v>
      </c>
      <c r="G341" s="15" t="s">
        <v>14</v>
      </c>
      <c r="H341" s="15" t="s">
        <v>46</v>
      </c>
      <c r="I341" s="15" t="s">
        <v>668</v>
      </c>
      <c r="J341" s="15">
        <v>82</v>
      </c>
    </row>
    <row r="342" spans="1:10" x14ac:dyDescent="0.3">
      <c r="A342" s="15" t="s">
        <v>669</v>
      </c>
      <c r="B342" s="15" t="s">
        <v>11</v>
      </c>
      <c r="C342" s="15" t="s">
        <v>24</v>
      </c>
      <c r="D342" s="15" t="s">
        <v>13</v>
      </c>
      <c r="E342" s="15">
        <v>19</v>
      </c>
      <c r="F342" s="15">
        <v>9</v>
      </c>
      <c r="G342" s="15" t="s">
        <v>32</v>
      </c>
      <c r="H342" s="15" t="s">
        <v>40</v>
      </c>
      <c r="I342" s="15" t="s">
        <v>670</v>
      </c>
      <c r="J342" s="15">
        <v>51</v>
      </c>
    </row>
    <row r="343" spans="1:10" x14ac:dyDescent="0.3">
      <c r="A343" s="15" t="s">
        <v>671</v>
      </c>
      <c r="B343" s="15" t="s">
        <v>11</v>
      </c>
      <c r="C343" s="15" t="s">
        <v>36</v>
      </c>
      <c r="D343" s="15" t="s">
        <v>13</v>
      </c>
      <c r="E343" s="15">
        <v>14</v>
      </c>
      <c r="F343" s="15">
        <v>10</v>
      </c>
      <c r="G343" s="15" t="s">
        <v>32</v>
      </c>
      <c r="H343" s="15" t="s">
        <v>40</v>
      </c>
      <c r="I343" s="15" t="s">
        <v>672</v>
      </c>
      <c r="J343" s="15">
        <v>64</v>
      </c>
    </row>
    <row r="344" spans="1:10" x14ac:dyDescent="0.3">
      <c r="A344" s="15" t="s">
        <v>673</v>
      </c>
      <c r="B344" s="15" t="s">
        <v>11</v>
      </c>
      <c r="C344" s="15" t="s">
        <v>19</v>
      </c>
      <c r="D344" s="15" t="s">
        <v>31</v>
      </c>
      <c r="E344" s="15">
        <v>17</v>
      </c>
      <c r="F344" s="15">
        <v>10</v>
      </c>
      <c r="G344" s="15" t="s">
        <v>32</v>
      </c>
      <c r="H344" s="15" t="s">
        <v>46</v>
      </c>
      <c r="I344" s="15" t="s">
        <v>674</v>
      </c>
      <c r="J344" s="15">
        <v>85</v>
      </c>
    </row>
    <row r="345" spans="1:10" x14ac:dyDescent="0.3">
      <c r="A345" s="15" t="s">
        <v>675</v>
      </c>
      <c r="B345" s="15" t="s">
        <v>73</v>
      </c>
      <c r="C345" s="15" t="s">
        <v>24</v>
      </c>
      <c r="D345" s="15" t="s">
        <v>13</v>
      </c>
      <c r="E345" s="15">
        <v>19</v>
      </c>
      <c r="F345" s="15">
        <v>11</v>
      </c>
      <c r="G345" s="15" t="s">
        <v>14</v>
      </c>
      <c r="H345" s="15" t="s">
        <v>37</v>
      </c>
      <c r="I345" s="15" t="s">
        <v>676</v>
      </c>
      <c r="J345" s="15">
        <v>51</v>
      </c>
    </row>
    <row r="346" spans="1:10" x14ac:dyDescent="0.3">
      <c r="A346" s="15" t="s">
        <v>677</v>
      </c>
      <c r="B346" s="15" t="s">
        <v>23</v>
      </c>
      <c r="C346" s="15" t="s">
        <v>85</v>
      </c>
      <c r="D346" s="15" t="s">
        <v>13</v>
      </c>
      <c r="E346" s="15">
        <v>20</v>
      </c>
      <c r="F346" s="15">
        <v>10</v>
      </c>
      <c r="G346" s="15" t="s">
        <v>32</v>
      </c>
      <c r="H346" s="15" t="s">
        <v>40</v>
      </c>
      <c r="I346" s="15" t="s">
        <v>678</v>
      </c>
      <c r="J346" s="15">
        <v>56</v>
      </c>
    </row>
    <row r="347" spans="1:10" x14ac:dyDescent="0.3">
      <c r="A347" s="15" t="s">
        <v>679</v>
      </c>
      <c r="B347" s="15" t="s">
        <v>18</v>
      </c>
      <c r="C347" s="15" t="s">
        <v>96</v>
      </c>
      <c r="D347" s="15" t="s">
        <v>13</v>
      </c>
      <c r="E347" s="15">
        <v>14</v>
      </c>
      <c r="F347" s="15">
        <v>12</v>
      </c>
      <c r="G347" s="15" t="s">
        <v>32</v>
      </c>
      <c r="H347" s="15" t="s">
        <v>46</v>
      </c>
      <c r="I347" s="15" t="s">
        <v>680</v>
      </c>
      <c r="J347" s="15">
        <v>44</v>
      </c>
    </row>
    <row r="348" spans="1:10" x14ac:dyDescent="0.3">
      <c r="A348" s="15" t="s">
        <v>681</v>
      </c>
      <c r="B348" s="15" t="s">
        <v>35</v>
      </c>
      <c r="C348" s="15" t="s">
        <v>36</v>
      </c>
      <c r="D348" s="15" t="s">
        <v>13</v>
      </c>
      <c r="E348" s="15">
        <v>14</v>
      </c>
      <c r="F348" s="15">
        <v>9</v>
      </c>
      <c r="G348" s="15" t="s">
        <v>43</v>
      </c>
      <c r="H348" s="15" t="s">
        <v>46</v>
      </c>
      <c r="I348" s="15" t="s">
        <v>682</v>
      </c>
      <c r="J348" s="15">
        <v>67</v>
      </c>
    </row>
    <row r="349" spans="1:10" x14ac:dyDescent="0.3">
      <c r="A349" s="15" t="s">
        <v>683</v>
      </c>
      <c r="B349" s="15" t="s">
        <v>84</v>
      </c>
      <c r="C349" s="15" t="s">
        <v>55</v>
      </c>
      <c r="D349" s="15" t="s">
        <v>31</v>
      </c>
      <c r="E349" s="15">
        <v>16</v>
      </c>
      <c r="F349" s="15">
        <v>12</v>
      </c>
      <c r="G349" s="15" t="s">
        <v>14</v>
      </c>
      <c r="H349" s="15" t="s">
        <v>76</v>
      </c>
      <c r="I349" s="15" t="s">
        <v>125</v>
      </c>
      <c r="J349" s="15">
        <v>60</v>
      </c>
    </row>
    <row r="350" spans="1:10" x14ac:dyDescent="0.3">
      <c r="A350" s="15" t="s">
        <v>684</v>
      </c>
      <c r="B350" s="15" t="s">
        <v>54</v>
      </c>
      <c r="C350" s="15" t="s">
        <v>24</v>
      </c>
      <c r="D350" s="15" t="s">
        <v>31</v>
      </c>
      <c r="E350" s="15">
        <v>17</v>
      </c>
      <c r="F350" s="15">
        <v>10</v>
      </c>
      <c r="G350" s="15" t="s">
        <v>43</v>
      </c>
      <c r="H350" s="15" t="s">
        <v>46</v>
      </c>
      <c r="I350" s="15" t="s">
        <v>685</v>
      </c>
      <c r="J350" s="15">
        <v>74</v>
      </c>
    </row>
    <row r="351" spans="1:10" x14ac:dyDescent="0.3">
      <c r="A351" s="15" t="s">
        <v>686</v>
      </c>
      <c r="B351" s="15" t="s">
        <v>23</v>
      </c>
      <c r="C351" s="15" t="s">
        <v>96</v>
      </c>
      <c r="D351" s="15" t="s">
        <v>31</v>
      </c>
      <c r="E351" s="15">
        <v>16</v>
      </c>
      <c r="F351" s="15">
        <v>9</v>
      </c>
      <c r="G351" s="15" t="s">
        <v>25</v>
      </c>
      <c r="H351" s="15" t="s">
        <v>20</v>
      </c>
      <c r="I351" s="15" t="s">
        <v>277</v>
      </c>
      <c r="J351" s="15">
        <v>71</v>
      </c>
    </row>
    <row r="352" spans="1:10" x14ac:dyDescent="0.3">
      <c r="A352" s="15" t="s">
        <v>687</v>
      </c>
      <c r="B352" s="15" t="s">
        <v>84</v>
      </c>
      <c r="C352" s="15" t="s">
        <v>19</v>
      </c>
      <c r="D352" s="15" t="s">
        <v>13</v>
      </c>
      <c r="E352" s="15">
        <v>16</v>
      </c>
      <c r="F352" s="15">
        <v>10</v>
      </c>
      <c r="G352" s="15" t="s">
        <v>25</v>
      </c>
      <c r="H352" s="15" t="s">
        <v>46</v>
      </c>
      <c r="I352" s="15" t="s">
        <v>564</v>
      </c>
      <c r="J352" s="15">
        <v>52</v>
      </c>
    </row>
    <row r="353" spans="1:10" x14ac:dyDescent="0.3">
      <c r="A353" s="15" t="s">
        <v>688</v>
      </c>
      <c r="B353" s="15" t="s">
        <v>23</v>
      </c>
      <c r="C353" s="15" t="s">
        <v>96</v>
      </c>
      <c r="D353" s="15" t="s">
        <v>31</v>
      </c>
      <c r="E353" s="15">
        <v>19</v>
      </c>
      <c r="F353" s="15">
        <v>10</v>
      </c>
      <c r="G353" s="15" t="s">
        <v>25</v>
      </c>
      <c r="H353" s="15" t="s">
        <v>40</v>
      </c>
      <c r="I353" s="15" t="s">
        <v>195</v>
      </c>
      <c r="J353" s="15">
        <v>55</v>
      </c>
    </row>
    <row r="354" spans="1:10" x14ac:dyDescent="0.3">
      <c r="A354" s="15" t="s">
        <v>689</v>
      </c>
      <c r="B354" s="15" t="s">
        <v>68</v>
      </c>
      <c r="C354" s="15" t="s">
        <v>96</v>
      </c>
      <c r="D354" s="15" t="s">
        <v>13</v>
      </c>
      <c r="E354" s="15">
        <v>20</v>
      </c>
      <c r="F354" s="15">
        <v>12</v>
      </c>
      <c r="G354" s="15" t="s">
        <v>43</v>
      </c>
      <c r="H354" s="15" t="s">
        <v>20</v>
      </c>
      <c r="I354" s="15" t="s">
        <v>626</v>
      </c>
      <c r="J354" s="15">
        <v>48</v>
      </c>
    </row>
    <row r="355" spans="1:10" x14ac:dyDescent="0.3">
      <c r="A355" s="15" t="s">
        <v>690</v>
      </c>
      <c r="B355" s="15" t="s">
        <v>23</v>
      </c>
      <c r="C355" s="15" t="s">
        <v>85</v>
      </c>
      <c r="D355" s="15" t="s">
        <v>13</v>
      </c>
      <c r="E355" s="15">
        <v>19</v>
      </c>
      <c r="F355" s="15">
        <v>9</v>
      </c>
      <c r="G355" s="15" t="s">
        <v>14</v>
      </c>
      <c r="H355" s="15" t="s">
        <v>76</v>
      </c>
      <c r="I355" s="15" t="s">
        <v>635</v>
      </c>
      <c r="J355" s="15">
        <v>91</v>
      </c>
    </row>
    <row r="356" spans="1:10" x14ac:dyDescent="0.3">
      <c r="A356" s="15" t="s">
        <v>691</v>
      </c>
      <c r="B356" s="15" t="s">
        <v>84</v>
      </c>
      <c r="C356" s="15" t="s">
        <v>55</v>
      </c>
      <c r="D356" s="15" t="s">
        <v>13</v>
      </c>
      <c r="E356" s="15">
        <v>16</v>
      </c>
      <c r="F356" s="15">
        <v>10</v>
      </c>
      <c r="G356" s="15" t="s">
        <v>43</v>
      </c>
      <c r="H356" s="15" t="s">
        <v>46</v>
      </c>
      <c r="I356" s="15" t="s">
        <v>692</v>
      </c>
      <c r="J356" s="15">
        <v>91</v>
      </c>
    </row>
    <row r="357" spans="1:10" x14ac:dyDescent="0.3">
      <c r="A357" s="15" t="s">
        <v>693</v>
      </c>
      <c r="B357" s="15" t="s">
        <v>73</v>
      </c>
      <c r="C357" s="15" t="s">
        <v>58</v>
      </c>
      <c r="D357" s="15" t="s">
        <v>31</v>
      </c>
      <c r="E357" s="15">
        <v>16</v>
      </c>
      <c r="F357" s="15">
        <v>11</v>
      </c>
      <c r="G357" s="15" t="s">
        <v>25</v>
      </c>
      <c r="H357" s="15" t="s">
        <v>37</v>
      </c>
      <c r="I357" s="15" t="s">
        <v>694</v>
      </c>
      <c r="J357" s="15">
        <v>65</v>
      </c>
    </row>
    <row r="358" spans="1:10" x14ac:dyDescent="0.3">
      <c r="A358" s="15" t="s">
        <v>695</v>
      </c>
      <c r="B358" s="15" t="s">
        <v>51</v>
      </c>
      <c r="C358" s="15" t="s">
        <v>24</v>
      </c>
      <c r="D358" s="15" t="s">
        <v>13</v>
      </c>
      <c r="E358" s="15">
        <v>17</v>
      </c>
      <c r="F358" s="15">
        <v>9</v>
      </c>
      <c r="G358" s="15" t="s">
        <v>32</v>
      </c>
      <c r="H358" s="15" t="s">
        <v>15</v>
      </c>
      <c r="I358" s="15" t="s">
        <v>696</v>
      </c>
      <c r="J358" s="15">
        <v>69</v>
      </c>
    </row>
    <row r="359" spans="1:10" x14ac:dyDescent="0.3">
      <c r="A359" s="15" t="s">
        <v>697</v>
      </c>
      <c r="B359" s="15" t="s">
        <v>29</v>
      </c>
      <c r="C359" s="15" t="s">
        <v>30</v>
      </c>
      <c r="D359" s="15" t="s">
        <v>31</v>
      </c>
      <c r="E359" s="15">
        <v>19</v>
      </c>
      <c r="F359" s="15">
        <v>10</v>
      </c>
      <c r="G359" s="15" t="s">
        <v>25</v>
      </c>
      <c r="H359" s="15" t="s">
        <v>61</v>
      </c>
      <c r="I359" s="15" t="s">
        <v>698</v>
      </c>
      <c r="J359" s="15">
        <v>75</v>
      </c>
    </row>
    <row r="360" spans="1:10" x14ac:dyDescent="0.3">
      <c r="A360" s="15" t="s">
        <v>699</v>
      </c>
      <c r="B360" s="15" t="s">
        <v>11</v>
      </c>
      <c r="C360" s="15" t="s">
        <v>30</v>
      </c>
      <c r="D360" s="15" t="s">
        <v>31</v>
      </c>
      <c r="E360" s="15">
        <v>16</v>
      </c>
      <c r="F360" s="15">
        <v>11</v>
      </c>
      <c r="G360" s="15" t="s">
        <v>43</v>
      </c>
      <c r="H360" s="15" t="s">
        <v>40</v>
      </c>
      <c r="I360" s="15" t="s">
        <v>97</v>
      </c>
      <c r="J360" s="15">
        <v>72</v>
      </c>
    </row>
    <row r="361" spans="1:10" x14ac:dyDescent="0.3">
      <c r="A361" s="15" t="s">
        <v>700</v>
      </c>
      <c r="B361" s="15" t="s">
        <v>23</v>
      </c>
      <c r="C361" s="15" t="s">
        <v>55</v>
      </c>
      <c r="D361" s="15" t="s">
        <v>31</v>
      </c>
      <c r="E361" s="15">
        <v>20</v>
      </c>
      <c r="F361" s="15">
        <v>10</v>
      </c>
      <c r="G361" s="15" t="s">
        <v>14</v>
      </c>
      <c r="H361" s="15" t="s">
        <v>15</v>
      </c>
      <c r="I361" s="15" t="s">
        <v>678</v>
      </c>
      <c r="J361" s="15">
        <v>59</v>
      </c>
    </row>
    <row r="362" spans="1:10" x14ac:dyDescent="0.3">
      <c r="A362" s="15" t="s">
        <v>701</v>
      </c>
      <c r="B362" s="15" t="s">
        <v>54</v>
      </c>
      <c r="C362" s="15" t="s">
        <v>30</v>
      </c>
      <c r="D362" s="15" t="s">
        <v>31</v>
      </c>
      <c r="E362" s="15">
        <v>15</v>
      </c>
      <c r="F362" s="15">
        <v>11</v>
      </c>
      <c r="G362" s="15" t="s">
        <v>14</v>
      </c>
      <c r="H362" s="15" t="s">
        <v>76</v>
      </c>
      <c r="I362" s="15" t="s">
        <v>702</v>
      </c>
      <c r="J362" s="15">
        <v>42</v>
      </c>
    </row>
    <row r="363" spans="1:10" x14ac:dyDescent="0.3">
      <c r="A363" s="15" t="s">
        <v>703</v>
      </c>
      <c r="B363" s="15" t="s">
        <v>73</v>
      </c>
      <c r="C363" s="15" t="s">
        <v>30</v>
      </c>
      <c r="D363" s="15" t="s">
        <v>31</v>
      </c>
      <c r="E363" s="15">
        <v>17</v>
      </c>
      <c r="F363" s="15">
        <v>12</v>
      </c>
      <c r="G363" s="15" t="s">
        <v>32</v>
      </c>
      <c r="H363" s="15" t="s">
        <v>40</v>
      </c>
      <c r="I363" s="15" t="s">
        <v>704</v>
      </c>
      <c r="J363" s="15">
        <v>93</v>
      </c>
    </row>
    <row r="364" spans="1:10" x14ac:dyDescent="0.3">
      <c r="A364" s="15" t="s">
        <v>705</v>
      </c>
      <c r="B364" s="15" t="s">
        <v>84</v>
      </c>
      <c r="C364" s="15" t="s">
        <v>55</v>
      </c>
      <c r="D364" s="15" t="s">
        <v>31</v>
      </c>
      <c r="E364" s="15">
        <v>14</v>
      </c>
      <c r="F364" s="15">
        <v>12</v>
      </c>
      <c r="G364" s="15" t="s">
        <v>43</v>
      </c>
      <c r="H364" s="15" t="s">
        <v>76</v>
      </c>
      <c r="I364" s="15" t="s">
        <v>706</v>
      </c>
      <c r="J364" s="15">
        <v>63</v>
      </c>
    </row>
    <row r="365" spans="1:10" x14ac:dyDescent="0.3">
      <c r="A365" s="15" t="s">
        <v>707</v>
      </c>
      <c r="B365" s="15" t="s">
        <v>68</v>
      </c>
      <c r="C365" s="15" t="s">
        <v>96</v>
      </c>
      <c r="D365" s="15" t="s">
        <v>31</v>
      </c>
      <c r="E365" s="15">
        <v>20</v>
      </c>
      <c r="F365" s="15">
        <v>12</v>
      </c>
      <c r="G365" s="15" t="s">
        <v>43</v>
      </c>
      <c r="H365" s="15" t="s">
        <v>37</v>
      </c>
      <c r="I365" s="15" t="s">
        <v>708</v>
      </c>
      <c r="J365" s="15">
        <v>35</v>
      </c>
    </row>
    <row r="366" spans="1:10" x14ac:dyDescent="0.3">
      <c r="A366" s="15" t="s">
        <v>709</v>
      </c>
      <c r="B366" s="15" t="s">
        <v>54</v>
      </c>
      <c r="C366" s="15" t="s">
        <v>19</v>
      </c>
      <c r="D366" s="15" t="s">
        <v>31</v>
      </c>
      <c r="E366" s="15">
        <v>18</v>
      </c>
      <c r="F366" s="15">
        <v>10</v>
      </c>
      <c r="G366" s="15" t="s">
        <v>43</v>
      </c>
      <c r="H366" s="15" t="s">
        <v>37</v>
      </c>
      <c r="I366" s="15" t="s">
        <v>710</v>
      </c>
      <c r="J366" s="15">
        <v>89</v>
      </c>
    </row>
    <row r="367" spans="1:10" x14ac:dyDescent="0.3">
      <c r="A367" s="15" t="s">
        <v>711</v>
      </c>
      <c r="B367" s="15" t="s">
        <v>29</v>
      </c>
      <c r="C367" s="15" t="s">
        <v>79</v>
      </c>
      <c r="D367" s="15" t="s">
        <v>13</v>
      </c>
      <c r="E367" s="15">
        <v>14</v>
      </c>
      <c r="F367" s="15">
        <v>9</v>
      </c>
      <c r="G367" s="15" t="s">
        <v>32</v>
      </c>
      <c r="H367" s="15" t="s">
        <v>15</v>
      </c>
      <c r="I367" s="15" t="s">
        <v>712</v>
      </c>
      <c r="J367" s="15">
        <v>72</v>
      </c>
    </row>
    <row r="368" spans="1:10" x14ac:dyDescent="0.3">
      <c r="A368" s="15" t="s">
        <v>713</v>
      </c>
      <c r="B368" s="15" t="s">
        <v>29</v>
      </c>
      <c r="C368" s="15" t="s">
        <v>24</v>
      </c>
      <c r="D368" s="15" t="s">
        <v>31</v>
      </c>
      <c r="E368" s="15">
        <v>16</v>
      </c>
      <c r="F368" s="15">
        <v>12</v>
      </c>
      <c r="G368" s="15" t="s">
        <v>32</v>
      </c>
      <c r="H368" s="15" t="s">
        <v>26</v>
      </c>
      <c r="I368" s="15" t="s">
        <v>714</v>
      </c>
      <c r="J368" s="15">
        <v>57</v>
      </c>
    </row>
    <row r="369" spans="1:10" x14ac:dyDescent="0.3">
      <c r="A369" s="15" t="s">
        <v>715</v>
      </c>
      <c r="B369" s="15" t="s">
        <v>51</v>
      </c>
      <c r="C369" s="15" t="s">
        <v>79</v>
      </c>
      <c r="D369" s="15" t="s">
        <v>13</v>
      </c>
      <c r="E369" s="15">
        <v>19</v>
      </c>
      <c r="F369" s="15">
        <v>10</v>
      </c>
      <c r="G369" s="15" t="s">
        <v>32</v>
      </c>
      <c r="H369" s="15" t="s">
        <v>40</v>
      </c>
      <c r="I369" s="15" t="s">
        <v>702</v>
      </c>
      <c r="J369" s="15">
        <v>84</v>
      </c>
    </row>
    <row r="370" spans="1:10" x14ac:dyDescent="0.3">
      <c r="A370" s="15" t="s">
        <v>716</v>
      </c>
      <c r="B370" s="15" t="s">
        <v>23</v>
      </c>
      <c r="C370" s="15" t="s">
        <v>58</v>
      </c>
      <c r="D370" s="15" t="s">
        <v>31</v>
      </c>
      <c r="E370" s="15">
        <v>17</v>
      </c>
      <c r="F370" s="15">
        <v>9</v>
      </c>
      <c r="G370" s="15" t="s">
        <v>25</v>
      </c>
      <c r="H370" s="15" t="s">
        <v>15</v>
      </c>
      <c r="I370" s="15" t="s">
        <v>717</v>
      </c>
      <c r="J370" s="15">
        <v>51</v>
      </c>
    </row>
    <row r="371" spans="1:10" x14ac:dyDescent="0.3">
      <c r="A371" s="15" t="s">
        <v>718</v>
      </c>
      <c r="B371" s="15" t="s">
        <v>84</v>
      </c>
      <c r="C371" s="15" t="s">
        <v>12</v>
      </c>
      <c r="D371" s="15" t="s">
        <v>31</v>
      </c>
      <c r="E371" s="15">
        <v>20</v>
      </c>
      <c r="F371" s="15">
        <v>10</v>
      </c>
      <c r="G371" s="15" t="s">
        <v>25</v>
      </c>
      <c r="H371" s="15" t="s">
        <v>61</v>
      </c>
      <c r="I371" s="15" t="s">
        <v>639</v>
      </c>
      <c r="J371" s="15">
        <v>35</v>
      </c>
    </row>
    <row r="372" spans="1:10" x14ac:dyDescent="0.3">
      <c r="A372" s="15" t="s">
        <v>719</v>
      </c>
      <c r="B372" s="15" t="s">
        <v>18</v>
      </c>
      <c r="C372" s="15" t="s">
        <v>24</v>
      </c>
      <c r="D372" s="15" t="s">
        <v>31</v>
      </c>
      <c r="E372" s="15">
        <v>18</v>
      </c>
      <c r="F372" s="15">
        <v>11</v>
      </c>
      <c r="G372" s="15" t="s">
        <v>43</v>
      </c>
      <c r="H372" s="15" t="s">
        <v>40</v>
      </c>
      <c r="I372" s="15" t="s">
        <v>720</v>
      </c>
      <c r="J372" s="15">
        <v>83</v>
      </c>
    </row>
    <row r="373" spans="1:10" x14ac:dyDescent="0.3">
      <c r="A373" s="15" t="s">
        <v>721</v>
      </c>
      <c r="B373" s="15" t="s">
        <v>23</v>
      </c>
      <c r="C373" s="15" t="s">
        <v>19</v>
      </c>
      <c r="D373" s="15" t="s">
        <v>31</v>
      </c>
      <c r="E373" s="15">
        <v>18</v>
      </c>
      <c r="F373" s="15">
        <v>10</v>
      </c>
      <c r="G373" s="15" t="s">
        <v>14</v>
      </c>
      <c r="H373" s="15" t="s">
        <v>26</v>
      </c>
      <c r="I373" s="15" t="s">
        <v>722</v>
      </c>
      <c r="J373" s="15">
        <v>43</v>
      </c>
    </row>
    <row r="374" spans="1:10" x14ac:dyDescent="0.3">
      <c r="A374" s="15" t="s">
        <v>723</v>
      </c>
      <c r="B374" s="15" t="s">
        <v>68</v>
      </c>
      <c r="C374" s="15" t="s">
        <v>79</v>
      </c>
      <c r="D374" s="15" t="s">
        <v>31</v>
      </c>
      <c r="E374" s="15">
        <v>19</v>
      </c>
      <c r="F374" s="15">
        <v>12</v>
      </c>
      <c r="G374" s="15" t="s">
        <v>25</v>
      </c>
      <c r="H374" s="15" t="s">
        <v>40</v>
      </c>
      <c r="I374" s="15" t="s">
        <v>724</v>
      </c>
      <c r="J374" s="15">
        <v>65</v>
      </c>
    </row>
    <row r="375" spans="1:10" x14ac:dyDescent="0.3">
      <c r="A375" s="15" t="s">
        <v>725</v>
      </c>
      <c r="B375" s="15" t="s">
        <v>11</v>
      </c>
      <c r="C375" s="15" t="s">
        <v>55</v>
      </c>
      <c r="D375" s="15" t="s">
        <v>31</v>
      </c>
      <c r="E375" s="15">
        <v>15</v>
      </c>
      <c r="F375" s="15">
        <v>9</v>
      </c>
      <c r="G375" s="15" t="s">
        <v>25</v>
      </c>
      <c r="H375" s="15" t="s">
        <v>37</v>
      </c>
      <c r="I375" s="15" t="s">
        <v>726</v>
      </c>
      <c r="J375" s="15">
        <v>72</v>
      </c>
    </row>
    <row r="376" spans="1:10" x14ac:dyDescent="0.3">
      <c r="A376" s="15" t="s">
        <v>727</v>
      </c>
      <c r="B376" s="15" t="s">
        <v>68</v>
      </c>
      <c r="C376" s="15" t="s">
        <v>12</v>
      </c>
      <c r="D376" s="15" t="s">
        <v>13</v>
      </c>
      <c r="E376" s="15">
        <v>14</v>
      </c>
      <c r="F376" s="15">
        <v>9</v>
      </c>
      <c r="G376" s="15" t="s">
        <v>14</v>
      </c>
      <c r="H376" s="15" t="s">
        <v>20</v>
      </c>
      <c r="I376" s="15" t="s">
        <v>728</v>
      </c>
      <c r="J376" s="15">
        <v>68</v>
      </c>
    </row>
    <row r="377" spans="1:10" x14ac:dyDescent="0.3">
      <c r="A377" s="15" t="s">
        <v>729</v>
      </c>
      <c r="B377" s="15" t="s">
        <v>35</v>
      </c>
      <c r="C377" s="15" t="s">
        <v>79</v>
      </c>
      <c r="D377" s="15" t="s">
        <v>13</v>
      </c>
      <c r="E377" s="15">
        <v>15</v>
      </c>
      <c r="F377" s="15">
        <v>9</v>
      </c>
      <c r="G377" s="15" t="s">
        <v>43</v>
      </c>
      <c r="H377" s="15" t="s">
        <v>76</v>
      </c>
      <c r="I377" s="15" t="s">
        <v>730</v>
      </c>
      <c r="J377" s="15">
        <v>39</v>
      </c>
    </row>
    <row r="378" spans="1:10" x14ac:dyDescent="0.3">
      <c r="A378" s="15" t="s">
        <v>731</v>
      </c>
      <c r="B378" s="15" t="s">
        <v>84</v>
      </c>
      <c r="C378" s="15" t="s">
        <v>85</v>
      </c>
      <c r="D378" s="15" t="s">
        <v>31</v>
      </c>
      <c r="E378" s="15">
        <v>17</v>
      </c>
      <c r="F378" s="15">
        <v>9</v>
      </c>
      <c r="G378" s="15" t="s">
        <v>43</v>
      </c>
      <c r="H378" s="15" t="s">
        <v>76</v>
      </c>
      <c r="I378" s="15" t="s">
        <v>732</v>
      </c>
      <c r="J378" s="15">
        <v>97</v>
      </c>
    </row>
    <row r="379" spans="1:10" x14ac:dyDescent="0.3">
      <c r="A379" s="15" t="s">
        <v>733</v>
      </c>
      <c r="B379" s="15" t="s">
        <v>84</v>
      </c>
      <c r="C379" s="15" t="s">
        <v>85</v>
      </c>
      <c r="D379" s="15" t="s">
        <v>31</v>
      </c>
      <c r="E379" s="15">
        <v>17</v>
      </c>
      <c r="F379" s="15">
        <v>12</v>
      </c>
      <c r="G379" s="15" t="s">
        <v>43</v>
      </c>
      <c r="H379" s="15" t="s">
        <v>15</v>
      </c>
      <c r="I379" s="15" t="s">
        <v>734</v>
      </c>
      <c r="J379" s="15">
        <v>77</v>
      </c>
    </row>
    <row r="380" spans="1:10" x14ac:dyDescent="0.3">
      <c r="A380" s="15" t="s">
        <v>735</v>
      </c>
      <c r="B380" s="15" t="s">
        <v>68</v>
      </c>
      <c r="C380" s="15" t="s">
        <v>24</v>
      </c>
      <c r="D380" s="15" t="s">
        <v>31</v>
      </c>
      <c r="E380" s="15">
        <v>16</v>
      </c>
      <c r="F380" s="15">
        <v>12</v>
      </c>
      <c r="G380" s="15" t="s">
        <v>43</v>
      </c>
      <c r="H380" s="15" t="s">
        <v>26</v>
      </c>
      <c r="I380" s="15" t="s">
        <v>736</v>
      </c>
      <c r="J380" s="15">
        <v>85</v>
      </c>
    </row>
    <row r="381" spans="1:10" x14ac:dyDescent="0.3">
      <c r="A381" s="15" t="s">
        <v>737</v>
      </c>
      <c r="B381" s="15" t="s">
        <v>54</v>
      </c>
      <c r="C381" s="15" t="s">
        <v>96</v>
      </c>
      <c r="D381" s="15" t="s">
        <v>13</v>
      </c>
      <c r="E381" s="15">
        <v>19</v>
      </c>
      <c r="F381" s="15">
        <v>12</v>
      </c>
      <c r="G381" s="15" t="s">
        <v>25</v>
      </c>
      <c r="H381" s="15" t="s">
        <v>20</v>
      </c>
      <c r="I381" s="15" t="s">
        <v>738</v>
      </c>
      <c r="J381" s="15">
        <v>85</v>
      </c>
    </row>
    <row r="382" spans="1:10" x14ac:dyDescent="0.3">
      <c r="A382" s="15" t="s">
        <v>739</v>
      </c>
      <c r="B382" s="15" t="s">
        <v>18</v>
      </c>
      <c r="C382" s="15" t="s">
        <v>79</v>
      </c>
      <c r="D382" s="15" t="s">
        <v>31</v>
      </c>
      <c r="E382" s="15">
        <v>14</v>
      </c>
      <c r="F382" s="15">
        <v>10</v>
      </c>
      <c r="G382" s="15" t="s">
        <v>32</v>
      </c>
      <c r="H382" s="15" t="s">
        <v>20</v>
      </c>
      <c r="I382" s="15" t="s">
        <v>740</v>
      </c>
      <c r="J382" s="15">
        <v>99</v>
      </c>
    </row>
    <row r="383" spans="1:10" x14ac:dyDescent="0.3">
      <c r="A383" s="15" t="s">
        <v>741</v>
      </c>
      <c r="B383" s="15" t="s">
        <v>54</v>
      </c>
      <c r="C383" s="15" t="s">
        <v>24</v>
      </c>
      <c r="D383" s="15" t="s">
        <v>13</v>
      </c>
      <c r="E383" s="15">
        <v>14</v>
      </c>
      <c r="F383" s="15">
        <v>9</v>
      </c>
      <c r="G383" s="15" t="s">
        <v>14</v>
      </c>
      <c r="H383" s="15" t="s">
        <v>76</v>
      </c>
      <c r="I383" s="15" t="s">
        <v>742</v>
      </c>
      <c r="J383" s="15">
        <v>55</v>
      </c>
    </row>
    <row r="384" spans="1:10" x14ac:dyDescent="0.3">
      <c r="A384" s="15" t="s">
        <v>743</v>
      </c>
      <c r="B384" s="15" t="s">
        <v>84</v>
      </c>
      <c r="C384" s="15" t="s">
        <v>19</v>
      </c>
      <c r="D384" s="15" t="s">
        <v>13</v>
      </c>
      <c r="E384" s="15">
        <v>15</v>
      </c>
      <c r="F384" s="15">
        <v>10</v>
      </c>
      <c r="G384" s="15" t="s">
        <v>43</v>
      </c>
      <c r="H384" s="15" t="s">
        <v>26</v>
      </c>
      <c r="I384" s="15" t="s">
        <v>744</v>
      </c>
      <c r="J384" s="15">
        <v>60</v>
      </c>
    </row>
    <row r="385" spans="1:10" x14ac:dyDescent="0.3">
      <c r="A385" s="15" t="s">
        <v>745</v>
      </c>
      <c r="B385" s="15" t="s">
        <v>73</v>
      </c>
      <c r="C385" s="15" t="s">
        <v>36</v>
      </c>
      <c r="D385" s="15" t="s">
        <v>13</v>
      </c>
      <c r="E385" s="15">
        <v>16</v>
      </c>
      <c r="F385" s="15">
        <v>9</v>
      </c>
      <c r="G385" s="15" t="s">
        <v>32</v>
      </c>
      <c r="H385" s="15" t="s">
        <v>76</v>
      </c>
      <c r="I385" s="15" t="s">
        <v>746</v>
      </c>
      <c r="J385" s="15">
        <v>38</v>
      </c>
    </row>
    <row r="386" spans="1:10" x14ac:dyDescent="0.3">
      <c r="A386" s="15" t="s">
        <v>747</v>
      </c>
      <c r="B386" s="15" t="s">
        <v>51</v>
      </c>
      <c r="C386" s="15" t="s">
        <v>96</v>
      </c>
      <c r="D386" s="15" t="s">
        <v>13</v>
      </c>
      <c r="E386" s="15">
        <v>17</v>
      </c>
      <c r="F386" s="15">
        <v>12</v>
      </c>
      <c r="G386" s="15" t="s">
        <v>14</v>
      </c>
      <c r="H386" s="15" t="s">
        <v>26</v>
      </c>
      <c r="I386" s="15" t="s">
        <v>748</v>
      </c>
      <c r="J386" s="15">
        <v>67</v>
      </c>
    </row>
    <row r="387" spans="1:10" x14ac:dyDescent="0.3">
      <c r="A387" s="15" t="s">
        <v>749</v>
      </c>
      <c r="B387" s="15" t="s">
        <v>84</v>
      </c>
      <c r="C387" s="15" t="s">
        <v>30</v>
      </c>
      <c r="D387" s="15" t="s">
        <v>13</v>
      </c>
      <c r="E387" s="15">
        <v>15</v>
      </c>
      <c r="F387" s="15">
        <v>12</v>
      </c>
      <c r="G387" s="15" t="s">
        <v>25</v>
      </c>
      <c r="H387" s="15" t="s">
        <v>61</v>
      </c>
      <c r="I387" s="15" t="s">
        <v>750</v>
      </c>
      <c r="J387" s="15">
        <v>95</v>
      </c>
    </row>
    <row r="388" spans="1:10" x14ac:dyDescent="0.3">
      <c r="A388" s="15" t="s">
        <v>751</v>
      </c>
      <c r="B388" s="15" t="s">
        <v>73</v>
      </c>
      <c r="C388" s="15" t="s">
        <v>79</v>
      </c>
      <c r="D388" s="15" t="s">
        <v>31</v>
      </c>
      <c r="E388" s="15">
        <v>20</v>
      </c>
      <c r="F388" s="15">
        <v>12</v>
      </c>
      <c r="G388" s="15" t="s">
        <v>25</v>
      </c>
      <c r="H388" s="15" t="s">
        <v>76</v>
      </c>
      <c r="I388" s="15" t="s">
        <v>752</v>
      </c>
      <c r="J388" s="15">
        <v>91</v>
      </c>
    </row>
    <row r="389" spans="1:10" x14ac:dyDescent="0.3">
      <c r="A389" s="15" t="s">
        <v>753</v>
      </c>
      <c r="B389" s="15" t="s">
        <v>73</v>
      </c>
      <c r="C389" s="15" t="s">
        <v>24</v>
      </c>
      <c r="D389" s="15" t="s">
        <v>13</v>
      </c>
      <c r="E389" s="15">
        <v>18</v>
      </c>
      <c r="F389" s="15">
        <v>11</v>
      </c>
      <c r="G389" s="15" t="s">
        <v>32</v>
      </c>
      <c r="H389" s="15" t="s">
        <v>40</v>
      </c>
      <c r="I389" s="15" t="s">
        <v>313</v>
      </c>
      <c r="J389" s="15">
        <v>58</v>
      </c>
    </row>
    <row r="390" spans="1:10" x14ac:dyDescent="0.3">
      <c r="A390" s="15" t="s">
        <v>754</v>
      </c>
      <c r="B390" s="15" t="s">
        <v>54</v>
      </c>
      <c r="C390" s="15" t="s">
        <v>12</v>
      </c>
      <c r="D390" s="15" t="s">
        <v>13</v>
      </c>
      <c r="E390" s="15">
        <v>14</v>
      </c>
      <c r="F390" s="15">
        <v>12</v>
      </c>
      <c r="G390" s="15" t="s">
        <v>32</v>
      </c>
      <c r="H390" s="15" t="s">
        <v>20</v>
      </c>
      <c r="I390" s="15" t="s">
        <v>755</v>
      </c>
      <c r="J390" s="15">
        <v>98</v>
      </c>
    </row>
    <row r="391" spans="1:10" x14ac:dyDescent="0.3">
      <c r="A391" s="15" t="s">
        <v>756</v>
      </c>
      <c r="B391" s="15" t="s">
        <v>11</v>
      </c>
      <c r="C391" s="15" t="s">
        <v>30</v>
      </c>
      <c r="D391" s="15" t="s">
        <v>13</v>
      </c>
      <c r="E391" s="15">
        <v>15</v>
      </c>
      <c r="F391" s="15">
        <v>11</v>
      </c>
      <c r="G391" s="15" t="s">
        <v>14</v>
      </c>
      <c r="H391" s="15" t="s">
        <v>76</v>
      </c>
      <c r="I391" s="15" t="s">
        <v>757</v>
      </c>
      <c r="J391" s="15">
        <v>39</v>
      </c>
    </row>
    <row r="392" spans="1:10" x14ac:dyDescent="0.3">
      <c r="A392" s="15" t="s">
        <v>758</v>
      </c>
      <c r="B392" s="15" t="s">
        <v>73</v>
      </c>
      <c r="C392" s="15" t="s">
        <v>12</v>
      </c>
      <c r="D392" s="15" t="s">
        <v>31</v>
      </c>
      <c r="E392" s="15">
        <v>16</v>
      </c>
      <c r="F392" s="15">
        <v>11</v>
      </c>
      <c r="G392" s="15" t="s">
        <v>43</v>
      </c>
      <c r="H392" s="15" t="s">
        <v>40</v>
      </c>
      <c r="I392" s="15" t="s">
        <v>759</v>
      </c>
      <c r="J392" s="15">
        <v>70</v>
      </c>
    </row>
    <row r="393" spans="1:10" x14ac:dyDescent="0.3">
      <c r="A393" s="15" t="s">
        <v>760</v>
      </c>
      <c r="B393" s="15" t="s">
        <v>84</v>
      </c>
      <c r="C393" s="15" t="s">
        <v>96</v>
      </c>
      <c r="D393" s="15" t="s">
        <v>31</v>
      </c>
      <c r="E393" s="15">
        <v>16</v>
      </c>
      <c r="F393" s="15">
        <v>11</v>
      </c>
      <c r="G393" s="15" t="s">
        <v>32</v>
      </c>
      <c r="H393" s="15" t="s">
        <v>76</v>
      </c>
      <c r="I393" s="15" t="s">
        <v>761</v>
      </c>
      <c r="J393" s="15">
        <v>83</v>
      </c>
    </row>
    <row r="394" spans="1:10" x14ac:dyDescent="0.3">
      <c r="A394" s="15" t="s">
        <v>762</v>
      </c>
      <c r="B394" s="15" t="s">
        <v>68</v>
      </c>
      <c r="C394" s="15" t="s">
        <v>85</v>
      </c>
      <c r="D394" s="15" t="s">
        <v>31</v>
      </c>
      <c r="E394" s="15">
        <v>20</v>
      </c>
      <c r="F394" s="15">
        <v>12</v>
      </c>
      <c r="G394" s="15" t="s">
        <v>43</v>
      </c>
      <c r="H394" s="15" t="s">
        <v>20</v>
      </c>
      <c r="I394" s="15" t="s">
        <v>763</v>
      </c>
      <c r="J394" s="15">
        <v>82</v>
      </c>
    </row>
    <row r="395" spans="1:10" x14ac:dyDescent="0.3">
      <c r="A395" s="15" t="s">
        <v>764</v>
      </c>
      <c r="B395" s="15" t="s">
        <v>18</v>
      </c>
      <c r="C395" s="15" t="s">
        <v>55</v>
      </c>
      <c r="D395" s="15" t="s">
        <v>13</v>
      </c>
      <c r="E395" s="15">
        <v>16</v>
      </c>
      <c r="F395" s="15">
        <v>12</v>
      </c>
      <c r="G395" s="15" t="s">
        <v>14</v>
      </c>
      <c r="H395" s="15" t="s">
        <v>40</v>
      </c>
      <c r="I395" s="15" t="s">
        <v>765</v>
      </c>
      <c r="J395" s="15">
        <v>61</v>
      </c>
    </row>
    <row r="396" spans="1:10" x14ac:dyDescent="0.3">
      <c r="A396" s="15" t="s">
        <v>766</v>
      </c>
      <c r="B396" s="15" t="s">
        <v>35</v>
      </c>
      <c r="C396" s="15" t="s">
        <v>58</v>
      </c>
      <c r="D396" s="15" t="s">
        <v>13</v>
      </c>
      <c r="E396" s="15">
        <v>20</v>
      </c>
      <c r="F396" s="15">
        <v>11</v>
      </c>
      <c r="G396" s="15" t="s">
        <v>32</v>
      </c>
      <c r="H396" s="15" t="s">
        <v>46</v>
      </c>
      <c r="I396" s="15" t="s">
        <v>767</v>
      </c>
      <c r="J396" s="15">
        <v>54</v>
      </c>
    </row>
    <row r="397" spans="1:10" x14ac:dyDescent="0.3">
      <c r="A397" s="15" t="s">
        <v>768</v>
      </c>
      <c r="B397" s="15" t="s">
        <v>23</v>
      </c>
      <c r="C397" s="15" t="s">
        <v>24</v>
      </c>
      <c r="D397" s="15" t="s">
        <v>13</v>
      </c>
      <c r="E397" s="15">
        <v>17</v>
      </c>
      <c r="F397" s="15">
        <v>11</v>
      </c>
      <c r="G397" s="15" t="s">
        <v>25</v>
      </c>
      <c r="H397" s="15" t="s">
        <v>40</v>
      </c>
      <c r="I397" s="15" t="s">
        <v>258</v>
      </c>
      <c r="J397" s="15">
        <v>61</v>
      </c>
    </row>
    <row r="398" spans="1:10" x14ac:dyDescent="0.3">
      <c r="A398" s="15" t="s">
        <v>769</v>
      </c>
      <c r="B398" s="15" t="s">
        <v>35</v>
      </c>
      <c r="C398" s="15" t="s">
        <v>30</v>
      </c>
      <c r="D398" s="15" t="s">
        <v>13</v>
      </c>
      <c r="E398" s="15">
        <v>16</v>
      </c>
      <c r="F398" s="15">
        <v>11</v>
      </c>
      <c r="G398" s="15" t="s">
        <v>32</v>
      </c>
      <c r="H398" s="15" t="s">
        <v>46</v>
      </c>
      <c r="I398" s="15" t="s">
        <v>770</v>
      </c>
      <c r="J398" s="15">
        <v>85</v>
      </c>
    </row>
    <row r="399" spans="1:10" x14ac:dyDescent="0.3">
      <c r="A399" s="15" t="s">
        <v>771</v>
      </c>
      <c r="B399" s="15" t="s">
        <v>23</v>
      </c>
      <c r="C399" s="15" t="s">
        <v>24</v>
      </c>
      <c r="D399" s="15" t="s">
        <v>31</v>
      </c>
      <c r="E399" s="15">
        <v>18</v>
      </c>
      <c r="F399" s="15">
        <v>11</v>
      </c>
      <c r="G399" s="15" t="s">
        <v>25</v>
      </c>
      <c r="H399" s="15" t="s">
        <v>46</v>
      </c>
      <c r="I399" s="15" t="s">
        <v>772</v>
      </c>
      <c r="J399" s="15">
        <v>89</v>
      </c>
    </row>
    <row r="400" spans="1:10" x14ac:dyDescent="0.3">
      <c r="A400" s="15" t="s">
        <v>773</v>
      </c>
      <c r="B400" s="15" t="s">
        <v>68</v>
      </c>
      <c r="C400" s="15" t="s">
        <v>19</v>
      </c>
      <c r="D400" s="15" t="s">
        <v>13</v>
      </c>
      <c r="E400" s="15">
        <v>14</v>
      </c>
      <c r="F400" s="15">
        <v>11</v>
      </c>
      <c r="G400" s="15" t="s">
        <v>14</v>
      </c>
      <c r="H400" s="15" t="s">
        <v>20</v>
      </c>
      <c r="I400" s="15" t="s">
        <v>774</v>
      </c>
      <c r="J400" s="15">
        <v>72</v>
      </c>
    </row>
    <row r="401" spans="1:10" x14ac:dyDescent="0.3">
      <c r="A401" s="15" t="s">
        <v>775</v>
      </c>
      <c r="B401" s="15" t="s">
        <v>29</v>
      </c>
      <c r="C401" s="15" t="s">
        <v>85</v>
      </c>
      <c r="D401" s="15" t="s">
        <v>31</v>
      </c>
      <c r="E401" s="15">
        <v>20</v>
      </c>
      <c r="F401" s="15">
        <v>10</v>
      </c>
      <c r="G401" s="15" t="s">
        <v>14</v>
      </c>
      <c r="H401" s="15" t="s">
        <v>46</v>
      </c>
      <c r="I401" s="15" t="s">
        <v>366</v>
      </c>
      <c r="J401" s="15">
        <v>100</v>
      </c>
    </row>
    <row r="402" spans="1:10" x14ac:dyDescent="0.3">
      <c r="A402" s="15" t="s">
        <v>776</v>
      </c>
      <c r="B402" s="15" t="s">
        <v>11</v>
      </c>
      <c r="C402" s="15" t="s">
        <v>12</v>
      </c>
      <c r="D402" s="15" t="s">
        <v>31</v>
      </c>
      <c r="E402" s="15">
        <v>20</v>
      </c>
      <c r="F402" s="15">
        <v>9</v>
      </c>
      <c r="G402" s="15" t="s">
        <v>14</v>
      </c>
      <c r="H402" s="15" t="s">
        <v>76</v>
      </c>
      <c r="I402" s="15" t="s">
        <v>777</v>
      </c>
      <c r="J402" s="15">
        <v>84</v>
      </c>
    </row>
    <row r="403" spans="1:10" x14ac:dyDescent="0.3">
      <c r="A403" s="15" t="s">
        <v>778</v>
      </c>
      <c r="B403" s="15" t="s">
        <v>73</v>
      </c>
      <c r="C403" s="15" t="s">
        <v>19</v>
      </c>
      <c r="D403" s="15" t="s">
        <v>13</v>
      </c>
      <c r="E403" s="15">
        <v>17</v>
      </c>
      <c r="F403" s="15">
        <v>12</v>
      </c>
      <c r="G403" s="15" t="s">
        <v>14</v>
      </c>
      <c r="H403" s="15" t="s">
        <v>37</v>
      </c>
      <c r="I403" s="15" t="s">
        <v>779</v>
      </c>
      <c r="J403" s="15">
        <v>76</v>
      </c>
    </row>
    <row r="404" spans="1:10" x14ac:dyDescent="0.3">
      <c r="A404" s="15" t="s">
        <v>780</v>
      </c>
      <c r="B404" s="15" t="s">
        <v>35</v>
      </c>
      <c r="C404" s="15" t="s">
        <v>36</v>
      </c>
      <c r="D404" s="15" t="s">
        <v>31</v>
      </c>
      <c r="E404" s="15">
        <v>14</v>
      </c>
      <c r="F404" s="15">
        <v>9</v>
      </c>
      <c r="G404" s="15" t="s">
        <v>25</v>
      </c>
      <c r="H404" s="15" t="s">
        <v>40</v>
      </c>
      <c r="I404" s="15" t="s">
        <v>781</v>
      </c>
      <c r="J404" s="15">
        <v>36</v>
      </c>
    </row>
    <row r="405" spans="1:10" x14ac:dyDescent="0.3">
      <c r="A405" s="15" t="s">
        <v>782</v>
      </c>
      <c r="B405" s="15" t="s">
        <v>84</v>
      </c>
      <c r="C405" s="15" t="s">
        <v>12</v>
      </c>
      <c r="D405" s="15" t="s">
        <v>31</v>
      </c>
      <c r="E405" s="15">
        <v>14</v>
      </c>
      <c r="F405" s="15">
        <v>11</v>
      </c>
      <c r="G405" s="15" t="s">
        <v>14</v>
      </c>
      <c r="H405" s="15" t="s">
        <v>37</v>
      </c>
      <c r="I405" s="15" t="s">
        <v>252</v>
      </c>
      <c r="J405" s="15">
        <v>95</v>
      </c>
    </row>
    <row r="406" spans="1:10" x14ac:dyDescent="0.3">
      <c r="A406" s="15" t="s">
        <v>783</v>
      </c>
      <c r="B406" s="15" t="s">
        <v>54</v>
      </c>
      <c r="C406" s="15" t="s">
        <v>79</v>
      </c>
      <c r="D406" s="15" t="s">
        <v>31</v>
      </c>
      <c r="E406" s="15">
        <v>15</v>
      </c>
      <c r="F406" s="15">
        <v>11</v>
      </c>
      <c r="G406" s="15" t="s">
        <v>25</v>
      </c>
      <c r="H406" s="15" t="s">
        <v>61</v>
      </c>
      <c r="I406" s="15" t="s">
        <v>628</v>
      </c>
      <c r="J406" s="15">
        <v>39</v>
      </c>
    </row>
    <row r="407" spans="1:10" x14ac:dyDescent="0.3">
      <c r="A407" s="15" t="s">
        <v>784</v>
      </c>
      <c r="B407" s="15" t="s">
        <v>84</v>
      </c>
      <c r="C407" s="15" t="s">
        <v>12</v>
      </c>
      <c r="D407" s="15" t="s">
        <v>13</v>
      </c>
      <c r="E407" s="15">
        <v>17</v>
      </c>
      <c r="F407" s="15">
        <v>9</v>
      </c>
      <c r="G407" s="15" t="s">
        <v>43</v>
      </c>
      <c r="H407" s="15" t="s">
        <v>76</v>
      </c>
      <c r="I407" s="15" t="s">
        <v>685</v>
      </c>
      <c r="J407" s="15">
        <v>89</v>
      </c>
    </row>
    <row r="408" spans="1:10" x14ac:dyDescent="0.3">
      <c r="A408" s="15" t="s">
        <v>785</v>
      </c>
      <c r="B408" s="15" t="s">
        <v>35</v>
      </c>
      <c r="C408" s="15" t="s">
        <v>58</v>
      </c>
      <c r="D408" s="15" t="s">
        <v>13</v>
      </c>
      <c r="E408" s="15">
        <v>18</v>
      </c>
      <c r="F408" s="15">
        <v>12</v>
      </c>
      <c r="G408" s="15" t="s">
        <v>43</v>
      </c>
      <c r="H408" s="15" t="s">
        <v>20</v>
      </c>
      <c r="I408" s="15" t="s">
        <v>786</v>
      </c>
      <c r="J408" s="15">
        <v>93</v>
      </c>
    </row>
    <row r="409" spans="1:10" x14ac:dyDescent="0.3">
      <c r="A409" s="15" t="s">
        <v>787</v>
      </c>
      <c r="B409" s="15" t="s">
        <v>18</v>
      </c>
      <c r="C409" s="15" t="s">
        <v>36</v>
      </c>
      <c r="D409" s="15" t="s">
        <v>31</v>
      </c>
      <c r="E409" s="15">
        <v>16</v>
      </c>
      <c r="F409" s="15">
        <v>9</v>
      </c>
      <c r="G409" s="15" t="s">
        <v>14</v>
      </c>
      <c r="H409" s="15" t="s">
        <v>76</v>
      </c>
      <c r="I409" s="15" t="s">
        <v>788</v>
      </c>
      <c r="J409" s="15">
        <v>88</v>
      </c>
    </row>
    <row r="410" spans="1:10" x14ac:dyDescent="0.3">
      <c r="A410" s="15" t="s">
        <v>789</v>
      </c>
      <c r="B410" s="15" t="s">
        <v>54</v>
      </c>
      <c r="C410" s="15" t="s">
        <v>12</v>
      </c>
      <c r="D410" s="15" t="s">
        <v>31</v>
      </c>
      <c r="E410" s="15">
        <v>18</v>
      </c>
      <c r="F410" s="15">
        <v>10</v>
      </c>
      <c r="G410" s="15" t="s">
        <v>25</v>
      </c>
      <c r="H410" s="15" t="s">
        <v>15</v>
      </c>
      <c r="I410" s="15" t="s">
        <v>790</v>
      </c>
      <c r="J410" s="15">
        <v>95</v>
      </c>
    </row>
    <row r="411" spans="1:10" x14ac:dyDescent="0.3">
      <c r="A411" s="15" t="s">
        <v>791</v>
      </c>
      <c r="B411" s="15" t="s">
        <v>51</v>
      </c>
      <c r="C411" s="15" t="s">
        <v>85</v>
      </c>
      <c r="D411" s="15" t="s">
        <v>13</v>
      </c>
      <c r="E411" s="15">
        <v>14</v>
      </c>
      <c r="F411" s="15">
        <v>9</v>
      </c>
      <c r="G411" s="15" t="s">
        <v>43</v>
      </c>
      <c r="H411" s="15" t="s">
        <v>61</v>
      </c>
      <c r="I411" s="15" t="s">
        <v>792</v>
      </c>
      <c r="J411" s="15">
        <v>96</v>
      </c>
    </row>
    <row r="412" spans="1:10" x14ac:dyDescent="0.3">
      <c r="A412" s="15" t="s">
        <v>793</v>
      </c>
      <c r="B412" s="15" t="s">
        <v>35</v>
      </c>
      <c r="C412" s="15" t="s">
        <v>19</v>
      </c>
      <c r="D412" s="15" t="s">
        <v>31</v>
      </c>
      <c r="E412" s="15">
        <v>20</v>
      </c>
      <c r="F412" s="15">
        <v>11</v>
      </c>
      <c r="G412" s="15" t="s">
        <v>32</v>
      </c>
      <c r="H412" s="15" t="s">
        <v>20</v>
      </c>
      <c r="I412" s="15" t="s">
        <v>794</v>
      </c>
      <c r="J412" s="15">
        <v>74</v>
      </c>
    </row>
    <row r="413" spans="1:10" x14ac:dyDescent="0.3">
      <c r="A413" s="15" t="s">
        <v>795</v>
      </c>
      <c r="B413" s="15" t="s">
        <v>54</v>
      </c>
      <c r="C413" s="15" t="s">
        <v>30</v>
      </c>
      <c r="D413" s="15" t="s">
        <v>13</v>
      </c>
      <c r="E413" s="15">
        <v>18</v>
      </c>
      <c r="F413" s="15">
        <v>12</v>
      </c>
      <c r="G413" s="15" t="s">
        <v>32</v>
      </c>
      <c r="H413" s="15" t="s">
        <v>20</v>
      </c>
      <c r="I413" s="15" t="s">
        <v>796</v>
      </c>
      <c r="J413" s="15">
        <v>55</v>
      </c>
    </row>
    <row r="414" spans="1:10" x14ac:dyDescent="0.3">
      <c r="A414" s="15" t="s">
        <v>797</v>
      </c>
      <c r="B414" s="15" t="s">
        <v>23</v>
      </c>
      <c r="C414" s="15" t="s">
        <v>85</v>
      </c>
      <c r="D414" s="15" t="s">
        <v>13</v>
      </c>
      <c r="E414" s="15">
        <v>17</v>
      </c>
      <c r="F414" s="15">
        <v>12</v>
      </c>
      <c r="G414" s="15" t="s">
        <v>14</v>
      </c>
      <c r="H414" s="15" t="s">
        <v>76</v>
      </c>
      <c r="I414" s="15" t="s">
        <v>71</v>
      </c>
      <c r="J414" s="15">
        <v>77</v>
      </c>
    </row>
    <row r="415" spans="1:10" x14ac:dyDescent="0.3">
      <c r="A415" s="15" t="s">
        <v>798</v>
      </c>
      <c r="B415" s="15" t="s">
        <v>23</v>
      </c>
      <c r="C415" s="15" t="s">
        <v>19</v>
      </c>
      <c r="D415" s="15" t="s">
        <v>13</v>
      </c>
      <c r="E415" s="15">
        <v>17</v>
      </c>
      <c r="F415" s="15">
        <v>12</v>
      </c>
      <c r="G415" s="15" t="s">
        <v>14</v>
      </c>
      <c r="H415" s="15" t="s">
        <v>40</v>
      </c>
      <c r="I415" s="15" t="s">
        <v>159</v>
      </c>
      <c r="J415" s="15">
        <v>95</v>
      </c>
    </row>
    <row r="416" spans="1:10" x14ac:dyDescent="0.3">
      <c r="A416" s="15" t="s">
        <v>799</v>
      </c>
      <c r="B416" s="15" t="s">
        <v>54</v>
      </c>
      <c r="C416" s="15" t="s">
        <v>36</v>
      </c>
      <c r="D416" s="15" t="s">
        <v>31</v>
      </c>
      <c r="E416" s="15">
        <v>17</v>
      </c>
      <c r="F416" s="15">
        <v>12</v>
      </c>
      <c r="G416" s="15" t="s">
        <v>14</v>
      </c>
      <c r="H416" s="15" t="s">
        <v>46</v>
      </c>
      <c r="I416" s="15" t="s">
        <v>533</v>
      </c>
      <c r="J416" s="15">
        <v>59</v>
      </c>
    </row>
    <row r="417" spans="1:10" x14ac:dyDescent="0.3">
      <c r="A417" s="15" t="s">
        <v>800</v>
      </c>
      <c r="B417" s="15" t="s">
        <v>23</v>
      </c>
      <c r="C417" s="15" t="s">
        <v>79</v>
      </c>
      <c r="D417" s="15" t="s">
        <v>31</v>
      </c>
      <c r="E417" s="15">
        <v>18</v>
      </c>
      <c r="F417" s="15">
        <v>11</v>
      </c>
      <c r="G417" s="15" t="s">
        <v>32</v>
      </c>
      <c r="H417" s="15" t="s">
        <v>76</v>
      </c>
      <c r="I417" s="15" t="s">
        <v>801</v>
      </c>
      <c r="J417" s="15">
        <v>97</v>
      </c>
    </row>
    <row r="418" spans="1:10" x14ac:dyDescent="0.3">
      <c r="A418" s="15" t="s">
        <v>802</v>
      </c>
      <c r="B418" s="15" t="s">
        <v>29</v>
      </c>
      <c r="C418" s="15" t="s">
        <v>96</v>
      </c>
      <c r="D418" s="15" t="s">
        <v>13</v>
      </c>
      <c r="E418" s="15">
        <v>14</v>
      </c>
      <c r="F418" s="15">
        <v>10</v>
      </c>
      <c r="G418" s="15" t="s">
        <v>25</v>
      </c>
      <c r="H418" s="15" t="s">
        <v>61</v>
      </c>
      <c r="I418" s="15" t="s">
        <v>803</v>
      </c>
      <c r="J418" s="15">
        <v>89</v>
      </c>
    </row>
    <row r="419" spans="1:10" x14ac:dyDescent="0.3">
      <c r="A419" s="15" t="s">
        <v>804</v>
      </c>
      <c r="B419" s="15" t="s">
        <v>54</v>
      </c>
      <c r="C419" s="15" t="s">
        <v>79</v>
      </c>
      <c r="D419" s="15" t="s">
        <v>13</v>
      </c>
      <c r="E419" s="15">
        <v>19</v>
      </c>
      <c r="F419" s="15">
        <v>9</v>
      </c>
      <c r="G419" s="15" t="s">
        <v>25</v>
      </c>
      <c r="H419" s="15" t="s">
        <v>61</v>
      </c>
      <c r="I419" s="15" t="s">
        <v>56</v>
      </c>
      <c r="J419" s="15">
        <v>43</v>
      </c>
    </row>
    <row r="420" spans="1:10" x14ac:dyDescent="0.3">
      <c r="A420" s="15" t="s">
        <v>805</v>
      </c>
      <c r="B420" s="15" t="s">
        <v>29</v>
      </c>
      <c r="C420" s="15" t="s">
        <v>36</v>
      </c>
      <c r="D420" s="15" t="s">
        <v>31</v>
      </c>
      <c r="E420" s="15">
        <v>17</v>
      </c>
      <c r="F420" s="15">
        <v>10</v>
      </c>
      <c r="G420" s="15" t="s">
        <v>25</v>
      </c>
      <c r="H420" s="15" t="s">
        <v>15</v>
      </c>
      <c r="I420" s="15" t="s">
        <v>806</v>
      </c>
      <c r="J420" s="15">
        <v>59</v>
      </c>
    </row>
    <row r="421" spans="1:10" x14ac:dyDescent="0.3">
      <c r="A421" s="15" t="s">
        <v>807</v>
      </c>
      <c r="B421" s="15" t="s">
        <v>68</v>
      </c>
      <c r="C421" s="15" t="s">
        <v>79</v>
      </c>
      <c r="D421" s="15" t="s">
        <v>31</v>
      </c>
      <c r="E421" s="15">
        <v>16</v>
      </c>
      <c r="F421" s="15">
        <v>10</v>
      </c>
      <c r="G421" s="15" t="s">
        <v>43</v>
      </c>
      <c r="H421" s="15" t="s">
        <v>76</v>
      </c>
      <c r="I421" s="15" t="s">
        <v>305</v>
      </c>
      <c r="J421" s="15">
        <v>40</v>
      </c>
    </row>
    <row r="422" spans="1:10" x14ac:dyDescent="0.3">
      <c r="A422" s="15" t="s">
        <v>808</v>
      </c>
      <c r="B422" s="15" t="s">
        <v>54</v>
      </c>
      <c r="C422" s="15" t="s">
        <v>24</v>
      </c>
      <c r="D422" s="15" t="s">
        <v>13</v>
      </c>
      <c r="E422" s="15">
        <v>14</v>
      </c>
      <c r="F422" s="15">
        <v>9</v>
      </c>
      <c r="G422" s="15" t="s">
        <v>25</v>
      </c>
      <c r="H422" s="15" t="s">
        <v>46</v>
      </c>
      <c r="I422" s="15" t="s">
        <v>809</v>
      </c>
      <c r="J422" s="15">
        <v>92</v>
      </c>
    </row>
    <row r="423" spans="1:10" x14ac:dyDescent="0.3">
      <c r="A423" s="15" t="s">
        <v>810</v>
      </c>
      <c r="B423" s="15" t="s">
        <v>73</v>
      </c>
      <c r="C423" s="15" t="s">
        <v>12</v>
      </c>
      <c r="D423" s="15" t="s">
        <v>13</v>
      </c>
      <c r="E423" s="15">
        <v>14</v>
      </c>
      <c r="F423" s="15">
        <v>10</v>
      </c>
      <c r="G423" s="15" t="s">
        <v>14</v>
      </c>
      <c r="H423" s="15" t="s">
        <v>46</v>
      </c>
      <c r="I423" s="15" t="s">
        <v>385</v>
      </c>
      <c r="J423" s="15">
        <v>49</v>
      </c>
    </row>
    <row r="424" spans="1:10" x14ac:dyDescent="0.3">
      <c r="A424" s="15" t="s">
        <v>811</v>
      </c>
      <c r="B424" s="15" t="s">
        <v>29</v>
      </c>
      <c r="C424" s="15" t="s">
        <v>58</v>
      </c>
      <c r="D424" s="15" t="s">
        <v>13</v>
      </c>
      <c r="E424" s="15">
        <v>20</v>
      </c>
      <c r="F424" s="15">
        <v>11</v>
      </c>
      <c r="G424" s="15" t="s">
        <v>14</v>
      </c>
      <c r="H424" s="15" t="s">
        <v>61</v>
      </c>
      <c r="I424" s="15" t="s">
        <v>358</v>
      </c>
      <c r="J424" s="15">
        <v>44</v>
      </c>
    </row>
    <row r="425" spans="1:10" x14ac:dyDescent="0.3">
      <c r="A425" s="15" t="s">
        <v>812</v>
      </c>
      <c r="B425" s="15" t="s">
        <v>51</v>
      </c>
      <c r="C425" s="15" t="s">
        <v>55</v>
      </c>
      <c r="D425" s="15" t="s">
        <v>13</v>
      </c>
      <c r="E425" s="15">
        <v>15</v>
      </c>
      <c r="F425" s="15">
        <v>10</v>
      </c>
      <c r="G425" s="15" t="s">
        <v>43</v>
      </c>
      <c r="H425" s="15" t="s">
        <v>46</v>
      </c>
      <c r="I425" s="15" t="s">
        <v>82</v>
      </c>
      <c r="J425" s="15">
        <v>62</v>
      </c>
    </row>
    <row r="426" spans="1:10" x14ac:dyDescent="0.3">
      <c r="A426" s="15" t="s">
        <v>813</v>
      </c>
      <c r="B426" s="15" t="s">
        <v>73</v>
      </c>
      <c r="C426" s="15" t="s">
        <v>58</v>
      </c>
      <c r="D426" s="15" t="s">
        <v>13</v>
      </c>
      <c r="E426" s="15">
        <v>17</v>
      </c>
      <c r="F426" s="15">
        <v>12</v>
      </c>
      <c r="G426" s="15" t="s">
        <v>32</v>
      </c>
      <c r="H426" s="15" t="s">
        <v>46</v>
      </c>
      <c r="I426" s="15" t="s">
        <v>346</v>
      </c>
      <c r="J426" s="15">
        <v>60</v>
      </c>
    </row>
    <row r="427" spans="1:10" x14ac:dyDescent="0.3">
      <c r="A427" s="15" t="s">
        <v>814</v>
      </c>
      <c r="B427" s="15" t="s">
        <v>18</v>
      </c>
      <c r="C427" s="15" t="s">
        <v>24</v>
      </c>
      <c r="D427" s="15" t="s">
        <v>31</v>
      </c>
      <c r="E427" s="15">
        <v>17</v>
      </c>
      <c r="F427" s="15">
        <v>10</v>
      </c>
      <c r="G427" s="15" t="s">
        <v>14</v>
      </c>
      <c r="H427" s="15" t="s">
        <v>76</v>
      </c>
      <c r="I427" s="15" t="s">
        <v>815</v>
      </c>
      <c r="J427" s="15">
        <v>47</v>
      </c>
    </row>
    <row r="428" spans="1:10" x14ac:dyDescent="0.3">
      <c r="A428" s="15" t="s">
        <v>816</v>
      </c>
      <c r="B428" s="15" t="s">
        <v>23</v>
      </c>
      <c r="C428" s="15" t="s">
        <v>79</v>
      </c>
      <c r="D428" s="15" t="s">
        <v>31</v>
      </c>
      <c r="E428" s="15">
        <v>15</v>
      </c>
      <c r="F428" s="15">
        <v>9</v>
      </c>
      <c r="G428" s="15" t="s">
        <v>25</v>
      </c>
      <c r="H428" s="15" t="s">
        <v>76</v>
      </c>
      <c r="I428" s="15" t="s">
        <v>149</v>
      </c>
      <c r="J428" s="15">
        <v>79</v>
      </c>
    </row>
    <row r="429" spans="1:10" x14ac:dyDescent="0.3">
      <c r="A429" s="15" t="s">
        <v>817</v>
      </c>
      <c r="B429" s="15" t="s">
        <v>51</v>
      </c>
      <c r="C429" s="15" t="s">
        <v>55</v>
      </c>
      <c r="D429" s="15" t="s">
        <v>31</v>
      </c>
      <c r="E429" s="15">
        <v>19</v>
      </c>
      <c r="F429" s="15">
        <v>11</v>
      </c>
      <c r="G429" s="15" t="s">
        <v>14</v>
      </c>
      <c r="H429" s="15" t="s">
        <v>26</v>
      </c>
      <c r="I429" s="15" t="s">
        <v>818</v>
      </c>
      <c r="J429" s="15">
        <v>56</v>
      </c>
    </row>
    <row r="430" spans="1:10" x14ac:dyDescent="0.3">
      <c r="A430" s="15" t="s">
        <v>819</v>
      </c>
      <c r="B430" s="15" t="s">
        <v>18</v>
      </c>
      <c r="C430" s="15" t="s">
        <v>36</v>
      </c>
      <c r="D430" s="15" t="s">
        <v>31</v>
      </c>
      <c r="E430" s="15">
        <v>14</v>
      </c>
      <c r="F430" s="15">
        <v>10</v>
      </c>
      <c r="G430" s="15" t="s">
        <v>43</v>
      </c>
      <c r="H430" s="15" t="s">
        <v>76</v>
      </c>
      <c r="I430" s="15" t="s">
        <v>820</v>
      </c>
      <c r="J430" s="15">
        <v>56</v>
      </c>
    </row>
    <row r="431" spans="1:10" x14ac:dyDescent="0.3">
      <c r="A431" s="15" t="s">
        <v>821</v>
      </c>
      <c r="B431" s="15" t="s">
        <v>18</v>
      </c>
      <c r="C431" s="15" t="s">
        <v>79</v>
      </c>
      <c r="D431" s="15" t="s">
        <v>13</v>
      </c>
      <c r="E431" s="15">
        <v>20</v>
      </c>
      <c r="F431" s="15">
        <v>12</v>
      </c>
      <c r="G431" s="15" t="s">
        <v>32</v>
      </c>
      <c r="H431" s="15" t="s">
        <v>26</v>
      </c>
      <c r="I431" s="15" t="s">
        <v>822</v>
      </c>
      <c r="J431" s="15">
        <v>52</v>
      </c>
    </row>
    <row r="432" spans="1:10" x14ac:dyDescent="0.3">
      <c r="A432" s="15" t="s">
        <v>823</v>
      </c>
      <c r="B432" s="15" t="s">
        <v>11</v>
      </c>
      <c r="C432" s="15" t="s">
        <v>79</v>
      </c>
      <c r="D432" s="15" t="s">
        <v>31</v>
      </c>
      <c r="E432" s="15">
        <v>18</v>
      </c>
      <c r="F432" s="15">
        <v>12</v>
      </c>
      <c r="G432" s="15" t="s">
        <v>43</v>
      </c>
      <c r="H432" s="15" t="s">
        <v>37</v>
      </c>
      <c r="I432" s="15" t="s">
        <v>292</v>
      </c>
      <c r="J432" s="15">
        <v>94</v>
      </c>
    </row>
    <row r="433" spans="1:10" x14ac:dyDescent="0.3">
      <c r="A433" s="15" t="s">
        <v>824</v>
      </c>
      <c r="B433" s="15" t="s">
        <v>54</v>
      </c>
      <c r="C433" s="15" t="s">
        <v>19</v>
      </c>
      <c r="D433" s="15" t="s">
        <v>31</v>
      </c>
      <c r="E433" s="15">
        <v>20</v>
      </c>
      <c r="F433" s="15">
        <v>9</v>
      </c>
      <c r="G433" s="15" t="s">
        <v>14</v>
      </c>
      <c r="H433" s="15" t="s">
        <v>37</v>
      </c>
      <c r="I433" s="15" t="s">
        <v>825</v>
      </c>
      <c r="J433" s="15">
        <v>43</v>
      </c>
    </row>
    <row r="434" spans="1:10" x14ac:dyDescent="0.3">
      <c r="A434" s="15" t="s">
        <v>826</v>
      </c>
      <c r="B434" s="15" t="s">
        <v>51</v>
      </c>
      <c r="C434" s="15" t="s">
        <v>55</v>
      </c>
      <c r="D434" s="15" t="s">
        <v>31</v>
      </c>
      <c r="E434" s="15">
        <v>15</v>
      </c>
      <c r="F434" s="15">
        <v>10</v>
      </c>
      <c r="G434" s="15" t="s">
        <v>43</v>
      </c>
      <c r="H434" s="15" t="s">
        <v>37</v>
      </c>
      <c r="I434" s="15" t="s">
        <v>174</v>
      </c>
      <c r="J434" s="15">
        <v>42</v>
      </c>
    </row>
    <row r="435" spans="1:10" x14ac:dyDescent="0.3">
      <c r="A435" s="15" t="s">
        <v>827</v>
      </c>
      <c r="B435" s="15" t="s">
        <v>35</v>
      </c>
      <c r="C435" s="15" t="s">
        <v>12</v>
      </c>
      <c r="D435" s="15" t="s">
        <v>13</v>
      </c>
      <c r="E435" s="15">
        <v>14</v>
      </c>
      <c r="F435" s="15">
        <v>12</v>
      </c>
      <c r="G435" s="15" t="s">
        <v>25</v>
      </c>
      <c r="H435" s="15" t="s">
        <v>61</v>
      </c>
      <c r="I435" s="15" t="s">
        <v>570</v>
      </c>
      <c r="J435" s="15">
        <v>65</v>
      </c>
    </row>
    <row r="436" spans="1:10" x14ac:dyDescent="0.3">
      <c r="A436" s="15" t="s">
        <v>828</v>
      </c>
      <c r="B436" s="15" t="s">
        <v>29</v>
      </c>
      <c r="C436" s="15" t="s">
        <v>55</v>
      </c>
      <c r="D436" s="15" t="s">
        <v>13</v>
      </c>
      <c r="E436" s="15">
        <v>15</v>
      </c>
      <c r="F436" s="15">
        <v>9</v>
      </c>
      <c r="G436" s="15" t="s">
        <v>32</v>
      </c>
      <c r="H436" s="15" t="s">
        <v>40</v>
      </c>
      <c r="I436" s="15" t="s">
        <v>829</v>
      </c>
      <c r="J436" s="15">
        <v>64</v>
      </c>
    </row>
    <row r="437" spans="1:10" x14ac:dyDescent="0.3">
      <c r="A437" s="15" t="s">
        <v>830</v>
      </c>
      <c r="B437" s="15" t="s">
        <v>23</v>
      </c>
      <c r="C437" s="15" t="s">
        <v>58</v>
      </c>
      <c r="D437" s="15" t="s">
        <v>31</v>
      </c>
      <c r="E437" s="15">
        <v>17</v>
      </c>
      <c r="F437" s="15">
        <v>9</v>
      </c>
      <c r="G437" s="15" t="s">
        <v>43</v>
      </c>
      <c r="H437" s="15" t="s">
        <v>61</v>
      </c>
      <c r="I437" s="15" t="s">
        <v>820</v>
      </c>
      <c r="J437" s="15">
        <v>59</v>
      </c>
    </row>
    <row r="438" spans="1:10" x14ac:dyDescent="0.3">
      <c r="A438" s="15" t="s">
        <v>831</v>
      </c>
      <c r="B438" s="15" t="s">
        <v>54</v>
      </c>
      <c r="C438" s="15" t="s">
        <v>36</v>
      </c>
      <c r="D438" s="15" t="s">
        <v>31</v>
      </c>
      <c r="E438" s="15">
        <v>19</v>
      </c>
      <c r="F438" s="15">
        <v>9</v>
      </c>
      <c r="G438" s="15" t="s">
        <v>32</v>
      </c>
      <c r="H438" s="15" t="s">
        <v>15</v>
      </c>
      <c r="I438" s="15" t="s">
        <v>832</v>
      </c>
      <c r="J438" s="15">
        <v>35</v>
      </c>
    </row>
    <row r="439" spans="1:10" x14ac:dyDescent="0.3">
      <c r="A439" s="15" t="s">
        <v>833</v>
      </c>
      <c r="B439" s="15" t="s">
        <v>73</v>
      </c>
      <c r="C439" s="15" t="s">
        <v>96</v>
      </c>
      <c r="D439" s="15" t="s">
        <v>31</v>
      </c>
      <c r="E439" s="15">
        <v>15</v>
      </c>
      <c r="F439" s="15">
        <v>10</v>
      </c>
      <c r="G439" s="15" t="s">
        <v>43</v>
      </c>
      <c r="H439" s="15" t="s">
        <v>76</v>
      </c>
      <c r="I439" s="15" t="s">
        <v>834</v>
      </c>
      <c r="J439" s="15">
        <v>37</v>
      </c>
    </row>
    <row r="440" spans="1:10" x14ac:dyDescent="0.3">
      <c r="A440" s="15" t="s">
        <v>835</v>
      </c>
      <c r="B440" s="15" t="s">
        <v>18</v>
      </c>
      <c r="C440" s="15" t="s">
        <v>55</v>
      </c>
      <c r="D440" s="15" t="s">
        <v>31</v>
      </c>
      <c r="E440" s="15">
        <v>16</v>
      </c>
      <c r="F440" s="15">
        <v>10</v>
      </c>
      <c r="G440" s="15" t="s">
        <v>14</v>
      </c>
      <c r="H440" s="15" t="s">
        <v>61</v>
      </c>
      <c r="I440" s="15" t="s">
        <v>411</v>
      </c>
      <c r="J440" s="15">
        <v>52</v>
      </c>
    </row>
    <row r="441" spans="1:10" x14ac:dyDescent="0.3">
      <c r="A441" s="15" t="s">
        <v>836</v>
      </c>
      <c r="B441" s="15" t="s">
        <v>18</v>
      </c>
      <c r="C441" s="15" t="s">
        <v>58</v>
      </c>
      <c r="D441" s="15" t="s">
        <v>13</v>
      </c>
      <c r="E441" s="15">
        <v>16</v>
      </c>
      <c r="F441" s="15">
        <v>9</v>
      </c>
      <c r="G441" s="15" t="s">
        <v>14</v>
      </c>
      <c r="H441" s="15" t="s">
        <v>37</v>
      </c>
      <c r="I441" s="15" t="s">
        <v>837</v>
      </c>
      <c r="J441" s="15">
        <v>64</v>
      </c>
    </row>
    <row r="442" spans="1:10" x14ac:dyDescent="0.3">
      <c r="A442" s="15" t="s">
        <v>838</v>
      </c>
      <c r="B442" s="15" t="s">
        <v>29</v>
      </c>
      <c r="C442" s="15" t="s">
        <v>36</v>
      </c>
      <c r="D442" s="15" t="s">
        <v>31</v>
      </c>
      <c r="E442" s="15">
        <v>17</v>
      </c>
      <c r="F442" s="15">
        <v>10</v>
      </c>
      <c r="G442" s="15" t="s">
        <v>25</v>
      </c>
      <c r="H442" s="15" t="s">
        <v>15</v>
      </c>
      <c r="I442" s="15" t="s">
        <v>839</v>
      </c>
      <c r="J442" s="15">
        <v>35</v>
      </c>
    </row>
    <row r="443" spans="1:10" x14ac:dyDescent="0.3">
      <c r="A443" s="15" t="s">
        <v>840</v>
      </c>
      <c r="B443" s="15" t="s">
        <v>29</v>
      </c>
      <c r="C443" s="15" t="s">
        <v>12</v>
      </c>
      <c r="D443" s="15" t="s">
        <v>31</v>
      </c>
      <c r="E443" s="15">
        <v>20</v>
      </c>
      <c r="F443" s="15">
        <v>10</v>
      </c>
      <c r="G443" s="15" t="s">
        <v>43</v>
      </c>
      <c r="H443" s="15" t="s">
        <v>15</v>
      </c>
      <c r="I443" s="15" t="s">
        <v>841</v>
      </c>
      <c r="J443" s="15">
        <v>37</v>
      </c>
    </row>
    <row r="444" spans="1:10" x14ac:dyDescent="0.3">
      <c r="A444" s="15" t="s">
        <v>842</v>
      </c>
      <c r="B444" s="15" t="s">
        <v>23</v>
      </c>
      <c r="C444" s="15" t="s">
        <v>30</v>
      </c>
      <c r="D444" s="15" t="s">
        <v>13</v>
      </c>
      <c r="E444" s="15">
        <v>15</v>
      </c>
      <c r="F444" s="15">
        <v>9</v>
      </c>
      <c r="G444" s="15" t="s">
        <v>32</v>
      </c>
      <c r="H444" s="15" t="s">
        <v>37</v>
      </c>
      <c r="I444" s="15" t="s">
        <v>477</v>
      </c>
      <c r="J444" s="15">
        <v>51</v>
      </c>
    </row>
    <row r="445" spans="1:10" x14ac:dyDescent="0.3">
      <c r="A445" s="15" t="s">
        <v>843</v>
      </c>
      <c r="B445" s="15" t="s">
        <v>54</v>
      </c>
      <c r="C445" s="15" t="s">
        <v>12</v>
      </c>
      <c r="D445" s="15" t="s">
        <v>31</v>
      </c>
      <c r="E445" s="15">
        <v>17</v>
      </c>
      <c r="F445" s="15">
        <v>10</v>
      </c>
      <c r="G445" s="15" t="s">
        <v>25</v>
      </c>
      <c r="H445" s="15" t="s">
        <v>40</v>
      </c>
      <c r="I445" s="15" t="s">
        <v>844</v>
      </c>
      <c r="J445" s="15">
        <v>43</v>
      </c>
    </row>
    <row r="446" spans="1:10" x14ac:dyDescent="0.3">
      <c r="A446" s="15" t="s">
        <v>845</v>
      </c>
      <c r="B446" s="15" t="s">
        <v>11</v>
      </c>
      <c r="C446" s="15" t="s">
        <v>19</v>
      </c>
      <c r="D446" s="15" t="s">
        <v>31</v>
      </c>
      <c r="E446" s="15">
        <v>19</v>
      </c>
      <c r="F446" s="15">
        <v>11</v>
      </c>
      <c r="G446" s="15" t="s">
        <v>43</v>
      </c>
      <c r="H446" s="15" t="s">
        <v>76</v>
      </c>
      <c r="I446" s="15" t="s">
        <v>282</v>
      </c>
      <c r="J446" s="15">
        <v>44</v>
      </c>
    </row>
    <row r="447" spans="1:10" x14ac:dyDescent="0.3">
      <c r="A447" s="15" t="s">
        <v>846</v>
      </c>
      <c r="B447" s="15" t="s">
        <v>35</v>
      </c>
      <c r="C447" s="15" t="s">
        <v>79</v>
      </c>
      <c r="D447" s="15" t="s">
        <v>13</v>
      </c>
      <c r="E447" s="15">
        <v>17</v>
      </c>
      <c r="F447" s="15">
        <v>12</v>
      </c>
      <c r="G447" s="15" t="s">
        <v>25</v>
      </c>
      <c r="H447" s="15" t="s">
        <v>46</v>
      </c>
      <c r="I447" s="15" t="s">
        <v>847</v>
      </c>
      <c r="J447" s="15">
        <v>41</v>
      </c>
    </row>
    <row r="448" spans="1:10" x14ac:dyDescent="0.3">
      <c r="A448" s="15" t="s">
        <v>848</v>
      </c>
      <c r="B448" s="15" t="s">
        <v>18</v>
      </c>
      <c r="C448" s="15" t="s">
        <v>24</v>
      </c>
      <c r="D448" s="15" t="s">
        <v>31</v>
      </c>
      <c r="E448" s="15">
        <v>16</v>
      </c>
      <c r="F448" s="15">
        <v>10</v>
      </c>
      <c r="G448" s="15" t="s">
        <v>25</v>
      </c>
      <c r="H448" s="15" t="s">
        <v>61</v>
      </c>
      <c r="I448" s="15" t="s">
        <v>849</v>
      </c>
      <c r="J448" s="15">
        <v>78</v>
      </c>
    </row>
    <row r="449" spans="1:10" x14ac:dyDescent="0.3">
      <c r="A449" s="15" t="s">
        <v>850</v>
      </c>
      <c r="B449" s="15" t="s">
        <v>51</v>
      </c>
      <c r="C449" s="15" t="s">
        <v>96</v>
      </c>
      <c r="D449" s="15" t="s">
        <v>13</v>
      </c>
      <c r="E449" s="15">
        <v>14</v>
      </c>
      <c r="F449" s="15">
        <v>9</v>
      </c>
      <c r="G449" s="15" t="s">
        <v>25</v>
      </c>
      <c r="H449" s="15" t="s">
        <v>26</v>
      </c>
      <c r="I449" s="15" t="s">
        <v>851</v>
      </c>
      <c r="J449" s="15">
        <v>90</v>
      </c>
    </row>
    <row r="450" spans="1:10" x14ac:dyDescent="0.3">
      <c r="A450" s="15" t="s">
        <v>852</v>
      </c>
      <c r="B450" s="15" t="s">
        <v>29</v>
      </c>
      <c r="C450" s="15" t="s">
        <v>55</v>
      </c>
      <c r="D450" s="15" t="s">
        <v>13</v>
      </c>
      <c r="E450" s="15">
        <v>15</v>
      </c>
      <c r="F450" s="15">
        <v>9</v>
      </c>
      <c r="G450" s="15" t="s">
        <v>14</v>
      </c>
      <c r="H450" s="15" t="s">
        <v>20</v>
      </c>
      <c r="I450" s="15" t="s">
        <v>853</v>
      </c>
      <c r="J450" s="15">
        <v>74</v>
      </c>
    </row>
    <row r="451" spans="1:10" x14ac:dyDescent="0.3">
      <c r="A451" s="15" t="s">
        <v>854</v>
      </c>
      <c r="B451" s="15" t="s">
        <v>51</v>
      </c>
      <c r="C451" s="15" t="s">
        <v>55</v>
      </c>
      <c r="D451" s="15" t="s">
        <v>13</v>
      </c>
      <c r="E451" s="15">
        <v>15</v>
      </c>
      <c r="F451" s="15">
        <v>11</v>
      </c>
      <c r="G451" s="15" t="s">
        <v>14</v>
      </c>
      <c r="H451" s="15" t="s">
        <v>61</v>
      </c>
      <c r="I451" s="15" t="s">
        <v>855</v>
      </c>
      <c r="J451" s="15">
        <v>84</v>
      </c>
    </row>
    <row r="452" spans="1:10" x14ac:dyDescent="0.3">
      <c r="A452" s="15" t="s">
        <v>856</v>
      </c>
      <c r="B452" s="15" t="s">
        <v>29</v>
      </c>
      <c r="C452" s="15" t="s">
        <v>85</v>
      </c>
      <c r="D452" s="15" t="s">
        <v>13</v>
      </c>
      <c r="E452" s="15">
        <v>16</v>
      </c>
      <c r="F452" s="15">
        <v>9</v>
      </c>
      <c r="G452" s="15" t="s">
        <v>14</v>
      </c>
      <c r="H452" s="15" t="s">
        <v>61</v>
      </c>
      <c r="I452" s="15" t="s">
        <v>262</v>
      </c>
      <c r="J452" s="15">
        <v>78</v>
      </c>
    </row>
    <row r="453" spans="1:10" x14ac:dyDescent="0.3">
      <c r="A453" s="15" t="s">
        <v>857</v>
      </c>
      <c r="B453" s="15" t="s">
        <v>18</v>
      </c>
      <c r="C453" s="15" t="s">
        <v>96</v>
      </c>
      <c r="D453" s="15" t="s">
        <v>13</v>
      </c>
      <c r="E453" s="15">
        <v>20</v>
      </c>
      <c r="F453" s="15">
        <v>11</v>
      </c>
      <c r="G453" s="15" t="s">
        <v>32</v>
      </c>
      <c r="H453" s="15" t="s">
        <v>61</v>
      </c>
      <c r="I453" s="15" t="s">
        <v>570</v>
      </c>
      <c r="J453" s="15">
        <v>94</v>
      </c>
    </row>
    <row r="454" spans="1:10" x14ac:dyDescent="0.3">
      <c r="A454" s="15" t="s">
        <v>858</v>
      </c>
      <c r="B454" s="15" t="s">
        <v>35</v>
      </c>
      <c r="C454" s="15" t="s">
        <v>12</v>
      </c>
      <c r="D454" s="15" t="s">
        <v>31</v>
      </c>
      <c r="E454" s="15">
        <v>19</v>
      </c>
      <c r="F454" s="15">
        <v>9</v>
      </c>
      <c r="G454" s="15" t="s">
        <v>43</v>
      </c>
      <c r="H454" s="15" t="s">
        <v>26</v>
      </c>
      <c r="I454" s="15" t="s">
        <v>859</v>
      </c>
      <c r="J454" s="15">
        <v>88</v>
      </c>
    </row>
    <row r="455" spans="1:10" x14ac:dyDescent="0.3">
      <c r="A455" s="15" t="s">
        <v>860</v>
      </c>
      <c r="B455" s="15" t="s">
        <v>68</v>
      </c>
      <c r="C455" s="15" t="s">
        <v>12</v>
      </c>
      <c r="D455" s="15" t="s">
        <v>13</v>
      </c>
      <c r="E455" s="15">
        <v>16</v>
      </c>
      <c r="F455" s="15">
        <v>12</v>
      </c>
      <c r="G455" s="15" t="s">
        <v>14</v>
      </c>
      <c r="H455" s="15" t="s">
        <v>37</v>
      </c>
      <c r="I455" s="15" t="s">
        <v>861</v>
      </c>
      <c r="J455" s="15">
        <v>84</v>
      </c>
    </row>
    <row r="456" spans="1:10" x14ac:dyDescent="0.3">
      <c r="A456" s="15" t="s">
        <v>862</v>
      </c>
      <c r="B456" s="15" t="s">
        <v>51</v>
      </c>
      <c r="C456" s="15" t="s">
        <v>24</v>
      </c>
      <c r="D456" s="15" t="s">
        <v>13</v>
      </c>
      <c r="E456" s="15">
        <v>17</v>
      </c>
      <c r="F456" s="15">
        <v>9</v>
      </c>
      <c r="G456" s="15" t="s">
        <v>43</v>
      </c>
      <c r="H456" s="15" t="s">
        <v>15</v>
      </c>
      <c r="I456" s="15" t="s">
        <v>863</v>
      </c>
      <c r="J456" s="15">
        <v>86</v>
      </c>
    </row>
    <row r="457" spans="1:10" x14ac:dyDescent="0.3">
      <c r="A457" s="15" t="s">
        <v>864</v>
      </c>
      <c r="B457" s="15" t="s">
        <v>35</v>
      </c>
      <c r="C457" s="15" t="s">
        <v>58</v>
      </c>
      <c r="D457" s="15" t="s">
        <v>13</v>
      </c>
      <c r="E457" s="15">
        <v>17</v>
      </c>
      <c r="F457" s="15">
        <v>10</v>
      </c>
      <c r="G457" s="15" t="s">
        <v>14</v>
      </c>
      <c r="H457" s="15" t="s">
        <v>20</v>
      </c>
      <c r="I457" s="15" t="s">
        <v>865</v>
      </c>
      <c r="J457" s="15">
        <v>92</v>
      </c>
    </row>
    <row r="458" spans="1:10" x14ac:dyDescent="0.3">
      <c r="A458" s="15" t="s">
        <v>866</v>
      </c>
      <c r="B458" s="15" t="s">
        <v>18</v>
      </c>
      <c r="C458" s="15" t="s">
        <v>24</v>
      </c>
      <c r="D458" s="15" t="s">
        <v>13</v>
      </c>
      <c r="E458" s="15">
        <v>15</v>
      </c>
      <c r="F458" s="15">
        <v>11</v>
      </c>
      <c r="G458" s="15" t="s">
        <v>14</v>
      </c>
      <c r="H458" s="15" t="s">
        <v>61</v>
      </c>
      <c r="I458" s="15" t="s">
        <v>867</v>
      </c>
      <c r="J458" s="15">
        <v>97</v>
      </c>
    </row>
    <row r="459" spans="1:10" x14ac:dyDescent="0.3">
      <c r="A459" s="15" t="s">
        <v>868</v>
      </c>
      <c r="B459" s="15" t="s">
        <v>84</v>
      </c>
      <c r="C459" s="15" t="s">
        <v>30</v>
      </c>
      <c r="D459" s="15" t="s">
        <v>31</v>
      </c>
      <c r="E459" s="15">
        <v>15</v>
      </c>
      <c r="F459" s="15">
        <v>9</v>
      </c>
      <c r="G459" s="15" t="s">
        <v>43</v>
      </c>
      <c r="H459" s="15" t="s">
        <v>61</v>
      </c>
      <c r="I459" s="15" t="s">
        <v>151</v>
      </c>
      <c r="J459" s="15">
        <v>45</v>
      </c>
    </row>
    <row r="460" spans="1:10" x14ac:dyDescent="0.3">
      <c r="A460" s="15" t="s">
        <v>869</v>
      </c>
      <c r="B460" s="15" t="s">
        <v>73</v>
      </c>
      <c r="C460" s="15" t="s">
        <v>96</v>
      </c>
      <c r="D460" s="15" t="s">
        <v>31</v>
      </c>
      <c r="E460" s="15">
        <v>17</v>
      </c>
      <c r="F460" s="15">
        <v>9</v>
      </c>
      <c r="G460" s="15" t="s">
        <v>43</v>
      </c>
      <c r="H460" s="15" t="s">
        <v>26</v>
      </c>
      <c r="I460" s="15" t="s">
        <v>870</v>
      </c>
      <c r="J460" s="15">
        <v>53</v>
      </c>
    </row>
    <row r="461" spans="1:10" x14ac:dyDescent="0.3">
      <c r="A461" s="15" t="s">
        <v>871</v>
      </c>
      <c r="B461" s="15" t="s">
        <v>11</v>
      </c>
      <c r="C461" s="15" t="s">
        <v>12</v>
      </c>
      <c r="D461" s="15" t="s">
        <v>13</v>
      </c>
      <c r="E461" s="15">
        <v>20</v>
      </c>
      <c r="F461" s="15">
        <v>10</v>
      </c>
      <c r="G461" s="15" t="s">
        <v>25</v>
      </c>
      <c r="H461" s="15" t="s">
        <v>76</v>
      </c>
      <c r="I461" s="15" t="s">
        <v>872</v>
      </c>
      <c r="J461" s="15">
        <v>66</v>
      </c>
    </row>
    <row r="462" spans="1:10" x14ac:dyDescent="0.3">
      <c r="A462" s="15" t="s">
        <v>873</v>
      </c>
      <c r="B462" s="15" t="s">
        <v>18</v>
      </c>
      <c r="C462" s="15" t="s">
        <v>79</v>
      </c>
      <c r="D462" s="15" t="s">
        <v>31</v>
      </c>
      <c r="E462" s="15">
        <v>19</v>
      </c>
      <c r="F462" s="15">
        <v>12</v>
      </c>
      <c r="G462" s="15" t="s">
        <v>32</v>
      </c>
      <c r="H462" s="15" t="s">
        <v>76</v>
      </c>
      <c r="I462" s="15" t="s">
        <v>742</v>
      </c>
      <c r="J462" s="15">
        <v>83</v>
      </c>
    </row>
    <row r="463" spans="1:10" x14ac:dyDescent="0.3">
      <c r="A463" s="15" t="s">
        <v>874</v>
      </c>
      <c r="B463" s="15" t="s">
        <v>35</v>
      </c>
      <c r="C463" s="15" t="s">
        <v>36</v>
      </c>
      <c r="D463" s="15" t="s">
        <v>13</v>
      </c>
      <c r="E463" s="15">
        <v>16</v>
      </c>
      <c r="F463" s="15">
        <v>10</v>
      </c>
      <c r="G463" s="15" t="s">
        <v>14</v>
      </c>
      <c r="H463" s="15" t="s">
        <v>61</v>
      </c>
      <c r="I463" s="15" t="s">
        <v>875</v>
      </c>
      <c r="J463" s="15">
        <v>35</v>
      </c>
    </row>
    <row r="464" spans="1:10" x14ac:dyDescent="0.3">
      <c r="A464" s="15" t="s">
        <v>876</v>
      </c>
      <c r="B464" s="15" t="s">
        <v>18</v>
      </c>
      <c r="C464" s="15" t="s">
        <v>24</v>
      </c>
      <c r="D464" s="15" t="s">
        <v>31</v>
      </c>
      <c r="E464" s="15">
        <v>16</v>
      </c>
      <c r="F464" s="15">
        <v>9</v>
      </c>
      <c r="G464" s="15" t="s">
        <v>43</v>
      </c>
      <c r="H464" s="15" t="s">
        <v>26</v>
      </c>
      <c r="I464" s="15" t="s">
        <v>515</v>
      </c>
      <c r="J464" s="15">
        <v>48</v>
      </c>
    </row>
    <row r="465" spans="1:10" x14ac:dyDescent="0.3">
      <c r="A465" s="15" t="s">
        <v>877</v>
      </c>
      <c r="B465" s="15" t="s">
        <v>73</v>
      </c>
      <c r="C465" s="15" t="s">
        <v>85</v>
      </c>
      <c r="D465" s="15" t="s">
        <v>13</v>
      </c>
      <c r="E465" s="15">
        <v>19</v>
      </c>
      <c r="F465" s="15">
        <v>10</v>
      </c>
      <c r="G465" s="15" t="s">
        <v>25</v>
      </c>
      <c r="H465" s="15" t="s">
        <v>26</v>
      </c>
      <c r="I465" s="15" t="s">
        <v>878</v>
      </c>
      <c r="J465" s="15">
        <v>81</v>
      </c>
    </row>
    <row r="466" spans="1:10" x14ac:dyDescent="0.3">
      <c r="A466" s="15" t="s">
        <v>879</v>
      </c>
      <c r="B466" s="15" t="s">
        <v>18</v>
      </c>
      <c r="C466" s="15" t="s">
        <v>85</v>
      </c>
      <c r="D466" s="15" t="s">
        <v>13</v>
      </c>
      <c r="E466" s="15">
        <v>15</v>
      </c>
      <c r="F466" s="15">
        <v>11</v>
      </c>
      <c r="G466" s="15" t="s">
        <v>32</v>
      </c>
      <c r="H466" s="15" t="s">
        <v>37</v>
      </c>
      <c r="I466" s="15" t="s">
        <v>880</v>
      </c>
      <c r="J466" s="15">
        <v>86</v>
      </c>
    </row>
    <row r="467" spans="1:10" x14ac:dyDescent="0.3">
      <c r="A467" s="15" t="s">
        <v>881</v>
      </c>
      <c r="B467" s="15" t="s">
        <v>73</v>
      </c>
      <c r="C467" s="15" t="s">
        <v>24</v>
      </c>
      <c r="D467" s="15" t="s">
        <v>31</v>
      </c>
      <c r="E467" s="15">
        <v>14</v>
      </c>
      <c r="F467" s="15">
        <v>12</v>
      </c>
      <c r="G467" s="15" t="s">
        <v>25</v>
      </c>
      <c r="H467" s="15" t="s">
        <v>46</v>
      </c>
      <c r="I467" s="15" t="s">
        <v>882</v>
      </c>
      <c r="J467" s="15">
        <v>58</v>
      </c>
    </row>
    <row r="468" spans="1:10" x14ac:dyDescent="0.3">
      <c r="A468" s="15" t="s">
        <v>883</v>
      </c>
      <c r="B468" s="15" t="s">
        <v>23</v>
      </c>
      <c r="C468" s="15" t="s">
        <v>85</v>
      </c>
      <c r="D468" s="15" t="s">
        <v>13</v>
      </c>
      <c r="E468" s="15">
        <v>19</v>
      </c>
      <c r="F468" s="15">
        <v>9</v>
      </c>
      <c r="G468" s="15" t="s">
        <v>43</v>
      </c>
      <c r="H468" s="15" t="s">
        <v>20</v>
      </c>
      <c r="I468" s="15" t="s">
        <v>884</v>
      </c>
      <c r="J468" s="15">
        <v>69</v>
      </c>
    </row>
    <row r="469" spans="1:10" x14ac:dyDescent="0.3">
      <c r="A469" s="15" t="s">
        <v>885</v>
      </c>
      <c r="B469" s="15" t="s">
        <v>51</v>
      </c>
      <c r="C469" s="15" t="s">
        <v>55</v>
      </c>
      <c r="D469" s="15" t="s">
        <v>13</v>
      </c>
      <c r="E469" s="15">
        <v>16</v>
      </c>
      <c r="F469" s="15">
        <v>11</v>
      </c>
      <c r="G469" s="15" t="s">
        <v>32</v>
      </c>
      <c r="H469" s="15" t="s">
        <v>76</v>
      </c>
      <c r="I469" s="15" t="s">
        <v>886</v>
      </c>
      <c r="J469" s="15">
        <v>65</v>
      </c>
    </row>
    <row r="470" spans="1:10" x14ac:dyDescent="0.3">
      <c r="A470" s="15" t="s">
        <v>887</v>
      </c>
      <c r="B470" s="15" t="s">
        <v>11</v>
      </c>
      <c r="C470" s="15" t="s">
        <v>30</v>
      </c>
      <c r="D470" s="15" t="s">
        <v>31</v>
      </c>
      <c r="E470" s="15">
        <v>17</v>
      </c>
      <c r="F470" s="15">
        <v>9</v>
      </c>
      <c r="G470" s="15" t="s">
        <v>14</v>
      </c>
      <c r="H470" s="15" t="s">
        <v>76</v>
      </c>
      <c r="I470" s="15" t="s">
        <v>653</v>
      </c>
      <c r="J470" s="15">
        <v>53</v>
      </c>
    </row>
    <row r="471" spans="1:10" x14ac:dyDescent="0.3">
      <c r="A471" s="15" t="s">
        <v>888</v>
      </c>
      <c r="B471" s="15" t="s">
        <v>23</v>
      </c>
      <c r="C471" s="15" t="s">
        <v>58</v>
      </c>
      <c r="D471" s="15" t="s">
        <v>31</v>
      </c>
      <c r="E471" s="15">
        <v>18</v>
      </c>
      <c r="F471" s="15">
        <v>10</v>
      </c>
      <c r="G471" s="15" t="s">
        <v>14</v>
      </c>
      <c r="H471" s="15" t="s">
        <v>20</v>
      </c>
      <c r="I471" s="15" t="s">
        <v>153</v>
      </c>
      <c r="J471" s="15">
        <v>92</v>
      </c>
    </row>
    <row r="472" spans="1:10" x14ac:dyDescent="0.3">
      <c r="A472" s="15" t="s">
        <v>889</v>
      </c>
      <c r="B472" s="15" t="s">
        <v>68</v>
      </c>
      <c r="C472" s="15" t="s">
        <v>19</v>
      </c>
      <c r="D472" s="15" t="s">
        <v>31</v>
      </c>
      <c r="E472" s="15">
        <v>18</v>
      </c>
      <c r="F472" s="15">
        <v>12</v>
      </c>
      <c r="G472" s="15" t="s">
        <v>32</v>
      </c>
      <c r="H472" s="15" t="s">
        <v>46</v>
      </c>
      <c r="I472" s="15" t="s">
        <v>890</v>
      </c>
      <c r="J472" s="15">
        <v>88</v>
      </c>
    </row>
    <row r="473" spans="1:10" x14ac:dyDescent="0.3">
      <c r="A473" s="15" t="s">
        <v>891</v>
      </c>
      <c r="B473" s="15" t="s">
        <v>68</v>
      </c>
      <c r="C473" s="15" t="s">
        <v>79</v>
      </c>
      <c r="D473" s="15" t="s">
        <v>31</v>
      </c>
      <c r="E473" s="15">
        <v>17</v>
      </c>
      <c r="F473" s="15">
        <v>10</v>
      </c>
      <c r="G473" s="15" t="s">
        <v>32</v>
      </c>
      <c r="H473" s="15" t="s">
        <v>61</v>
      </c>
      <c r="I473" s="15" t="s">
        <v>892</v>
      </c>
      <c r="J473" s="15">
        <v>56</v>
      </c>
    </row>
    <row r="474" spans="1:10" x14ac:dyDescent="0.3">
      <c r="A474" s="15" t="s">
        <v>893</v>
      </c>
      <c r="B474" s="15" t="s">
        <v>29</v>
      </c>
      <c r="C474" s="15" t="s">
        <v>30</v>
      </c>
      <c r="D474" s="15" t="s">
        <v>13</v>
      </c>
      <c r="E474" s="15">
        <v>17</v>
      </c>
      <c r="F474" s="15">
        <v>9</v>
      </c>
      <c r="G474" s="15" t="s">
        <v>14</v>
      </c>
      <c r="H474" s="15" t="s">
        <v>46</v>
      </c>
      <c r="I474" s="15" t="s">
        <v>423</v>
      </c>
      <c r="J474" s="15">
        <v>46</v>
      </c>
    </row>
    <row r="475" spans="1:10" x14ac:dyDescent="0.3">
      <c r="A475" s="15" t="s">
        <v>894</v>
      </c>
      <c r="B475" s="15" t="s">
        <v>23</v>
      </c>
      <c r="C475" s="15" t="s">
        <v>79</v>
      </c>
      <c r="D475" s="15" t="s">
        <v>31</v>
      </c>
      <c r="E475" s="15">
        <v>20</v>
      </c>
      <c r="F475" s="15">
        <v>9</v>
      </c>
      <c r="G475" s="15" t="s">
        <v>14</v>
      </c>
      <c r="H475" s="15" t="s">
        <v>26</v>
      </c>
      <c r="I475" s="15" t="s">
        <v>895</v>
      </c>
      <c r="J475" s="15">
        <v>36</v>
      </c>
    </row>
    <row r="476" spans="1:10" x14ac:dyDescent="0.3">
      <c r="A476" s="15" t="s">
        <v>896</v>
      </c>
      <c r="B476" s="15" t="s">
        <v>11</v>
      </c>
      <c r="C476" s="15" t="s">
        <v>36</v>
      </c>
      <c r="D476" s="15" t="s">
        <v>13</v>
      </c>
      <c r="E476" s="15">
        <v>15</v>
      </c>
      <c r="F476" s="15">
        <v>11</v>
      </c>
      <c r="G476" s="15" t="s">
        <v>14</v>
      </c>
      <c r="H476" s="15" t="s">
        <v>26</v>
      </c>
      <c r="I476" s="15" t="s">
        <v>897</v>
      </c>
      <c r="J476" s="15">
        <v>95</v>
      </c>
    </row>
    <row r="477" spans="1:10" x14ac:dyDescent="0.3">
      <c r="A477" s="15" t="s">
        <v>898</v>
      </c>
      <c r="B477" s="15" t="s">
        <v>18</v>
      </c>
      <c r="C477" s="15" t="s">
        <v>19</v>
      </c>
      <c r="D477" s="15" t="s">
        <v>13</v>
      </c>
      <c r="E477" s="15">
        <v>17</v>
      </c>
      <c r="F477" s="15">
        <v>10</v>
      </c>
      <c r="G477" s="15" t="s">
        <v>25</v>
      </c>
      <c r="H477" s="15" t="s">
        <v>61</v>
      </c>
      <c r="I477" s="15" t="s">
        <v>471</v>
      </c>
      <c r="J477" s="15">
        <v>58</v>
      </c>
    </row>
    <row r="478" spans="1:10" x14ac:dyDescent="0.3">
      <c r="A478" s="15" t="s">
        <v>899</v>
      </c>
      <c r="B478" s="15" t="s">
        <v>11</v>
      </c>
      <c r="C478" s="15" t="s">
        <v>79</v>
      </c>
      <c r="D478" s="15" t="s">
        <v>13</v>
      </c>
      <c r="E478" s="15">
        <v>15</v>
      </c>
      <c r="F478" s="15">
        <v>10</v>
      </c>
      <c r="G478" s="15" t="s">
        <v>14</v>
      </c>
      <c r="H478" s="15" t="s">
        <v>37</v>
      </c>
      <c r="I478" s="15" t="s">
        <v>900</v>
      </c>
      <c r="J478" s="15">
        <v>88</v>
      </c>
    </row>
    <row r="479" spans="1:10" x14ac:dyDescent="0.3">
      <c r="A479" s="15" t="s">
        <v>901</v>
      </c>
      <c r="B479" s="15" t="s">
        <v>68</v>
      </c>
      <c r="C479" s="15" t="s">
        <v>19</v>
      </c>
      <c r="D479" s="15" t="s">
        <v>31</v>
      </c>
      <c r="E479" s="15">
        <v>18</v>
      </c>
      <c r="F479" s="15">
        <v>11</v>
      </c>
      <c r="G479" s="15" t="s">
        <v>14</v>
      </c>
      <c r="H479" s="15" t="s">
        <v>40</v>
      </c>
      <c r="I479" s="15" t="s">
        <v>139</v>
      </c>
      <c r="J479" s="15">
        <v>75</v>
      </c>
    </row>
    <row r="480" spans="1:10" x14ac:dyDescent="0.3">
      <c r="A480" s="15" t="s">
        <v>902</v>
      </c>
      <c r="B480" s="15" t="s">
        <v>35</v>
      </c>
      <c r="C480" s="15" t="s">
        <v>12</v>
      </c>
      <c r="D480" s="15" t="s">
        <v>31</v>
      </c>
      <c r="E480" s="15">
        <v>14</v>
      </c>
      <c r="F480" s="15">
        <v>11</v>
      </c>
      <c r="G480" s="15" t="s">
        <v>14</v>
      </c>
      <c r="H480" s="15" t="s">
        <v>37</v>
      </c>
      <c r="I480" s="15" t="s">
        <v>271</v>
      </c>
      <c r="J480" s="15">
        <v>59</v>
      </c>
    </row>
    <row r="481" spans="1:10" x14ac:dyDescent="0.3">
      <c r="A481" s="15" t="s">
        <v>903</v>
      </c>
      <c r="B481" s="15" t="s">
        <v>54</v>
      </c>
      <c r="C481" s="15" t="s">
        <v>30</v>
      </c>
      <c r="D481" s="15" t="s">
        <v>31</v>
      </c>
      <c r="E481" s="15">
        <v>20</v>
      </c>
      <c r="F481" s="15">
        <v>12</v>
      </c>
      <c r="G481" s="15" t="s">
        <v>43</v>
      </c>
      <c r="H481" s="15" t="s">
        <v>40</v>
      </c>
      <c r="I481" s="15" t="s">
        <v>904</v>
      </c>
      <c r="J481" s="15">
        <v>55</v>
      </c>
    </row>
    <row r="482" spans="1:10" x14ac:dyDescent="0.3">
      <c r="A482" s="15" t="s">
        <v>905</v>
      </c>
      <c r="B482" s="15" t="s">
        <v>54</v>
      </c>
      <c r="C482" s="15" t="s">
        <v>30</v>
      </c>
      <c r="D482" s="15" t="s">
        <v>13</v>
      </c>
      <c r="E482" s="15">
        <v>16</v>
      </c>
      <c r="F482" s="15">
        <v>12</v>
      </c>
      <c r="G482" s="15" t="s">
        <v>43</v>
      </c>
      <c r="H482" s="15" t="s">
        <v>40</v>
      </c>
      <c r="I482" s="15" t="s">
        <v>556</v>
      </c>
      <c r="J482" s="15">
        <v>81</v>
      </c>
    </row>
    <row r="483" spans="1:10" x14ac:dyDescent="0.3">
      <c r="A483" s="15" t="s">
        <v>906</v>
      </c>
      <c r="B483" s="15" t="s">
        <v>73</v>
      </c>
      <c r="C483" s="15" t="s">
        <v>36</v>
      </c>
      <c r="D483" s="15" t="s">
        <v>13</v>
      </c>
      <c r="E483" s="15">
        <v>17</v>
      </c>
      <c r="F483" s="15">
        <v>12</v>
      </c>
      <c r="G483" s="15" t="s">
        <v>25</v>
      </c>
      <c r="H483" s="15" t="s">
        <v>76</v>
      </c>
      <c r="I483" s="15" t="s">
        <v>907</v>
      </c>
      <c r="J483" s="15">
        <v>75</v>
      </c>
    </row>
    <row r="484" spans="1:10" x14ac:dyDescent="0.3">
      <c r="A484" s="15" t="s">
        <v>908</v>
      </c>
      <c r="B484" s="15" t="s">
        <v>11</v>
      </c>
      <c r="C484" s="15" t="s">
        <v>79</v>
      </c>
      <c r="D484" s="15" t="s">
        <v>31</v>
      </c>
      <c r="E484" s="15">
        <v>14</v>
      </c>
      <c r="F484" s="15">
        <v>10</v>
      </c>
      <c r="G484" s="15" t="s">
        <v>14</v>
      </c>
      <c r="H484" s="15" t="s">
        <v>46</v>
      </c>
      <c r="I484" s="15" t="s">
        <v>909</v>
      </c>
      <c r="J484" s="15">
        <v>55</v>
      </c>
    </row>
    <row r="485" spans="1:10" x14ac:dyDescent="0.3">
      <c r="A485" s="15" t="s">
        <v>910</v>
      </c>
      <c r="B485" s="15" t="s">
        <v>84</v>
      </c>
      <c r="C485" s="15" t="s">
        <v>12</v>
      </c>
      <c r="D485" s="15" t="s">
        <v>31</v>
      </c>
      <c r="E485" s="15">
        <v>18</v>
      </c>
      <c r="F485" s="15">
        <v>11</v>
      </c>
      <c r="G485" s="15" t="s">
        <v>25</v>
      </c>
      <c r="H485" s="15" t="s">
        <v>15</v>
      </c>
      <c r="I485" s="15" t="s">
        <v>911</v>
      </c>
      <c r="J485" s="15">
        <v>87</v>
      </c>
    </row>
    <row r="486" spans="1:10" x14ac:dyDescent="0.3">
      <c r="A486" s="15" t="s">
        <v>912</v>
      </c>
      <c r="B486" s="15" t="s">
        <v>23</v>
      </c>
      <c r="C486" s="15" t="s">
        <v>79</v>
      </c>
      <c r="D486" s="15" t="s">
        <v>31</v>
      </c>
      <c r="E486" s="15">
        <v>17</v>
      </c>
      <c r="F486" s="15">
        <v>12</v>
      </c>
      <c r="G486" s="15" t="s">
        <v>32</v>
      </c>
      <c r="H486" s="15" t="s">
        <v>46</v>
      </c>
      <c r="I486" s="15" t="s">
        <v>400</v>
      </c>
      <c r="J486" s="15">
        <v>70</v>
      </c>
    </row>
    <row r="487" spans="1:10" x14ac:dyDescent="0.3">
      <c r="A487" s="15" t="s">
        <v>913</v>
      </c>
      <c r="B487" s="15" t="s">
        <v>68</v>
      </c>
      <c r="C487" s="15" t="s">
        <v>58</v>
      </c>
      <c r="D487" s="15" t="s">
        <v>13</v>
      </c>
      <c r="E487" s="15">
        <v>14</v>
      </c>
      <c r="F487" s="15">
        <v>10</v>
      </c>
      <c r="G487" s="15" t="s">
        <v>14</v>
      </c>
      <c r="H487" s="15" t="s">
        <v>15</v>
      </c>
      <c r="I487" s="15" t="s">
        <v>914</v>
      </c>
      <c r="J487" s="15">
        <v>69</v>
      </c>
    </row>
    <row r="488" spans="1:10" x14ac:dyDescent="0.3">
      <c r="A488" s="15" t="s">
        <v>915</v>
      </c>
      <c r="B488" s="15" t="s">
        <v>23</v>
      </c>
      <c r="C488" s="15" t="s">
        <v>58</v>
      </c>
      <c r="D488" s="15" t="s">
        <v>31</v>
      </c>
      <c r="E488" s="15">
        <v>17</v>
      </c>
      <c r="F488" s="15">
        <v>9</v>
      </c>
      <c r="G488" s="15" t="s">
        <v>25</v>
      </c>
      <c r="H488" s="15" t="s">
        <v>46</v>
      </c>
      <c r="I488" s="15" t="s">
        <v>916</v>
      </c>
      <c r="J488" s="15">
        <v>85</v>
      </c>
    </row>
    <row r="489" spans="1:10" x14ac:dyDescent="0.3">
      <c r="A489" s="15" t="s">
        <v>917</v>
      </c>
      <c r="B489" s="15" t="s">
        <v>11</v>
      </c>
      <c r="C489" s="15" t="s">
        <v>96</v>
      </c>
      <c r="D489" s="15" t="s">
        <v>31</v>
      </c>
      <c r="E489" s="15">
        <v>19</v>
      </c>
      <c r="F489" s="15">
        <v>11</v>
      </c>
      <c r="G489" s="15" t="s">
        <v>43</v>
      </c>
      <c r="H489" s="15" t="s">
        <v>26</v>
      </c>
      <c r="I489" s="15" t="s">
        <v>918</v>
      </c>
      <c r="J489" s="15">
        <v>87</v>
      </c>
    </row>
    <row r="490" spans="1:10" x14ac:dyDescent="0.3">
      <c r="A490" s="15" t="s">
        <v>919</v>
      </c>
      <c r="B490" s="15" t="s">
        <v>23</v>
      </c>
      <c r="C490" s="15" t="s">
        <v>19</v>
      </c>
      <c r="D490" s="15" t="s">
        <v>13</v>
      </c>
      <c r="E490" s="15">
        <v>14</v>
      </c>
      <c r="F490" s="15">
        <v>12</v>
      </c>
      <c r="G490" s="15" t="s">
        <v>14</v>
      </c>
      <c r="H490" s="15" t="s">
        <v>15</v>
      </c>
      <c r="I490" s="15" t="s">
        <v>920</v>
      </c>
      <c r="J490" s="15">
        <v>92</v>
      </c>
    </row>
    <row r="491" spans="1:10" x14ac:dyDescent="0.3">
      <c r="A491" s="15" t="s">
        <v>921</v>
      </c>
      <c r="B491" s="15" t="s">
        <v>18</v>
      </c>
      <c r="C491" s="15" t="s">
        <v>24</v>
      </c>
      <c r="D491" s="15" t="s">
        <v>13</v>
      </c>
      <c r="E491" s="15">
        <v>19</v>
      </c>
      <c r="F491" s="15">
        <v>10</v>
      </c>
      <c r="G491" s="15" t="s">
        <v>14</v>
      </c>
      <c r="H491" s="15" t="s">
        <v>20</v>
      </c>
      <c r="I491" s="15" t="s">
        <v>922</v>
      </c>
      <c r="J491" s="15">
        <v>58</v>
      </c>
    </row>
    <row r="492" spans="1:10" x14ac:dyDescent="0.3">
      <c r="A492" s="15" t="s">
        <v>923</v>
      </c>
      <c r="B492" s="15" t="s">
        <v>68</v>
      </c>
      <c r="C492" s="15" t="s">
        <v>55</v>
      </c>
      <c r="D492" s="15" t="s">
        <v>31</v>
      </c>
      <c r="E492" s="15">
        <v>16</v>
      </c>
      <c r="F492" s="15">
        <v>12</v>
      </c>
      <c r="G492" s="15" t="s">
        <v>43</v>
      </c>
      <c r="H492" s="15" t="s">
        <v>37</v>
      </c>
      <c r="I492" s="15" t="s">
        <v>924</v>
      </c>
      <c r="J492" s="15">
        <v>77</v>
      </c>
    </row>
    <row r="493" spans="1:10" x14ac:dyDescent="0.3">
      <c r="A493" s="15" t="s">
        <v>925</v>
      </c>
      <c r="B493" s="15" t="s">
        <v>68</v>
      </c>
      <c r="C493" s="15" t="s">
        <v>30</v>
      </c>
      <c r="D493" s="15" t="s">
        <v>31</v>
      </c>
      <c r="E493" s="15">
        <v>18</v>
      </c>
      <c r="F493" s="15">
        <v>9</v>
      </c>
      <c r="G493" s="15" t="s">
        <v>32</v>
      </c>
      <c r="H493" s="15" t="s">
        <v>20</v>
      </c>
      <c r="I493" s="15" t="s">
        <v>732</v>
      </c>
      <c r="J493" s="15">
        <v>86</v>
      </c>
    </row>
    <row r="494" spans="1:10" x14ac:dyDescent="0.3">
      <c r="A494" s="15" t="s">
        <v>926</v>
      </c>
      <c r="B494" s="15" t="s">
        <v>73</v>
      </c>
      <c r="C494" s="15" t="s">
        <v>85</v>
      </c>
      <c r="D494" s="15" t="s">
        <v>13</v>
      </c>
      <c r="E494" s="15">
        <v>14</v>
      </c>
      <c r="F494" s="15">
        <v>9</v>
      </c>
      <c r="G494" s="15" t="s">
        <v>32</v>
      </c>
      <c r="H494" s="15" t="s">
        <v>20</v>
      </c>
      <c r="I494" s="15" t="s">
        <v>927</v>
      </c>
      <c r="J494" s="15">
        <v>94</v>
      </c>
    </row>
    <row r="495" spans="1:10" x14ac:dyDescent="0.3">
      <c r="A495" s="15" t="s">
        <v>928</v>
      </c>
      <c r="B495" s="15" t="s">
        <v>23</v>
      </c>
      <c r="C495" s="15" t="s">
        <v>55</v>
      </c>
      <c r="D495" s="15" t="s">
        <v>13</v>
      </c>
      <c r="E495" s="15">
        <v>20</v>
      </c>
      <c r="F495" s="15">
        <v>11</v>
      </c>
      <c r="G495" s="15" t="s">
        <v>14</v>
      </c>
      <c r="H495" s="15" t="s">
        <v>15</v>
      </c>
      <c r="I495" s="15" t="s">
        <v>608</v>
      </c>
      <c r="J495" s="15">
        <v>49</v>
      </c>
    </row>
    <row r="496" spans="1:10" x14ac:dyDescent="0.3">
      <c r="A496" s="15" t="s">
        <v>929</v>
      </c>
      <c r="B496" s="15" t="s">
        <v>35</v>
      </c>
      <c r="C496" s="15" t="s">
        <v>30</v>
      </c>
      <c r="D496" s="15" t="s">
        <v>13</v>
      </c>
      <c r="E496" s="15">
        <v>15</v>
      </c>
      <c r="F496" s="15">
        <v>12</v>
      </c>
      <c r="G496" s="15" t="s">
        <v>32</v>
      </c>
      <c r="H496" s="15" t="s">
        <v>26</v>
      </c>
      <c r="I496" s="15" t="s">
        <v>262</v>
      </c>
      <c r="J496" s="15">
        <v>55</v>
      </c>
    </row>
    <row r="497" spans="1:10" x14ac:dyDescent="0.3">
      <c r="A497" s="15" t="s">
        <v>930</v>
      </c>
      <c r="B497" s="15" t="s">
        <v>35</v>
      </c>
      <c r="C497" s="15" t="s">
        <v>96</v>
      </c>
      <c r="D497" s="15" t="s">
        <v>31</v>
      </c>
      <c r="E497" s="15">
        <v>20</v>
      </c>
      <c r="F497" s="15">
        <v>9</v>
      </c>
      <c r="G497" s="15" t="s">
        <v>25</v>
      </c>
      <c r="H497" s="15" t="s">
        <v>61</v>
      </c>
      <c r="I497" s="15" t="s">
        <v>342</v>
      </c>
      <c r="J497" s="15">
        <v>62</v>
      </c>
    </row>
    <row r="498" spans="1:10" x14ac:dyDescent="0.3">
      <c r="A498" s="15" t="s">
        <v>931</v>
      </c>
      <c r="B498" s="15" t="s">
        <v>23</v>
      </c>
      <c r="C498" s="15" t="s">
        <v>36</v>
      </c>
      <c r="D498" s="15" t="s">
        <v>13</v>
      </c>
      <c r="E498" s="15">
        <v>20</v>
      </c>
      <c r="F498" s="15">
        <v>9</v>
      </c>
      <c r="G498" s="15" t="s">
        <v>43</v>
      </c>
      <c r="H498" s="15" t="s">
        <v>40</v>
      </c>
      <c r="I498" s="15" t="s">
        <v>932</v>
      </c>
      <c r="J498" s="15">
        <v>85</v>
      </c>
    </row>
    <row r="499" spans="1:10" x14ac:dyDescent="0.3">
      <c r="A499" s="15" t="s">
        <v>933</v>
      </c>
      <c r="B499" s="15" t="s">
        <v>51</v>
      </c>
      <c r="C499" s="15" t="s">
        <v>96</v>
      </c>
      <c r="D499" s="15" t="s">
        <v>13</v>
      </c>
      <c r="E499" s="15">
        <v>20</v>
      </c>
      <c r="F499" s="15">
        <v>11</v>
      </c>
      <c r="G499" s="15" t="s">
        <v>25</v>
      </c>
      <c r="H499" s="15" t="s">
        <v>15</v>
      </c>
      <c r="I499" s="15" t="s">
        <v>494</v>
      </c>
      <c r="J499" s="15">
        <v>42</v>
      </c>
    </row>
    <row r="500" spans="1:10" x14ac:dyDescent="0.3">
      <c r="A500" s="15" t="s">
        <v>934</v>
      </c>
      <c r="B500" s="15" t="s">
        <v>51</v>
      </c>
      <c r="C500" s="15" t="s">
        <v>58</v>
      </c>
      <c r="D500" s="15" t="s">
        <v>31</v>
      </c>
      <c r="E500" s="15">
        <v>18</v>
      </c>
      <c r="F500" s="15">
        <v>11</v>
      </c>
      <c r="G500" s="15" t="s">
        <v>14</v>
      </c>
      <c r="H500" s="15" t="s">
        <v>37</v>
      </c>
      <c r="I500" s="15" t="s">
        <v>806</v>
      </c>
      <c r="J500" s="15">
        <v>88</v>
      </c>
    </row>
    <row r="501" spans="1:10" x14ac:dyDescent="0.3">
      <c r="A501" s="15" t="s">
        <v>935</v>
      </c>
      <c r="B501" s="15" t="s">
        <v>18</v>
      </c>
      <c r="C501" s="15" t="s">
        <v>12</v>
      </c>
      <c r="D501" s="15" t="s">
        <v>13</v>
      </c>
      <c r="E501" s="15">
        <v>20</v>
      </c>
      <c r="F501" s="15">
        <v>11</v>
      </c>
      <c r="G501" s="15" t="s">
        <v>43</v>
      </c>
      <c r="H501" s="15" t="s">
        <v>46</v>
      </c>
      <c r="I501" s="15" t="s">
        <v>936</v>
      </c>
      <c r="J501" s="15">
        <v>94</v>
      </c>
    </row>
    <row r="502" spans="1:10" x14ac:dyDescent="0.3">
      <c r="A502" s="15" t="s">
        <v>937</v>
      </c>
      <c r="B502" s="15" t="s">
        <v>73</v>
      </c>
      <c r="C502" s="15" t="s">
        <v>85</v>
      </c>
      <c r="D502" s="15" t="s">
        <v>31</v>
      </c>
      <c r="E502" s="15">
        <v>16</v>
      </c>
      <c r="F502" s="15">
        <v>10</v>
      </c>
      <c r="G502" s="15" t="s">
        <v>25</v>
      </c>
      <c r="H502" s="15" t="s">
        <v>76</v>
      </c>
      <c r="I502" s="15" t="s">
        <v>305</v>
      </c>
      <c r="J502" s="15">
        <v>90</v>
      </c>
    </row>
    <row r="503" spans="1:10" x14ac:dyDescent="0.3">
      <c r="A503" s="15" t="s">
        <v>938</v>
      </c>
      <c r="B503" s="15" t="s">
        <v>18</v>
      </c>
      <c r="C503" s="15" t="s">
        <v>58</v>
      </c>
      <c r="D503" s="15" t="s">
        <v>13</v>
      </c>
      <c r="E503" s="15">
        <v>16</v>
      </c>
      <c r="F503" s="15">
        <v>12</v>
      </c>
      <c r="G503" s="15" t="s">
        <v>25</v>
      </c>
      <c r="H503" s="15" t="s">
        <v>26</v>
      </c>
      <c r="I503" s="15" t="s">
        <v>939</v>
      </c>
      <c r="J503" s="15">
        <v>41</v>
      </c>
    </row>
    <row r="504" spans="1:10" x14ac:dyDescent="0.3">
      <c r="A504" s="15" t="s">
        <v>940</v>
      </c>
      <c r="B504" s="15" t="s">
        <v>51</v>
      </c>
      <c r="C504" s="15" t="s">
        <v>96</v>
      </c>
      <c r="D504" s="15" t="s">
        <v>31</v>
      </c>
      <c r="E504" s="15">
        <v>18</v>
      </c>
      <c r="F504" s="15">
        <v>9</v>
      </c>
      <c r="G504" s="15" t="s">
        <v>43</v>
      </c>
      <c r="H504" s="15" t="s">
        <v>76</v>
      </c>
      <c r="I504" s="15" t="s">
        <v>506</v>
      </c>
      <c r="J504" s="15">
        <v>36</v>
      </c>
    </row>
  </sheetData>
  <mergeCells count="2">
    <mergeCell ref="B1:J1"/>
    <mergeCell ref="B2:J2"/>
  </mergeCells>
  <conditionalFormatting sqref="A5:J504">
    <cfRule type="expression" dxfId="8" priority="1">
      <formula>$J5&lt;40</formula>
    </cfRule>
    <cfRule type="expression" dxfId="7" priority="2">
      <formula>$J5&gt;90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BB46E-225D-47BA-B8E1-8699841BA4A0}">
  <dimension ref="A1:J503"/>
  <sheetViews>
    <sheetView workbookViewId="0">
      <selection activeCell="L5" sqref="L5"/>
    </sheetView>
  </sheetViews>
  <sheetFormatPr defaultRowHeight="14.4" x14ac:dyDescent="0.3"/>
  <cols>
    <col min="1" max="2" width="10.44140625" bestFit="1" customWidth="1"/>
    <col min="3" max="3" width="10.33203125" bestFit="1" customWidth="1"/>
    <col min="4" max="4" width="7.109375" bestFit="1" customWidth="1"/>
    <col min="5" max="5" width="4.21875" bestFit="1" customWidth="1"/>
    <col min="6" max="6" width="5.109375" bestFit="1" customWidth="1"/>
    <col min="7" max="7" width="7.21875" bestFit="1" customWidth="1"/>
    <col min="8" max="8" width="9.77734375" bestFit="1" customWidth="1"/>
    <col min="9" max="9" width="14.6640625" bestFit="1" customWidth="1"/>
    <col min="10" max="10" width="6.21875" bestFit="1" customWidth="1"/>
  </cols>
  <sheetData>
    <row r="1" spans="1:10" ht="18" x14ac:dyDescent="0.35">
      <c r="A1" s="16">
        <v>14</v>
      </c>
      <c r="B1" s="29" t="s">
        <v>970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</row>
    <row r="4" spans="1:10" x14ac:dyDescent="0.3">
      <c r="A4" s="15" t="s">
        <v>10</v>
      </c>
      <c r="B4" s="15" t="s">
        <v>11</v>
      </c>
      <c r="C4" s="15" t="s">
        <v>12</v>
      </c>
      <c r="D4" s="15" t="s">
        <v>13</v>
      </c>
      <c r="E4" s="15">
        <v>16</v>
      </c>
      <c r="F4" s="15">
        <v>10</v>
      </c>
      <c r="G4" s="15" t="s">
        <v>14</v>
      </c>
      <c r="H4" s="15" t="s">
        <v>15</v>
      </c>
      <c r="I4" s="15" t="s">
        <v>16</v>
      </c>
      <c r="J4" s="15">
        <v>37</v>
      </c>
    </row>
    <row r="5" spans="1:10" x14ac:dyDescent="0.3">
      <c r="A5" s="15" t="s">
        <v>17</v>
      </c>
      <c r="B5" s="15" t="s">
        <v>18</v>
      </c>
      <c r="C5" s="15" t="s">
        <v>19</v>
      </c>
      <c r="D5" s="15" t="s">
        <v>13</v>
      </c>
      <c r="E5" s="15">
        <v>15</v>
      </c>
      <c r="F5" s="15">
        <v>12</v>
      </c>
      <c r="G5" s="15" t="s">
        <v>14</v>
      </c>
      <c r="H5" s="15" t="s">
        <v>20</v>
      </c>
      <c r="I5" s="15" t="s">
        <v>21</v>
      </c>
      <c r="J5" s="15">
        <v>98</v>
      </c>
    </row>
    <row r="6" spans="1:10" x14ac:dyDescent="0.3">
      <c r="A6" s="15" t="s">
        <v>22</v>
      </c>
      <c r="B6" s="15" t="s">
        <v>23</v>
      </c>
      <c r="C6" s="15" t="s">
        <v>24</v>
      </c>
      <c r="D6" s="15" t="s">
        <v>13</v>
      </c>
      <c r="E6" s="15">
        <v>14</v>
      </c>
      <c r="F6" s="15">
        <v>12</v>
      </c>
      <c r="G6" s="15" t="s">
        <v>25</v>
      </c>
      <c r="H6" s="15" t="s">
        <v>26</v>
      </c>
      <c r="I6" s="15" t="s">
        <v>27</v>
      </c>
      <c r="J6" s="15">
        <v>38</v>
      </c>
    </row>
    <row r="7" spans="1:10" x14ac:dyDescent="0.3">
      <c r="A7" s="15" t="s">
        <v>28</v>
      </c>
      <c r="B7" s="15" t="s">
        <v>29</v>
      </c>
      <c r="C7" s="15" t="s">
        <v>30</v>
      </c>
      <c r="D7" s="15" t="s">
        <v>31</v>
      </c>
      <c r="E7" s="15">
        <v>20</v>
      </c>
      <c r="F7" s="15">
        <v>9</v>
      </c>
      <c r="G7" s="15" t="s">
        <v>32</v>
      </c>
      <c r="H7" s="15" t="s">
        <v>26</v>
      </c>
      <c r="I7" s="15" t="s">
        <v>33</v>
      </c>
      <c r="J7" s="15">
        <v>84</v>
      </c>
    </row>
    <row r="8" spans="1:10" x14ac:dyDescent="0.3">
      <c r="A8" s="15" t="s">
        <v>34</v>
      </c>
      <c r="B8" s="15" t="s">
        <v>35</v>
      </c>
      <c r="C8" s="15" t="s">
        <v>36</v>
      </c>
      <c r="D8" s="15" t="s">
        <v>31</v>
      </c>
      <c r="E8" s="15">
        <v>17</v>
      </c>
      <c r="F8" s="15">
        <v>10</v>
      </c>
      <c r="G8" s="15" t="s">
        <v>32</v>
      </c>
      <c r="H8" s="15" t="s">
        <v>37</v>
      </c>
      <c r="I8" s="15" t="s">
        <v>38</v>
      </c>
      <c r="J8" s="15">
        <v>45</v>
      </c>
    </row>
    <row r="9" spans="1:10" x14ac:dyDescent="0.3">
      <c r="A9" s="15" t="s">
        <v>39</v>
      </c>
      <c r="B9" s="15" t="s">
        <v>11</v>
      </c>
      <c r="C9" s="15" t="s">
        <v>12</v>
      </c>
      <c r="D9" s="15" t="s">
        <v>31</v>
      </c>
      <c r="E9" s="15">
        <v>19</v>
      </c>
      <c r="F9" s="15">
        <v>10</v>
      </c>
      <c r="G9" s="15" t="s">
        <v>14</v>
      </c>
      <c r="H9" s="15" t="s">
        <v>40</v>
      </c>
      <c r="I9" s="15" t="s">
        <v>41</v>
      </c>
      <c r="J9" s="15">
        <v>36</v>
      </c>
    </row>
    <row r="10" spans="1:10" x14ac:dyDescent="0.3">
      <c r="A10" s="15" t="s">
        <v>42</v>
      </c>
      <c r="B10" s="15" t="s">
        <v>29</v>
      </c>
      <c r="C10" s="15" t="s">
        <v>24</v>
      </c>
      <c r="D10" s="15" t="s">
        <v>31</v>
      </c>
      <c r="E10" s="15">
        <v>20</v>
      </c>
      <c r="F10" s="15">
        <v>9</v>
      </c>
      <c r="G10" s="15" t="s">
        <v>43</v>
      </c>
      <c r="H10" s="15" t="s">
        <v>40</v>
      </c>
      <c r="I10" s="15" t="s">
        <v>44</v>
      </c>
      <c r="J10" s="15">
        <v>88</v>
      </c>
    </row>
    <row r="11" spans="1:10" x14ac:dyDescent="0.3">
      <c r="A11" s="15" t="s">
        <v>45</v>
      </c>
      <c r="B11" s="15" t="s">
        <v>35</v>
      </c>
      <c r="C11" s="15" t="s">
        <v>12</v>
      </c>
      <c r="D11" s="15" t="s">
        <v>13</v>
      </c>
      <c r="E11" s="15">
        <v>19</v>
      </c>
      <c r="F11" s="15">
        <v>12</v>
      </c>
      <c r="G11" s="15" t="s">
        <v>32</v>
      </c>
      <c r="H11" s="15" t="s">
        <v>46</v>
      </c>
      <c r="I11" s="15" t="s">
        <v>47</v>
      </c>
      <c r="J11" s="15">
        <v>60</v>
      </c>
    </row>
    <row r="12" spans="1:10" x14ac:dyDescent="0.3">
      <c r="A12" s="15" t="s">
        <v>48</v>
      </c>
      <c r="B12" s="15" t="s">
        <v>18</v>
      </c>
      <c r="C12" s="15" t="s">
        <v>30</v>
      </c>
      <c r="D12" s="15" t="s">
        <v>31</v>
      </c>
      <c r="E12" s="15">
        <v>19</v>
      </c>
      <c r="F12" s="15">
        <v>12</v>
      </c>
      <c r="G12" s="15" t="s">
        <v>14</v>
      </c>
      <c r="H12" s="15" t="s">
        <v>46</v>
      </c>
      <c r="I12" s="15" t="s">
        <v>49</v>
      </c>
      <c r="J12" s="15">
        <v>92</v>
      </c>
    </row>
    <row r="13" spans="1:10" x14ac:dyDescent="0.3">
      <c r="A13" s="15" t="s">
        <v>50</v>
      </c>
      <c r="B13" s="15" t="s">
        <v>51</v>
      </c>
      <c r="C13" s="15" t="s">
        <v>24</v>
      </c>
      <c r="D13" s="15" t="s">
        <v>31</v>
      </c>
      <c r="E13" s="15">
        <v>15</v>
      </c>
      <c r="F13" s="15">
        <v>9</v>
      </c>
      <c r="G13" s="15" t="s">
        <v>43</v>
      </c>
      <c r="H13" s="15" t="s">
        <v>15</v>
      </c>
      <c r="I13" s="15" t="s">
        <v>52</v>
      </c>
      <c r="J13" s="15">
        <v>90</v>
      </c>
    </row>
    <row r="14" spans="1:10" x14ac:dyDescent="0.3">
      <c r="A14" s="15" t="s">
        <v>53</v>
      </c>
      <c r="B14" s="15" t="s">
        <v>54</v>
      </c>
      <c r="C14" s="15" t="s">
        <v>55</v>
      </c>
      <c r="D14" s="15" t="s">
        <v>31</v>
      </c>
      <c r="E14" s="15">
        <v>20</v>
      </c>
      <c r="F14" s="15">
        <v>10</v>
      </c>
      <c r="G14" s="15" t="s">
        <v>25</v>
      </c>
      <c r="H14" s="15" t="s">
        <v>40</v>
      </c>
      <c r="I14" s="15" t="s">
        <v>56</v>
      </c>
      <c r="J14" s="15">
        <v>59</v>
      </c>
    </row>
    <row r="15" spans="1:10" x14ac:dyDescent="0.3">
      <c r="A15" s="15" t="s">
        <v>57</v>
      </c>
      <c r="B15" s="15" t="s">
        <v>51</v>
      </c>
      <c r="C15" s="15" t="s">
        <v>58</v>
      </c>
      <c r="D15" s="15" t="s">
        <v>13</v>
      </c>
      <c r="E15" s="15">
        <v>14</v>
      </c>
      <c r="F15" s="15">
        <v>12</v>
      </c>
      <c r="G15" s="15" t="s">
        <v>32</v>
      </c>
      <c r="H15" s="15" t="s">
        <v>40</v>
      </c>
      <c r="I15" s="15" t="s">
        <v>59</v>
      </c>
      <c r="J15" s="15">
        <v>43</v>
      </c>
    </row>
    <row r="16" spans="1:10" x14ac:dyDescent="0.3">
      <c r="A16" s="15" t="s">
        <v>60</v>
      </c>
      <c r="B16" s="15" t="s">
        <v>35</v>
      </c>
      <c r="C16" s="15" t="s">
        <v>55</v>
      </c>
      <c r="D16" s="15" t="s">
        <v>13</v>
      </c>
      <c r="E16" s="15">
        <v>15</v>
      </c>
      <c r="F16" s="15">
        <v>12</v>
      </c>
      <c r="G16" s="15" t="s">
        <v>14</v>
      </c>
      <c r="H16" s="15" t="s">
        <v>61</v>
      </c>
      <c r="I16" s="15" t="s">
        <v>62</v>
      </c>
      <c r="J16" s="15">
        <v>51</v>
      </c>
    </row>
    <row r="17" spans="1:10" x14ac:dyDescent="0.3">
      <c r="A17" s="15" t="s">
        <v>63</v>
      </c>
      <c r="B17" s="15" t="s">
        <v>11</v>
      </c>
      <c r="C17" s="15" t="s">
        <v>55</v>
      </c>
      <c r="D17" s="15" t="s">
        <v>13</v>
      </c>
      <c r="E17" s="15">
        <v>16</v>
      </c>
      <c r="F17" s="15">
        <v>10</v>
      </c>
      <c r="G17" s="15" t="s">
        <v>25</v>
      </c>
      <c r="H17" s="15" t="s">
        <v>26</v>
      </c>
      <c r="I17" s="15" t="s">
        <v>64</v>
      </c>
      <c r="J17" s="15">
        <v>42</v>
      </c>
    </row>
    <row r="18" spans="1:10" x14ac:dyDescent="0.3">
      <c r="A18" s="15" t="s">
        <v>65</v>
      </c>
      <c r="B18" s="15" t="s">
        <v>23</v>
      </c>
      <c r="C18" s="15" t="s">
        <v>30</v>
      </c>
      <c r="D18" s="15" t="s">
        <v>13</v>
      </c>
      <c r="E18" s="15">
        <v>20</v>
      </c>
      <c r="F18" s="15">
        <v>12</v>
      </c>
      <c r="G18" s="15" t="s">
        <v>14</v>
      </c>
      <c r="H18" s="15" t="s">
        <v>40</v>
      </c>
      <c r="I18" s="15" t="s">
        <v>66</v>
      </c>
      <c r="J18" s="15">
        <v>62</v>
      </c>
    </row>
    <row r="19" spans="1:10" x14ac:dyDescent="0.3">
      <c r="A19" s="15" t="s">
        <v>67</v>
      </c>
      <c r="B19" s="15" t="s">
        <v>68</v>
      </c>
      <c r="C19" s="15" t="s">
        <v>19</v>
      </c>
      <c r="D19" s="15" t="s">
        <v>13</v>
      </c>
      <c r="E19" s="15">
        <v>20</v>
      </c>
      <c r="F19" s="15">
        <v>9</v>
      </c>
      <c r="G19" s="15" t="s">
        <v>14</v>
      </c>
      <c r="H19" s="15" t="s">
        <v>20</v>
      </c>
      <c r="I19" s="15" t="s">
        <v>69</v>
      </c>
      <c r="J19" s="15">
        <v>55</v>
      </c>
    </row>
    <row r="20" spans="1:10" x14ac:dyDescent="0.3">
      <c r="A20" s="15" t="s">
        <v>70</v>
      </c>
      <c r="B20" s="15" t="s">
        <v>51</v>
      </c>
      <c r="C20" s="15" t="s">
        <v>36</v>
      </c>
      <c r="D20" s="15" t="s">
        <v>13</v>
      </c>
      <c r="E20" s="15">
        <v>14</v>
      </c>
      <c r="F20" s="15">
        <v>12</v>
      </c>
      <c r="G20" s="15" t="s">
        <v>25</v>
      </c>
      <c r="H20" s="15" t="s">
        <v>37</v>
      </c>
      <c r="I20" s="15" t="s">
        <v>71</v>
      </c>
      <c r="J20" s="15">
        <v>42</v>
      </c>
    </row>
    <row r="21" spans="1:10" x14ac:dyDescent="0.3">
      <c r="A21" s="15" t="s">
        <v>72</v>
      </c>
      <c r="B21" s="15" t="s">
        <v>73</v>
      </c>
      <c r="C21" s="15" t="s">
        <v>58</v>
      </c>
      <c r="D21" s="15" t="s">
        <v>31</v>
      </c>
      <c r="E21" s="15">
        <v>19</v>
      </c>
      <c r="F21" s="15">
        <v>9</v>
      </c>
      <c r="G21" s="15" t="s">
        <v>32</v>
      </c>
      <c r="H21" s="15" t="s">
        <v>46</v>
      </c>
      <c r="I21" s="15" t="s">
        <v>74</v>
      </c>
      <c r="J21" s="15">
        <v>76</v>
      </c>
    </row>
    <row r="22" spans="1:10" x14ac:dyDescent="0.3">
      <c r="A22" s="15" t="s">
        <v>75</v>
      </c>
      <c r="B22" s="15" t="s">
        <v>29</v>
      </c>
      <c r="C22" s="15" t="s">
        <v>58</v>
      </c>
      <c r="D22" s="15" t="s">
        <v>31</v>
      </c>
      <c r="E22" s="15">
        <v>17</v>
      </c>
      <c r="F22" s="15">
        <v>12</v>
      </c>
      <c r="G22" s="15" t="s">
        <v>32</v>
      </c>
      <c r="H22" s="15" t="s">
        <v>76</v>
      </c>
      <c r="I22" s="15" t="s">
        <v>77</v>
      </c>
      <c r="J22" s="15">
        <v>66</v>
      </c>
    </row>
    <row r="23" spans="1:10" x14ac:dyDescent="0.3">
      <c r="A23" s="15" t="s">
        <v>78</v>
      </c>
      <c r="B23" s="15" t="s">
        <v>68</v>
      </c>
      <c r="C23" s="15" t="s">
        <v>79</v>
      </c>
      <c r="D23" s="15" t="s">
        <v>31</v>
      </c>
      <c r="E23" s="15">
        <v>15</v>
      </c>
      <c r="F23" s="15">
        <v>10</v>
      </c>
      <c r="G23" s="15" t="s">
        <v>14</v>
      </c>
      <c r="H23" s="15" t="s">
        <v>20</v>
      </c>
      <c r="I23" s="15" t="s">
        <v>80</v>
      </c>
      <c r="J23" s="15">
        <v>59</v>
      </c>
    </row>
    <row r="24" spans="1:10" x14ac:dyDescent="0.3">
      <c r="A24" s="15" t="s">
        <v>81</v>
      </c>
      <c r="B24" s="15" t="s">
        <v>29</v>
      </c>
      <c r="C24" s="15" t="s">
        <v>58</v>
      </c>
      <c r="D24" s="15" t="s">
        <v>31</v>
      </c>
      <c r="E24" s="15">
        <v>19</v>
      </c>
      <c r="F24" s="15">
        <v>9</v>
      </c>
      <c r="G24" s="15" t="s">
        <v>14</v>
      </c>
      <c r="H24" s="15" t="s">
        <v>61</v>
      </c>
      <c r="I24" s="15" t="s">
        <v>82</v>
      </c>
      <c r="J24" s="15">
        <v>50</v>
      </c>
    </row>
    <row r="25" spans="1:10" x14ac:dyDescent="0.3">
      <c r="A25" s="15" t="s">
        <v>83</v>
      </c>
      <c r="B25" s="15" t="s">
        <v>84</v>
      </c>
      <c r="C25" s="15" t="s">
        <v>85</v>
      </c>
      <c r="D25" s="15" t="s">
        <v>31</v>
      </c>
      <c r="E25" s="15">
        <v>16</v>
      </c>
      <c r="F25" s="15">
        <v>9</v>
      </c>
      <c r="G25" s="15" t="s">
        <v>43</v>
      </c>
      <c r="H25" s="15" t="s">
        <v>37</v>
      </c>
      <c r="I25" s="15" t="s">
        <v>86</v>
      </c>
      <c r="J25" s="15">
        <v>52</v>
      </c>
    </row>
    <row r="26" spans="1:10" x14ac:dyDescent="0.3">
      <c r="A26" s="15" t="s">
        <v>87</v>
      </c>
      <c r="B26" s="15" t="s">
        <v>18</v>
      </c>
      <c r="C26" s="15" t="s">
        <v>12</v>
      </c>
      <c r="D26" s="15" t="s">
        <v>13</v>
      </c>
      <c r="E26" s="15">
        <v>20</v>
      </c>
      <c r="F26" s="15">
        <v>12</v>
      </c>
      <c r="G26" s="15" t="s">
        <v>32</v>
      </c>
      <c r="H26" s="15" t="s">
        <v>26</v>
      </c>
      <c r="I26" s="15" t="s">
        <v>88</v>
      </c>
      <c r="J26" s="15">
        <v>86</v>
      </c>
    </row>
    <row r="27" spans="1:10" x14ac:dyDescent="0.3">
      <c r="A27" s="15" t="s">
        <v>89</v>
      </c>
      <c r="B27" s="15" t="s">
        <v>68</v>
      </c>
      <c r="C27" s="15" t="s">
        <v>85</v>
      </c>
      <c r="D27" s="15" t="s">
        <v>31</v>
      </c>
      <c r="E27" s="15">
        <v>16</v>
      </c>
      <c r="F27" s="15">
        <v>9</v>
      </c>
      <c r="G27" s="15" t="s">
        <v>43</v>
      </c>
      <c r="H27" s="15" t="s">
        <v>20</v>
      </c>
      <c r="I27" s="15" t="s">
        <v>90</v>
      </c>
      <c r="J27" s="15">
        <v>52</v>
      </c>
    </row>
    <row r="28" spans="1:10" x14ac:dyDescent="0.3">
      <c r="A28" s="15" t="s">
        <v>91</v>
      </c>
      <c r="B28" s="15" t="s">
        <v>73</v>
      </c>
      <c r="C28" s="15" t="s">
        <v>12</v>
      </c>
      <c r="D28" s="15" t="s">
        <v>13</v>
      </c>
      <c r="E28" s="15">
        <v>20</v>
      </c>
      <c r="F28" s="15">
        <v>10</v>
      </c>
      <c r="G28" s="15" t="s">
        <v>43</v>
      </c>
      <c r="H28" s="15" t="s">
        <v>46</v>
      </c>
      <c r="I28" s="15" t="s">
        <v>92</v>
      </c>
      <c r="J28" s="15">
        <v>82</v>
      </c>
    </row>
    <row r="29" spans="1:10" x14ac:dyDescent="0.3">
      <c r="A29" s="15" t="s">
        <v>93</v>
      </c>
      <c r="B29" s="15" t="s">
        <v>29</v>
      </c>
      <c r="C29" s="15" t="s">
        <v>24</v>
      </c>
      <c r="D29" s="15" t="s">
        <v>31</v>
      </c>
      <c r="E29" s="15">
        <v>14</v>
      </c>
      <c r="F29" s="15">
        <v>12</v>
      </c>
      <c r="G29" s="15" t="s">
        <v>32</v>
      </c>
      <c r="H29" s="15" t="s">
        <v>61</v>
      </c>
      <c r="I29" s="15" t="s">
        <v>94</v>
      </c>
      <c r="J29" s="15">
        <v>72</v>
      </c>
    </row>
    <row r="30" spans="1:10" x14ac:dyDescent="0.3">
      <c r="A30" s="15" t="s">
        <v>95</v>
      </c>
      <c r="B30" s="15" t="s">
        <v>18</v>
      </c>
      <c r="C30" s="15" t="s">
        <v>96</v>
      </c>
      <c r="D30" s="15" t="s">
        <v>13</v>
      </c>
      <c r="E30" s="15">
        <v>19</v>
      </c>
      <c r="F30" s="15">
        <v>12</v>
      </c>
      <c r="G30" s="15" t="s">
        <v>14</v>
      </c>
      <c r="H30" s="15" t="s">
        <v>15</v>
      </c>
      <c r="I30" s="15" t="s">
        <v>97</v>
      </c>
      <c r="J30" s="15">
        <v>56</v>
      </c>
    </row>
    <row r="31" spans="1:10" x14ac:dyDescent="0.3">
      <c r="A31" s="15" t="s">
        <v>98</v>
      </c>
      <c r="B31" s="15" t="s">
        <v>68</v>
      </c>
      <c r="C31" s="15" t="s">
        <v>55</v>
      </c>
      <c r="D31" s="15" t="s">
        <v>13</v>
      </c>
      <c r="E31" s="15">
        <v>19</v>
      </c>
      <c r="F31" s="15">
        <v>11</v>
      </c>
      <c r="G31" s="15" t="s">
        <v>43</v>
      </c>
      <c r="H31" s="15" t="s">
        <v>15</v>
      </c>
      <c r="I31" s="15" t="s">
        <v>99</v>
      </c>
      <c r="J31" s="15">
        <v>56</v>
      </c>
    </row>
    <row r="32" spans="1:10" x14ac:dyDescent="0.3">
      <c r="A32" s="15" t="s">
        <v>100</v>
      </c>
      <c r="B32" s="15" t="s">
        <v>35</v>
      </c>
      <c r="C32" s="15" t="s">
        <v>12</v>
      </c>
      <c r="D32" s="15" t="s">
        <v>31</v>
      </c>
      <c r="E32" s="15">
        <v>19</v>
      </c>
      <c r="F32" s="15">
        <v>12</v>
      </c>
      <c r="G32" s="15" t="s">
        <v>25</v>
      </c>
      <c r="H32" s="15" t="s">
        <v>76</v>
      </c>
      <c r="I32" s="15" t="s">
        <v>101</v>
      </c>
      <c r="J32" s="15">
        <v>54</v>
      </c>
    </row>
    <row r="33" spans="1:10" x14ac:dyDescent="0.3">
      <c r="A33" s="15" t="s">
        <v>102</v>
      </c>
      <c r="B33" s="15" t="s">
        <v>35</v>
      </c>
      <c r="C33" s="15" t="s">
        <v>12</v>
      </c>
      <c r="D33" s="15" t="s">
        <v>13</v>
      </c>
      <c r="E33" s="15">
        <v>20</v>
      </c>
      <c r="F33" s="15">
        <v>11</v>
      </c>
      <c r="G33" s="15" t="s">
        <v>14</v>
      </c>
      <c r="H33" s="15" t="s">
        <v>26</v>
      </c>
      <c r="I33" s="15" t="s">
        <v>103</v>
      </c>
      <c r="J33" s="15">
        <v>70</v>
      </c>
    </row>
    <row r="34" spans="1:10" x14ac:dyDescent="0.3">
      <c r="A34" s="15" t="s">
        <v>104</v>
      </c>
      <c r="B34" s="15" t="s">
        <v>29</v>
      </c>
      <c r="C34" s="15" t="s">
        <v>79</v>
      </c>
      <c r="D34" s="15" t="s">
        <v>31</v>
      </c>
      <c r="E34" s="15">
        <v>18</v>
      </c>
      <c r="F34" s="15">
        <v>10</v>
      </c>
      <c r="G34" s="15" t="s">
        <v>25</v>
      </c>
      <c r="H34" s="15" t="s">
        <v>61</v>
      </c>
      <c r="I34" s="15" t="s">
        <v>105</v>
      </c>
      <c r="J34" s="15">
        <v>57</v>
      </c>
    </row>
    <row r="35" spans="1:10" x14ac:dyDescent="0.3">
      <c r="A35" s="15" t="s">
        <v>106</v>
      </c>
      <c r="B35" s="15" t="s">
        <v>51</v>
      </c>
      <c r="C35" s="15" t="s">
        <v>55</v>
      </c>
      <c r="D35" s="15" t="s">
        <v>13</v>
      </c>
      <c r="E35" s="15">
        <v>20</v>
      </c>
      <c r="F35" s="15">
        <v>9</v>
      </c>
      <c r="G35" s="15" t="s">
        <v>32</v>
      </c>
      <c r="H35" s="15" t="s">
        <v>26</v>
      </c>
      <c r="I35" s="15" t="s">
        <v>107</v>
      </c>
      <c r="J35" s="15">
        <v>91</v>
      </c>
    </row>
    <row r="36" spans="1:10" x14ac:dyDescent="0.3">
      <c r="A36" s="15" t="s">
        <v>108</v>
      </c>
      <c r="B36" s="15" t="s">
        <v>29</v>
      </c>
      <c r="C36" s="15" t="s">
        <v>96</v>
      </c>
      <c r="D36" s="15" t="s">
        <v>31</v>
      </c>
      <c r="E36" s="15">
        <v>15</v>
      </c>
      <c r="F36" s="15">
        <v>11</v>
      </c>
      <c r="G36" s="15" t="s">
        <v>43</v>
      </c>
      <c r="H36" s="15" t="s">
        <v>26</v>
      </c>
      <c r="I36" s="15" t="s">
        <v>109</v>
      </c>
      <c r="J36" s="15">
        <v>77</v>
      </c>
    </row>
    <row r="37" spans="1:10" x14ac:dyDescent="0.3">
      <c r="A37" s="15" t="s">
        <v>110</v>
      </c>
      <c r="B37" s="15" t="s">
        <v>51</v>
      </c>
      <c r="C37" s="15" t="s">
        <v>58</v>
      </c>
      <c r="D37" s="15" t="s">
        <v>31</v>
      </c>
      <c r="E37" s="15">
        <v>14</v>
      </c>
      <c r="F37" s="15">
        <v>10</v>
      </c>
      <c r="G37" s="15" t="s">
        <v>32</v>
      </c>
      <c r="H37" s="15" t="s">
        <v>76</v>
      </c>
      <c r="I37" s="15" t="s">
        <v>111</v>
      </c>
      <c r="J37" s="15">
        <v>60</v>
      </c>
    </row>
    <row r="38" spans="1:10" x14ac:dyDescent="0.3">
      <c r="A38" s="15" t="s">
        <v>112</v>
      </c>
      <c r="B38" s="15" t="s">
        <v>73</v>
      </c>
      <c r="C38" s="15" t="s">
        <v>30</v>
      </c>
      <c r="D38" s="15" t="s">
        <v>13</v>
      </c>
      <c r="E38" s="15">
        <v>15</v>
      </c>
      <c r="F38" s="15">
        <v>9</v>
      </c>
      <c r="G38" s="15" t="s">
        <v>14</v>
      </c>
      <c r="H38" s="15" t="s">
        <v>26</v>
      </c>
      <c r="I38" s="15" t="s">
        <v>113</v>
      </c>
      <c r="J38" s="15">
        <v>58</v>
      </c>
    </row>
    <row r="39" spans="1:10" x14ac:dyDescent="0.3">
      <c r="A39" s="15" t="s">
        <v>114</v>
      </c>
      <c r="B39" s="15" t="s">
        <v>73</v>
      </c>
      <c r="C39" s="15" t="s">
        <v>58</v>
      </c>
      <c r="D39" s="15" t="s">
        <v>13</v>
      </c>
      <c r="E39" s="15">
        <v>20</v>
      </c>
      <c r="F39" s="15">
        <v>9</v>
      </c>
      <c r="G39" s="15" t="s">
        <v>25</v>
      </c>
      <c r="H39" s="15" t="s">
        <v>46</v>
      </c>
      <c r="I39" s="15" t="s">
        <v>115</v>
      </c>
      <c r="J39" s="15">
        <v>40</v>
      </c>
    </row>
    <row r="40" spans="1:10" x14ac:dyDescent="0.3">
      <c r="A40" s="15" t="s">
        <v>116</v>
      </c>
      <c r="B40" s="15" t="s">
        <v>84</v>
      </c>
      <c r="C40" s="15" t="s">
        <v>19</v>
      </c>
      <c r="D40" s="15" t="s">
        <v>13</v>
      </c>
      <c r="E40" s="15">
        <v>19</v>
      </c>
      <c r="F40" s="15">
        <v>12</v>
      </c>
      <c r="G40" s="15" t="s">
        <v>14</v>
      </c>
      <c r="H40" s="15" t="s">
        <v>20</v>
      </c>
      <c r="I40" s="15" t="s">
        <v>117</v>
      </c>
      <c r="J40" s="15">
        <v>56</v>
      </c>
    </row>
    <row r="41" spans="1:10" x14ac:dyDescent="0.3">
      <c r="A41" s="15" t="s">
        <v>118</v>
      </c>
      <c r="B41" s="15" t="s">
        <v>84</v>
      </c>
      <c r="C41" s="15" t="s">
        <v>58</v>
      </c>
      <c r="D41" s="15" t="s">
        <v>31</v>
      </c>
      <c r="E41" s="15">
        <v>20</v>
      </c>
      <c r="F41" s="15">
        <v>10</v>
      </c>
      <c r="G41" s="15" t="s">
        <v>32</v>
      </c>
      <c r="H41" s="15" t="s">
        <v>26</v>
      </c>
      <c r="I41" s="15" t="s">
        <v>119</v>
      </c>
      <c r="J41" s="15">
        <v>52</v>
      </c>
    </row>
    <row r="42" spans="1:10" x14ac:dyDescent="0.3">
      <c r="A42" s="15" t="s">
        <v>120</v>
      </c>
      <c r="B42" s="15" t="s">
        <v>35</v>
      </c>
      <c r="C42" s="15" t="s">
        <v>36</v>
      </c>
      <c r="D42" s="15" t="s">
        <v>31</v>
      </c>
      <c r="E42" s="15">
        <v>20</v>
      </c>
      <c r="F42" s="15">
        <v>10</v>
      </c>
      <c r="G42" s="15" t="s">
        <v>43</v>
      </c>
      <c r="H42" s="15" t="s">
        <v>61</v>
      </c>
      <c r="I42" s="15" t="s">
        <v>121</v>
      </c>
      <c r="J42" s="15">
        <v>37</v>
      </c>
    </row>
    <row r="43" spans="1:10" x14ac:dyDescent="0.3">
      <c r="A43" s="15" t="s">
        <v>122</v>
      </c>
      <c r="B43" s="15" t="s">
        <v>18</v>
      </c>
      <c r="C43" s="15" t="s">
        <v>19</v>
      </c>
      <c r="D43" s="15" t="s">
        <v>13</v>
      </c>
      <c r="E43" s="15">
        <v>15</v>
      </c>
      <c r="F43" s="15">
        <v>10</v>
      </c>
      <c r="G43" s="15" t="s">
        <v>32</v>
      </c>
      <c r="H43" s="15" t="s">
        <v>20</v>
      </c>
      <c r="I43" s="15" t="s">
        <v>123</v>
      </c>
      <c r="J43" s="15">
        <v>51</v>
      </c>
    </row>
    <row r="44" spans="1:10" x14ac:dyDescent="0.3">
      <c r="A44" s="15" t="s">
        <v>124</v>
      </c>
      <c r="B44" s="15" t="s">
        <v>68</v>
      </c>
      <c r="C44" s="15" t="s">
        <v>36</v>
      </c>
      <c r="D44" s="15" t="s">
        <v>13</v>
      </c>
      <c r="E44" s="15">
        <v>18</v>
      </c>
      <c r="F44" s="15">
        <v>10</v>
      </c>
      <c r="G44" s="15" t="s">
        <v>43</v>
      </c>
      <c r="H44" s="15" t="s">
        <v>20</v>
      </c>
      <c r="I44" s="15" t="s">
        <v>125</v>
      </c>
      <c r="J44" s="15">
        <v>66</v>
      </c>
    </row>
    <row r="45" spans="1:10" x14ac:dyDescent="0.3">
      <c r="A45" s="15" t="s">
        <v>126</v>
      </c>
      <c r="B45" s="15" t="s">
        <v>18</v>
      </c>
      <c r="C45" s="15" t="s">
        <v>24</v>
      </c>
      <c r="D45" s="15" t="s">
        <v>13</v>
      </c>
      <c r="E45" s="15">
        <v>15</v>
      </c>
      <c r="F45" s="15">
        <v>9</v>
      </c>
      <c r="G45" s="15" t="s">
        <v>25</v>
      </c>
      <c r="H45" s="15" t="s">
        <v>76</v>
      </c>
      <c r="I45" s="15" t="s">
        <v>127</v>
      </c>
      <c r="J45" s="15">
        <v>59</v>
      </c>
    </row>
    <row r="46" spans="1:10" x14ac:dyDescent="0.3">
      <c r="A46" s="15" t="s">
        <v>128</v>
      </c>
      <c r="B46" s="15" t="s">
        <v>11</v>
      </c>
      <c r="C46" s="15" t="s">
        <v>24</v>
      </c>
      <c r="D46" s="15" t="s">
        <v>31</v>
      </c>
      <c r="E46" s="15">
        <v>17</v>
      </c>
      <c r="F46" s="15">
        <v>12</v>
      </c>
      <c r="G46" s="15" t="s">
        <v>32</v>
      </c>
      <c r="H46" s="15" t="s">
        <v>15</v>
      </c>
      <c r="I46" s="15" t="s">
        <v>129</v>
      </c>
      <c r="J46" s="15">
        <v>68</v>
      </c>
    </row>
    <row r="47" spans="1:10" x14ac:dyDescent="0.3">
      <c r="A47" s="15" t="s">
        <v>130</v>
      </c>
      <c r="B47" s="15" t="s">
        <v>73</v>
      </c>
      <c r="C47" s="15" t="s">
        <v>30</v>
      </c>
      <c r="D47" s="15" t="s">
        <v>13</v>
      </c>
      <c r="E47" s="15">
        <v>17</v>
      </c>
      <c r="F47" s="15">
        <v>12</v>
      </c>
      <c r="G47" s="15" t="s">
        <v>25</v>
      </c>
      <c r="H47" s="15" t="s">
        <v>40</v>
      </c>
      <c r="I47" s="15" t="s">
        <v>131</v>
      </c>
      <c r="J47" s="15">
        <v>82</v>
      </c>
    </row>
    <row r="48" spans="1:10" x14ac:dyDescent="0.3">
      <c r="A48" s="15" t="s">
        <v>132</v>
      </c>
      <c r="B48" s="15" t="s">
        <v>29</v>
      </c>
      <c r="C48" s="15" t="s">
        <v>12</v>
      </c>
      <c r="D48" s="15" t="s">
        <v>13</v>
      </c>
      <c r="E48" s="15">
        <v>17</v>
      </c>
      <c r="F48" s="15">
        <v>10</v>
      </c>
      <c r="G48" s="15" t="s">
        <v>25</v>
      </c>
      <c r="H48" s="15" t="s">
        <v>37</v>
      </c>
      <c r="I48" s="15" t="s">
        <v>133</v>
      </c>
      <c r="J48" s="15">
        <v>88</v>
      </c>
    </row>
    <row r="49" spans="1:10" x14ac:dyDescent="0.3">
      <c r="A49" s="15" t="s">
        <v>134</v>
      </c>
      <c r="B49" s="15" t="s">
        <v>23</v>
      </c>
      <c r="C49" s="15" t="s">
        <v>30</v>
      </c>
      <c r="D49" s="15" t="s">
        <v>31</v>
      </c>
      <c r="E49" s="15">
        <v>20</v>
      </c>
      <c r="F49" s="15">
        <v>9</v>
      </c>
      <c r="G49" s="15" t="s">
        <v>14</v>
      </c>
      <c r="H49" s="15" t="s">
        <v>15</v>
      </c>
      <c r="I49" s="15" t="s">
        <v>135</v>
      </c>
      <c r="J49" s="15">
        <v>50</v>
      </c>
    </row>
    <row r="50" spans="1:10" x14ac:dyDescent="0.3">
      <c r="A50" s="15" t="s">
        <v>136</v>
      </c>
      <c r="B50" s="15" t="s">
        <v>11</v>
      </c>
      <c r="C50" s="15" t="s">
        <v>79</v>
      </c>
      <c r="D50" s="15" t="s">
        <v>13</v>
      </c>
      <c r="E50" s="15">
        <v>14</v>
      </c>
      <c r="F50" s="15">
        <v>10</v>
      </c>
      <c r="G50" s="15" t="s">
        <v>43</v>
      </c>
      <c r="H50" s="15" t="s">
        <v>61</v>
      </c>
      <c r="I50" s="15" t="s">
        <v>137</v>
      </c>
      <c r="J50" s="15">
        <v>65</v>
      </c>
    </row>
    <row r="51" spans="1:10" x14ac:dyDescent="0.3">
      <c r="A51" s="15" t="s">
        <v>138</v>
      </c>
      <c r="B51" s="15" t="s">
        <v>51</v>
      </c>
      <c r="C51" s="15" t="s">
        <v>85</v>
      </c>
      <c r="D51" s="15" t="s">
        <v>13</v>
      </c>
      <c r="E51" s="15">
        <v>18</v>
      </c>
      <c r="F51" s="15">
        <v>11</v>
      </c>
      <c r="G51" s="15" t="s">
        <v>43</v>
      </c>
      <c r="H51" s="15" t="s">
        <v>61</v>
      </c>
      <c r="I51" s="15" t="s">
        <v>139</v>
      </c>
      <c r="J51" s="15">
        <v>100</v>
      </c>
    </row>
    <row r="52" spans="1:10" x14ac:dyDescent="0.3">
      <c r="A52" s="15" t="s">
        <v>140</v>
      </c>
      <c r="B52" s="15" t="s">
        <v>35</v>
      </c>
      <c r="C52" s="15" t="s">
        <v>30</v>
      </c>
      <c r="D52" s="15" t="s">
        <v>31</v>
      </c>
      <c r="E52" s="15">
        <v>19</v>
      </c>
      <c r="F52" s="15">
        <v>10</v>
      </c>
      <c r="G52" s="15" t="s">
        <v>32</v>
      </c>
      <c r="H52" s="15" t="s">
        <v>76</v>
      </c>
      <c r="I52" s="15" t="s">
        <v>141</v>
      </c>
      <c r="J52" s="15">
        <v>93</v>
      </c>
    </row>
    <row r="53" spans="1:10" x14ac:dyDescent="0.3">
      <c r="A53" s="15" t="s">
        <v>142</v>
      </c>
      <c r="B53" s="15" t="s">
        <v>29</v>
      </c>
      <c r="C53" s="15" t="s">
        <v>96</v>
      </c>
      <c r="D53" s="15" t="s">
        <v>31</v>
      </c>
      <c r="E53" s="15">
        <v>16</v>
      </c>
      <c r="F53" s="15">
        <v>12</v>
      </c>
      <c r="G53" s="15" t="s">
        <v>14</v>
      </c>
      <c r="H53" s="15" t="s">
        <v>37</v>
      </c>
      <c r="I53" s="15" t="s">
        <v>143</v>
      </c>
      <c r="J53" s="15">
        <v>85</v>
      </c>
    </row>
    <row r="54" spans="1:10" x14ac:dyDescent="0.3">
      <c r="A54" s="15" t="s">
        <v>144</v>
      </c>
      <c r="B54" s="15" t="s">
        <v>73</v>
      </c>
      <c r="C54" s="15" t="s">
        <v>12</v>
      </c>
      <c r="D54" s="15" t="s">
        <v>31</v>
      </c>
      <c r="E54" s="15">
        <v>20</v>
      </c>
      <c r="F54" s="15">
        <v>10</v>
      </c>
      <c r="G54" s="15" t="s">
        <v>14</v>
      </c>
      <c r="H54" s="15" t="s">
        <v>26</v>
      </c>
      <c r="I54" s="15" t="s">
        <v>145</v>
      </c>
      <c r="J54" s="15">
        <v>71</v>
      </c>
    </row>
    <row r="55" spans="1:10" x14ac:dyDescent="0.3">
      <c r="A55" s="15" t="s">
        <v>146</v>
      </c>
      <c r="B55" s="15" t="s">
        <v>35</v>
      </c>
      <c r="C55" s="15" t="s">
        <v>30</v>
      </c>
      <c r="D55" s="15" t="s">
        <v>31</v>
      </c>
      <c r="E55" s="15">
        <v>20</v>
      </c>
      <c r="F55" s="15">
        <v>9</v>
      </c>
      <c r="G55" s="15" t="s">
        <v>43</v>
      </c>
      <c r="H55" s="15" t="s">
        <v>15</v>
      </c>
      <c r="I55" s="15" t="s">
        <v>147</v>
      </c>
      <c r="J55" s="15">
        <v>40</v>
      </c>
    </row>
    <row r="56" spans="1:10" x14ac:dyDescent="0.3">
      <c r="A56" s="15" t="s">
        <v>148</v>
      </c>
      <c r="B56" s="15" t="s">
        <v>51</v>
      </c>
      <c r="C56" s="15" t="s">
        <v>96</v>
      </c>
      <c r="D56" s="15" t="s">
        <v>13</v>
      </c>
      <c r="E56" s="15">
        <v>19</v>
      </c>
      <c r="F56" s="15">
        <v>11</v>
      </c>
      <c r="G56" s="15" t="s">
        <v>14</v>
      </c>
      <c r="H56" s="15" t="s">
        <v>76</v>
      </c>
      <c r="I56" s="15" t="s">
        <v>149</v>
      </c>
      <c r="J56" s="15">
        <v>83</v>
      </c>
    </row>
    <row r="57" spans="1:10" x14ac:dyDescent="0.3">
      <c r="A57" s="15" t="s">
        <v>150</v>
      </c>
      <c r="B57" s="15" t="s">
        <v>23</v>
      </c>
      <c r="C57" s="15" t="s">
        <v>55</v>
      </c>
      <c r="D57" s="15" t="s">
        <v>31</v>
      </c>
      <c r="E57" s="15">
        <v>17</v>
      </c>
      <c r="F57" s="15">
        <v>9</v>
      </c>
      <c r="G57" s="15" t="s">
        <v>25</v>
      </c>
      <c r="H57" s="15" t="s">
        <v>20</v>
      </c>
      <c r="I57" s="15" t="s">
        <v>151</v>
      </c>
      <c r="J57" s="15">
        <v>55</v>
      </c>
    </row>
    <row r="58" spans="1:10" x14ac:dyDescent="0.3">
      <c r="A58" s="15" t="s">
        <v>152</v>
      </c>
      <c r="B58" s="15" t="s">
        <v>23</v>
      </c>
      <c r="C58" s="15" t="s">
        <v>55</v>
      </c>
      <c r="D58" s="15" t="s">
        <v>13</v>
      </c>
      <c r="E58" s="15">
        <v>17</v>
      </c>
      <c r="F58" s="15">
        <v>12</v>
      </c>
      <c r="G58" s="15" t="s">
        <v>32</v>
      </c>
      <c r="H58" s="15" t="s">
        <v>46</v>
      </c>
      <c r="I58" s="15" t="s">
        <v>153</v>
      </c>
      <c r="J58" s="15">
        <v>39</v>
      </c>
    </row>
    <row r="59" spans="1:10" x14ac:dyDescent="0.3">
      <c r="A59" s="15" t="s">
        <v>154</v>
      </c>
      <c r="B59" s="15" t="s">
        <v>51</v>
      </c>
      <c r="C59" s="15" t="s">
        <v>36</v>
      </c>
      <c r="D59" s="15" t="s">
        <v>31</v>
      </c>
      <c r="E59" s="15">
        <v>18</v>
      </c>
      <c r="F59" s="15">
        <v>12</v>
      </c>
      <c r="G59" s="15" t="s">
        <v>43</v>
      </c>
      <c r="H59" s="15" t="s">
        <v>76</v>
      </c>
      <c r="I59" s="15" t="s">
        <v>155</v>
      </c>
      <c r="J59" s="15">
        <v>77</v>
      </c>
    </row>
    <row r="60" spans="1:10" x14ac:dyDescent="0.3">
      <c r="A60" s="15" t="s">
        <v>156</v>
      </c>
      <c r="B60" s="15" t="s">
        <v>35</v>
      </c>
      <c r="C60" s="15" t="s">
        <v>55</v>
      </c>
      <c r="D60" s="15" t="s">
        <v>13</v>
      </c>
      <c r="E60" s="15">
        <v>19</v>
      </c>
      <c r="F60" s="15">
        <v>11</v>
      </c>
      <c r="G60" s="15" t="s">
        <v>14</v>
      </c>
      <c r="H60" s="15" t="s">
        <v>40</v>
      </c>
      <c r="I60" s="15" t="s">
        <v>157</v>
      </c>
      <c r="J60" s="15">
        <v>63</v>
      </c>
    </row>
    <row r="61" spans="1:10" x14ac:dyDescent="0.3">
      <c r="A61" s="15" t="s">
        <v>158</v>
      </c>
      <c r="B61" s="15" t="s">
        <v>18</v>
      </c>
      <c r="C61" s="15" t="s">
        <v>19</v>
      </c>
      <c r="D61" s="15" t="s">
        <v>13</v>
      </c>
      <c r="E61" s="15">
        <v>16</v>
      </c>
      <c r="F61" s="15">
        <v>12</v>
      </c>
      <c r="G61" s="15" t="s">
        <v>43</v>
      </c>
      <c r="H61" s="15" t="s">
        <v>40</v>
      </c>
      <c r="I61" s="15" t="s">
        <v>159</v>
      </c>
      <c r="J61" s="15">
        <v>36</v>
      </c>
    </row>
    <row r="62" spans="1:10" x14ac:dyDescent="0.3">
      <c r="A62" s="15" t="s">
        <v>160</v>
      </c>
      <c r="B62" s="15" t="s">
        <v>51</v>
      </c>
      <c r="C62" s="15" t="s">
        <v>85</v>
      </c>
      <c r="D62" s="15" t="s">
        <v>31</v>
      </c>
      <c r="E62" s="15">
        <v>17</v>
      </c>
      <c r="F62" s="15">
        <v>11</v>
      </c>
      <c r="G62" s="15" t="s">
        <v>43</v>
      </c>
      <c r="H62" s="15" t="s">
        <v>37</v>
      </c>
      <c r="I62" s="15" t="s">
        <v>161</v>
      </c>
      <c r="J62" s="15">
        <v>99</v>
      </c>
    </row>
    <row r="63" spans="1:10" x14ac:dyDescent="0.3">
      <c r="A63" s="15" t="s">
        <v>162</v>
      </c>
      <c r="B63" s="15" t="s">
        <v>73</v>
      </c>
      <c r="C63" s="15" t="s">
        <v>36</v>
      </c>
      <c r="D63" s="15" t="s">
        <v>31</v>
      </c>
      <c r="E63" s="15">
        <v>20</v>
      </c>
      <c r="F63" s="15">
        <v>9</v>
      </c>
      <c r="G63" s="15" t="s">
        <v>32</v>
      </c>
      <c r="H63" s="15" t="s">
        <v>20</v>
      </c>
      <c r="I63" s="15" t="s">
        <v>163</v>
      </c>
      <c r="J63" s="15">
        <v>49</v>
      </c>
    </row>
    <row r="64" spans="1:10" x14ac:dyDescent="0.3">
      <c r="A64" s="15" t="s">
        <v>164</v>
      </c>
      <c r="B64" s="15" t="s">
        <v>23</v>
      </c>
      <c r="C64" s="15" t="s">
        <v>19</v>
      </c>
      <c r="D64" s="15" t="s">
        <v>31</v>
      </c>
      <c r="E64" s="15">
        <v>17</v>
      </c>
      <c r="F64" s="15">
        <v>9</v>
      </c>
      <c r="G64" s="15" t="s">
        <v>25</v>
      </c>
      <c r="H64" s="15" t="s">
        <v>15</v>
      </c>
      <c r="I64" s="15" t="s">
        <v>165</v>
      </c>
      <c r="J64" s="15">
        <v>64</v>
      </c>
    </row>
    <row r="65" spans="1:10" x14ac:dyDescent="0.3">
      <c r="A65" s="15" t="s">
        <v>166</v>
      </c>
      <c r="B65" s="15" t="s">
        <v>84</v>
      </c>
      <c r="C65" s="15" t="s">
        <v>24</v>
      </c>
      <c r="D65" s="15" t="s">
        <v>13</v>
      </c>
      <c r="E65" s="15">
        <v>14</v>
      </c>
      <c r="F65" s="15">
        <v>10</v>
      </c>
      <c r="G65" s="15" t="s">
        <v>43</v>
      </c>
      <c r="H65" s="15" t="s">
        <v>15</v>
      </c>
      <c r="I65" s="15" t="s">
        <v>167</v>
      </c>
      <c r="J65" s="15">
        <v>45</v>
      </c>
    </row>
    <row r="66" spans="1:10" x14ac:dyDescent="0.3">
      <c r="A66" s="15" t="s">
        <v>168</v>
      </c>
      <c r="B66" s="15" t="s">
        <v>18</v>
      </c>
      <c r="C66" s="15" t="s">
        <v>79</v>
      </c>
      <c r="D66" s="15" t="s">
        <v>13</v>
      </c>
      <c r="E66" s="15">
        <v>17</v>
      </c>
      <c r="F66" s="15">
        <v>12</v>
      </c>
      <c r="G66" s="15" t="s">
        <v>25</v>
      </c>
      <c r="H66" s="15" t="s">
        <v>26</v>
      </c>
      <c r="I66" s="15" t="s">
        <v>137</v>
      </c>
      <c r="J66" s="15">
        <v>82</v>
      </c>
    </row>
    <row r="67" spans="1:10" x14ac:dyDescent="0.3">
      <c r="A67" s="15" t="s">
        <v>169</v>
      </c>
      <c r="B67" s="15" t="s">
        <v>11</v>
      </c>
      <c r="C67" s="15" t="s">
        <v>30</v>
      </c>
      <c r="D67" s="15" t="s">
        <v>31</v>
      </c>
      <c r="E67" s="15">
        <v>18</v>
      </c>
      <c r="F67" s="15">
        <v>9</v>
      </c>
      <c r="G67" s="15" t="s">
        <v>25</v>
      </c>
      <c r="H67" s="15" t="s">
        <v>46</v>
      </c>
      <c r="I67" s="15" t="s">
        <v>170</v>
      </c>
      <c r="J67" s="15">
        <v>60</v>
      </c>
    </row>
    <row r="68" spans="1:10" x14ac:dyDescent="0.3">
      <c r="A68" s="15" t="s">
        <v>171</v>
      </c>
      <c r="B68" s="15" t="s">
        <v>29</v>
      </c>
      <c r="C68" s="15" t="s">
        <v>85</v>
      </c>
      <c r="D68" s="15" t="s">
        <v>13</v>
      </c>
      <c r="E68" s="15">
        <v>14</v>
      </c>
      <c r="F68" s="15">
        <v>10</v>
      </c>
      <c r="G68" s="15" t="s">
        <v>32</v>
      </c>
      <c r="H68" s="15" t="s">
        <v>61</v>
      </c>
      <c r="I68" s="15" t="s">
        <v>172</v>
      </c>
      <c r="J68" s="15">
        <v>51</v>
      </c>
    </row>
    <row r="69" spans="1:10" x14ac:dyDescent="0.3">
      <c r="A69" s="15" t="s">
        <v>173</v>
      </c>
      <c r="B69" s="15" t="s">
        <v>54</v>
      </c>
      <c r="C69" s="15" t="s">
        <v>30</v>
      </c>
      <c r="D69" s="15" t="s">
        <v>31</v>
      </c>
      <c r="E69" s="15">
        <v>18</v>
      </c>
      <c r="F69" s="15">
        <v>9</v>
      </c>
      <c r="G69" s="15" t="s">
        <v>32</v>
      </c>
      <c r="H69" s="15" t="s">
        <v>40</v>
      </c>
      <c r="I69" s="15" t="s">
        <v>174</v>
      </c>
      <c r="J69" s="15">
        <v>54</v>
      </c>
    </row>
    <row r="70" spans="1:10" x14ac:dyDescent="0.3">
      <c r="A70" s="15" t="s">
        <v>175</v>
      </c>
      <c r="B70" s="15" t="s">
        <v>35</v>
      </c>
      <c r="C70" s="15" t="s">
        <v>30</v>
      </c>
      <c r="D70" s="15" t="s">
        <v>31</v>
      </c>
      <c r="E70" s="15">
        <v>20</v>
      </c>
      <c r="F70" s="15">
        <v>9</v>
      </c>
      <c r="G70" s="15" t="s">
        <v>14</v>
      </c>
      <c r="H70" s="15" t="s">
        <v>61</v>
      </c>
      <c r="I70" s="15" t="s">
        <v>176</v>
      </c>
      <c r="J70" s="15">
        <v>76</v>
      </c>
    </row>
    <row r="71" spans="1:10" x14ac:dyDescent="0.3">
      <c r="A71" s="15" t="s">
        <v>177</v>
      </c>
      <c r="B71" s="15" t="s">
        <v>29</v>
      </c>
      <c r="C71" s="15" t="s">
        <v>58</v>
      </c>
      <c r="D71" s="15" t="s">
        <v>31</v>
      </c>
      <c r="E71" s="15">
        <v>19</v>
      </c>
      <c r="F71" s="15">
        <v>12</v>
      </c>
      <c r="G71" s="15" t="s">
        <v>43</v>
      </c>
      <c r="H71" s="15" t="s">
        <v>61</v>
      </c>
      <c r="I71" s="15" t="s">
        <v>178</v>
      </c>
      <c r="J71" s="15">
        <v>99</v>
      </c>
    </row>
    <row r="72" spans="1:10" x14ac:dyDescent="0.3">
      <c r="A72" s="15" t="s">
        <v>179</v>
      </c>
      <c r="B72" s="15" t="s">
        <v>29</v>
      </c>
      <c r="C72" s="15" t="s">
        <v>58</v>
      </c>
      <c r="D72" s="15" t="s">
        <v>31</v>
      </c>
      <c r="E72" s="15">
        <v>16</v>
      </c>
      <c r="F72" s="15">
        <v>11</v>
      </c>
      <c r="G72" s="15" t="s">
        <v>25</v>
      </c>
      <c r="H72" s="15" t="s">
        <v>26</v>
      </c>
      <c r="I72" s="15" t="s">
        <v>180</v>
      </c>
      <c r="J72" s="15">
        <v>75</v>
      </c>
    </row>
    <row r="73" spans="1:10" x14ac:dyDescent="0.3">
      <c r="A73" s="15" t="s">
        <v>181</v>
      </c>
      <c r="B73" s="15" t="s">
        <v>11</v>
      </c>
      <c r="C73" s="15" t="s">
        <v>55</v>
      </c>
      <c r="D73" s="15" t="s">
        <v>31</v>
      </c>
      <c r="E73" s="15">
        <v>18</v>
      </c>
      <c r="F73" s="15">
        <v>10</v>
      </c>
      <c r="G73" s="15" t="s">
        <v>25</v>
      </c>
      <c r="H73" s="15" t="s">
        <v>46</v>
      </c>
      <c r="I73" s="15" t="s">
        <v>182</v>
      </c>
      <c r="J73" s="15">
        <v>98</v>
      </c>
    </row>
    <row r="74" spans="1:10" x14ac:dyDescent="0.3">
      <c r="A74" s="15" t="s">
        <v>183</v>
      </c>
      <c r="B74" s="15" t="s">
        <v>11</v>
      </c>
      <c r="C74" s="15" t="s">
        <v>30</v>
      </c>
      <c r="D74" s="15" t="s">
        <v>31</v>
      </c>
      <c r="E74" s="15">
        <v>17</v>
      </c>
      <c r="F74" s="15">
        <v>12</v>
      </c>
      <c r="G74" s="15" t="s">
        <v>14</v>
      </c>
      <c r="H74" s="15" t="s">
        <v>37</v>
      </c>
      <c r="I74" s="15" t="s">
        <v>184</v>
      </c>
      <c r="J74" s="15">
        <v>49</v>
      </c>
    </row>
    <row r="75" spans="1:10" x14ac:dyDescent="0.3">
      <c r="A75" s="15" t="s">
        <v>185</v>
      </c>
      <c r="B75" s="15" t="s">
        <v>35</v>
      </c>
      <c r="C75" s="15" t="s">
        <v>30</v>
      </c>
      <c r="D75" s="15" t="s">
        <v>31</v>
      </c>
      <c r="E75" s="15">
        <v>14</v>
      </c>
      <c r="F75" s="15">
        <v>12</v>
      </c>
      <c r="G75" s="15" t="s">
        <v>43</v>
      </c>
      <c r="H75" s="15" t="s">
        <v>61</v>
      </c>
      <c r="I75" s="15" t="s">
        <v>186</v>
      </c>
      <c r="J75" s="15">
        <v>45</v>
      </c>
    </row>
    <row r="76" spans="1:10" x14ac:dyDescent="0.3">
      <c r="A76" s="15" t="s">
        <v>187</v>
      </c>
      <c r="B76" s="15" t="s">
        <v>51</v>
      </c>
      <c r="C76" s="15" t="s">
        <v>12</v>
      </c>
      <c r="D76" s="15" t="s">
        <v>31</v>
      </c>
      <c r="E76" s="15">
        <v>17</v>
      </c>
      <c r="F76" s="15">
        <v>10</v>
      </c>
      <c r="G76" s="15" t="s">
        <v>43</v>
      </c>
      <c r="H76" s="15" t="s">
        <v>46</v>
      </c>
      <c r="I76" s="15" t="s">
        <v>101</v>
      </c>
      <c r="J76" s="15">
        <v>66</v>
      </c>
    </row>
    <row r="77" spans="1:10" x14ac:dyDescent="0.3">
      <c r="A77" s="15" t="s">
        <v>188</v>
      </c>
      <c r="B77" s="15" t="s">
        <v>23</v>
      </c>
      <c r="C77" s="15" t="s">
        <v>55</v>
      </c>
      <c r="D77" s="15" t="s">
        <v>31</v>
      </c>
      <c r="E77" s="15">
        <v>15</v>
      </c>
      <c r="F77" s="15">
        <v>9</v>
      </c>
      <c r="G77" s="15" t="s">
        <v>43</v>
      </c>
      <c r="H77" s="15" t="s">
        <v>20</v>
      </c>
      <c r="I77" s="15" t="s">
        <v>189</v>
      </c>
      <c r="J77" s="15">
        <v>88</v>
      </c>
    </row>
    <row r="78" spans="1:10" x14ac:dyDescent="0.3">
      <c r="A78" s="15" t="s">
        <v>190</v>
      </c>
      <c r="B78" s="15" t="s">
        <v>18</v>
      </c>
      <c r="C78" s="15" t="s">
        <v>19</v>
      </c>
      <c r="D78" s="15" t="s">
        <v>31</v>
      </c>
      <c r="E78" s="15">
        <v>14</v>
      </c>
      <c r="F78" s="15">
        <v>12</v>
      </c>
      <c r="G78" s="15" t="s">
        <v>32</v>
      </c>
      <c r="H78" s="15" t="s">
        <v>37</v>
      </c>
      <c r="I78" s="15" t="s">
        <v>191</v>
      </c>
      <c r="J78" s="15">
        <v>63</v>
      </c>
    </row>
    <row r="79" spans="1:10" x14ac:dyDescent="0.3">
      <c r="A79" s="15" t="s">
        <v>192</v>
      </c>
      <c r="B79" s="15" t="s">
        <v>68</v>
      </c>
      <c r="C79" s="15" t="s">
        <v>85</v>
      </c>
      <c r="D79" s="15" t="s">
        <v>13</v>
      </c>
      <c r="E79" s="15">
        <v>19</v>
      </c>
      <c r="F79" s="15">
        <v>11</v>
      </c>
      <c r="G79" s="15" t="s">
        <v>43</v>
      </c>
      <c r="H79" s="15" t="s">
        <v>61</v>
      </c>
      <c r="I79" s="15" t="s">
        <v>193</v>
      </c>
      <c r="J79" s="15">
        <v>78</v>
      </c>
    </row>
    <row r="80" spans="1:10" x14ac:dyDescent="0.3">
      <c r="A80" s="15" t="s">
        <v>194</v>
      </c>
      <c r="B80" s="15" t="s">
        <v>23</v>
      </c>
      <c r="C80" s="15" t="s">
        <v>19</v>
      </c>
      <c r="D80" s="15" t="s">
        <v>31</v>
      </c>
      <c r="E80" s="15">
        <v>20</v>
      </c>
      <c r="F80" s="15">
        <v>9</v>
      </c>
      <c r="G80" s="15" t="s">
        <v>25</v>
      </c>
      <c r="H80" s="15" t="s">
        <v>76</v>
      </c>
      <c r="I80" s="15" t="s">
        <v>195</v>
      </c>
      <c r="J80" s="15">
        <v>76</v>
      </c>
    </row>
    <row r="81" spans="1:10" x14ac:dyDescent="0.3">
      <c r="A81" s="15" t="s">
        <v>196</v>
      </c>
      <c r="B81" s="15" t="s">
        <v>23</v>
      </c>
      <c r="C81" s="15" t="s">
        <v>79</v>
      </c>
      <c r="D81" s="15" t="s">
        <v>13</v>
      </c>
      <c r="E81" s="15">
        <v>18</v>
      </c>
      <c r="F81" s="15">
        <v>12</v>
      </c>
      <c r="G81" s="15" t="s">
        <v>43</v>
      </c>
      <c r="H81" s="15" t="s">
        <v>76</v>
      </c>
      <c r="I81" s="15" t="s">
        <v>197</v>
      </c>
      <c r="J81" s="15">
        <v>67</v>
      </c>
    </row>
    <row r="82" spans="1:10" x14ac:dyDescent="0.3">
      <c r="A82" s="15" t="s">
        <v>198</v>
      </c>
      <c r="B82" s="15" t="s">
        <v>11</v>
      </c>
      <c r="C82" s="15" t="s">
        <v>85</v>
      </c>
      <c r="D82" s="15" t="s">
        <v>31</v>
      </c>
      <c r="E82" s="15">
        <v>14</v>
      </c>
      <c r="F82" s="15">
        <v>10</v>
      </c>
      <c r="G82" s="15" t="s">
        <v>25</v>
      </c>
      <c r="H82" s="15" t="s">
        <v>61</v>
      </c>
      <c r="I82" s="15" t="s">
        <v>199</v>
      </c>
      <c r="J82" s="15">
        <v>97</v>
      </c>
    </row>
    <row r="83" spans="1:10" x14ac:dyDescent="0.3">
      <c r="A83" s="15" t="s">
        <v>200</v>
      </c>
      <c r="B83" s="15" t="s">
        <v>29</v>
      </c>
      <c r="C83" s="15" t="s">
        <v>12</v>
      </c>
      <c r="D83" s="15" t="s">
        <v>13</v>
      </c>
      <c r="E83" s="15">
        <v>18</v>
      </c>
      <c r="F83" s="15">
        <v>12</v>
      </c>
      <c r="G83" s="15" t="s">
        <v>25</v>
      </c>
      <c r="H83" s="15" t="s">
        <v>26</v>
      </c>
      <c r="I83" s="15" t="s">
        <v>201</v>
      </c>
      <c r="J83" s="15">
        <v>89</v>
      </c>
    </row>
    <row r="84" spans="1:10" x14ac:dyDescent="0.3">
      <c r="A84" s="15" t="s">
        <v>202</v>
      </c>
      <c r="B84" s="15" t="s">
        <v>51</v>
      </c>
      <c r="C84" s="15" t="s">
        <v>55</v>
      </c>
      <c r="D84" s="15" t="s">
        <v>31</v>
      </c>
      <c r="E84" s="15">
        <v>15</v>
      </c>
      <c r="F84" s="15">
        <v>9</v>
      </c>
      <c r="G84" s="15" t="s">
        <v>14</v>
      </c>
      <c r="H84" s="15" t="s">
        <v>40</v>
      </c>
      <c r="I84" s="15" t="s">
        <v>111</v>
      </c>
      <c r="J84" s="15">
        <v>70</v>
      </c>
    </row>
    <row r="85" spans="1:10" x14ac:dyDescent="0.3">
      <c r="A85" s="15" t="s">
        <v>203</v>
      </c>
      <c r="B85" s="15" t="s">
        <v>35</v>
      </c>
      <c r="C85" s="15" t="s">
        <v>96</v>
      </c>
      <c r="D85" s="15" t="s">
        <v>13</v>
      </c>
      <c r="E85" s="15">
        <v>17</v>
      </c>
      <c r="F85" s="15">
        <v>12</v>
      </c>
      <c r="G85" s="15" t="s">
        <v>25</v>
      </c>
      <c r="H85" s="15" t="s">
        <v>20</v>
      </c>
      <c r="I85" s="15" t="s">
        <v>204</v>
      </c>
      <c r="J85" s="15">
        <v>90</v>
      </c>
    </row>
    <row r="86" spans="1:10" x14ac:dyDescent="0.3">
      <c r="A86" s="15" t="s">
        <v>205</v>
      </c>
      <c r="B86" s="15" t="s">
        <v>73</v>
      </c>
      <c r="C86" s="15" t="s">
        <v>24</v>
      </c>
      <c r="D86" s="15" t="s">
        <v>13</v>
      </c>
      <c r="E86" s="15">
        <v>17</v>
      </c>
      <c r="F86" s="15">
        <v>9</v>
      </c>
      <c r="G86" s="15" t="s">
        <v>14</v>
      </c>
      <c r="H86" s="15" t="s">
        <v>46</v>
      </c>
      <c r="I86" s="15" t="s">
        <v>206</v>
      </c>
      <c r="J86" s="15">
        <v>59</v>
      </c>
    </row>
    <row r="87" spans="1:10" x14ac:dyDescent="0.3">
      <c r="A87" s="15" t="s">
        <v>207</v>
      </c>
      <c r="B87" s="15" t="s">
        <v>54</v>
      </c>
      <c r="C87" s="15" t="s">
        <v>19</v>
      </c>
      <c r="D87" s="15" t="s">
        <v>31</v>
      </c>
      <c r="E87" s="15">
        <v>19</v>
      </c>
      <c r="F87" s="15">
        <v>9</v>
      </c>
      <c r="G87" s="15" t="s">
        <v>14</v>
      </c>
      <c r="H87" s="15" t="s">
        <v>61</v>
      </c>
      <c r="I87" s="15" t="s">
        <v>208</v>
      </c>
      <c r="J87" s="15">
        <v>76</v>
      </c>
    </row>
    <row r="88" spans="1:10" x14ac:dyDescent="0.3">
      <c r="A88" s="15" t="s">
        <v>209</v>
      </c>
      <c r="B88" s="15" t="s">
        <v>29</v>
      </c>
      <c r="C88" s="15" t="s">
        <v>30</v>
      </c>
      <c r="D88" s="15" t="s">
        <v>31</v>
      </c>
      <c r="E88" s="15">
        <v>18</v>
      </c>
      <c r="F88" s="15">
        <v>11</v>
      </c>
      <c r="G88" s="15" t="s">
        <v>43</v>
      </c>
      <c r="H88" s="15" t="s">
        <v>20</v>
      </c>
      <c r="I88" s="15" t="s">
        <v>210</v>
      </c>
      <c r="J88" s="15">
        <v>78</v>
      </c>
    </row>
    <row r="89" spans="1:10" x14ac:dyDescent="0.3">
      <c r="A89" s="15" t="s">
        <v>211</v>
      </c>
      <c r="B89" s="15" t="s">
        <v>35</v>
      </c>
      <c r="C89" s="15" t="s">
        <v>19</v>
      </c>
      <c r="D89" s="15" t="s">
        <v>31</v>
      </c>
      <c r="E89" s="15">
        <v>16</v>
      </c>
      <c r="F89" s="15">
        <v>9</v>
      </c>
      <c r="G89" s="15" t="s">
        <v>14</v>
      </c>
      <c r="H89" s="15" t="s">
        <v>37</v>
      </c>
      <c r="I89" s="15" t="s">
        <v>212</v>
      </c>
      <c r="J89" s="15">
        <v>57</v>
      </c>
    </row>
    <row r="90" spans="1:10" x14ac:dyDescent="0.3">
      <c r="A90" s="15" t="s">
        <v>213</v>
      </c>
      <c r="B90" s="15" t="s">
        <v>29</v>
      </c>
      <c r="C90" s="15" t="s">
        <v>24</v>
      </c>
      <c r="D90" s="15" t="s">
        <v>31</v>
      </c>
      <c r="E90" s="15">
        <v>17</v>
      </c>
      <c r="F90" s="15">
        <v>11</v>
      </c>
      <c r="G90" s="15" t="s">
        <v>14</v>
      </c>
      <c r="H90" s="15" t="s">
        <v>76</v>
      </c>
      <c r="I90" s="15" t="s">
        <v>214</v>
      </c>
      <c r="J90" s="15">
        <v>74</v>
      </c>
    </row>
    <row r="91" spans="1:10" x14ac:dyDescent="0.3">
      <c r="A91" s="15" t="s">
        <v>215</v>
      </c>
      <c r="B91" s="15" t="s">
        <v>84</v>
      </c>
      <c r="C91" s="15" t="s">
        <v>36</v>
      </c>
      <c r="D91" s="15" t="s">
        <v>31</v>
      </c>
      <c r="E91" s="15">
        <v>19</v>
      </c>
      <c r="F91" s="15">
        <v>12</v>
      </c>
      <c r="G91" s="15" t="s">
        <v>14</v>
      </c>
      <c r="H91" s="15" t="s">
        <v>37</v>
      </c>
      <c r="I91" s="15" t="s">
        <v>216</v>
      </c>
      <c r="J91" s="15">
        <v>84</v>
      </c>
    </row>
    <row r="92" spans="1:10" x14ac:dyDescent="0.3">
      <c r="A92" s="15" t="s">
        <v>217</v>
      </c>
      <c r="B92" s="15" t="s">
        <v>84</v>
      </c>
      <c r="C92" s="15" t="s">
        <v>96</v>
      </c>
      <c r="D92" s="15" t="s">
        <v>31</v>
      </c>
      <c r="E92" s="15">
        <v>17</v>
      </c>
      <c r="F92" s="15">
        <v>10</v>
      </c>
      <c r="G92" s="15" t="s">
        <v>43</v>
      </c>
      <c r="H92" s="15" t="s">
        <v>46</v>
      </c>
      <c r="I92" s="15" t="s">
        <v>218</v>
      </c>
      <c r="J92" s="15">
        <v>46</v>
      </c>
    </row>
    <row r="93" spans="1:10" x14ac:dyDescent="0.3">
      <c r="A93" s="15" t="s">
        <v>219</v>
      </c>
      <c r="B93" s="15" t="s">
        <v>68</v>
      </c>
      <c r="C93" s="15" t="s">
        <v>19</v>
      </c>
      <c r="D93" s="15" t="s">
        <v>13</v>
      </c>
      <c r="E93" s="15">
        <v>19</v>
      </c>
      <c r="F93" s="15">
        <v>9</v>
      </c>
      <c r="G93" s="15" t="s">
        <v>14</v>
      </c>
      <c r="H93" s="15" t="s">
        <v>40</v>
      </c>
      <c r="I93" s="15" t="s">
        <v>220</v>
      </c>
      <c r="J93" s="15">
        <v>63</v>
      </c>
    </row>
    <row r="94" spans="1:10" x14ac:dyDescent="0.3">
      <c r="A94" s="15" t="s">
        <v>221</v>
      </c>
      <c r="B94" s="15" t="s">
        <v>51</v>
      </c>
      <c r="C94" s="15" t="s">
        <v>55</v>
      </c>
      <c r="D94" s="15" t="s">
        <v>13</v>
      </c>
      <c r="E94" s="15">
        <v>14</v>
      </c>
      <c r="F94" s="15">
        <v>10</v>
      </c>
      <c r="G94" s="15" t="s">
        <v>43</v>
      </c>
      <c r="H94" s="15" t="s">
        <v>61</v>
      </c>
      <c r="I94" s="15" t="s">
        <v>222</v>
      </c>
      <c r="J94" s="15">
        <v>72</v>
      </c>
    </row>
    <row r="95" spans="1:10" x14ac:dyDescent="0.3">
      <c r="A95" s="15" t="s">
        <v>223</v>
      </c>
      <c r="B95" s="15" t="s">
        <v>68</v>
      </c>
      <c r="C95" s="15" t="s">
        <v>24</v>
      </c>
      <c r="D95" s="15" t="s">
        <v>13</v>
      </c>
      <c r="E95" s="15">
        <v>18</v>
      </c>
      <c r="F95" s="15">
        <v>11</v>
      </c>
      <c r="G95" s="15" t="s">
        <v>32</v>
      </c>
      <c r="H95" s="15" t="s">
        <v>40</v>
      </c>
      <c r="I95" s="15" t="s">
        <v>224</v>
      </c>
      <c r="J95" s="15">
        <v>87</v>
      </c>
    </row>
    <row r="96" spans="1:10" x14ac:dyDescent="0.3">
      <c r="A96" s="15" t="s">
        <v>225</v>
      </c>
      <c r="B96" s="15" t="s">
        <v>35</v>
      </c>
      <c r="C96" s="15" t="s">
        <v>85</v>
      </c>
      <c r="D96" s="15" t="s">
        <v>13</v>
      </c>
      <c r="E96" s="15">
        <v>20</v>
      </c>
      <c r="F96" s="15">
        <v>9</v>
      </c>
      <c r="G96" s="15" t="s">
        <v>14</v>
      </c>
      <c r="H96" s="15" t="s">
        <v>40</v>
      </c>
      <c r="I96" s="15" t="s">
        <v>226</v>
      </c>
      <c r="J96" s="15">
        <v>55</v>
      </c>
    </row>
    <row r="97" spans="1:10" x14ac:dyDescent="0.3">
      <c r="A97" s="15" t="s">
        <v>227</v>
      </c>
      <c r="B97" s="15" t="s">
        <v>68</v>
      </c>
      <c r="C97" s="15" t="s">
        <v>58</v>
      </c>
      <c r="D97" s="15" t="s">
        <v>13</v>
      </c>
      <c r="E97" s="15">
        <v>17</v>
      </c>
      <c r="F97" s="15">
        <v>12</v>
      </c>
      <c r="G97" s="15" t="s">
        <v>32</v>
      </c>
      <c r="H97" s="15" t="s">
        <v>26</v>
      </c>
      <c r="I97" s="15" t="s">
        <v>228</v>
      </c>
      <c r="J97" s="15">
        <v>37</v>
      </c>
    </row>
    <row r="98" spans="1:10" x14ac:dyDescent="0.3">
      <c r="A98" s="15" t="s">
        <v>229</v>
      </c>
      <c r="B98" s="15" t="s">
        <v>68</v>
      </c>
      <c r="C98" s="15" t="s">
        <v>24</v>
      </c>
      <c r="D98" s="15" t="s">
        <v>13</v>
      </c>
      <c r="E98" s="15">
        <v>17</v>
      </c>
      <c r="F98" s="15">
        <v>11</v>
      </c>
      <c r="G98" s="15" t="s">
        <v>43</v>
      </c>
      <c r="H98" s="15" t="s">
        <v>26</v>
      </c>
      <c r="I98" s="15" t="s">
        <v>230</v>
      </c>
      <c r="J98" s="15">
        <v>53</v>
      </c>
    </row>
    <row r="99" spans="1:10" x14ac:dyDescent="0.3">
      <c r="A99" s="15" t="s">
        <v>231</v>
      </c>
      <c r="B99" s="15" t="s">
        <v>23</v>
      </c>
      <c r="C99" s="15" t="s">
        <v>24</v>
      </c>
      <c r="D99" s="15" t="s">
        <v>31</v>
      </c>
      <c r="E99" s="15">
        <v>18</v>
      </c>
      <c r="F99" s="15">
        <v>9</v>
      </c>
      <c r="G99" s="15" t="s">
        <v>25</v>
      </c>
      <c r="H99" s="15" t="s">
        <v>61</v>
      </c>
      <c r="I99" s="15" t="s">
        <v>232</v>
      </c>
      <c r="J99" s="15">
        <v>88</v>
      </c>
    </row>
    <row r="100" spans="1:10" x14ac:dyDescent="0.3">
      <c r="A100" s="15" t="s">
        <v>233</v>
      </c>
      <c r="B100" s="15" t="s">
        <v>11</v>
      </c>
      <c r="C100" s="15" t="s">
        <v>55</v>
      </c>
      <c r="D100" s="15" t="s">
        <v>13</v>
      </c>
      <c r="E100" s="15">
        <v>14</v>
      </c>
      <c r="F100" s="15">
        <v>9</v>
      </c>
      <c r="G100" s="15" t="s">
        <v>25</v>
      </c>
      <c r="H100" s="15" t="s">
        <v>37</v>
      </c>
      <c r="I100" s="15" t="s">
        <v>234</v>
      </c>
      <c r="J100" s="15">
        <v>66</v>
      </c>
    </row>
    <row r="101" spans="1:10" x14ac:dyDescent="0.3">
      <c r="A101" s="15" t="s">
        <v>235</v>
      </c>
      <c r="B101" s="15" t="s">
        <v>11</v>
      </c>
      <c r="C101" s="15" t="s">
        <v>36</v>
      </c>
      <c r="D101" s="15" t="s">
        <v>31</v>
      </c>
      <c r="E101" s="15">
        <v>14</v>
      </c>
      <c r="F101" s="15">
        <v>12</v>
      </c>
      <c r="G101" s="15" t="s">
        <v>43</v>
      </c>
      <c r="H101" s="15" t="s">
        <v>40</v>
      </c>
      <c r="I101" s="15" t="s">
        <v>236</v>
      </c>
      <c r="J101" s="15">
        <v>65</v>
      </c>
    </row>
    <row r="102" spans="1:10" x14ac:dyDescent="0.3">
      <c r="A102" s="15" t="s">
        <v>237</v>
      </c>
      <c r="B102" s="15" t="s">
        <v>23</v>
      </c>
      <c r="C102" s="15" t="s">
        <v>24</v>
      </c>
      <c r="D102" s="15" t="s">
        <v>31</v>
      </c>
      <c r="E102" s="15">
        <v>16</v>
      </c>
      <c r="F102" s="15">
        <v>10</v>
      </c>
      <c r="G102" s="15" t="s">
        <v>43</v>
      </c>
      <c r="H102" s="15" t="s">
        <v>20</v>
      </c>
      <c r="I102" s="15" t="s">
        <v>238</v>
      </c>
      <c r="J102" s="15">
        <v>71</v>
      </c>
    </row>
    <row r="103" spans="1:10" x14ac:dyDescent="0.3">
      <c r="A103" s="15" t="s">
        <v>239</v>
      </c>
      <c r="B103" s="15" t="s">
        <v>68</v>
      </c>
      <c r="C103" s="15" t="s">
        <v>58</v>
      </c>
      <c r="D103" s="15" t="s">
        <v>13</v>
      </c>
      <c r="E103" s="15">
        <v>18</v>
      </c>
      <c r="F103" s="15">
        <v>11</v>
      </c>
      <c r="G103" s="15" t="s">
        <v>25</v>
      </c>
      <c r="H103" s="15" t="s">
        <v>15</v>
      </c>
      <c r="I103" s="15" t="s">
        <v>240</v>
      </c>
      <c r="J103" s="15">
        <v>48</v>
      </c>
    </row>
    <row r="104" spans="1:10" x14ac:dyDescent="0.3">
      <c r="A104" s="15" t="s">
        <v>241</v>
      </c>
      <c r="B104" s="15" t="s">
        <v>54</v>
      </c>
      <c r="C104" s="15" t="s">
        <v>85</v>
      </c>
      <c r="D104" s="15" t="s">
        <v>31</v>
      </c>
      <c r="E104" s="15">
        <v>15</v>
      </c>
      <c r="F104" s="15">
        <v>12</v>
      </c>
      <c r="G104" s="15" t="s">
        <v>14</v>
      </c>
      <c r="H104" s="15" t="s">
        <v>40</v>
      </c>
      <c r="I104" s="15" t="s">
        <v>242</v>
      </c>
      <c r="J104" s="15">
        <v>100</v>
      </c>
    </row>
    <row r="105" spans="1:10" x14ac:dyDescent="0.3">
      <c r="A105" s="15" t="s">
        <v>243</v>
      </c>
      <c r="B105" s="15" t="s">
        <v>23</v>
      </c>
      <c r="C105" s="15" t="s">
        <v>96</v>
      </c>
      <c r="D105" s="15" t="s">
        <v>31</v>
      </c>
      <c r="E105" s="15">
        <v>15</v>
      </c>
      <c r="F105" s="15">
        <v>11</v>
      </c>
      <c r="G105" s="15" t="s">
        <v>25</v>
      </c>
      <c r="H105" s="15" t="s">
        <v>61</v>
      </c>
      <c r="I105" s="15" t="s">
        <v>244</v>
      </c>
      <c r="J105" s="15">
        <v>72</v>
      </c>
    </row>
    <row r="106" spans="1:10" x14ac:dyDescent="0.3">
      <c r="A106" s="15" t="s">
        <v>245</v>
      </c>
      <c r="B106" s="15" t="s">
        <v>54</v>
      </c>
      <c r="C106" s="15" t="s">
        <v>19</v>
      </c>
      <c r="D106" s="15" t="s">
        <v>31</v>
      </c>
      <c r="E106" s="15">
        <v>18</v>
      </c>
      <c r="F106" s="15">
        <v>12</v>
      </c>
      <c r="G106" s="15" t="s">
        <v>32</v>
      </c>
      <c r="H106" s="15" t="s">
        <v>26</v>
      </c>
      <c r="I106" s="15" t="s">
        <v>246</v>
      </c>
      <c r="J106" s="15">
        <v>74</v>
      </c>
    </row>
    <row r="107" spans="1:10" x14ac:dyDescent="0.3">
      <c r="A107" s="15" t="s">
        <v>247</v>
      </c>
      <c r="B107" s="15" t="s">
        <v>29</v>
      </c>
      <c r="C107" s="15" t="s">
        <v>58</v>
      </c>
      <c r="D107" s="15" t="s">
        <v>31</v>
      </c>
      <c r="E107" s="15">
        <v>14</v>
      </c>
      <c r="F107" s="15">
        <v>12</v>
      </c>
      <c r="G107" s="15" t="s">
        <v>14</v>
      </c>
      <c r="H107" s="15" t="s">
        <v>40</v>
      </c>
      <c r="I107" s="15" t="s">
        <v>248</v>
      </c>
      <c r="J107" s="15">
        <v>66</v>
      </c>
    </row>
    <row r="108" spans="1:10" x14ac:dyDescent="0.3">
      <c r="A108" s="15" t="s">
        <v>249</v>
      </c>
      <c r="B108" s="15" t="s">
        <v>68</v>
      </c>
      <c r="C108" s="15" t="s">
        <v>30</v>
      </c>
      <c r="D108" s="15" t="s">
        <v>31</v>
      </c>
      <c r="E108" s="15">
        <v>16</v>
      </c>
      <c r="F108" s="15">
        <v>11</v>
      </c>
      <c r="G108" s="15" t="s">
        <v>32</v>
      </c>
      <c r="H108" s="15" t="s">
        <v>20</v>
      </c>
      <c r="I108" s="15" t="s">
        <v>250</v>
      </c>
      <c r="J108" s="15">
        <v>90</v>
      </c>
    </row>
    <row r="109" spans="1:10" x14ac:dyDescent="0.3">
      <c r="A109" s="15" t="s">
        <v>251</v>
      </c>
      <c r="B109" s="15" t="s">
        <v>23</v>
      </c>
      <c r="C109" s="15" t="s">
        <v>24</v>
      </c>
      <c r="D109" s="15" t="s">
        <v>13</v>
      </c>
      <c r="E109" s="15">
        <v>16</v>
      </c>
      <c r="F109" s="15">
        <v>12</v>
      </c>
      <c r="G109" s="15" t="s">
        <v>43</v>
      </c>
      <c r="H109" s="15" t="s">
        <v>40</v>
      </c>
      <c r="I109" s="15" t="s">
        <v>252</v>
      </c>
      <c r="J109" s="15">
        <v>50</v>
      </c>
    </row>
    <row r="110" spans="1:10" x14ac:dyDescent="0.3">
      <c r="A110" s="15" t="s">
        <v>253</v>
      </c>
      <c r="B110" s="15" t="s">
        <v>18</v>
      </c>
      <c r="C110" s="15" t="s">
        <v>24</v>
      </c>
      <c r="D110" s="15" t="s">
        <v>13</v>
      </c>
      <c r="E110" s="15">
        <v>15</v>
      </c>
      <c r="F110" s="15">
        <v>9</v>
      </c>
      <c r="G110" s="15" t="s">
        <v>25</v>
      </c>
      <c r="H110" s="15" t="s">
        <v>20</v>
      </c>
      <c r="I110" s="15" t="s">
        <v>254</v>
      </c>
      <c r="J110" s="15">
        <v>36</v>
      </c>
    </row>
    <row r="111" spans="1:10" x14ac:dyDescent="0.3">
      <c r="A111" s="15" t="s">
        <v>255</v>
      </c>
      <c r="B111" s="15" t="s">
        <v>51</v>
      </c>
      <c r="C111" s="15" t="s">
        <v>79</v>
      </c>
      <c r="D111" s="15" t="s">
        <v>31</v>
      </c>
      <c r="E111" s="15">
        <v>20</v>
      </c>
      <c r="F111" s="15">
        <v>12</v>
      </c>
      <c r="G111" s="15" t="s">
        <v>43</v>
      </c>
      <c r="H111" s="15" t="s">
        <v>40</v>
      </c>
      <c r="I111" s="15" t="s">
        <v>256</v>
      </c>
      <c r="J111" s="15">
        <v>48</v>
      </c>
    </row>
    <row r="112" spans="1:10" x14ac:dyDescent="0.3">
      <c r="A112" s="15" t="s">
        <v>257</v>
      </c>
      <c r="B112" s="15" t="s">
        <v>68</v>
      </c>
      <c r="C112" s="15" t="s">
        <v>79</v>
      </c>
      <c r="D112" s="15" t="s">
        <v>31</v>
      </c>
      <c r="E112" s="15">
        <v>20</v>
      </c>
      <c r="F112" s="15">
        <v>11</v>
      </c>
      <c r="G112" s="15" t="s">
        <v>43</v>
      </c>
      <c r="H112" s="15" t="s">
        <v>46</v>
      </c>
      <c r="I112" s="15" t="s">
        <v>258</v>
      </c>
      <c r="J112" s="15">
        <v>52</v>
      </c>
    </row>
    <row r="113" spans="1:10" x14ac:dyDescent="0.3">
      <c r="A113" s="15" t="s">
        <v>259</v>
      </c>
      <c r="B113" s="15" t="s">
        <v>54</v>
      </c>
      <c r="C113" s="15" t="s">
        <v>85</v>
      </c>
      <c r="D113" s="15" t="s">
        <v>13</v>
      </c>
      <c r="E113" s="15">
        <v>14</v>
      </c>
      <c r="F113" s="15">
        <v>11</v>
      </c>
      <c r="G113" s="15" t="s">
        <v>43</v>
      </c>
      <c r="H113" s="15" t="s">
        <v>46</v>
      </c>
      <c r="I113" s="15" t="s">
        <v>260</v>
      </c>
      <c r="J113" s="15">
        <v>62</v>
      </c>
    </row>
    <row r="114" spans="1:10" x14ac:dyDescent="0.3">
      <c r="A114" s="15" t="s">
        <v>261</v>
      </c>
      <c r="B114" s="15" t="s">
        <v>23</v>
      </c>
      <c r="C114" s="15" t="s">
        <v>36</v>
      </c>
      <c r="D114" s="15" t="s">
        <v>13</v>
      </c>
      <c r="E114" s="15">
        <v>15</v>
      </c>
      <c r="F114" s="15">
        <v>11</v>
      </c>
      <c r="G114" s="15" t="s">
        <v>25</v>
      </c>
      <c r="H114" s="15" t="s">
        <v>26</v>
      </c>
      <c r="I114" s="15" t="s">
        <v>262</v>
      </c>
      <c r="J114" s="15">
        <v>63</v>
      </c>
    </row>
    <row r="115" spans="1:10" x14ac:dyDescent="0.3">
      <c r="A115" s="15" t="s">
        <v>263</v>
      </c>
      <c r="B115" s="15" t="s">
        <v>29</v>
      </c>
      <c r="C115" s="15" t="s">
        <v>19</v>
      </c>
      <c r="D115" s="15" t="s">
        <v>13</v>
      </c>
      <c r="E115" s="15">
        <v>15</v>
      </c>
      <c r="F115" s="15">
        <v>11</v>
      </c>
      <c r="G115" s="15" t="s">
        <v>25</v>
      </c>
      <c r="H115" s="15" t="s">
        <v>46</v>
      </c>
      <c r="I115" s="15" t="s">
        <v>264</v>
      </c>
      <c r="J115" s="15">
        <v>58</v>
      </c>
    </row>
    <row r="116" spans="1:10" x14ac:dyDescent="0.3">
      <c r="A116" s="15" t="s">
        <v>265</v>
      </c>
      <c r="B116" s="15" t="s">
        <v>11</v>
      </c>
      <c r="C116" s="15" t="s">
        <v>85</v>
      </c>
      <c r="D116" s="15" t="s">
        <v>31</v>
      </c>
      <c r="E116" s="15">
        <v>14</v>
      </c>
      <c r="F116" s="15">
        <v>9</v>
      </c>
      <c r="G116" s="15" t="s">
        <v>43</v>
      </c>
      <c r="H116" s="15" t="s">
        <v>61</v>
      </c>
      <c r="I116" s="15" t="s">
        <v>56</v>
      </c>
      <c r="J116" s="15">
        <v>41</v>
      </c>
    </row>
    <row r="117" spans="1:10" x14ac:dyDescent="0.3">
      <c r="A117" s="15" t="s">
        <v>266</v>
      </c>
      <c r="B117" s="15" t="s">
        <v>54</v>
      </c>
      <c r="C117" s="15" t="s">
        <v>58</v>
      </c>
      <c r="D117" s="15" t="s">
        <v>13</v>
      </c>
      <c r="E117" s="15">
        <v>19</v>
      </c>
      <c r="F117" s="15">
        <v>11</v>
      </c>
      <c r="G117" s="15" t="s">
        <v>14</v>
      </c>
      <c r="H117" s="15" t="s">
        <v>40</v>
      </c>
      <c r="I117" s="15" t="s">
        <v>267</v>
      </c>
      <c r="J117" s="15">
        <v>41</v>
      </c>
    </row>
    <row r="118" spans="1:10" x14ac:dyDescent="0.3">
      <c r="A118" s="15" t="s">
        <v>268</v>
      </c>
      <c r="B118" s="15" t="s">
        <v>68</v>
      </c>
      <c r="C118" s="15" t="s">
        <v>24</v>
      </c>
      <c r="D118" s="15" t="s">
        <v>31</v>
      </c>
      <c r="E118" s="15">
        <v>16</v>
      </c>
      <c r="F118" s="15">
        <v>12</v>
      </c>
      <c r="G118" s="15" t="s">
        <v>43</v>
      </c>
      <c r="H118" s="15" t="s">
        <v>26</v>
      </c>
      <c r="I118" s="15" t="s">
        <v>269</v>
      </c>
      <c r="J118" s="15">
        <v>47</v>
      </c>
    </row>
    <row r="119" spans="1:10" x14ac:dyDescent="0.3">
      <c r="A119" s="15" t="s">
        <v>270</v>
      </c>
      <c r="B119" s="15" t="s">
        <v>73</v>
      </c>
      <c r="C119" s="15" t="s">
        <v>30</v>
      </c>
      <c r="D119" s="15" t="s">
        <v>31</v>
      </c>
      <c r="E119" s="15">
        <v>15</v>
      </c>
      <c r="F119" s="15">
        <v>9</v>
      </c>
      <c r="G119" s="15" t="s">
        <v>43</v>
      </c>
      <c r="H119" s="15" t="s">
        <v>26</v>
      </c>
      <c r="I119" s="15" t="s">
        <v>271</v>
      </c>
      <c r="J119" s="15">
        <v>76</v>
      </c>
    </row>
    <row r="120" spans="1:10" x14ac:dyDescent="0.3">
      <c r="A120" s="15" t="s">
        <v>272</v>
      </c>
      <c r="B120" s="15" t="s">
        <v>54</v>
      </c>
      <c r="C120" s="15" t="s">
        <v>24</v>
      </c>
      <c r="D120" s="15" t="s">
        <v>13</v>
      </c>
      <c r="E120" s="15">
        <v>15</v>
      </c>
      <c r="F120" s="15">
        <v>9</v>
      </c>
      <c r="G120" s="15" t="s">
        <v>43</v>
      </c>
      <c r="H120" s="15" t="s">
        <v>20</v>
      </c>
      <c r="I120" s="15" t="s">
        <v>273</v>
      </c>
      <c r="J120" s="15">
        <v>50</v>
      </c>
    </row>
    <row r="121" spans="1:10" x14ac:dyDescent="0.3">
      <c r="A121" s="15" t="s">
        <v>274</v>
      </c>
      <c r="B121" s="15" t="s">
        <v>35</v>
      </c>
      <c r="C121" s="15" t="s">
        <v>36</v>
      </c>
      <c r="D121" s="15" t="s">
        <v>13</v>
      </c>
      <c r="E121" s="15">
        <v>19</v>
      </c>
      <c r="F121" s="15">
        <v>9</v>
      </c>
      <c r="G121" s="15" t="s">
        <v>32</v>
      </c>
      <c r="H121" s="15" t="s">
        <v>61</v>
      </c>
      <c r="I121" s="15" t="s">
        <v>275</v>
      </c>
      <c r="J121" s="15">
        <v>63</v>
      </c>
    </row>
    <row r="122" spans="1:10" x14ac:dyDescent="0.3">
      <c r="A122" s="15" t="s">
        <v>276</v>
      </c>
      <c r="B122" s="15" t="s">
        <v>84</v>
      </c>
      <c r="C122" s="15" t="s">
        <v>30</v>
      </c>
      <c r="D122" s="15" t="s">
        <v>31</v>
      </c>
      <c r="E122" s="15">
        <v>14</v>
      </c>
      <c r="F122" s="15">
        <v>12</v>
      </c>
      <c r="G122" s="15" t="s">
        <v>14</v>
      </c>
      <c r="H122" s="15" t="s">
        <v>26</v>
      </c>
      <c r="I122" s="15" t="s">
        <v>277</v>
      </c>
      <c r="J122" s="15">
        <v>62</v>
      </c>
    </row>
    <row r="123" spans="1:10" x14ac:dyDescent="0.3">
      <c r="A123" s="15" t="s">
        <v>278</v>
      </c>
      <c r="B123" s="15" t="s">
        <v>73</v>
      </c>
      <c r="C123" s="15" t="s">
        <v>36</v>
      </c>
      <c r="D123" s="15" t="s">
        <v>13</v>
      </c>
      <c r="E123" s="15">
        <v>14</v>
      </c>
      <c r="F123" s="15">
        <v>11</v>
      </c>
      <c r="G123" s="15" t="s">
        <v>32</v>
      </c>
      <c r="H123" s="15" t="s">
        <v>37</v>
      </c>
      <c r="I123" s="15" t="s">
        <v>279</v>
      </c>
      <c r="J123" s="15">
        <v>51</v>
      </c>
    </row>
    <row r="124" spans="1:10" x14ac:dyDescent="0.3">
      <c r="A124" s="15" t="s">
        <v>280</v>
      </c>
      <c r="B124" s="15" t="s">
        <v>84</v>
      </c>
      <c r="C124" s="15" t="s">
        <v>58</v>
      </c>
      <c r="D124" s="15" t="s">
        <v>13</v>
      </c>
      <c r="E124" s="15">
        <v>18</v>
      </c>
      <c r="F124" s="15">
        <v>12</v>
      </c>
      <c r="G124" s="15" t="s">
        <v>32</v>
      </c>
      <c r="H124" s="15" t="s">
        <v>76</v>
      </c>
      <c r="I124" s="15" t="s">
        <v>159</v>
      </c>
      <c r="J124" s="15">
        <v>98</v>
      </c>
    </row>
    <row r="125" spans="1:10" x14ac:dyDescent="0.3">
      <c r="A125" s="15" t="s">
        <v>281</v>
      </c>
      <c r="B125" s="15" t="s">
        <v>51</v>
      </c>
      <c r="C125" s="15" t="s">
        <v>36</v>
      </c>
      <c r="D125" s="15" t="s">
        <v>31</v>
      </c>
      <c r="E125" s="15">
        <v>15</v>
      </c>
      <c r="F125" s="15">
        <v>11</v>
      </c>
      <c r="G125" s="15" t="s">
        <v>43</v>
      </c>
      <c r="H125" s="15" t="s">
        <v>37</v>
      </c>
      <c r="I125" s="15" t="s">
        <v>282</v>
      </c>
      <c r="J125" s="15">
        <v>66</v>
      </c>
    </row>
    <row r="126" spans="1:10" x14ac:dyDescent="0.3">
      <c r="A126" s="15" t="s">
        <v>283</v>
      </c>
      <c r="B126" s="15" t="s">
        <v>68</v>
      </c>
      <c r="C126" s="15" t="s">
        <v>79</v>
      </c>
      <c r="D126" s="15" t="s">
        <v>31</v>
      </c>
      <c r="E126" s="15">
        <v>16</v>
      </c>
      <c r="F126" s="15">
        <v>11</v>
      </c>
      <c r="G126" s="15" t="s">
        <v>32</v>
      </c>
      <c r="H126" s="15" t="s">
        <v>40</v>
      </c>
      <c r="I126" s="15" t="s">
        <v>284</v>
      </c>
      <c r="J126" s="15">
        <v>95</v>
      </c>
    </row>
    <row r="127" spans="1:10" x14ac:dyDescent="0.3">
      <c r="A127" s="15" t="s">
        <v>285</v>
      </c>
      <c r="B127" s="15" t="s">
        <v>18</v>
      </c>
      <c r="C127" s="15" t="s">
        <v>36</v>
      </c>
      <c r="D127" s="15" t="s">
        <v>31</v>
      </c>
      <c r="E127" s="15">
        <v>14</v>
      </c>
      <c r="F127" s="15">
        <v>11</v>
      </c>
      <c r="G127" s="15" t="s">
        <v>25</v>
      </c>
      <c r="H127" s="15" t="s">
        <v>46</v>
      </c>
      <c r="I127" s="15" t="s">
        <v>286</v>
      </c>
      <c r="J127" s="15">
        <v>64</v>
      </c>
    </row>
    <row r="128" spans="1:10" x14ac:dyDescent="0.3">
      <c r="A128" s="15" t="s">
        <v>287</v>
      </c>
      <c r="B128" s="15" t="s">
        <v>54</v>
      </c>
      <c r="C128" s="15" t="s">
        <v>24</v>
      </c>
      <c r="D128" s="15" t="s">
        <v>31</v>
      </c>
      <c r="E128" s="15">
        <v>14</v>
      </c>
      <c r="F128" s="15">
        <v>12</v>
      </c>
      <c r="G128" s="15" t="s">
        <v>32</v>
      </c>
      <c r="H128" s="15" t="s">
        <v>76</v>
      </c>
      <c r="I128" s="15" t="s">
        <v>288</v>
      </c>
      <c r="J128" s="15">
        <v>48</v>
      </c>
    </row>
    <row r="129" spans="1:10" x14ac:dyDescent="0.3">
      <c r="A129" s="15" t="s">
        <v>289</v>
      </c>
      <c r="B129" s="15" t="s">
        <v>23</v>
      </c>
      <c r="C129" s="15" t="s">
        <v>79</v>
      </c>
      <c r="D129" s="15" t="s">
        <v>31</v>
      </c>
      <c r="E129" s="15">
        <v>17</v>
      </c>
      <c r="F129" s="15">
        <v>9</v>
      </c>
      <c r="G129" s="15" t="s">
        <v>25</v>
      </c>
      <c r="H129" s="15" t="s">
        <v>37</v>
      </c>
      <c r="I129" s="15" t="s">
        <v>290</v>
      </c>
      <c r="J129" s="15">
        <v>62</v>
      </c>
    </row>
    <row r="130" spans="1:10" x14ac:dyDescent="0.3">
      <c r="A130" s="15" t="s">
        <v>291</v>
      </c>
      <c r="B130" s="15" t="s">
        <v>11</v>
      </c>
      <c r="C130" s="15" t="s">
        <v>30</v>
      </c>
      <c r="D130" s="15" t="s">
        <v>31</v>
      </c>
      <c r="E130" s="15">
        <v>16</v>
      </c>
      <c r="F130" s="15">
        <v>9</v>
      </c>
      <c r="G130" s="15" t="s">
        <v>25</v>
      </c>
      <c r="H130" s="15" t="s">
        <v>61</v>
      </c>
      <c r="I130" s="15" t="s">
        <v>292</v>
      </c>
      <c r="J130" s="15">
        <v>97</v>
      </c>
    </row>
    <row r="131" spans="1:10" x14ac:dyDescent="0.3">
      <c r="A131" s="15" t="s">
        <v>293</v>
      </c>
      <c r="B131" s="15" t="s">
        <v>73</v>
      </c>
      <c r="C131" s="15" t="s">
        <v>96</v>
      </c>
      <c r="D131" s="15" t="s">
        <v>31</v>
      </c>
      <c r="E131" s="15">
        <v>20</v>
      </c>
      <c r="F131" s="15">
        <v>9</v>
      </c>
      <c r="G131" s="15" t="s">
        <v>43</v>
      </c>
      <c r="H131" s="15" t="s">
        <v>26</v>
      </c>
      <c r="I131" s="15" t="s">
        <v>74</v>
      </c>
      <c r="J131" s="15">
        <v>100</v>
      </c>
    </row>
    <row r="132" spans="1:10" x14ac:dyDescent="0.3">
      <c r="A132" s="15" t="s">
        <v>294</v>
      </c>
      <c r="B132" s="15" t="s">
        <v>35</v>
      </c>
      <c r="C132" s="15" t="s">
        <v>55</v>
      </c>
      <c r="D132" s="15" t="s">
        <v>13</v>
      </c>
      <c r="E132" s="15">
        <v>20</v>
      </c>
      <c r="F132" s="15">
        <v>9</v>
      </c>
      <c r="G132" s="15" t="s">
        <v>25</v>
      </c>
      <c r="H132" s="15" t="s">
        <v>46</v>
      </c>
      <c r="I132" s="15" t="s">
        <v>295</v>
      </c>
      <c r="J132" s="15">
        <v>99</v>
      </c>
    </row>
    <row r="133" spans="1:10" x14ac:dyDescent="0.3">
      <c r="A133" s="15" t="s">
        <v>296</v>
      </c>
      <c r="B133" s="15" t="s">
        <v>84</v>
      </c>
      <c r="C133" s="15" t="s">
        <v>19</v>
      </c>
      <c r="D133" s="15" t="s">
        <v>31</v>
      </c>
      <c r="E133" s="15">
        <v>20</v>
      </c>
      <c r="F133" s="15">
        <v>10</v>
      </c>
      <c r="G133" s="15" t="s">
        <v>43</v>
      </c>
      <c r="H133" s="15" t="s">
        <v>20</v>
      </c>
      <c r="I133" s="15" t="s">
        <v>297</v>
      </c>
      <c r="J133" s="15">
        <v>100</v>
      </c>
    </row>
    <row r="134" spans="1:10" x14ac:dyDescent="0.3">
      <c r="A134" s="15" t="s">
        <v>298</v>
      </c>
      <c r="B134" s="15" t="s">
        <v>29</v>
      </c>
      <c r="C134" s="15" t="s">
        <v>96</v>
      </c>
      <c r="D134" s="15" t="s">
        <v>31</v>
      </c>
      <c r="E134" s="15">
        <v>20</v>
      </c>
      <c r="F134" s="15">
        <v>10</v>
      </c>
      <c r="G134" s="15" t="s">
        <v>32</v>
      </c>
      <c r="H134" s="15" t="s">
        <v>26</v>
      </c>
      <c r="I134" s="15" t="s">
        <v>299</v>
      </c>
      <c r="J134" s="15">
        <v>56</v>
      </c>
    </row>
    <row r="135" spans="1:10" x14ac:dyDescent="0.3">
      <c r="A135" s="15" t="s">
        <v>300</v>
      </c>
      <c r="B135" s="15" t="s">
        <v>11</v>
      </c>
      <c r="C135" s="15" t="s">
        <v>79</v>
      </c>
      <c r="D135" s="15" t="s">
        <v>31</v>
      </c>
      <c r="E135" s="15">
        <v>18</v>
      </c>
      <c r="F135" s="15">
        <v>9</v>
      </c>
      <c r="G135" s="15" t="s">
        <v>14</v>
      </c>
      <c r="H135" s="15" t="s">
        <v>20</v>
      </c>
      <c r="I135" s="15" t="s">
        <v>301</v>
      </c>
      <c r="J135" s="15">
        <v>66</v>
      </c>
    </row>
    <row r="136" spans="1:10" x14ac:dyDescent="0.3">
      <c r="A136" s="15" t="s">
        <v>302</v>
      </c>
      <c r="B136" s="15" t="s">
        <v>29</v>
      </c>
      <c r="C136" s="15" t="s">
        <v>79</v>
      </c>
      <c r="D136" s="15" t="s">
        <v>13</v>
      </c>
      <c r="E136" s="15">
        <v>14</v>
      </c>
      <c r="F136" s="15">
        <v>12</v>
      </c>
      <c r="G136" s="15" t="s">
        <v>14</v>
      </c>
      <c r="H136" s="15" t="s">
        <v>20</v>
      </c>
      <c r="I136" s="15" t="s">
        <v>303</v>
      </c>
      <c r="J136" s="15">
        <v>66</v>
      </c>
    </row>
    <row r="137" spans="1:10" x14ac:dyDescent="0.3">
      <c r="A137" s="15" t="s">
        <v>304</v>
      </c>
      <c r="B137" s="15" t="s">
        <v>51</v>
      </c>
      <c r="C137" s="15" t="s">
        <v>36</v>
      </c>
      <c r="D137" s="15" t="s">
        <v>31</v>
      </c>
      <c r="E137" s="15">
        <v>15</v>
      </c>
      <c r="F137" s="15">
        <v>12</v>
      </c>
      <c r="G137" s="15" t="s">
        <v>32</v>
      </c>
      <c r="H137" s="15" t="s">
        <v>46</v>
      </c>
      <c r="I137" s="15" t="s">
        <v>305</v>
      </c>
      <c r="J137" s="15">
        <v>77</v>
      </c>
    </row>
    <row r="138" spans="1:10" x14ac:dyDescent="0.3">
      <c r="A138" s="15" t="s">
        <v>306</v>
      </c>
      <c r="B138" s="15" t="s">
        <v>23</v>
      </c>
      <c r="C138" s="15" t="s">
        <v>19</v>
      </c>
      <c r="D138" s="15" t="s">
        <v>31</v>
      </c>
      <c r="E138" s="15">
        <v>16</v>
      </c>
      <c r="F138" s="15">
        <v>10</v>
      </c>
      <c r="G138" s="15" t="s">
        <v>43</v>
      </c>
      <c r="H138" s="15" t="s">
        <v>61</v>
      </c>
      <c r="I138" s="15" t="s">
        <v>307</v>
      </c>
      <c r="J138" s="15">
        <v>47</v>
      </c>
    </row>
    <row r="139" spans="1:10" x14ac:dyDescent="0.3">
      <c r="A139" s="15" t="s">
        <v>308</v>
      </c>
      <c r="B139" s="15" t="s">
        <v>23</v>
      </c>
      <c r="C139" s="15" t="s">
        <v>36</v>
      </c>
      <c r="D139" s="15" t="s">
        <v>13</v>
      </c>
      <c r="E139" s="15">
        <v>18</v>
      </c>
      <c r="F139" s="15">
        <v>10</v>
      </c>
      <c r="G139" s="15" t="s">
        <v>43</v>
      </c>
      <c r="H139" s="15" t="s">
        <v>40</v>
      </c>
      <c r="I139" s="15" t="s">
        <v>309</v>
      </c>
      <c r="J139" s="15">
        <v>57</v>
      </c>
    </row>
    <row r="140" spans="1:10" x14ac:dyDescent="0.3">
      <c r="A140" s="15" t="s">
        <v>310</v>
      </c>
      <c r="B140" s="15" t="s">
        <v>29</v>
      </c>
      <c r="C140" s="15" t="s">
        <v>96</v>
      </c>
      <c r="D140" s="15" t="s">
        <v>31</v>
      </c>
      <c r="E140" s="15">
        <v>16</v>
      </c>
      <c r="F140" s="15">
        <v>9</v>
      </c>
      <c r="G140" s="15" t="s">
        <v>32</v>
      </c>
      <c r="H140" s="15" t="s">
        <v>46</v>
      </c>
      <c r="I140" s="15" t="s">
        <v>311</v>
      </c>
      <c r="J140" s="15">
        <v>67</v>
      </c>
    </row>
    <row r="141" spans="1:10" x14ac:dyDescent="0.3">
      <c r="A141" s="15" t="s">
        <v>312</v>
      </c>
      <c r="B141" s="15" t="s">
        <v>29</v>
      </c>
      <c r="C141" s="15" t="s">
        <v>12</v>
      </c>
      <c r="D141" s="15" t="s">
        <v>31</v>
      </c>
      <c r="E141" s="15">
        <v>14</v>
      </c>
      <c r="F141" s="15">
        <v>12</v>
      </c>
      <c r="G141" s="15" t="s">
        <v>43</v>
      </c>
      <c r="H141" s="15" t="s">
        <v>61</v>
      </c>
      <c r="I141" s="15" t="s">
        <v>313</v>
      </c>
      <c r="J141" s="15">
        <v>44</v>
      </c>
    </row>
    <row r="142" spans="1:10" x14ac:dyDescent="0.3">
      <c r="A142" s="15" t="s">
        <v>314</v>
      </c>
      <c r="B142" s="15" t="s">
        <v>68</v>
      </c>
      <c r="C142" s="15" t="s">
        <v>79</v>
      </c>
      <c r="D142" s="15" t="s">
        <v>13</v>
      </c>
      <c r="E142" s="15">
        <v>15</v>
      </c>
      <c r="F142" s="15">
        <v>11</v>
      </c>
      <c r="G142" s="15" t="s">
        <v>14</v>
      </c>
      <c r="H142" s="15" t="s">
        <v>46</v>
      </c>
      <c r="I142" s="15" t="s">
        <v>315</v>
      </c>
      <c r="J142" s="15">
        <v>35</v>
      </c>
    </row>
    <row r="143" spans="1:10" x14ac:dyDescent="0.3">
      <c r="A143" s="15" t="s">
        <v>316</v>
      </c>
      <c r="B143" s="15" t="s">
        <v>23</v>
      </c>
      <c r="C143" s="15" t="s">
        <v>36</v>
      </c>
      <c r="D143" s="15" t="s">
        <v>31</v>
      </c>
      <c r="E143" s="15">
        <v>20</v>
      </c>
      <c r="F143" s="15">
        <v>11</v>
      </c>
      <c r="G143" s="15" t="s">
        <v>14</v>
      </c>
      <c r="H143" s="15" t="s">
        <v>37</v>
      </c>
      <c r="I143" s="15" t="s">
        <v>317</v>
      </c>
      <c r="J143" s="15">
        <v>52</v>
      </c>
    </row>
    <row r="144" spans="1:10" x14ac:dyDescent="0.3">
      <c r="A144" s="15" t="s">
        <v>318</v>
      </c>
      <c r="B144" s="15" t="s">
        <v>54</v>
      </c>
      <c r="C144" s="15" t="s">
        <v>96</v>
      </c>
      <c r="D144" s="15" t="s">
        <v>13</v>
      </c>
      <c r="E144" s="15">
        <v>18</v>
      </c>
      <c r="F144" s="15">
        <v>9</v>
      </c>
      <c r="G144" s="15" t="s">
        <v>32</v>
      </c>
      <c r="H144" s="15" t="s">
        <v>76</v>
      </c>
      <c r="I144" s="15" t="s">
        <v>319</v>
      </c>
      <c r="J144" s="15">
        <v>86</v>
      </c>
    </row>
    <row r="145" spans="1:10" x14ac:dyDescent="0.3">
      <c r="A145" s="15" t="s">
        <v>320</v>
      </c>
      <c r="B145" s="15" t="s">
        <v>84</v>
      </c>
      <c r="C145" s="15" t="s">
        <v>55</v>
      </c>
      <c r="D145" s="15" t="s">
        <v>31</v>
      </c>
      <c r="E145" s="15">
        <v>16</v>
      </c>
      <c r="F145" s="15">
        <v>12</v>
      </c>
      <c r="G145" s="15" t="s">
        <v>32</v>
      </c>
      <c r="H145" s="15" t="s">
        <v>76</v>
      </c>
      <c r="I145" s="15" t="s">
        <v>321</v>
      </c>
      <c r="J145" s="15">
        <v>66</v>
      </c>
    </row>
    <row r="146" spans="1:10" x14ac:dyDescent="0.3">
      <c r="A146" s="15" t="s">
        <v>322</v>
      </c>
      <c r="B146" s="15" t="s">
        <v>35</v>
      </c>
      <c r="C146" s="15" t="s">
        <v>12</v>
      </c>
      <c r="D146" s="15" t="s">
        <v>13</v>
      </c>
      <c r="E146" s="15">
        <v>14</v>
      </c>
      <c r="F146" s="15">
        <v>11</v>
      </c>
      <c r="G146" s="15" t="s">
        <v>14</v>
      </c>
      <c r="H146" s="15" t="s">
        <v>26</v>
      </c>
      <c r="I146" s="15" t="s">
        <v>323</v>
      </c>
      <c r="J146" s="15">
        <v>93</v>
      </c>
    </row>
    <row r="147" spans="1:10" x14ac:dyDescent="0.3">
      <c r="A147" s="15" t="s">
        <v>324</v>
      </c>
      <c r="B147" s="15" t="s">
        <v>23</v>
      </c>
      <c r="C147" s="15" t="s">
        <v>85</v>
      </c>
      <c r="D147" s="15" t="s">
        <v>31</v>
      </c>
      <c r="E147" s="15">
        <v>16</v>
      </c>
      <c r="F147" s="15">
        <v>9</v>
      </c>
      <c r="G147" s="15" t="s">
        <v>32</v>
      </c>
      <c r="H147" s="15" t="s">
        <v>61</v>
      </c>
      <c r="I147" s="15" t="s">
        <v>325</v>
      </c>
      <c r="J147" s="15">
        <v>54</v>
      </c>
    </row>
    <row r="148" spans="1:10" x14ac:dyDescent="0.3">
      <c r="A148" s="15" t="s">
        <v>326</v>
      </c>
      <c r="B148" s="15" t="s">
        <v>54</v>
      </c>
      <c r="C148" s="15" t="s">
        <v>55</v>
      </c>
      <c r="D148" s="15" t="s">
        <v>13</v>
      </c>
      <c r="E148" s="15">
        <v>20</v>
      </c>
      <c r="F148" s="15">
        <v>9</v>
      </c>
      <c r="G148" s="15" t="s">
        <v>32</v>
      </c>
      <c r="H148" s="15" t="s">
        <v>15</v>
      </c>
      <c r="I148" s="15" t="s">
        <v>77</v>
      </c>
      <c r="J148" s="15">
        <v>75</v>
      </c>
    </row>
    <row r="149" spans="1:10" x14ac:dyDescent="0.3">
      <c r="A149" s="15" t="s">
        <v>327</v>
      </c>
      <c r="B149" s="15" t="s">
        <v>73</v>
      </c>
      <c r="C149" s="15" t="s">
        <v>96</v>
      </c>
      <c r="D149" s="15" t="s">
        <v>13</v>
      </c>
      <c r="E149" s="15">
        <v>20</v>
      </c>
      <c r="F149" s="15">
        <v>9</v>
      </c>
      <c r="G149" s="15" t="s">
        <v>32</v>
      </c>
      <c r="H149" s="15" t="s">
        <v>61</v>
      </c>
      <c r="I149" s="15" t="s">
        <v>328</v>
      </c>
      <c r="J149" s="15">
        <v>40</v>
      </c>
    </row>
    <row r="150" spans="1:10" x14ac:dyDescent="0.3">
      <c r="A150" s="15" t="s">
        <v>329</v>
      </c>
      <c r="B150" s="15" t="s">
        <v>11</v>
      </c>
      <c r="C150" s="15" t="s">
        <v>24</v>
      </c>
      <c r="D150" s="15" t="s">
        <v>31</v>
      </c>
      <c r="E150" s="15">
        <v>15</v>
      </c>
      <c r="F150" s="15">
        <v>9</v>
      </c>
      <c r="G150" s="15" t="s">
        <v>43</v>
      </c>
      <c r="H150" s="15" t="s">
        <v>61</v>
      </c>
      <c r="I150" s="15" t="s">
        <v>330</v>
      </c>
      <c r="J150" s="15">
        <v>83</v>
      </c>
    </row>
    <row r="151" spans="1:10" x14ac:dyDescent="0.3">
      <c r="A151" s="15" t="s">
        <v>331</v>
      </c>
      <c r="B151" s="15" t="s">
        <v>73</v>
      </c>
      <c r="C151" s="15" t="s">
        <v>30</v>
      </c>
      <c r="D151" s="15" t="s">
        <v>31</v>
      </c>
      <c r="E151" s="15">
        <v>19</v>
      </c>
      <c r="F151" s="15">
        <v>10</v>
      </c>
      <c r="G151" s="15" t="s">
        <v>43</v>
      </c>
      <c r="H151" s="15" t="s">
        <v>20</v>
      </c>
      <c r="I151" s="15" t="s">
        <v>191</v>
      </c>
      <c r="J151" s="15">
        <v>93</v>
      </c>
    </row>
    <row r="152" spans="1:10" x14ac:dyDescent="0.3">
      <c r="A152" s="15" t="s">
        <v>332</v>
      </c>
      <c r="B152" s="15" t="s">
        <v>29</v>
      </c>
      <c r="C152" s="15" t="s">
        <v>12</v>
      </c>
      <c r="D152" s="15" t="s">
        <v>31</v>
      </c>
      <c r="E152" s="15">
        <v>16</v>
      </c>
      <c r="F152" s="15">
        <v>11</v>
      </c>
      <c r="G152" s="15" t="s">
        <v>32</v>
      </c>
      <c r="H152" s="15" t="s">
        <v>76</v>
      </c>
      <c r="I152" s="15" t="s">
        <v>333</v>
      </c>
      <c r="J152" s="15">
        <v>42</v>
      </c>
    </row>
    <row r="153" spans="1:10" x14ac:dyDescent="0.3">
      <c r="A153" s="15" t="s">
        <v>334</v>
      </c>
      <c r="B153" s="15" t="s">
        <v>73</v>
      </c>
      <c r="C153" s="15" t="s">
        <v>12</v>
      </c>
      <c r="D153" s="15" t="s">
        <v>31</v>
      </c>
      <c r="E153" s="15">
        <v>18</v>
      </c>
      <c r="F153" s="15">
        <v>11</v>
      </c>
      <c r="G153" s="15" t="s">
        <v>32</v>
      </c>
      <c r="H153" s="15" t="s">
        <v>76</v>
      </c>
      <c r="I153" s="15" t="s">
        <v>335</v>
      </c>
      <c r="J153" s="15">
        <v>97</v>
      </c>
    </row>
    <row r="154" spans="1:10" x14ac:dyDescent="0.3">
      <c r="A154" s="15" t="s">
        <v>336</v>
      </c>
      <c r="B154" s="15" t="s">
        <v>11</v>
      </c>
      <c r="C154" s="15" t="s">
        <v>58</v>
      </c>
      <c r="D154" s="15" t="s">
        <v>31</v>
      </c>
      <c r="E154" s="15">
        <v>19</v>
      </c>
      <c r="F154" s="15">
        <v>12</v>
      </c>
      <c r="G154" s="15" t="s">
        <v>25</v>
      </c>
      <c r="H154" s="15" t="s">
        <v>61</v>
      </c>
      <c r="I154" s="15" t="s">
        <v>218</v>
      </c>
      <c r="J154" s="15">
        <v>68</v>
      </c>
    </row>
    <row r="155" spans="1:10" x14ac:dyDescent="0.3">
      <c r="A155" s="15" t="s">
        <v>337</v>
      </c>
      <c r="B155" s="15" t="s">
        <v>23</v>
      </c>
      <c r="C155" s="15" t="s">
        <v>30</v>
      </c>
      <c r="D155" s="15" t="s">
        <v>31</v>
      </c>
      <c r="E155" s="15">
        <v>19</v>
      </c>
      <c r="F155" s="15">
        <v>9</v>
      </c>
      <c r="G155" s="15" t="s">
        <v>32</v>
      </c>
      <c r="H155" s="15" t="s">
        <v>61</v>
      </c>
      <c r="I155" s="15" t="s">
        <v>338</v>
      </c>
      <c r="J155" s="15">
        <v>51</v>
      </c>
    </row>
    <row r="156" spans="1:10" x14ac:dyDescent="0.3">
      <c r="A156" s="15" t="s">
        <v>339</v>
      </c>
      <c r="B156" s="15" t="s">
        <v>23</v>
      </c>
      <c r="C156" s="15" t="s">
        <v>36</v>
      </c>
      <c r="D156" s="15" t="s">
        <v>13</v>
      </c>
      <c r="E156" s="15">
        <v>18</v>
      </c>
      <c r="F156" s="15">
        <v>9</v>
      </c>
      <c r="G156" s="15" t="s">
        <v>32</v>
      </c>
      <c r="H156" s="15" t="s">
        <v>37</v>
      </c>
      <c r="I156" s="15" t="s">
        <v>340</v>
      </c>
      <c r="J156" s="15">
        <v>64</v>
      </c>
    </row>
    <row r="157" spans="1:10" x14ac:dyDescent="0.3">
      <c r="A157" s="15" t="s">
        <v>341</v>
      </c>
      <c r="B157" s="15" t="s">
        <v>54</v>
      </c>
      <c r="C157" s="15" t="s">
        <v>55</v>
      </c>
      <c r="D157" s="15" t="s">
        <v>13</v>
      </c>
      <c r="E157" s="15">
        <v>14</v>
      </c>
      <c r="F157" s="15">
        <v>9</v>
      </c>
      <c r="G157" s="15" t="s">
        <v>25</v>
      </c>
      <c r="H157" s="15" t="s">
        <v>37</v>
      </c>
      <c r="I157" s="15" t="s">
        <v>342</v>
      </c>
      <c r="J157" s="15">
        <v>82</v>
      </c>
    </row>
    <row r="158" spans="1:10" x14ac:dyDescent="0.3">
      <c r="A158" s="15" t="s">
        <v>343</v>
      </c>
      <c r="B158" s="15" t="s">
        <v>68</v>
      </c>
      <c r="C158" s="15" t="s">
        <v>79</v>
      </c>
      <c r="D158" s="15" t="s">
        <v>13</v>
      </c>
      <c r="E158" s="15">
        <v>19</v>
      </c>
      <c r="F158" s="15">
        <v>11</v>
      </c>
      <c r="G158" s="15" t="s">
        <v>14</v>
      </c>
      <c r="H158" s="15" t="s">
        <v>40</v>
      </c>
      <c r="I158" s="15" t="s">
        <v>344</v>
      </c>
      <c r="J158" s="15">
        <v>35</v>
      </c>
    </row>
    <row r="159" spans="1:10" x14ac:dyDescent="0.3">
      <c r="A159" s="15" t="s">
        <v>345</v>
      </c>
      <c r="B159" s="15" t="s">
        <v>29</v>
      </c>
      <c r="C159" s="15" t="s">
        <v>24</v>
      </c>
      <c r="D159" s="15" t="s">
        <v>31</v>
      </c>
      <c r="E159" s="15">
        <v>15</v>
      </c>
      <c r="F159" s="15">
        <v>9</v>
      </c>
      <c r="G159" s="15" t="s">
        <v>14</v>
      </c>
      <c r="H159" s="15" t="s">
        <v>26</v>
      </c>
      <c r="I159" s="15" t="s">
        <v>346</v>
      </c>
      <c r="J159" s="15">
        <v>49</v>
      </c>
    </row>
    <row r="160" spans="1:10" x14ac:dyDescent="0.3">
      <c r="A160" s="15" t="s">
        <v>347</v>
      </c>
      <c r="B160" s="15" t="s">
        <v>23</v>
      </c>
      <c r="C160" s="15" t="s">
        <v>85</v>
      </c>
      <c r="D160" s="15" t="s">
        <v>31</v>
      </c>
      <c r="E160" s="15">
        <v>15</v>
      </c>
      <c r="F160" s="15">
        <v>11</v>
      </c>
      <c r="G160" s="15" t="s">
        <v>32</v>
      </c>
      <c r="H160" s="15" t="s">
        <v>26</v>
      </c>
      <c r="I160" s="15" t="s">
        <v>348</v>
      </c>
      <c r="J160" s="15">
        <v>37</v>
      </c>
    </row>
    <row r="161" spans="1:10" x14ac:dyDescent="0.3">
      <c r="A161" s="15" t="s">
        <v>349</v>
      </c>
      <c r="B161" s="15" t="s">
        <v>35</v>
      </c>
      <c r="C161" s="15" t="s">
        <v>30</v>
      </c>
      <c r="D161" s="15" t="s">
        <v>31</v>
      </c>
      <c r="E161" s="15">
        <v>18</v>
      </c>
      <c r="F161" s="15">
        <v>12</v>
      </c>
      <c r="G161" s="15" t="s">
        <v>43</v>
      </c>
      <c r="H161" s="15" t="s">
        <v>37</v>
      </c>
      <c r="I161" s="15" t="s">
        <v>350</v>
      </c>
      <c r="J161" s="15">
        <v>53</v>
      </c>
    </row>
    <row r="162" spans="1:10" x14ac:dyDescent="0.3">
      <c r="A162" s="15" t="s">
        <v>351</v>
      </c>
      <c r="B162" s="15" t="s">
        <v>68</v>
      </c>
      <c r="C162" s="15" t="s">
        <v>96</v>
      </c>
      <c r="D162" s="15" t="s">
        <v>13</v>
      </c>
      <c r="E162" s="15">
        <v>15</v>
      </c>
      <c r="F162" s="15">
        <v>10</v>
      </c>
      <c r="G162" s="15" t="s">
        <v>25</v>
      </c>
      <c r="H162" s="15" t="s">
        <v>20</v>
      </c>
      <c r="I162" s="15" t="s">
        <v>352</v>
      </c>
      <c r="J162" s="15">
        <v>50</v>
      </c>
    </row>
    <row r="163" spans="1:10" x14ac:dyDescent="0.3">
      <c r="A163" s="15" t="s">
        <v>353</v>
      </c>
      <c r="B163" s="15" t="s">
        <v>51</v>
      </c>
      <c r="C163" s="15" t="s">
        <v>55</v>
      </c>
      <c r="D163" s="15" t="s">
        <v>31</v>
      </c>
      <c r="E163" s="15">
        <v>20</v>
      </c>
      <c r="F163" s="15">
        <v>9</v>
      </c>
      <c r="G163" s="15" t="s">
        <v>25</v>
      </c>
      <c r="H163" s="15" t="s">
        <v>46</v>
      </c>
      <c r="I163" s="15" t="s">
        <v>354</v>
      </c>
      <c r="J163" s="15">
        <v>53</v>
      </c>
    </row>
    <row r="164" spans="1:10" x14ac:dyDescent="0.3">
      <c r="A164" s="15" t="s">
        <v>355</v>
      </c>
      <c r="B164" s="15" t="s">
        <v>68</v>
      </c>
      <c r="C164" s="15" t="s">
        <v>79</v>
      </c>
      <c r="D164" s="15" t="s">
        <v>13</v>
      </c>
      <c r="E164" s="15">
        <v>15</v>
      </c>
      <c r="F164" s="15">
        <v>12</v>
      </c>
      <c r="G164" s="15" t="s">
        <v>14</v>
      </c>
      <c r="H164" s="15" t="s">
        <v>20</v>
      </c>
      <c r="I164" s="15" t="s">
        <v>356</v>
      </c>
      <c r="J164" s="15">
        <v>37</v>
      </c>
    </row>
    <row r="165" spans="1:10" x14ac:dyDescent="0.3">
      <c r="A165" s="15" t="s">
        <v>357</v>
      </c>
      <c r="B165" s="15" t="s">
        <v>23</v>
      </c>
      <c r="C165" s="15" t="s">
        <v>24</v>
      </c>
      <c r="D165" s="15" t="s">
        <v>13</v>
      </c>
      <c r="E165" s="15">
        <v>16</v>
      </c>
      <c r="F165" s="15">
        <v>9</v>
      </c>
      <c r="G165" s="15" t="s">
        <v>25</v>
      </c>
      <c r="H165" s="15" t="s">
        <v>20</v>
      </c>
      <c r="I165" s="15" t="s">
        <v>358</v>
      </c>
      <c r="J165" s="15">
        <v>66</v>
      </c>
    </row>
    <row r="166" spans="1:10" x14ac:dyDescent="0.3">
      <c r="A166" s="15" t="s">
        <v>359</v>
      </c>
      <c r="B166" s="15" t="s">
        <v>68</v>
      </c>
      <c r="C166" s="15" t="s">
        <v>85</v>
      </c>
      <c r="D166" s="15" t="s">
        <v>13</v>
      </c>
      <c r="E166" s="15">
        <v>19</v>
      </c>
      <c r="F166" s="15">
        <v>11</v>
      </c>
      <c r="G166" s="15" t="s">
        <v>43</v>
      </c>
      <c r="H166" s="15" t="s">
        <v>76</v>
      </c>
      <c r="I166" s="15" t="s">
        <v>360</v>
      </c>
      <c r="J166" s="15">
        <v>64</v>
      </c>
    </row>
    <row r="167" spans="1:10" x14ac:dyDescent="0.3">
      <c r="A167" s="15" t="s">
        <v>361</v>
      </c>
      <c r="B167" s="15" t="s">
        <v>11</v>
      </c>
      <c r="C167" s="15" t="s">
        <v>30</v>
      </c>
      <c r="D167" s="15" t="s">
        <v>13</v>
      </c>
      <c r="E167" s="15">
        <v>20</v>
      </c>
      <c r="F167" s="15">
        <v>10</v>
      </c>
      <c r="G167" s="15" t="s">
        <v>32</v>
      </c>
      <c r="H167" s="15" t="s">
        <v>15</v>
      </c>
      <c r="I167" s="15" t="s">
        <v>362</v>
      </c>
      <c r="J167" s="15">
        <v>49</v>
      </c>
    </row>
    <row r="168" spans="1:10" x14ac:dyDescent="0.3">
      <c r="A168" s="15" t="s">
        <v>363</v>
      </c>
      <c r="B168" s="15" t="s">
        <v>11</v>
      </c>
      <c r="C168" s="15" t="s">
        <v>85</v>
      </c>
      <c r="D168" s="15" t="s">
        <v>31</v>
      </c>
      <c r="E168" s="15">
        <v>15</v>
      </c>
      <c r="F168" s="15">
        <v>10</v>
      </c>
      <c r="G168" s="15" t="s">
        <v>14</v>
      </c>
      <c r="H168" s="15" t="s">
        <v>37</v>
      </c>
      <c r="I168" s="15" t="s">
        <v>364</v>
      </c>
      <c r="J168" s="15">
        <v>71</v>
      </c>
    </row>
    <row r="169" spans="1:10" x14ac:dyDescent="0.3">
      <c r="A169" s="15" t="s">
        <v>365</v>
      </c>
      <c r="B169" s="15" t="s">
        <v>11</v>
      </c>
      <c r="C169" s="15" t="s">
        <v>55</v>
      </c>
      <c r="D169" s="15" t="s">
        <v>13</v>
      </c>
      <c r="E169" s="15">
        <v>16</v>
      </c>
      <c r="F169" s="15">
        <v>10</v>
      </c>
      <c r="G169" s="15" t="s">
        <v>32</v>
      </c>
      <c r="H169" s="15" t="s">
        <v>15</v>
      </c>
      <c r="I169" s="15" t="s">
        <v>366</v>
      </c>
      <c r="J169" s="15">
        <v>72</v>
      </c>
    </row>
    <row r="170" spans="1:10" x14ac:dyDescent="0.3">
      <c r="A170" s="15" t="s">
        <v>367</v>
      </c>
      <c r="B170" s="15" t="s">
        <v>35</v>
      </c>
      <c r="C170" s="15" t="s">
        <v>12</v>
      </c>
      <c r="D170" s="15" t="s">
        <v>31</v>
      </c>
      <c r="E170" s="15">
        <v>15</v>
      </c>
      <c r="F170" s="15">
        <v>10</v>
      </c>
      <c r="G170" s="15" t="s">
        <v>32</v>
      </c>
      <c r="H170" s="15" t="s">
        <v>20</v>
      </c>
      <c r="I170" s="15" t="s">
        <v>368</v>
      </c>
      <c r="J170" s="15">
        <v>99</v>
      </c>
    </row>
    <row r="171" spans="1:10" x14ac:dyDescent="0.3">
      <c r="A171" s="15" t="s">
        <v>369</v>
      </c>
      <c r="B171" s="15" t="s">
        <v>23</v>
      </c>
      <c r="C171" s="15" t="s">
        <v>24</v>
      </c>
      <c r="D171" s="15" t="s">
        <v>31</v>
      </c>
      <c r="E171" s="15">
        <v>17</v>
      </c>
      <c r="F171" s="15">
        <v>12</v>
      </c>
      <c r="G171" s="15" t="s">
        <v>43</v>
      </c>
      <c r="H171" s="15" t="s">
        <v>61</v>
      </c>
      <c r="I171" s="15" t="s">
        <v>370</v>
      </c>
      <c r="J171" s="15">
        <v>96</v>
      </c>
    </row>
    <row r="172" spans="1:10" x14ac:dyDescent="0.3">
      <c r="A172" s="15" t="s">
        <v>371</v>
      </c>
      <c r="B172" s="15" t="s">
        <v>35</v>
      </c>
      <c r="C172" s="15" t="s">
        <v>58</v>
      </c>
      <c r="D172" s="15" t="s">
        <v>31</v>
      </c>
      <c r="E172" s="15">
        <v>19</v>
      </c>
      <c r="F172" s="15">
        <v>9</v>
      </c>
      <c r="G172" s="15" t="s">
        <v>14</v>
      </c>
      <c r="H172" s="15" t="s">
        <v>20</v>
      </c>
      <c r="I172" s="15" t="s">
        <v>372</v>
      </c>
      <c r="J172" s="15">
        <v>87</v>
      </c>
    </row>
    <row r="173" spans="1:10" x14ac:dyDescent="0.3">
      <c r="A173" s="15" t="s">
        <v>373</v>
      </c>
      <c r="B173" s="15" t="s">
        <v>51</v>
      </c>
      <c r="C173" s="15" t="s">
        <v>19</v>
      </c>
      <c r="D173" s="15" t="s">
        <v>13</v>
      </c>
      <c r="E173" s="15">
        <v>15</v>
      </c>
      <c r="F173" s="15">
        <v>11</v>
      </c>
      <c r="G173" s="15" t="s">
        <v>14</v>
      </c>
      <c r="H173" s="15" t="s">
        <v>61</v>
      </c>
      <c r="I173" s="15" t="s">
        <v>374</v>
      </c>
      <c r="J173" s="15">
        <v>78</v>
      </c>
    </row>
    <row r="174" spans="1:10" x14ac:dyDescent="0.3">
      <c r="A174" s="15" t="s">
        <v>375</v>
      </c>
      <c r="B174" s="15" t="s">
        <v>35</v>
      </c>
      <c r="C174" s="15" t="s">
        <v>36</v>
      </c>
      <c r="D174" s="15" t="s">
        <v>13</v>
      </c>
      <c r="E174" s="15">
        <v>18</v>
      </c>
      <c r="F174" s="15">
        <v>11</v>
      </c>
      <c r="G174" s="15" t="s">
        <v>25</v>
      </c>
      <c r="H174" s="15" t="s">
        <v>40</v>
      </c>
      <c r="I174" s="15" t="s">
        <v>376</v>
      </c>
      <c r="J174" s="15">
        <v>62</v>
      </c>
    </row>
    <row r="175" spans="1:10" x14ac:dyDescent="0.3">
      <c r="A175" s="15" t="s">
        <v>377</v>
      </c>
      <c r="B175" s="15" t="s">
        <v>35</v>
      </c>
      <c r="C175" s="15" t="s">
        <v>30</v>
      </c>
      <c r="D175" s="15" t="s">
        <v>13</v>
      </c>
      <c r="E175" s="15">
        <v>20</v>
      </c>
      <c r="F175" s="15">
        <v>11</v>
      </c>
      <c r="G175" s="15" t="s">
        <v>32</v>
      </c>
      <c r="H175" s="15" t="s">
        <v>37</v>
      </c>
      <c r="I175" s="15" t="s">
        <v>189</v>
      </c>
      <c r="J175" s="15">
        <v>79</v>
      </c>
    </row>
    <row r="176" spans="1:10" x14ac:dyDescent="0.3">
      <c r="A176" s="15" t="s">
        <v>378</v>
      </c>
      <c r="B176" s="15" t="s">
        <v>18</v>
      </c>
      <c r="C176" s="15" t="s">
        <v>55</v>
      </c>
      <c r="D176" s="15" t="s">
        <v>31</v>
      </c>
      <c r="E176" s="15">
        <v>17</v>
      </c>
      <c r="F176" s="15">
        <v>9</v>
      </c>
      <c r="G176" s="15" t="s">
        <v>32</v>
      </c>
      <c r="H176" s="15" t="s">
        <v>26</v>
      </c>
      <c r="I176" s="15" t="s">
        <v>379</v>
      </c>
      <c r="J176" s="15">
        <v>66</v>
      </c>
    </row>
    <row r="177" spans="1:10" x14ac:dyDescent="0.3">
      <c r="A177" s="15" t="s">
        <v>380</v>
      </c>
      <c r="B177" s="15" t="s">
        <v>11</v>
      </c>
      <c r="C177" s="15" t="s">
        <v>24</v>
      </c>
      <c r="D177" s="15" t="s">
        <v>31</v>
      </c>
      <c r="E177" s="15">
        <v>18</v>
      </c>
      <c r="F177" s="15">
        <v>11</v>
      </c>
      <c r="G177" s="15" t="s">
        <v>32</v>
      </c>
      <c r="H177" s="15" t="s">
        <v>61</v>
      </c>
      <c r="I177" s="15" t="s">
        <v>381</v>
      </c>
      <c r="J177" s="15">
        <v>67</v>
      </c>
    </row>
    <row r="178" spans="1:10" x14ac:dyDescent="0.3">
      <c r="A178" s="15" t="s">
        <v>382</v>
      </c>
      <c r="B178" s="15" t="s">
        <v>51</v>
      </c>
      <c r="C178" s="15" t="s">
        <v>85</v>
      </c>
      <c r="D178" s="15" t="s">
        <v>13</v>
      </c>
      <c r="E178" s="15">
        <v>16</v>
      </c>
      <c r="F178" s="15">
        <v>10</v>
      </c>
      <c r="G178" s="15" t="s">
        <v>43</v>
      </c>
      <c r="H178" s="15" t="s">
        <v>61</v>
      </c>
      <c r="I178" s="15" t="s">
        <v>383</v>
      </c>
      <c r="J178" s="15">
        <v>72</v>
      </c>
    </row>
    <row r="179" spans="1:10" x14ac:dyDescent="0.3">
      <c r="A179" s="15" t="s">
        <v>384</v>
      </c>
      <c r="B179" s="15" t="s">
        <v>54</v>
      </c>
      <c r="C179" s="15" t="s">
        <v>19</v>
      </c>
      <c r="D179" s="15" t="s">
        <v>31</v>
      </c>
      <c r="E179" s="15">
        <v>16</v>
      </c>
      <c r="F179" s="15">
        <v>12</v>
      </c>
      <c r="G179" s="15" t="s">
        <v>25</v>
      </c>
      <c r="H179" s="15" t="s">
        <v>20</v>
      </c>
      <c r="I179" s="15" t="s">
        <v>385</v>
      </c>
      <c r="J179" s="15">
        <v>39</v>
      </c>
    </row>
    <row r="180" spans="1:10" x14ac:dyDescent="0.3">
      <c r="A180" s="15" t="s">
        <v>386</v>
      </c>
      <c r="B180" s="15" t="s">
        <v>68</v>
      </c>
      <c r="C180" s="15" t="s">
        <v>96</v>
      </c>
      <c r="D180" s="15" t="s">
        <v>13</v>
      </c>
      <c r="E180" s="15">
        <v>18</v>
      </c>
      <c r="F180" s="15">
        <v>9</v>
      </c>
      <c r="G180" s="15" t="s">
        <v>25</v>
      </c>
      <c r="H180" s="15" t="s">
        <v>46</v>
      </c>
      <c r="I180" s="15" t="s">
        <v>387</v>
      </c>
      <c r="J180" s="15">
        <v>74</v>
      </c>
    </row>
    <row r="181" spans="1:10" x14ac:dyDescent="0.3">
      <c r="A181" s="15" t="s">
        <v>388</v>
      </c>
      <c r="B181" s="15" t="s">
        <v>73</v>
      </c>
      <c r="C181" s="15" t="s">
        <v>12</v>
      </c>
      <c r="D181" s="15" t="s">
        <v>31</v>
      </c>
      <c r="E181" s="15">
        <v>19</v>
      </c>
      <c r="F181" s="15">
        <v>11</v>
      </c>
      <c r="G181" s="15" t="s">
        <v>43</v>
      </c>
      <c r="H181" s="15" t="s">
        <v>61</v>
      </c>
      <c r="I181" s="15" t="s">
        <v>214</v>
      </c>
      <c r="J181" s="15">
        <v>88</v>
      </c>
    </row>
    <row r="182" spans="1:10" x14ac:dyDescent="0.3">
      <c r="A182" s="15" t="s">
        <v>389</v>
      </c>
      <c r="B182" s="15" t="s">
        <v>54</v>
      </c>
      <c r="C182" s="15" t="s">
        <v>58</v>
      </c>
      <c r="D182" s="15" t="s">
        <v>31</v>
      </c>
      <c r="E182" s="15">
        <v>14</v>
      </c>
      <c r="F182" s="15">
        <v>11</v>
      </c>
      <c r="G182" s="15" t="s">
        <v>32</v>
      </c>
      <c r="H182" s="15" t="s">
        <v>76</v>
      </c>
      <c r="I182" s="15" t="s">
        <v>390</v>
      </c>
      <c r="J182" s="15">
        <v>54</v>
      </c>
    </row>
    <row r="183" spans="1:10" x14ac:dyDescent="0.3">
      <c r="A183" s="15" t="s">
        <v>391</v>
      </c>
      <c r="B183" s="15" t="s">
        <v>68</v>
      </c>
      <c r="C183" s="15" t="s">
        <v>19</v>
      </c>
      <c r="D183" s="15" t="s">
        <v>13</v>
      </c>
      <c r="E183" s="15">
        <v>19</v>
      </c>
      <c r="F183" s="15">
        <v>12</v>
      </c>
      <c r="G183" s="15" t="s">
        <v>25</v>
      </c>
      <c r="H183" s="15" t="s">
        <v>46</v>
      </c>
      <c r="I183" s="15" t="s">
        <v>392</v>
      </c>
      <c r="J183" s="15">
        <v>46</v>
      </c>
    </row>
    <row r="184" spans="1:10" x14ac:dyDescent="0.3">
      <c r="A184" s="15" t="s">
        <v>393</v>
      </c>
      <c r="B184" s="15" t="s">
        <v>68</v>
      </c>
      <c r="C184" s="15" t="s">
        <v>85</v>
      </c>
      <c r="D184" s="15" t="s">
        <v>13</v>
      </c>
      <c r="E184" s="15">
        <v>15</v>
      </c>
      <c r="F184" s="15">
        <v>10</v>
      </c>
      <c r="G184" s="15" t="s">
        <v>32</v>
      </c>
      <c r="H184" s="15" t="s">
        <v>37</v>
      </c>
      <c r="I184" s="15" t="s">
        <v>394</v>
      </c>
      <c r="J184" s="15">
        <v>89</v>
      </c>
    </row>
    <row r="185" spans="1:10" x14ac:dyDescent="0.3">
      <c r="A185" s="15" t="s">
        <v>395</v>
      </c>
      <c r="B185" s="15" t="s">
        <v>11</v>
      </c>
      <c r="C185" s="15" t="s">
        <v>96</v>
      </c>
      <c r="D185" s="15" t="s">
        <v>13</v>
      </c>
      <c r="E185" s="15">
        <v>18</v>
      </c>
      <c r="F185" s="15">
        <v>11</v>
      </c>
      <c r="G185" s="15" t="s">
        <v>25</v>
      </c>
      <c r="H185" s="15" t="s">
        <v>37</v>
      </c>
      <c r="I185" s="15" t="s">
        <v>396</v>
      </c>
      <c r="J185" s="15">
        <v>65</v>
      </c>
    </row>
    <row r="186" spans="1:10" x14ac:dyDescent="0.3">
      <c r="A186" s="15" t="s">
        <v>397</v>
      </c>
      <c r="B186" s="15" t="s">
        <v>23</v>
      </c>
      <c r="C186" s="15" t="s">
        <v>12</v>
      </c>
      <c r="D186" s="15" t="s">
        <v>13</v>
      </c>
      <c r="E186" s="15">
        <v>20</v>
      </c>
      <c r="F186" s="15">
        <v>9</v>
      </c>
      <c r="G186" s="15" t="s">
        <v>25</v>
      </c>
      <c r="H186" s="15" t="s">
        <v>46</v>
      </c>
      <c r="I186" s="15" t="s">
        <v>398</v>
      </c>
      <c r="J186" s="15">
        <v>91</v>
      </c>
    </row>
    <row r="187" spans="1:10" x14ac:dyDescent="0.3">
      <c r="A187" s="15" t="s">
        <v>399</v>
      </c>
      <c r="B187" s="15" t="s">
        <v>35</v>
      </c>
      <c r="C187" s="15" t="s">
        <v>79</v>
      </c>
      <c r="D187" s="15" t="s">
        <v>13</v>
      </c>
      <c r="E187" s="15">
        <v>17</v>
      </c>
      <c r="F187" s="15">
        <v>10</v>
      </c>
      <c r="G187" s="15" t="s">
        <v>43</v>
      </c>
      <c r="H187" s="15" t="s">
        <v>37</v>
      </c>
      <c r="I187" s="15" t="s">
        <v>400</v>
      </c>
      <c r="J187" s="15">
        <v>78</v>
      </c>
    </row>
    <row r="188" spans="1:10" x14ac:dyDescent="0.3">
      <c r="A188" s="15" t="s">
        <v>401</v>
      </c>
      <c r="B188" s="15" t="s">
        <v>11</v>
      </c>
      <c r="C188" s="15" t="s">
        <v>79</v>
      </c>
      <c r="D188" s="15" t="s">
        <v>31</v>
      </c>
      <c r="E188" s="15">
        <v>15</v>
      </c>
      <c r="F188" s="15">
        <v>11</v>
      </c>
      <c r="G188" s="15" t="s">
        <v>43</v>
      </c>
      <c r="H188" s="15" t="s">
        <v>40</v>
      </c>
      <c r="I188" s="15" t="s">
        <v>402</v>
      </c>
      <c r="J188" s="15">
        <v>84</v>
      </c>
    </row>
    <row r="189" spans="1:10" x14ac:dyDescent="0.3">
      <c r="A189" s="15" t="s">
        <v>403</v>
      </c>
      <c r="B189" s="15" t="s">
        <v>11</v>
      </c>
      <c r="C189" s="15" t="s">
        <v>12</v>
      </c>
      <c r="D189" s="15" t="s">
        <v>31</v>
      </c>
      <c r="E189" s="15">
        <v>19</v>
      </c>
      <c r="F189" s="15">
        <v>9</v>
      </c>
      <c r="G189" s="15" t="s">
        <v>43</v>
      </c>
      <c r="H189" s="15" t="s">
        <v>46</v>
      </c>
      <c r="I189" s="15" t="s">
        <v>404</v>
      </c>
      <c r="J189" s="15">
        <v>37</v>
      </c>
    </row>
    <row r="190" spans="1:10" x14ac:dyDescent="0.3">
      <c r="A190" s="15" t="s">
        <v>405</v>
      </c>
      <c r="B190" s="15" t="s">
        <v>18</v>
      </c>
      <c r="C190" s="15" t="s">
        <v>19</v>
      </c>
      <c r="D190" s="15" t="s">
        <v>31</v>
      </c>
      <c r="E190" s="15">
        <v>18</v>
      </c>
      <c r="F190" s="15">
        <v>12</v>
      </c>
      <c r="G190" s="15" t="s">
        <v>25</v>
      </c>
      <c r="H190" s="15" t="s">
        <v>37</v>
      </c>
      <c r="I190" s="15" t="s">
        <v>406</v>
      </c>
      <c r="J190" s="15">
        <v>70</v>
      </c>
    </row>
    <row r="191" spans="1:10" x14ac:dyDescent="0.3">
      <c r="A191" s="15" t="s">
        <v>407</v>
      </c>
      <c r="B191" s="15" t="s">
        <v>29</v>
      </c>
      <c r="C191" s="15" t="s">
        <v>12</v>
      </c>
      <c r="D191" s="15" t="s">
        <v>31</v>
      </c>
      <c r="E191" s="15">
        <v>16</v>
      </c>
      <c r="F191" s="15">
        <v>10</v>
      </c>
      <c r="G191" s="15" t="s">
        <v>14</v>
      </c>
      <c r="H191" s="15" t="s">
        <v>40</v>
      </c>
      <c r="I191" s="15" t="s">
        <v>71</v>
      </c>
      <c r="J191" s="15">
        <v>100</v>
      </c>
    </row>
    <row r="192" spans="1:10" x14ac:dyDescent="0.3">
      <c r="A192" s="15" t="s">
        <v>408</v>
      </c>
      <c r="B192" s="15" t="s">
        <v>51</v>
      </c>
      <c r="C192" s="15" t="s">
        <v>85</v>
      </c>
      <c r="D192" s="15" t="s">
        <v>13</v>
      </c>
      <c r="E192" s="15">
        <v>17</v>
      </c>
      <c r="F192" s="15">
        <v>11</v>
      </c>
      <c r="G192" s="15" t="s">
        <v>25</v>
      </c>
      <c r="H192" s="15" t="s">
        <v>46</v>
      </c>
      <c r="I192" s="15" t="s">
        <v>52</v>
      </c>
      <c r="J192" s="15">
        <v>42</v>
      </c>
    </row>
    <row r="193" spans="1:10" x14ac:dyDescent="0.3">
      <c r="A193" s="15" t="s">
        <v>409</v>
      </c>
      <c r="B193" s="15" t="s">
        <v>84</v>
      </c>
      <c r="C193" s="15" t="s">
        <v>24</v>
      </c>
      <c r="D193" s="15" t="s">
        <v>13</v>
      </c>
      <c r="E193" s="15">
        <v>20</v>
      </c>
      <c r="F193" s="15">
        <v>9</v>
      </c>
      <c r="G193" s="15" t="s">
        <v>25</v>
      </c>
      <c r="H193" s="15" t="s">
        <v>46</v>
      </c>
      <c r="I193" s="15" t="s">
        <v>290</v>
      </c>
      <c r="J193" s="15">
        <v>68</v>
      </c>
    </row>
    <row r="194" spans="1:10" x14ac:dyDescent="0.3">
      <c r="A194" s="15" t="s">
        <v>410</v>
      </c>
      <c r="B194" s="15" t="s">
        <v>18</v>
      </c>
      <c r="C194" s="15" t="s">
        <v>55</v>
      </c>
      <c r="D194" s="15" t="s">
        <v>31</v>
      </c>
      <c r="E194" s="15">
        <v>20</v>
      </c>
      <c r="F194" s="15">
        <v>10</v>
      </c>
      <c r="G194" s="15" t="s">
        <v>43</v>
      </c>
      <c r="H194" s="15" t="s">
        <v>40</v>
      </c>
      <c r="I194" s="15" t="s">
        <v>411</v>
      </c>
      <c r="J194" s="15">
        <v>59</v>
      </c>
    </row>
    <row r="195" spans="1:10" x14ac:dyDescent="0.3">
      <c r="A195" s="15" t="s">
        <v>412</v>
      </c>
      <c r="B195" s="15" t="s">
        <v>73</v>
      </c>
      <c r="C195" s="15" t="s">
        <v>55</v>
      </c>
      <c r="D195" s="15" t="s">
        <v>13</v>
      </c>
      <c r="E195" s="15">
        <v>16</v>
      </c>
      <c r="F195" s="15">
        <v>12</v>
      </c>
      <c r="G195" s="15" t="s">
        <v>32</v>
      </c>
      <c r="H195" s="15" t="s">
        <v>46</v>
      </c>
      <c r="I195" s="15" t="s">
        <v>413</v>
      </c>
      <c r="J195" s="15">
        <v>85</v>
      </c>
    </row>
    <row r="196" spans="1:10" x14ac:dyDescent="0.3">
      <c r="A196" s="15" t="s">
        <v>414</v>
      </c>
      <c r="B196" s="15" t="s">
        <v>11</v>
      </c>
      <c r="C196" s="15" t="s">
        <v>55</v>
      </c>
      <c r="D196" s="15" t="s">
        <v>13</v>
      </c>
      <c r="E196" s="15">
        <v>16</v>
      </c>
      <c r="F196" s="15">
        <v>12</v>
      </c>
      <c r="G196" s="15" t="s">
        <v>32</v>
      </c>
      <c r="H196" s="15" t="s">
        <v>37</v>
      </c>
      <c r="I196" s="15" t="s">
        <v>415</v>
      </c>
      <c r="J196" s="15">
        <v>47</v>
      </c>
    </row>
    <row r="197" spans="1:10" x14ac:dyDescent="0.3">
      <c r="A197" s="15" t="s">
        <v>416</v>
      </c>
      <c r="B197" s="15" t="s">
        <v>18</v>
      </c>
      <c r="C197" s="15" t="s">
        <v>79</v>
      </c>
      <c r="D197" s="15" t="s">
        <v>31</v>
      </c>
      <c r="E197" s="15">
        <v>20</v>
      </c>
      <c r="F197" s="15">
        <v>9</v>
      </c>
      <c r="G197" s="15" t="s">
        <v>25</v>
      </c>
      <c r="H197" s="15" t="s">
        <v>37</v>
      </c>
      <c r="I197" s="15" t="s">
        <v>417</v>
      </c>
      <c r="J197" s="15">
        <v>53</v>
      </c>
    </row>
    <row r="198" spans="1:10" x14ac:dyDescent="0.3">
      <c r="A198" s="15" t="s">
        <v>418</v>
      </c>
      <c r="B198" s="15" t="s">
        <v>84</v>
      </c>
      <c r="C198" s="15" t="s">
        <v>24</v>
      </c>
      <c r="D198" s="15" t="s">
        <v>13</v>
      </c>
      <c r="E198" s="15">
        <v>15</v>
      </c>
      <c r="F198" s="15">
        <v>9</v>
      </c>
      <c r="G198" s="15" t="s">
        <v>25</v>
      </c>
      <c r="H198" s="15" t="s">
        <v>20</v>
      </c>
      <c r="I198" s="15" t="s">
        <v>419</v>
      </c>
      <c r="J198" s="15">
        <v>63</v>
      </c>
    </row>
    <row r="199" spans="1:10" x14ac:dyDescent="0.3">
      <c r="A199" s="15" t="s">
        <v>420</v>
      </c>
      <c r="B199" s="15" t="s">
        <v>73</v>
      </c>
      <c r="C199" s="15" t="s">
        <v>85</v>
      </c>
      <c r="D199" s="15" t="s">
        <v>13</v>
      </c>
      <c r="E199" s="15">
        <v>16</v>
      </c>
      <c r="F199" s="15">
        <v>11</v>
      </c>
      <c r="G199" s="15" t="s">
        <v>43</v>
      </c>
      <c r="H199" s="15" t="s">
        <v>46</v>
      </c>
      <c r="I199" s="15" t="s">
        <v>421</v>
      </c>
      <c r="J199" s="15">
        <v>55</v>
      </c>
    </row>
    <row r="200" spans="1:10" x14ac:dyDescent="0.3">
      <c r="A200" s="15" t="s">
        <v>422</v>
      </c>
      <c r="B200" s="15" t="s">
        <v>73</v>
      </c>
      <c r="C200" s="15" t="s">
        <v>96</v>
      </c>
      <c r="D200" s="15" t="s">
        <v>13</v>
      </c>
      <c r="E200" s="15">
        <v>14</v>
      </c>
      <c r="F200" s="15">
        <v>10</v>
      </c>
      <c r="G200" s="15" t="s">
        <v>25</v>
      </c>
      <c r="H200" s="15" t="s">
        <v>15</v>
      </c>
      <c r="I200" s="15" t="s">
        <v>423</v>
      </c>
      <c r="J200" s="15">
        <v>99</v>
      </c>
    </row>
    <row r="201" spans="1:10" x14ac:dyDescent="0.3">
      <c r="A201" s="15" t="s">
        <v>424</v>
      </c>
      <c r="B201" s="15" t="s">
        <v>29</v>
      </c>
      <c r="C201" s="15" t="s">
        <v>36</v>
      </c>
      <c r="D201" s="15" t="s">
        <v>31</v>
      </c>
      <c r="E201" s="15">
        <v>16</v>
      </c>
      <c r="F201" s="15">
        <v>12</v>
      </c>
      <c r="G201" s="15" t="s">
        <v>32</v>
      </c>
      <c r="H201" s="15" t="s">
        <v>37</v>
      </c>
      <c r="I201" s="15" t="s">
        <v>180</v>
      </c>
      <c r="J201" s="15">
        <v>89</v>
      </c>
    </row>
    <row r="202" spans="1:10" x14ac:dyDescent="0.3">
      <c r="A202" s="15" t="s">
        <v>425</v>
      </c>
      <c r="B202" s="15" t="s">
        <v>73</v>
      </c>
      <c r="C202" s="15" t="s">
        <v>30</v>
      </c>
      <c r="D202" s="15" t="s">
        <v>31</v>
      </c>
      <c r="E202" s="15">
        <v>15</v>
      </c>
      <c r="F202" s="15">
        <v>9</v>
      </c>
      <c r="G202" s="15" t="s">
        <v>14</v>
      </c>
      <c r="H202" s="15" t="s">
        <v>76</v>
      </c>
      <c r="I202" s="15" t="s">
        <v>149</v>
      </c>
      <c r="J202" s="15">
        <v>54</v>
      </c>
    </row>
    <row r="203" spans="1:10" x14ac:dyDescent="0.3">
      <c r="A203" s="15" t="s">
        <v>426</v>
      </c>
      <c r="B203" s="15" t="s">
        <v>54</v>
      </c>
      <c r="C203" s="15" t="s">
        <v>96</v>
      </c>
      <c r="D203" s="15" t="s">
        <v>31</v>
      </c>
      <c r="E203" s="15">
        <v>16</v>
      </c>
      <c r="F203" s="15">
        <v>12</v>
      </c>
      <c r="G203" s="15" t="s">
        <v>25</v>
      </c>
      <c r="H203" s="15" t="s">
        <v>20</v>
      </c>
      <c r="I203" s="15" t="s">
        <v>427</v>
      </c>
      <c r="J203" s="15">
        <v>82</v>
      </c>
    </row>
    <row r="204" spans="1:10" x14ac:dyDescent="0.3">
      <c r="A204" s="15" t="s">
        <v>428</v>
      </c>
      <c r="B204" s="15" t="s">
        <v>54</v>
      </c>
      <c r="C204" s="15" t="s">
        <v>55</v>
      </c>
      <c r="D204" s="15" t="s">
        <v>13</v>
      </c>
      <c r="E204" s="15">
        <v>16</v>
      </c>
      <c r="F204" s="15">
        <v>11</v>
      </c>
      <c r="G204" s="15" t="s">
        <v>25</v>
      </c>
      <c r="H204" s="15" t="s">
        <v>15</v>
      </c>
      <c r="I204" s="15" t="s">
        <v>429</v>
      </c>
      <c r="J204" s="15">
        <v>86</v>
      </c>
    </row>
    <row r="205" spans="1:10" x14ac:dyDescent="0.3">
      <c r="A205" s="15" t="s">
        <v>430</v>
      </c>
      <c r="B205" s="15" t="s">
        <v>54</v>
      </c>
      <c r="C205" s="15" t="s">
        <v>30</v>
      </c>
      <c r="D205" s="15" t="s">
        <v>13</v>
      </c>
      <c r="E205" s="15">
        <v>18</v>
      </c>
      <c r="F205" s="15">
        <v>11</v>
      </c>
      <c r="G205" s="15" t="s">
        <v>25</v>
      </c>
      <c r="H205" s="15" t="s">
        <v>26</v>
      </c>
      <c r="I205" s="15" t="s">
        <v>431</v>
      </c>
      <c r="J205" s="15">
        <v>91</v>
      </c>
    </row>
    <row r="206" spans="1:10" x14ac:dyDescent="0.3">
      <c r="A206" s="15" t="s">
        <v>432</v>
      </c>
      <c r="B206" s="15" t="s">
        <v>51</v>
      </c>
      <c r="C206" s="15" t="s">
        <v>24</v>
      </c>
      <c r="D206" s="15" t="s">
        <v>31</v>
      </c>
      <c r="E206" s="15">
        <v>17</v>
      </c>
      <c r="F206" s="15">
        <v>11</v>
      </c>
      <c r="G206" s="15" t="s">
        <v>43</v>
      </c>
      <c r="H206" s="15" t="s">
        <v>15</v>
      </c>
      <c r="I206" s="15" t="s">
        <v>400</v>
      </c>
      <c r="J206" s="15">
        <v>53</v>
      </c>
    </row>
    <row r="207" spans="1:10" x14ac:dyDescent="0.3">
      <c r="A207" s="15" t="s">
        <v>433</v>
      </c>
      <c r="B207" s="15" t="s">
        <v>84</v>
      </c>
      <c r="C207" s="15" t="s">
        <v>36</v>
      </c>
      <c r="D207" s="15" t="s">
        <v>13</v>
      </c>
      <c r="E207" s="15">
        <v>14</v>
      </c>
      <c r="F207" s="15">
        <v>9</v>
      </c>
      <c r="G207" s="15" t="s">
        <v>32</v>
      </c>
      <c r="H207" s="15" t="s">
        <v>15</v>
      </c>
      <c r="I207" s="15" t="s">
        <v>434</v>
      </c>
      <c r="J207" s="15">
        <v>47</v>
      </c>
    </row>
    <row r="208" spans="1:10" x14ac:dyDescent="0.3">
      <c r="A208" s="15" t="s">
        <v>435</v>
      </c>
      <c r="B208" s="15" t="s">
        <v>29</v>
      </c>
      <c r="C208" s="15" t="s">
        <v>30</v>
      </c>
      <c r="D208" s="15" t="s">
        <v>31</v>
      </c>
      <c r="E208" s="15">
        <v>20</v>
      </c>
      <c r="F208" s="15">
        <v>12</v>
      </c>
      <c r="G208" s="15" t="s">
        <v>43</v>
      </c>
      <c r="H208" s="15" t="s">
        <v>26</v>
      </c>
      <c r="I208" s="15" t="s">
        <v>436</v>
      </c>
      <c r="J208" s="15">
        <v>36</v>
      </c>
    </row>
    <row r="209" spans="1:10" x14ac:dyDescent="0.3">
      <c r="A209" s="15" t="s">
        <v>437</v>
      </c>
      <c r="B209" s="15" t="s">
        <v>73</v>
      </c>
      <c r="C209" s="15" t="s">
        <v>30</v>
      </c>
      <c r="D209" s="15" t="s">
        <v>13</v>
      </c>
      <c r="E209" s="15">
        <v>14</v>
      </c>
      <c r="F209" s="15">
        <v>11</v>
      </c>
      <c r="G209" s="15" t="s">
        <v>32</v>
      </c>
      <c r="H209" s="15" t="s">
        <v>76</v>
      </c>
      <c r="I209" s="15" t="s">
        <v>438</v>
      </c>
      <c r="J209" s="15">
        <v>62</v>
      </c>
    </row>
    <row r="210" spans="1:10" x14ac:dyDescent="0.3">
      <c r="A210" s="15" t="s">
        <v>439</v>
      </c>
      <c r="B210" s="15" t="s">
        <v>11</v>
      </c>
      <c r="C210" s="15" t="s">
        <v>12</v>
      </c>
      <c r="D210" s="15" t="s">
        <v>13</v>
      </c>
      <c r="E210" s="15">
        <v>15</v>
      </c>
      <c r="F210" s="15">
        <v>9</v>
      </c>
      <c r="G210" s="15" t="s">
        <v>25</v>
      </c>
      <c r="H210" s="15" t="s">
        <v>15</v>
      </c>
      <c r="I210" s="15" t="s">
        <v>440</v>
      </c>
      <c r="J210" s="15">
        <v>90</v>
      </c>
    </row>
    <row r="211" spans="1:10" x14ac:dyDescent="0.3">
      <c r="A211" s="15" t="s">
        <v>441</v>
      </c>
      <c r="B211" s="15" t="s">
        <v>35</v>
      </c>
      <c r="C211" s="15" t="s">
        <v>12</v>
      </c>
      <c r="D211" s="15" t="s">
        <v>13</v>
      </c>
      <c r="E211" s="15">
        <v>17</v>
      </c>
      <c r="F211" s="15">
        <v>10</v>
      </c>
      <c r="G211" s="15" t="s">
        <v>32</v>
      </c>
      <c r="H211" s="15" t="s">
        <v>15</v>
      </c>
      <c r="I211" s="15" t="s">
        <v>442</v>
      </c>
      <c r="J211" s="15">
        <v>91</v>
      </c>
    </row>
    <row r="212" spans="1:10" x14ac:dyDescent="0.3">
      <c r="A212" s="15" t="s">
        <v>443</v>
      </c>
      <c r="B212" s="15" t="s">
        <v>18</v>
      </c>
      <c r="C212" s="15" t="s">
        <v>96</v>
      </c>
      <c r="D212" s="15" t="s">
        <v>13</v>
      </c>
      <c r="E212" s="15">
        <v>17</v>
      </c>
      <c r="F212" s="15">
        <v>9</v>
      </c>
      <c r="G212" s="15" t="s">
        <v>43</v>
      </c>
      <c r="H212" s="15" t="s">
        <v>37</v>
      </c>
      <c r="I212" s="15" t="s">
        <v>444</v>
      </c>
      <c r="J212" s="15">
        <v>60</v>
      </c>
    </row>
    <row r="213" spans="1:10" x14ac:dyDescent="0.3">
      <c r="A213" s="15" t="s">
        <v>445</v>
      </c>
      <c r="B213" s="15" t="s">
        <v>54</v>
      </c>
      <c r="C213" s="15" t="s">
        <v>96</v>
      </c>
      <c r="D213" s="15" t="s">
        <v>13</v>
      </c>
      <c r="E213" s="15">
        <v>20</v>
      </c>
      <c r="F213" s="15">
        <v>10</v>
      </c>
      <c r="G213" s="15" t="s">
        <v>32</v>
      </c>
      <c r="H213" s="15" t="s">
        <v>46</v>
      </c>
      <c r="I213" s="15" t="s">
        <v>182</v>
      </c>
      <c r="J213" s="15">
        <v>85</v>
      </c>
    </row>
    <row r="214" spans="1:10" x14ac:dyDescent="0.3">
      <c r="A214" s="15" t="s">
        <v>446</v>
      </c>
      <c r="B214" s="15" t="s">
        <v>73</v>
      </c>
      <c r="C214" s="15" t="s">
        <v>24</v>
      </c>
      <c r="D214" s="15" t="s">
        <v>13</v>
      </c>
      <c r="E214" s="15">
        <v>17</v>
      </c>
      <c r="F214" s="15">
        <v>10</v>
      </c>
      <c r="G214" s="15" t="s">
        <v>14</v>
      </c>
      <c r="H214" s="15" t="s">
        <v>20</v>
      </c>
      <c r="I214" s="15" t="s">
        <v>447</v>
      </c>
      <c r="J214" s="15">
        <v>58</v>
      </c>
    </row>
    <row r="215" spans="1:10" x14ac:dyDescent="0.3">
      <c r="A215" s="15" t="s">
        <v>448</v>
      </c>
      <c r="B215" s="15" t="s">
        <v>73</v>
      </c>
      <c r="C215" s="15" t="s">
        <v>36</v>
      </c>
      <c r="D215" s="15" t="s">
        <v>31</v>
      </c>
      <c r="E215" s="15">
        <v>19</v>
      </c>
      <c r="F215" s="15">
        <v>12</v>
      </c>
      <c r="G215" s="15" t="s">
        <v>14</v>
      </c>
      <c r="H215" s="15" t="s">
        <v>37</v>
      </c>
      <c r="I215" s="15" t="s">
        <v>449</v>
      </c>
      <c r="J215" s="15">
        <v>65</v>
      </c>
    </row>
    <row r="216" spans="1:10" x14ac:dyDescent="0.3">
      <c r="A216" s="15" t="s">
        <v>450</v>
      </c>
      <c r="B216" s="15" t="s">
        <v>54</v>
      </c>
      <c r="C216" s="15" t="s">
        <v>55</v>
      </c>
      <c r="D216" s="15" t="s">
        <v>31</v>
      </c>
      <c r="E216" s="15">
        <v>19</v>
      </c>
      <c r="F216" s="15">
        <v>12</v>
      </c>
      <c r="G216" s="15" t="s">
        <v>43</v>
      </c>
      <c r="H216" s="15" t="s">
        <v>20</v>
      </c>
      <c r="I216" s="15" t="s">
        <v>451</v>
      </c>
      <c r="J216" s="15">
        <v>58</v>
      </c>
    </row>
    <row r="217" spans="1:10" x14ac:dyDescent="0.3">
      <c r="A217" s="15" t="s">
        <v>452</v>
      </c>
      <c r="B217" s="15" t="s">
        <v>51</v>
      </c>
      <c r="C217" s="15" t="s">
        <v>12</v>
      </c>
      <c r="D217" s="15" t="s">
        <v>13</v>
      </c>
      <c r="E217" s="15">
        <v>18</v>
      </c>
      <c r="F217" s="15">
        <v>9</v>
      </c>
      <c r="G217" s="15" t="s">
        <v>32</v>
      </c>
      <c r="H217" s="15" t="s">
        <v>76</v>
      </c>
      <c r="I217" s="15" t="s">
        <v>453</v>
      </c>
      <c r="J217" s="15">
        <v>35</v>
      </c>
    </row>
    <row r="218" spans="1:10" x14ac:dyDescent="0.3">
      <c r="A218" s="15" t="s">
        <v>454</v>
      </c>
      <c r="B218" s="15" t="s">
        <v>29</v>
      </c>
      <c r="C218" s="15" t="s">
        <v>12</v>
      </c>
      <c r="D218" s="15" t="s">
        <v>31</v>
      </c>
      <c r="E218" s="15">
        <v>16</v>
      </c>
      <c r="F218" s="15">
        <v>11</v>
      </c>
      <c r="G218" s="15" t="s">
        <v>43</v>
      </c>
      <c r="H218" s="15" t="s">
        <v>61</v>
      </c>
      <c r="I218" s="15" t="s">
        <v>385</v>
      </c>
      <c r="J218" s="15">
        <v>40</v>
      </c>
    </row>
    <row r="219" spans="1:10" x14ac:dyDescent="0.3">
      <c r="A219" s="15" t="s">
        <v>455</v>
      </c>
      <c r="B219" s="15" t="s">
        <v>29</v>
      </c>
      <c r="C219" s="15" t="s">
        <v>30</v>
      </c>
      <c r="D219" s="15" t="s">
        <v>13</v>
      </c>
      <c r="E219" s="15">
        <v>16</v>
      </c>
      <c r="F219" s="15">
        <v>9</v>
      </c>
      <c r="G219" s="15" t="s">
        <v>14</v>
      </c>
      <c r="H219" s="15" t="s">
        <v>61</v>
      </c>
      <c r="I219" s="15" t="s">
        <v>447</v>
      </c>
      <c r="J219" s="15">
        <v>60</v>
      </c>
    </row>
    <row r="220" spans="1:10" x14ac:dyDescent="0.3">
      <c r="A220" s="15" t="s">
        <v>456</v>
      </c>
      <c r="B220" s="15" t="s">
        <v>11</v>
      </c>
      <c r="C220" s="15" t="s">
        <v>55</v>
      </c>
      <c r="D220" s="15" t="s">
        <v>13</v>
      </c>
      <c r="E220" s="15">
        <v>15</v>
      </c>
      <c r="F220" s="15">
        <v>9</v>
      </c>
      <c r="G220" s="15" t="s">
        <v>32</v>
      </c>
      <c r="H220" s="15" t="s">
        <v>61</v>
      </c>
      <c r="I220" s="15" t="s">
        <v>457</v>
      </c>
      <c r="J220" s="15">
        <v>97</v>
      </c>
    </row>
    <row r="221" spans="1:10" x14ac:dyDescent="0.3">
      <c r="A221" s="15" t="s">
        <v>458</v>
      </c>
      <c r="B221" s="15" t="s">
        <v>11</v>
      </c>
      <c r="C221" s="15" t="s">
        <v>55</v>
      </c>
      <c r="D221" s="15" t="s">
        <v>13</v>
      </c>
      <c r="E221" s="15">
        <v>19</v>
      </c>
      <c r="F221" s="15">
        <v>11</v>
      </c>
      <c r="G221" s="15" t="s">
        <v>14</v>
      </c>
      <c r="H221" s="15" t="s">
        <v>46</v>
      </c>
      <c r="I221" s="15" t="s">
        <v>459</v>
      </c>
      <c r="J221" s="15">
        <v>81</v>
      </c>
    </row>
    <row r="222" spans="1:10" x14ac:dyDescent="0.3">
      <c r="A222" s="15" t="s">
        <v>460</v>
      </c>
      <c r="B222" s="15" t="s">
        <v>51</v>
      </c>
      <c r="C222" s="15" t="s">
        <v>96</v>
      </c>
      <c r="D222" s="15" t="s">
        <v>31</v>
      </c>
      <c r="E222" s="15">
        <v>16</v>
      </c>
      <c r="F222" s="15">
        <v>12</v>
      </c>
      <c r="G222" s="15" t="s">
        <v>43</v>
      </c>
      <c r="H222" s="15" t="s">
        <v>15</v>
      </c>
      <c r="I222" s="15" t="s">
        <v>461</v>
      </c>
      <c r="J222" s="15">
        <v>65</v>
      </c>
    </row>
    <row r="223" spans="1:10" x14ac:dyDescent="0.3">
      <c r="A223" s="15" t="s">
        <v>462</v>
      </c>
      <c r="B223" s="15" t="s">
        <v>11</v>
      </c>
      <c r="C223" s="15" t="s">
        <v>24</v>
      </c>
      <c r="D223" s="15" t="s">
        <v>31</v>
      </c>
      <c r="E223" s="15">
        <v>19</v>
      </c>
      <c r="F223" s="15">
        <v>12</v>
      </c>
      <c r="G223" s="15" t="s">
        <v>43</v>
      </c>
      <c r="H223" s="15" t="s">
        <v>37</v>
      </c>
      <c r="I223" s="15" t="s">
        <v>463</v>
      </c>
      <c r="J223" s="15">
        <v>45</v>
      </c>
    </row>
    <row r="224" spans="1:10" x14ac:dyDescent="0.3">
      <c r="A224" s="15" t="s">
        <v>464</v>
      </c>
      <c r="B224" s="15" t="s">
        <v>11</v>
      </c>
      <c r="C224" s="15" t="s">
        <v>36</v>
      </c>
      <c r="D224" s="15" t="s">
        <v>13</v>
      </c>
      <c r="E224" s="15">
        <v>16</v>
      </c>
      <c r="F224" s="15">
        <v>11</v>
      </c>
      <c r="G224" s="15" t="s">
        <v>25</v>
      </c>
      <c r="H224" s="15" t="s">
        <v>40</v>
      </c>
      <c r="I224" s="15" t="s">
        <v>465</v>
      </c>
      <c r="J224" s="15">
        <v>79</v>
      </c>
    </row>
    <row r="225" spans="1:10" x14ac:dyDescent="0.3">
      <c r="A225" s="15" t="s">
        <v>466</v>
      </c>
      <c r="B225" s="15" t="s">
        <v>11</v>
      </c>
      <c r="C225" s="15" t="s">
        <v>55</v>
      </c>
      <c r="D225" s="15" t="s">
        <v>31</v>
      </c>
      <c r="E225" s="15">
        <v>20</v>
      </c>
      <c r="F225" s="15">
        <v>11</v>
      </c>
      <c r="G225" s="15" t="s">
        <v>32</v>
      </c>
      <c r="H225" s="15" t="s">
        <v>40</v>
      </c>
      <c r="I225" s="15" t="s">
        <v>467</v>
      </c>
      <c r="J225" s="15">
        <v>46</v>
      </c>
    </row>
    <row r="226" spans="1:10" x14ac:dyDescent="0.3">
      <c r="A226" s="15" t="s">
        <v>468</v>
      </c>
      <c r="B226" s="15" t="s">
        <v>73</v>
      </c>
      <c r="C226" s="15" t="s">
        <v>12</v>
      </c>
      <c r="D226" s="15" t="s">
        <v>13</v>
      </c>
      <c r="E226" s="15">
        <v>17</v>
      </c>
      <c r="F226" s="15">
        <v>10</v>
      </c>
      <c r="G226" s="15" t="s">
        <v>43</v>
      </c>
      <c r="H226" s="15" t="s">
        <v>15</v>
      </c>
      <c r="I226" s="15" t="s">
        <v>469</v>
      </c>
      <c r="J226" s="15">
        <v>75</v>
      </c>
    </row>
    <row r="227" spans="1:10" x14ac:dyDescent="0.3">
      <c r="A227" s="15" t="s">
        <v>470</v>
      </c>
      <c r="B227" s="15" t="s">
        <v>35</v>
      </c>
      <c r="C227" s="15" t="s">
        <v>96</v>
      </c>
      <c r="D227" s="15" t="s">
        <v>31</v>
      </c>
      <c r="E227" s="15">
        <v>16</v>
      </c>
      <c r="F227" s="15">
        <v>11</v>
      </c>
      <c r="G227" s="15" t="s">
        <v>32</v>
      </c>
      <c r="H227" s="15" t="s">
        <v>61</v>
      </c>
      <c r="I227" s="15" t="s">
        <v>471</v>
      </c>
      <c r="J227" s="15">
        <v>65</v>
      </c>
    </row>
    <row r="228" spans="1:10" x14ac:dyDescent="0.3">
      <c r="A228" s="15" t="s">
        <v>472</v>
      </c>
      <c r="B228" s="15" t="s">
        <v>84</v>
      </c>
      <c r="C228" s="15" t="s">
        <v>79</v>
      </c>
      <c r="D228" s="15" t="s">
        <v>31</v>
      </c>
      <c r="E228" s="15">
        <v>15</v>
      </c>
      <c r="F228" s="15">
        <v>11</v>
      </c>
      <c r="G228" s="15" t="s">
        <v>14</v>
      </c>
      <c r="H228" s="15" t="s">
        <v>40</v>
      </c>
      <c r="I228" s="15" t="s">
        <v>317</v>
      </c>
      <c r="J228" s="15">
        <v>72</v>
      </c>
    </row>
    <row r="229" spans="1:10" x14ac:dyDescent="0.3">
      <c r="A229" s="15" t="s">
        <v>473</v>
      </c>
      <c r="B229" s="15" t="s">
        <v>18</v>
      </c>
      <c r="C229" s="15" t="s">
        <v>19</v>
      </c>
      <c r="D229" s="15" t="s">
        <v>31</v>
      </c>
      <c r="E229" s="15">
        <v>16</v>
      </c>
      <c r="F229" s="15">
        <v>11</v>
      </c>
      <c r="G229" s="15" t="s">
        <v>14</v>
      </c>
      <c r="H229" s="15" t="s">
        <v>61</v>
      </c>
      <c r="I229" s="15" t="s">
        <v>474</v>
      </c>
      <c r="J229" s="15">
        <v>75</v>
      </c>
    </row>
    <row r="230" spans="1:10" x14ac:dyDescent="0.3">
      <c r="A230" s="15" t="s">
        <v>475</v>
      </c>
      <c r="B230" s="15" t="s">
        <v>35</v>
      </c>
      <c r="C230" s="15" t="s">
        <v>79</v>
      </c>
      <c r="D230" s="15" t="s">
        <v>13</v>
      </c>
      <c r="E230" s="15">
        <v>17</v>
      </c>
      <c r="F230" s="15">
        <v>9</v>
      </c>
      <c r="G230" s="15" t="s">
        <v>32</v>
      </c>
      <c r="H230" s="15" t="s">
        <v>15</v>
      </c>
      <c r="I230" s="15" t="s">
        <v>248</v>
      </c>
      <c r="J230" s="15">
        <v>50</v>
      </c>
    </row>
    <row r="231" spans="1:10" x14ac:dyDescent="0.3">
      <c r="A231" s="15" t="s">
        <v>476</v>
      </c>
      <c r="B231" s="15" t="s">
        <v>29</v>
      </c>
      <c r="C231" s="15" t="s">
        <v>55</v>
      </c>
      <c r="D231" s="15" t="s">
        <v>13</v>
      </c>
      <c r="E231" s="15">
        <v>19</v>
      </c>
      <c r="F231" s="15">
        <v>10</v>
      </c>
      <c r="G231" s="15" t="s">
        <v>43</v>
      </c>
      <c r="H231" s="15" t="s">
        <v>26</v>
      </c>
      <c r="I231" s="15" t="s">
        <v>477</v>
      </c>
      <c r="J231" s="15">
        <v>88</v>
      </c>
    </row>
    <row r="232" spans="1:10" x14ac:dyDescent="0.3">
      <c r="A232" s="15" t="s">
        <v>478</v>
      </c>
      <c r="B232" s="15" t="s">
        <v>11</v>
      </c>
      <c r="C232" s="15" t="s">
        <v>36</v>
      </c>
      <c r="D232" s="15" t="s">
        <v>13</v>
      </c>
      <c r="E232" s="15">
        <v>17</v>
      </c>
      <c r="F232" s="15">
        <v>12</v>
      </c>
      <c r="G232" s="15" t="s">
        <v>14</v>
      </c>
      <c r="H232" s="15" t="s">
        <v>37</v>
      </c>
      <c r="I232" s="15" t="s">
        <v>479</v>
      </c>
      <c r="J232" s="15">
        <v>63</v>
      </c>
    </row>
    <row r="233" spans="1:10" x14ac:dyDescent="0.3">
      <c r="A233" s="15" t="s">
        <v>480</v>
      </c>
      <c r="B233" s="15" t="s">
        <v>35</v>
      </c>
      <c r="C233" s="15" t="s">
        <v>12</v>
      </c>
      <c r="D233" s="15" t="s">
        <v>31</v>
      </c>
      <c r="E233" s="15">
        <v>18</v>
      </c>
      <c r="F233" s="15">
        <v>10</v>
      </c>
      <c r="G233" s="15" t="s">
        <v>14</v>
      </c>
      <c r="H233" s="15" t="s">
        <v>37</v>
      </c>
      <c r="I233" s="15" t="s">
        <v>481</v>
      </c>
      <c r="J233" s="15">
        <v>36</v>
      </c>
    </row>
    <row r="234" spans="1:10" x14ac:dyDescent="0.3">
      <c r="A234" s="15" t="s">
        <v>482</v>
      </c>
      <c r="B234" s="15" t="s">
        <v>35</v>
      </c>
      <c r="C234" s="15" t="s">
        <v>24</v>
      </c>
      <c r="D234" s="15" t="s">
        <v>13</v>
      </c>
      <c r="E234" s="15">
        <v>18</v>
      </c>
      <c r="F234" s="15">
        <v>11</v>
      </c>
      <c r="G234" s="15" t="s">
        <v>14</v>
      </c>
      <c r="H234" s="15" t="s">
        <v>61</v>
      </c>
      <c r="I234" s="15" t="s">
        <v>483</v>
      </c>
      <c r="J234" s="15">
        <v>86</v>
      </c>
    </row>
    <row r="235" spans="1:10" x14ac:dyDescent="0.3">
      <c r="A235" s="15" t="s">
        <v>484</v>
      </c>
      <c r="B235" s="15" t="s">
        <v>29</v>
      </c>
      <c r="C235" s="15" t="s">
        <v>79</v>
      </c>
      <c r="D235" s="15" t="s">
        <v>31</v>
      </c>
      <c r="E235" s="15">
        <v>14</v>
      </c>
      <c r="F235" s="15">
        <v>11</v>
      </c>
      <c r="G235" s="15" t="s">
        <v>32</v>
      </c>
      <c r="H235" s="15" t="s">
        <v>40</v>
      </c>
      <c r="I235" s="15" t="s">
        <v>184</v>
      </c>
      <c r="J235" s="15">
        <v>42</v>
      </c>
    </row>
    <row r="236" spans="1:10" x14ac:dyDescent="0.3">
      <c r="A236" s="15" t="s">
        <v>485</v>
      </c>
      <c r="B236" s="15" t="s">
        <v>18</v>
      </c>
      <c r="C236" s="15" t="s">
        <v>12</v>
      </c>
      <c r="D236" s="15" t="s">
        <v>31</v>
      </c>
      <c r="E236" s="15">
        <v>16</v>
      </c>
      <c r="F236" s="15">
        <v>12</v>
      </c>
      <c r="G236" s="15" t="s">
        <v>14</v>
      </c>
      <c r="H236" s="15" t="s">
        <v>76</v>
      </c>
      <c r="I236" s="15" t="s">
        <v>486</v>
      </c>
      <c r="J236" s="15">
        <v>70</v>
      </c>
    </row>
    <row r="237" spans="1:10" x14ac:dyDescent="0.3">
      <c r="A237" s="15" t="s">
        <v>487</v>
      </c>
      <c r="B237" s="15" t="s">
        <v>18</v>
      </c>
      <c r="C237" s="15" t="s">
        <v>79</v>
      </c>
      <c r="D237" s="15" t="s">
        <v>13</v>
      </c>
      <c r="E237" s="15">
        <v>16</v>
      </c>
      <c r="F237" s="15">
        <v>11</v>
      </c>
      <c r="G237" s="15" t="s">
        <v>43</v>
      </c>
      <c r="H237" s="15" t="s">
        <v>61</v>
      </c>
      <c r="I237" s="15" t="s">
        <v>488</v>
      </c>
      <c r="J237" s="15">
        <v>86</v>
      </c>
    </row>
    <row r="238" spans="1:10" x14ac:dyDescent="0.3">
      <c r="A238" s="15" t="s">
        <v>489</v>
      </c>
      <c r="B238" s="15" t="s">
        <v>68</v>
      </c>
      <c r="C238" s="15" t="s">
        <v>58</v>
      </c>
      <c r="D238" s="15" t="s">
        <v>31</v>
      </c>
      <c r="E238" s="15">
        <v>20</v>
      </c>
      <c r="F238" s="15">
        <v>10</v>
      </c>
      <c r="G238" s="15" t="s">
        <v>32</v>
      </c>
      <c r="H238" s="15" t="s">
        <v>20</v>
      </c>
      <c r="I238" s="15" t="s">
        <v>370</v>
      </c>
      <c r="J238" s="15">
        <v>93</v>
      </c>
    </row>
    <row r="239" spans="1:10" x14ac:dyDescent="0.3">
      <c r="A239" s="15" t="s">
        <v>490</v>
      </c>
      <c r="B239" s="15" t="s">
        <v>73</v>
      </c>
      <c r="C239" s="15" t="s">
        <v>96</v>
      </c>
      <c r="D239" s="15" t="s">
        <v>13</v>
      </c>
      <c r="E239" s="15">
        <v>17</v>
      </c>
      <c r="F239" s="15">
        <v>10</v>
      </c>
      <c r="G239" s="15" t="s">
        <v>32</v>
      </c>
      <c r="H239" s="15" t="s">
        <v>61</v>
      </c>
      <c r="I239" s="15" t="s">
        <v>491</v>
      </c>
      <c r="J239" s="15">
        <v>60</v>
      </c>
    </row>
    <row r="240" spans="1:10" x14ac:dyDescent="0.3">
      <c r="A240" s="15" t="s">
        <v>492</v>
      </c>
      <c r="B240" s="15" t="s">
        <v>18</v>
      </c>
      <c r="C240" s="15" t="s">
        <v>85</v>
      </c>
      <c r="D240" s="15" t="s">
        <v>31</v>
      </c>
      <c r="E240" s="15">
        <v>19</v>
      </c>
      <c r="F240" s="15">
        <v>11</v>
      </c>
      <c r="G240" s="15" t="s">
        <v>43</v>
      </c>
      <c r="H240" s="15" t="s">
        <v>15</v>
      </c>
      <c r="I240" s="15" t="s">
        <v>394</v>
      </c>
      <c r="J240" s="15">
        <v>50</v>
      </c>
    </row>
    <row r="241" spans="1:10" x14ac:dyDescent="0.3">
      <c r="A241" s="15" t="s">
        <v>493</v>
      </c>
      <c r="B241" s="15" t="s">
        <v>51</v>
      </c>
      <c r="C241" s="15" t="s">
        <v>96</v>
      </c>
      <c r="D241" s="15" t="s">
        <v>31</v>
      </c>
      <c r="E241" s="15">
        <v>14</v>
      </c>
      <c r="F241" s="15">
        <v>12</v>
      </c>
      <c r="G241" s="15" t="s">
        <v>14</v>
      </c>
      <c r="H241" s="15" t="s">
        <v>26</v>
      </c>
      <c r="I241" s="15" t="s">
        <v>494</v>
      </c>
      <c r="J241" s="15">
        <v>47</v>
      </c>
    </row>
    <row r="242" spans="1:10" x14ac:dyDescent="0.3">
      <c r="A242" s="15" t="s">
        <v>495</v>
      </c>
      <c r="B242" s="15" t="s">
        <v>35</v>
      </c>
      <c r="C242" s="15" t="s">
        <v>12</v>
      </c>
      <c r="D242" s="15" t="s">
        <v>13</v>
      </c>
      <c r="E242" s="15">
        <v>15</v>
      </c>
      <c r="F242" s="15">
        <v>12</v>
      </c>
      <c r="G242" s="15" t="s">
        <v>43</v>
      </c>
      <c r="H242" s="15" t="s">
        <v>20</v>
      </c>
      <c r="I242" s="15" t="s">
        <v>496</v>
      </c>
      <c r="J242" s="15">
        <v>49</v>
      </c>
    </row>
    <row r="243" spans="1:10" x14ac:dyDescent="0.3">
      <c r="A243" s="15" t="s">
        <v>497</v>
      </c>
      <c r="B243" s="15" t="s">
        <v>51</v>
      </c>
      <c r="C243" s="15" t="s">
        <v>96</v>
      </c>
      <c r="D243" s="15" t="s">
        <v>13</v>
      </c>
      <c r="E243" s="15">
        <v>16</v>
      </c>
      <c r="F243" s="15">
        <v>9</v>
      </c>
      <c r="G243" s="15" t="s">
        <v>25</v>
      </c>
      <c r="H243" s="15" t="s">
        <v>26</v>
      </c>
      <c r="I243" s="15" t="s">
        <v>498</v>
      </c>
      <c r="J243" s="15">
        <v>42</v>
      </c>
    </row>
    <row r="244" spans="1:10" x14ac:dyDescent="0.3">
      <c r="A244" s="15" t="s">
        <v>499</v>
      </c>
      <c r="B244" s="15" t="s">
        <v>54</v>
      </c>
      <c r="C244" s="15" t="s">
        <v>19</v>
      </c>
      <c r="D244" s="15" t="s">
        <v>31</v>
      </c>
      <c r="E244" s="15">
        <v>20</v>
      </c>
      <c r="F244" s="15">
        <v>9</v>
      </c>
      <c r="G244" s="15" t="s">
        <v>32</v>
      </c>
      <c r="H244" s="15" t="s">
        <v>46</v>
      </c>
      <c r="I244" s="15" t="s">
        <v>500</v>
      </c>
      <c r="J244" s="15">
        <v>42</v>
      </c>
    </row>
    <row r="245" spans="1:10" x14ac:dyDescent="0.3">
      <c r="A245" s="15" t="s">
        <v>501</v>
      </c>
      <c r="B245" s="15" t="s">
        <v>84</v>
      </c>
      <c r="C245" s="15" t="s">
        <v>19</v>
      </c>
      <c r="D245" s="15" t="s">
        <v>13</v>
      </c>
      <c r="E245" s="15">
        <v>18</v>
      </c>
      <c r="F245" s="15">
        <v>10</v>
      </c>
      <c r="G245" s="15" t="s">
        <v>14</v>
      </c>
      <c r="H245" s="15" t="s">
        <v>61</v>
      </c>
      <c r="I245" s="15" t="s">
        <v>502</v>
      </c>
      <c r="J245" s="15">
        <v>76</v>
      </c>
    </row>
    <row r="246" spans="1:10" x14ac:dyDescent="0.3">
      <c r="A246" s="15" t="s">
        <v>503</v>
      </c>
      <c r="B246" s="15" t="s">
        <v>84</v>
      </c>
      <c r="C246" s="15" t="s">
        <v>19</v>
      </c>
      <c r="D246" s="15" t="s">
        <v>31</v>
      </c>
      <c r="E246" s="15">
        <v>15</v>
      </c>
      <c r="F246" s="15">
        <v>10</v>
      </c>
      <c r="G246" s="15" t="s">
        <v>43</v>
      </c>
      <c r="H246" s="15" t="s">
        <v>61</v>
      </c>
      <c r="I246" s="15" t="s">
        <v>504</v>
      </c>
      <c r="J246" s="15">
        <v>44</v>
      </c>
    </row>
    <row r="247" spans="1:10" x14ac:dyDescent="0.3">
      <c r="A247" s="15" t="s">
        <v>505</v>
      </c>
      <c r="B247" s="15" t="s">
        <v>11</v>
      </c>
      <c r="C247" s="15" t="s">
        <v>12</v>
      </c>
      <c r="D247" s="15" t="s">
        <v>31</v>
      </c>
      <c r="E247" s="15">
        <v>19</v>
      </c>
      <c r="F247" s="15">
        <v>10</v>
      </c>
      <c r="G247" s="15" t="s">
        <v>14</v>
      </c>
      <c r="H247" s="15" t="s">
        <v>40</v>
      </c>
      <c r="I247" s="15" t="s">
        <v>506</v>
      </c>
      <c r="J247" s="15">
        <v>77</v>
      </c>
    </row>
    <row r="248" spans="1:10" x14ac:dyDescent="0.3">
      <c r="A248" s="15" t="s">
        <v>507</v>
      </c>
      <c r="B248" s="15" t="s">
        <v>54</v>
      </c>
      <c r="C248" s="15" t="s">
        <v>12</v>
      </c>
      <c r="D248" s="15" t="s">
        <v>31</v>
      </c>
      <c r="E248" s="15">
        <v>16</v>
      </c>
      <c r="F248" s="15">
        <v>12</v>
      </c>
      <c r="G248" s="15" t="s">
        <v>43</v>
      </c>
      <c r="H248" s="15" t="s">
        <v>61</v>
      </c>
      <c r="I248" s="15" t="s">
        <v>483</v>
      </c>
      <c r="J248" s="15">
        <v>45</v>
      </c>
    </row>
    <row r="249" spans="1:10" x14ac:dyDescent="0.3">
      <c r="A249" s="15" t="s">
        <v>508</v>
      </c>
      <c r="B249" s="15" t="s">
        <v>73</v>
      </c>
      <c r="C249" s="15" t="s">
        <v>55</v>
      </c>
      <c r="D249" s="15" t="s">
        <v>13</v>
      </c>
      <c r="E249" s="15">
        <v>15</v>
      </c>
      <c r="F249" s="15">
        <v>11</v>
      </c>
      <c r="G249" s="15" t="s">
        <v>43</v>
      </c>
      <c r="H249" s="15" t="s">
        <v>46</v>
      </c>
      <c r="I249" s="15" t="s">
        <v>509</v>
      </c>
      <c r="J249" s="15">
        <v>54</v>
      </c>
    </row>
    <row r="250" spans="1:10" x14ac:dyDescent="0.3">
      <c r="A250" s="15" t="s">
        <v>510</v>
      </c>
      <c r="B250" s="15" t="s">
        <v>54</v>
      </c>
      <c r="C250" s="15" t="s">
        <v>79</v>
      </c>
      <c r="D250" s="15" t="s">
        <v>31</v>
      </c>
      <c r="E250" s="15">
        <v>15</v>
      </c>
      <c r="F250" s="15">
        <v>9</v>
      </c>
      <c r="G250" s="15" t="s">
        <v>14</v>
      </c>
      <c r="H250" s="15" t="s">
        <v>40</v>
      </c>
      <c r="I250" s="15" t="s">
        <v>479</v>
      </c>
      <c r="J250" s="15">
        <v>66</v>
      </c>
    </row>
    <row r="251" spans="1:10" x14ac:dyDescent="0.3">
      <c r="A251" s="15" t="s">
        <v>511</v>
      </c>
      <c r="B251" s="15" t="s">
        <v>35</v>
      </c>
      <c r="C251" s="15" t="s">
        <v>19</v>
      </c>
      <c r="D251" s="15" t="s">
        <v>31</v>
      </c>
      <c r="E251" s="15">
        <v>15</v>
      </c>
      <c r="F251" s="15">
        <v>9</v>
      </c>
      <c r="G251" s="15" t="s">
        <v>25</v>
      </c>
      <c r="H251" s="15" t="s">
        <v>15</v>
      </c>
      <c r="I251" s="15" t="s">
        <v>512</v>
      </c>
      <c r="J251" s="15">
        <v>95</v>
      </c>
    </row>
    <row r="252" spans="1:10" x14ac:dyDescent="0.3">
      <c r="A252" s="15" t="s">
        <v>513</v>
      </c>
      <c r="B252" s="15" t="s">
        <v>11</v>
      </c>
      <c r="C252" s="15" t="s">
        <v>19</v>
      </c>
      <c r="D252" s="15" t="s">
        <v>31</v>
      </c>
      <c r="E252" s="15">
        <v>14</v>
      </c>
      <c r="F252" s="15">
        <v>12</v>
      </c>
      <c r="G252" s="15" t="s">
        <v>32</v>
      </c>
      <c r="H252" s="15" t="s">
        <v>15</v>
      </c>
      <c r="I252" s="15" t="s">
        <v>381</v>
      </c>
      <c r="J252" s="15">
        <v>65</v>
      </c>
    </row>
    <row r="253" spans="1:10" x14ac:dyDescent="0.3">
      <c r="A253" s="15" t="s">
        <v>514</v>
      </c>
      <c r="B253" s="15" t="s">
        <v>11</v>
      </c>
      <c r="C253" s="15" t="s">
        <v>12</v>
      </c>
      <c r="D253" s="15" t="s">
        <v>31</v>
      </c>
      <c r="E253" s="15">
        <v>15</v>
      </c>
      <c r="F253" s="15">
        <v>11</v>
      </c>
      <c r="G253" s="15" t="s">
        <v>25</v>
      </c>
      <c r="H253" s="15" t="s">
        <v>20</v>
      </c>
      <c r="I253" s="15" t="s">
        <v>515</v>
      </c>
      <c r="J253" s="15">
        <v>61</v>
      </c>
    </row>
    <row r="254" spans="1:10" x14ac:dyDescent="0.3">
      <c r="A254" s="15" t="s">
        <v>516</v>
      </c>
      <c r="B254" s="15" t="s">
        <v>18</v>
      </c>
      <c r="C254" s="15" t="s">
        <v>96</v>
      </c>
      <c r="D254" s="15" t="s">
        <v>31</v>
      </c>
      <c r="E254" s="15">
        <v>14</v>
      </c>
      <c r="F254" s="15">
        <v>11</v>
      </c>
      <c r="G254" s="15" t="s">
        <v>32</v>
      </c>
      <c r="H254" s="15" t="s">
        <v>46</v>
      </c>
      <c r="I254" s="15" t="s">
        <v>517</v>
      </c>
      <c r="J254" s="15">
        <v>86</v>
      </c>
    </row>
    <row r="255" spans="1:10" x14ac:dyDescent="0.3">
      <c r="A255" s="15" t="s">
        <v>518</v>
      </c>
      <c r="B255" s="15" t="s">
        <v>51</v>
      </c>
      <c r="C255" s="15" t="s">
        <v>96</v>
      </c>
      <c r="D255" s="15" t="s">
        <v>31</v>
      </c>
      <c r="E255" s="15">
        <v>17</v>
      </c>
      <c r="F255" s="15">
        <v>11</v>
      </c>
      <c r="G255" s="15" t="s">
        <v>25</v>
      </c>
      <c r="H255" s="15" t="s">
        <v>61</v>
      </c>
      <c r="I255" s="15" t="s">
        <v>519</v>
      </c>
      <c r="J255" s="15">
        <v>52</v>
      </c>
    </row>
    <row r="256" spans="1:10" x14ac:dyDescent="0.3">
      <c r="A256" s="15" t="s">
        <v>520</v>
      </c>
      <c r="B256" s="15" t="s">
        <v>68</v>
      </c>
      <c r="C256" s="15" t="s">
        <v>12</v>
      </c>
      <c r="D256" s="15" t="s">
        <v>31</v>
      </c>
      <c r="E256" s="15">
        <v>20</v>
      </c>
      <c r="F256" s="15">
        <v>10</v>
      </c>
      <c r="G256" s="15" t="s">
        <v>32</v>
      </c>
      <c r="H256" s="15" t="s">
        <v>26</v>
      </c>
      <c r="I256" s="15" t="s">
        <v>521</v>
      </c>
      <c r="J256" s="15">
        <v>42</v>
      </c>
    </row>
    <row r="257" spans="1:10" x14ac:dyDescent="0.3">
      <c r="A257" s="15" t="s">
        <v>522</v>
      </c>
      <c r="B257" s="15" t="s">
        <v>54</v>
      </c>
      <c r="C257" s="15" t="s">
        <v>79</v>
      </c>
      <c r="D257" s="15" t="s">
        <v>31</v>
      </c>
      <c r="E257" s="15">
        <v>18</v>
      </c>
      <c r="F257" s="15">
        <v>10</v>
      </c>
      <c r="G257" s="15" t="s">
        <v>14</v>
      </c>
      <c r="H257" s="15" t="s">
        <v>61</v>
      </c>
      <c r="I257" s="15" t="s">
        <v>523</v>
      </c>
      <c r="J257" s="15">
        <v>82</v>
      </c>
    </row>
    <row r="258" spans="1:10" x14ac:dyDescent="0.3">
      <c r="A258" s="15" t="s">
        <v>524</v>
      </c>
      <c r="B258" s="15" t="s">
        <v>35</v>
      </c>
      <c r="C258" s="15" t="s">
        <v>85</v>
      </c>
      <c r="D258" s="15" t="s">
        <v>13</v>
      </c>
      <c r="E258" s="15">
        <v>20</v>
      </c>
      <c r="F258" s="15">
        <v>10</v>
      </c>
      <c r="G258" s="15" t="s">
        <v>14</v>
      </c>
      <c r="H258" s="15" t="s">
        <v>40</v>
      </c>
      <c r="I258" s="15" t="s">
        <v>525</v>
      </c>
      <c r="J258" s="15">
        <v>92</v>
      </c>
    </row>
    <row r="259" spans="1:10" x14ac:dyDescent="0.3">
      <c r="A259" s="15" t="s">
        <v>526</v>
      </c>
      <c r="B259" s="15" t="s">
        <v>18</v>
      </c>
      <c r="C259" s="15" t="s">
        <v>12</v>
      </c>
      <c r="D259" s="15" t="s">
        <v>31</v>
      </c>
      <c r="E259" s="15">
        <v>18</v>
      </c>
      <c r="F259" s="15">
        <v>9</v>
      </c>
      <c r="G259" s="15" t="s">
        <v>14</v>
      </c>
      <c r="H259" s="15" t="s">
        <v>15</v>
      </c>
      <c r="I259" s="15" t="s">
        <v>346</v>
      </c>
      <c r="J259" s="15">
        <v>59</v>
      </c>
    </row>
    <row r="260" spans="1:10" x14ac:dyDescent="0.3">
      <c r="A260" s="15" t="s">
        <v>527</v>
      </c>
      <c r="B260" s="15" t="s">
        <v>11</v>
      </c>
      <c r="C260" s="15" t="s">
        <v>85</v>
      </c>
      <c r="D260" s="15" t="s">
        <v>13</v>
      </c>
      <c r="E260" s="15">
        <v>20</v>
      </c>
      <c r="F260" s="15">
        <v>12</v>
      </c>
      <c r="G260" s="15" t="s">
        <v>25</v>
      </c>
      <c r="H260" s="15" t="s">
        <v>46</v>
      </c>
      <c r="I260" s="15" t="s">
        <v>451</v>
      </c>
      <c r="J260" s="15">
        <v>86</v>
      </c>
    </row>
    <row r="261" spans="1:10" x14ac:dyDescent="0.3">
      <c r="A261" s="15" t="s">
        <v>528</v>
      </c>
      <c r="B261" s="15" t="s">
        <v>51</v>
      </c>
      <c r="C261" s="15" t="s">
        <v>19</v>
      </c>
      <c r="D261" s="15" t="s">
        <v>13</v>
      </c>
      <c r="E261" s="15">
        <v>19</v>
      </c>
      <c r="F261" s="15">
        <v>9</v>
      </c>
      <c r="G261" s="15" t="s">
        <v>43</v>
      </c>
      <c r="H261" s="15" t="s">
        <v>46</v>
      </c>
      <c r="I261" s="15" t="s">
        <v>222</v>
      </c>
      <c r="J261" s="15">
        <v>46</v>
      </c>
    </row>
    <row r="262" spans="1:10" x14ac:dyDescent="0.3">
      <c r="A262" s="15" t="s">
        <v>529</v>
      </c>
      <c r="B262" s="15" t="s">
        <v>84</v>
      </c>
      <c r="C262" s="15" t="s">
        <v>24</v>
      </c>
      <c r="D262" s="15" t="s">
        <v>31</v>
      </c>
      <c r="E262" s="15">
        <v>20</v>
      </c>
      <c r="F262" s="15">
        <v>12</v>
      </c>
      <c r="G262" s="15" t="s">
        <v>25</v>
      </c>
      <c r="H262" s="15" t="s">
        <v>76</v>
      </c>
      <c r="I262" s="15" t="s">
        <v>186</v>
      </c>
      <c r="J262" s="15">
        <v>51</v>
      </c>
    </row>
    <row r="263" spans="1:10" x14ac:dyDescent="0.3">
      <c r="A263" s="15" t="s">
        <v>530</v>
      </c>
      <c r="B263" s="15" t="s">
        <v>54</v>
      </c>
      <c r="C263" s="15" t="s">
        <v>58</v>
      </c>
      <c r="D263" s="15" t="s">
        <v>13</v>
      </c>
      <c r="E263" s="15">
        <v>17</v>
      </c>
      <c r="F263" s="15">
        <v>10</v>
      </c>
      <c r="G263" s="15" t="s">
        <v>32</v>
      </c>
      <c r="H263" s="15" t="s">
        <v>15</v>
      </c>
      <c r="I263" s="15" t="s">
        <v>64</v>
      </c>
      <c r="J263" s="15">
        <v>46</v>
      </c>
    </row>
    <row r="264" spans="1:10" x14ac:dyDescent="0.3">
      <c r="A264" s="15" t="s">
        <v>531</v>
      </c>
      <c r="B264" s="15" t="s">
        <v>23</v>
      </c>
      <c r="C264" s="15" t="s">
        <v>36</v>
      </c>
      <c r="D264" s="15" t="s">
        <v>13</v>
      </c>
      <c r="E264" s="15">
        <v>20</v>
      </c>
      <c r="F264" s="15">
        <v>11</v>
      </c>
      <c r="G264" s="15" t="s">
        <v>43</v>
      </c>
      <c r="H264" s="15" t="s">
        <v>20</v>
      </c>
      <c r="I264" s="15" t="s">
        <v>178</v>
      </c>
      <c r="J264" s="15">
        <v>44</v>
      </c>
    </row>
    <row r="265" spans="1:10" x14ac:dyDescent="0.3">
      <c r="A265" s="15" t="s">
        <v>532</v>
      </c>
      <c r="B265" s="15" t="s">
        <v>51</v>
      </c>
      <c r="C265" s="15" t="s">
        <v>19</v>
      </c>
      <c r="D265" s="15" t="s">
        <v>31</v>
      </c>
      <c r="E265" s="15">
        <v>14</v>
      </c>
      <c r="F265" s="15">
        <v>11</v>
      </c>
      <c r="G265" s="15" t="s">
        <v>43</v>
      </c>
      <c r="H265" s="15" t="s">
        <v>20</v>
      </c>
      <c r="I265" s="15" t="s">
        <v>533</v>
      </c>
      <c r="J265" s="15">
        <v>93</v>
      </c>
    </row>
    <row r="266" spans="1:10" x14ac:dyDescent="0.3">
      <c r="A266" s="15" t="s">
        <v>534</v>
      </c>
      <c r="B266" s="15" t="s">
        <v>23</v>
      </c>
      <c r="C266" s="15" t="s">
        <v>19</v>
      </c>
      <c r="D266" s="15" t="s">
        <v>13</v>
      </c>
      <c r="E266" s="15">
        <v>20</v>
      </c>
      <c r="F266" s="15">
        <v>11</v>
      </c>
      <c r="G266" s="15" t="s">
        <v>32</v>
      </c>
      <c r="H266" s="15" t="s">
        <v>76</v>
      </c>
      <c r="I266" s="15" t="s">
        <v>358</v>
      </c>
      <c r="J266" s="15">
        <v>41</v>
      </c>
    </row>
    <row r="267" spans="1:10" x14ac:dyDescent="0.3">
      <c r="A267" s="15" t="s">
        <v>535</v>
      </c>
      <c r="B267" s="15" t="s">
        <v>84</v>
      </c>
      <c r="C267" s="15" t="s">
        <v>58</v>
      </c>
      <c r="D267" s="15" t="s">
        <v>13</v>
      </c>
      <c r="E267" s="15">
        <v>20</v>
      </c>
      <c r="F267" s="15">
        <v>9</v>
      </c>
      <c r="G267" s="15" t="s">
        <v>25</v>
      </c>
      <c r="H267" s="15" t="s">
        <v>46</v>
      </c>
      <c r="I267" s="15" t="s">
        <v>536</v>
      </c>
      <c r="J267" s="15">
        <v>58</v>
      </c>
    </row>
    <row r="268" spans="1:10" x14ac:dyDescent="0.3">
      <c r="A268" s="15" t="s">
        <v>537</v>
      </c>
      <c r="B268" s="15" t="s">
        <v>68</v>
      </c>
      <c r="C268" s="15" t="s">
        <v>36</v>
      </c>
      <c r="D268" s="15" t="s">
        <v>31</v>
      </c>
      <c r="E268" s="15">
        <v>16</v>
      </c>
      <c r="F268" s="15">
        <v>12</v>
      </c>
      <c r="G268" s="15" t="s">
        <v>25</v>
      </c>
      <c r="H268" s="15" t="s">
        <v>26</v>
      </c>
      <c r="I268" s="15" t="s">
        <v>538</v>
      </c>
      <c r="J268" s="15">
        <v>42</v>
      </c>
    </row>
    <row r="269" spans="1:10" x14ac:dyDescent="0.3">
      <c r="A269" s="15" t="s">
        <v>539</v>
      </c>
      <c r="B269" s="15" t="s">
        <v>73</v>
      </c>
      <c r="C269" s="15" t="s">
        <v>36</v>
      </c>
      <c r="D269" s="15" t="s">
        <v>31</v>
      </c>
      <c r="E269" s="15">
        <v>14</v>
      </c>
      <c r="F269" s="15">
        <v>12</v>
      </c>
      <c r="G269" s="15" t="s">
        <v>43</v>
      </c>
      <c r="H269" s="15" t="s">
        <v>61</v>
      </c>
      <c r="I269" s="15" t="s">
        <v>387</v>
      </c>
      <c r="J269" s="15">
        <v>37</v>
      </c>
    </row>
    <row r="270" spans="1:10" x14ac:dyDescent="0.3">
      <c r="A270" s="15" t="s">
        <v>540</v>
      </c>
      <c r="B270" s="15" t="s">
        <v>51</v>
      </c>
      <c r="C270" s="15" t="s">
        <v>85</v>
      </c>
      <c r="D270" s="15" t="s">
        <v>13</v>
      </c>
      <c r="E270" s="15">
        <v>18</v>
      </c>
      <c r="F270" s="15">
        <v>10</v>
      </c>
      <c r="G270" s="15" t="s">
        <v>14</v>
      </c>
      <c r="H270" s="15" t="s">
        <v>46</v>
      </c>
      <c r="I270" s="15" t="s">
        <v>541</v>
      </c>
      <c r="J270" s="15">
        <v>63</v>
      </c>
    </row>
    <row r="271" spans="1:10" x14ac:dyDescent="0.3">
      <c r="A271" s="15" t="s">
        <v>542</v>
      </c>
      <c r="B271" s="15" t="s">
        <v>84</v>
      </c>
      <c r="C271" s="15" t="s">
        <v>55</v>
      </c>
      <c r="D271" s="15" t="s">
        <v>31</v>
      </c>
      <c r="E271" s="15">
        <v>18</v>
      </c>
      <c r="F271" s="15">
        <v>12</v>
      </c>
      <c r="G271" s="15" t="s">
        <v>32</v>
      </c>
      <c r="H271" s="15" t="s">
        <v>40</v>
      </c>
      <c r="I271" s="15" t="s">
        <v>543</v>
      </c>
      <c r="J271" s="15">
        <v>51</v>
      </c>
    </row>
    <row r="272" spans="1:10" x14ac:dyDescent="0.3">
      <c r="A272" s="15" t="s">
        <v>544</v>
      </c>
      <c r="B272" s="15" t="s">
        <v>68</v>
      </c>
      <c r="C272" s="15" t="s">
        <v>19</v>
      </c>
      <c r="D272" s="15" t="s">
        <v>31</v>
      </c>
      <c r="E272" s="15">
        <v>16</v>
      </c>
      <c r="F272" s="15">
        <v>9</v>
      </c>
      <c r="G272" s="15" t="s">
        <v>14</v>
      </c>
      <c r="H272" s="15" t="s">
        <v>40</v>
      </c>
      <c r="I272" s="15" t="s">
        <v>545</v>
      </c>
      <c r="J272" s="15">
        <v>37</v>
      </c>
    </row>
    <row r="273" spans="1:10" x14ac:dyDescent="0.3">
      <c r="A273" s="15" t="s">
        <v>546</v>
      </c>
      <c r="B273" s="15" t="s">
        <v>51</v>
      </c>
      <c r="C273" s="15" t="s">
        <v>36</v>
      </c>
      <c r="D273" s="15" t="s">
        <v>31</v>
      </c>
      <c r="E273" s="15">
        <v>14</v>
      </c>
      <c r="F273" s="15">
        <v>9</v>
      </c>
      <c r="G273" s="15" t="s">
        <v>14</v>
      </c>
      <c r="H273" s="15" t="s">
        <v>46</v>
      </c>
      <c r="I273" s="15" t="s">
        <v>547</v>
      </c>
      <c r="J273" s="15">
        <v>81</v>
      </c>
    </row>
    <row r="274" spans="1:10" x14ac:dyDescent="0.3">
      <c r="A274" s="15" t="s">
        <v>548</v>
      </c>
      <c r="B274" s="15" t="s">
        <v>51</v>
      </c>
      <c r="C274" s="15" t="s">
        <v>24</v>
      </c>
      <c r="D274" s="15" t="s">
        <v>31</v>
      </c>
      <c r="E274" s="15">
        <v>15</v>
      </c>
      <c r="F274" s="15">
        <v>11</v>
      </c>
      <c r="G274" s="15" t="s">
        <v>32</v>
      </c>
      <c r="H274" s="15" t="s">
        <v>40</v>
      </c>
      <c r="I274" s="15" t="s">
        <v>549</v>
      </c>
      <c r="J274" s="15">
        <v>90</v>
      </c>
    </row>
    <row r="275" spans="1:10" x14ac:dyDescent="0.3">
      <c r="A275" s="15" t="s">
        <v>550</v>
      </c>
      <c r="B275" s="15" t="s">
        <v>73</v>
      </c>
      <c r="C275" s="15" t="s">
        <v>19</v>
      </c>
      <c r="D275" s="15" t="s">
        <v>13</v>
      </c>
      <c r="E275" s="15">
        <v>14</v>
      </c>
      <c r="F275" s="15">
        <v>11</v>
      </c>
      <c r="G275" s="15" t="s">
        <v>32</v>
      </c>
      <c r="H275" s="15" t="s">
        <v>26</v>
      </c>
      <c r="I275" s="15" t="s">
        <v>551</v>
      </c>
      <c r="J275" s="15">
        <v>90</v>
      </c>
    </row>
    <row r="276" spans="1:10" x14ac:dyDescent="0.3">
      <c r="A276" s="15" t="s">
        <v>552</v>
      </c>
      <c r="B276" s="15" t="s">
        <v>35</v>
      </c>
      <c r="C276" s="15" t="s">
        <v>30</v>
      </c>
      <c r="D276" s="15" t="s">
        <v>13</v>
      </c>
      <c r="E276" s="15">
        <v>19</v>
      </c>
      <c r="F276" s="15">
        <v>11</v>
      </c>
      <c r="G276" s="15" t="s">
        <v>14</v>
      </c>
      <c r="H276" s="15" t="s">
        <v>76</v>
      </c>
      <c r="I276" s="15" t="s">
        <v>553</v>
      </c>
      <c r="J276" s="15">
        <v>81</v>
      </c>
    </row>
    <row r="277" spans="1:10" x14ac:dyDescent="0.3">
      <c r="A277" s="15" t="s">
        <v>554</v>
      </c>
      <c r="B277" s="15" t="s">
        <v>29</v>
      </c>
      <c r="C277" s="15" t="s">
        <v>79</v>
      </c>
      <c r="D277" s="15" t="s">
        <v>13</v>
      </c>
      <c r="E277" s="15">
        <v>15</v>
      </c>
      <c r="F277" s="15">
        <v>9</v>
      </c>
      <c r="G277" s="15" t="s">
        <v>32</v>
      </c>
      <c r="H277" s="15" t="s">
        <v>76</v>
      </c>
      <c r="I277" s="15" t="s">
        <v>184</v>
      </c>
      <c r="J277" s="15">
        <v>53</v>
      </c>
    </row>
    <row r="278" spans="1:10" x14ac:dyDescent="0.3">
      <c r="A278" s="15" t="s">
        <v>555</v>
      </c>
      <c r="B278" s="15" t="s">
        <v>73</v>
      </c>
      <c r="C278" s="15" t="s">
        <v>55</v>
      </c>
      <c r="D278" s="15" t="s">
        <v>31</v>
      </c>
      <c r="E278" s="15">
        <v>16</v>
      </c>
      <c r="F278" s="15">
        <v>9</v>
      </c>
      <c r="G278" s="15" t="s">
        <v>14</v>
      </c>
      <c r="H278" s="15" t="s">
        <v>76</v>
      </c>
      <c r="I278" s="15" t="s">
        <v>556</v>
      </c>
      <c r="J278" s="15">
        <v>93</v>
      </c>
    </row>
    <row r="279" spans="1:10" x14ac:dyDescent="0.3">
      <c r="A279" s="15" t="s">
        <v>557</v>
      </c>
      <c r="B279" s="15" t="s">
        <v>23</v>
      </c>
      <c r="C279" s="15" t="s">
        <v>96</v>
      </c>
      <c r="D279" s="15" t="s">
        <v>13</v>
      </c>
      <c r="E279" s="15">
        <v>18</v>
      </c>
      <c r="F279" s="15">
        <v>11</v>
      </c>
      <c r="G279" s="15" t="s">
        <v>25</v>
      </c>
      <c r="H279" s="15" t="s">
        <v>76</v>
      </c>
      <c r="I279" s="15" t="s">
        <v>182</v>
      </c>
      <c r="J279" s="15">
        <v>77</v>
      </c>
    </row>
    <row r="280" spans="1:10" x14ac:dyDescent="0.3">
      <c r="A280" s="15" t="s">
        <v>558</v>
      </c>
      <c r="B280" s="15" t="s">
        <v>54</v>
      </c>
      <c r="C280" s="15" t="s">
        <v>30</v>
      </c>
      <c r="D280" s="15" t="s">
        <v>31</v>
      </c>
      <c r="E280" s="15">
        <v>19</v>
      </c>
      <c r="F280" s="15">
        <v>10</v>
      </c>
      <c r="G280" s="15" t="s">
        <v>43</v>
      </c>
      <c r="H280" s="15" t="s">
        <v>76</v>
      </c>
      <c r="I280" s="15" t="s">
        <v>559</v>
      </c>
      <c r="J280" s="15">
        <v>40</v>
      </c>
    </row>
    <row r="281" spans="1:10" x14ac:dyDescent="0.3">
      <c r="A281" s="15" t="s">
        <v>560</v>
      </c>
      <c r="B281" s="15" t="s">
        <v>68</v>
      </c>
      <c r="C281" s="15" t="s">
        <v>85</v>
      </c>
      <c r="D281" s="15" t="s">
        <v>31</v>
      </c>
      <c r="E281" s="15">
        <v>15</v>
      </c>
      <c r="F281" s="15">
        <v>10</v>
      </c>
      <c r="G281" s="15" t="s">
        <v>43</v>
      </c>
      <c r="H281" s="15" t="s">
        <v>26</v>
      </c>
      <c r="I281" s="15" t="s">
        <v>561</v>
      </c>
      <c r="J281" s="15">
        <v>63</v>
      </c>
    </row>
    <row r="282" spans="1:10" x14ac:dyDescent="0.3">
      <c r="A282" s="15" t="s">
        <v>562</v>
      </c>
      <c r="B282" s="15" t="s">
        <v>29</v>
      </c>
      <c r="C282" s="15" t="s">
        <v>79</v>
      </c>
      <c r="D282" s="15" t="s">
        <v>31</v>
      </c>
      <c r="E282" s="15">
        <v>15</v>
      </c>
      <c r="F282" s="15">
        <v>12</v>
      </c>
      <c r="G282" s="15" t="s">
        <v>32</v>
      </c>
      <c r="H282" s="15" t="s">
        <v>46</v>
      </c>
      <c r="I282" s="15" t="s">
        <v>121</v>
      </c>
      <c r="J282" s="15">
        <v>53</v>
      </c>
    </row>
    <row r="283" spans="1:10" x14ac:dyDescent="0.3">
      <c r="A283" s="15" t="s">
        <v>563</v>
      </c>
      <c r="B283" s="15" t="s">
        <v>35</v>
      </c>
      <c r="C283" s="15" t="s">
        <v>55</v>
      </c>
      <c r="D283" s="15" t="s">
        <v>31</v>
      </c>
      <c r="E283" s="15">
        <v>19</v>
      </c>
      <c r="F283" s="15">
        <v>10</v>
      </c>
      <c r="G283" s="15" t="s">
        <v>43</v>
      </c>
      <c r="H283" s="15" t="s">
        <v>46</v>
      </c>
      <c r="I283" s="15" t="s">
        <v>564</v>
      </c>
      <c r="J283" s="15">
        <v>72</v>
      </c>
    </row>
    <row r="284" spans="1:10" x14ac:dyDescent="0.3">
      <c r="A284" s="15" t="s">
        <v>565</v>
      </c>
      <c r="B284" s="15" t="s">
        <v>54</v>
      </c>
      <c r="C284" s="15" t="s">
        <v>79</v>
      </c>
      <c r="D284" s="15" t="s">
        <v>31</v>
      </c>
      <c r="E284" s="15">
        <v>20</v>
      </c>
      <c r="F284" s="15">
        <v>9</v>
      </c>
      <c r="G284" s="15" t="s">
        <v>43</v>
      </c>
      <c r="H284" s="15" t="s">
        <v>20</v>
      </c>
      <c r="I284" s="15" t="s">
        <v>566</v>
      </c>
      <c r="J284" s="15">
        <v>67</v>
      </c>
    </row>
    <row r="285" spans="1:10" x14ac:dyDescent="0.3">
      <c r="A285" s="15" t="s">
        <v>567</v>
      </c>
      <c r="B285" s="15" t="s">
        <v>54</v>
      </c>
      <c r="C285" s="15" t="s">
        <v>12</v>
      </c>
      <c r="D285" s="15" t="s">
        <v>31</v>
      </c>
      <c r="E285" s="15">
        <v>18</v>
      </c>
      <c r="F285" s="15">
        <v>12</v>
      </c>
      <c r="G285" s="15" t="s">
        <v>25</v>
      </c>
      <c r="H285" s="15" t="s">
        <v>26</v>
      </c>
      <c r="I285" s="15" t="s">
        <v>568</v>
      </c>
      <c r="J285" s="15">
        <v>96</v>
      </c>
    </row>
    <row r="286" spans="1:10" x14ac:dyDescent="0.3">
      <c r="A286" s="15" t="s">
        <v>569</v>
      </c>
      <c r="B286" s="15" t="s">
        <v>54</v>
      </c>
      <c r="C286" s="15" t="s">
        <v>12</v>
      </c>
      <c r="D286" s="15" t="s">
        <v>31</v>
      </c>
      <c r="E286" s="15">
        <v>17</v>
      </c>
      <c r="F286" s="15">
        <v>9</v>
      </c>
      <c r="G286" s="15" t="s">
        <v>25</v>
      </c>
      <c r="H286" s="15" t="s">
        <v>37</v>
      </c>
      <c r="I286" s="15" t="s">
        <v>570</v>
      </c>
      <c r="J286" s="15">
        <v>100</v>
      </c>
    </row>
    <row r="287" spans="1:10" x14ac:dyDescent="0.3">
      <c r="A287" s="15" t="s">
        <v>571</v>
      </c>
      <c r="B287" s="15" t="s">
        <v>68</v>
      </c>
      <c r="C287" s="15" t="s">
        <v>12</v>
      </c>
      <c r="D287" s="15" t="s">
        <v>13</v>
      </c>
      <c r="E287" s="15">
        <v>16</v>
      </c>
      <c r="F287" s="15">
        <v>10</v>
      </c>
      <c r="G287" s="15" t="s">
        <v>25</v>
      </c>
      <c r="H287" s="15" t="s">
        <v>26</v>
      </c>
      <c r="I287" s="15" t="s">
        <v>434</v>
      </c>
      <c r="J287" s="15">
        <v>63</v>
      </c>
    </row>
    <row r="288" spans="1:10" x14ac:dyDescent="0.3">
      <c r="A288" s="15" t="s">
        <v>572</v>
      </c>
      <c r="B288" s="15" t="s">
        <v>23</v>
      </c>
      <c r="C288" s="15" t="s">
        <v>19</v>
      </c>
      <c r="D288" s="15" t="s">
        <v>31</v>
      </c>
      <c r="E288" s="15">
        <v>19</v>
      </c>
      <c r="F288" s="15">
        <v>10</v>
      </c>
      <c r="G288" s="15" t="s">
        <v>32</v>
      </c>
      <c r="H288" s="15" t="s">
        <v>20</v>
      </c>
      <c r="I288" s="15" t="s">
        <v>400</v>
      </c>
      <c r="J288" s="15">
        <v>53</v>
      </c>
    </row>
    <row r="289" spans="1:10" x14ac:dyDescent="0.3">
      <c r="A289" s="15" t="s">
        <v>573</v>
      </c>
      <c r="B289" s="15" t="s">
        <v>54</v>
      </c>
      <c r="C289" s="15" t="s">
        <v>24</v>
      </c>
      <c r="D289" s="15" t="s">
        <v>13</v>
      </c>
      <c r="E289" s="15">
        <v>19</v>
      </c>
      <c r="F289" s="15">
        <v>9</v>
      </c>
      <c r="G289" s="15" t="s">
        <v>43</v>
      </c>
      <c r="H289" s="15" t="s">
        <v>46</v>
      </c>
      <c r="I289" s="15" t="s">
        <v>574</v>
      </c>
      <c r="J289" s="15">
        <v>94</v>
      </c>
    </row>
    <row r="290" spans="1:10" x14ac:dyDescent="0.3">
      <c r="A290" s="15" t="s">
        <v>575</v>
      </c>
      <c r="B290" s="15" t="s">
        <v>35</v>
      </c>
      <c r="C290" s="15" t="s">
        <v>30</v>
      </c>
      <c r="D290" s="15" t="s">
        <v>31</v>
      </c>
      <c r="E290" s="15">
        <v>14</v>
      </c>
      <c r="F290" s="15">
        <v>10</v>
      </c>
      <c r="G290" s="15" t="s">
        <v>32</v>
      </c>
      <c r="H290" s="15" t="s">
        <v>40</v>
      </c>
      <c r="I290" s="15" t="s">
        <v>576</v>
      </c>
      <c r="J290" s="15">
        <v>50</v>
      </c>
    </row>
    <row r="291" spans="1:10" x14ac:dyDescent="0.3">
      <c r="A291" s="15" t="s">
        <v>577</v>
      </c>
      <c r="B291" s="15" t="s">
        <v>84</v>
      </c>
      <c r="C291" s="15" t="s">
        <v>79</v>
      </c>
      <c r="D291" s="15" t="s">
        <v>31</v>
      </c>
      <c r="E291" s="15">
        <v>15</v>
      </c>
      <c r="F291" s="15">
        <v>11</v>
      </c>
      <c r="G291" s="15" t="s">
        <v>25</v>
      </c>
      <c r="H291" s="15" t="s">
        <v>40</v>
      </c>
      <c r="I291" s="15" t="s">
        <v>578</v>
      </c>
      <c r="J291" s="15">
        <v>72</v>
      </c>
    </row>
    <row r="292" spans="1:10" x14ac:dyDescent="0.3">
      <c r="A292" s="15" t="s">
        <v>579</v>
      </c>
      <c r="B292" s="15" t="s">
        <v>51</v>
      </c>
      <c r="C292" s="15" t="s">
        <v>55</v>
      </c>
      <c r="D292" s="15" t="s">
        <v>31</v>
      </c>
      <c r="E292" s="15">
        <v>20</v>
      </c>
      <c r="F292" s="15">
        <v>9</v>
      </c>
      <c r="G292" s="15" t="s">
        <v>25</v>
      </c>
      <c r="H292" s="15" t="s">
        <v>26</v>
      </c>
      <c r="I292" s="15" t="s">
        <v>212</v>
      </c>
      <c r="J292" s="15">
        <v>35</v>
      </c>
    </row>
    <row r="293" spans="1:10" x14ac:dyDescent="0.3">
      <c r="A293" s="15" t="s">
        <v>580</v>
      </c>
      <c r="B293" s="15" t="s">
        <v>29</v>
      </c>
      <c r="C293" s="15" t="s">
        <v>36</v>
      </c>
      <c r="D293" s="15" t="s">
        <v>13</v>
      </c>
      <c r="E293" s="15">
        <v>17</v>
      </c>
      <c r="F293" s="15">
        <v>10</v>
      </c>
      <c r="G293" s="15" t="s">
        <v>32</v>
      </c>
      <c r="H293" s="15" t="s">
        <v>15</v>
      </c>
      <c r="I293" s="15" t="s">
        <v>581</v>
      </c>
      <c r="J293" s="15">
        <v>37</v>
      </c>
    </row>
    <row r="294" spans="1:10" x14ac:dyDescent="0.3">
      <c r="A294" s="15" t="s">
        <v>582</v>
      </c>
      <c r="B294" s="15" t="s">
        <v>51</v>
      </c>
      <c r="C294" s="15" t="s">
        <v>55</v>
      </c>
      <c r="D294" s="15" t="s">
        <v>31</v>
      </c>
      <c r="E294" s="15">
        <v>14</v>
      </c>
      <c r="F294" s="15">
        <v>11</v>
      </c>
      <c r="G294" s="15" t="s">
        <v>25</v>
      </c>
      <c r="H294" s="15" t="s">
        <v>37</v>
      </c>
      <c r="I294" s="15" t="s">
        <v>583</v>
      </c>
      <c r="J294" s="15">
        <v>47</v>
      </c>
    </row>
    <row r="295" spans="1:10" x14ac:dyDescent="0.3">
      <c r="A295" s="15" t="s">
        <v>584</v>
      </c>
      <c r="B295" s="15" t="s">
        <v>68</v>
      </c>
      <c r="C295" s="15" t="s">
        <v>55</v>
      </c>
      <c r="D295" s="15" t="s">
        <v>31</v>
      </c>
      <c r="E295" s="15">
        <v>16</v>
      </c>
      <c r="F295" s="15">
        <v>9</v>
      </c>
      <c r="G295" s="15" t="s">
        <v>14</v>
      </c>
      <c r="H295" s="15" t="s">
        <v>61</v>
      </c>
      <c r="I295" s="15" t="s">
        <v>585</v>
      </c>
      <c r="J295" s="15">
        <v>59</v>
      </c>
    </row>
    <row r="296" spans="1:10" x14ac:dyDescent="0.3">
      <c r="A296" s="15" t="s">
        <v>586</v>
      </c>
      <c r="B296" s="15" t="s">
        <v>11</v>
      </c>
      <c r="C296" s="15" t="s">
        <v>24</v>
      </c>
      <c r="D296" s="15" t="s">
        <v>31</v>
      </c>
      <c r="E296" s="15">
        <v>17</v>
      </c>
      <c r="F296" s="15">
        <v>11</v>
      </c>
      <c r="G296" s="15" t="s">
        <v>43</v>
      </c>
      <c r="H296" s="15" t="s">
        <v>61</v>
      </c>
      <c r="I296" s="15" t="s">
        <v>587</v>
      </c>
      <c r="J296" s="15">
        <v>73</v>
      </c>
    </row>
    <row r="297" spans="1:10" x14ac:dyDescent="0.3">
      <c r="A297" s="15" t="s">
        <v>588</v>
      </c>
      <c r="B297" s="15" t="s">
        <v>68</v>
      </c>
      <c r="C297" s="15" t="s">
        <v>85</v>
      </c>
      <c r="D297" s="15" t="s">
        <v>31</v>
      </c>
      <c r="E297" s="15">
        <v>17</v>
      </c>
      <c r="F297" s="15">
        <v>9</v>
      </c>
      <c r="G297" s="15" t="s">
        <v>25</v>
      </c>
      <c r="H297" s="15" t="s">
        <v>61</v>
      </c>
      <c r="I297" s="15" t="s">
        <v>589</v>
      </c>
      <c r="J297" s="15">
        <v>45</v>
      </c>
    </row>
    <row r="298" spans="1:10" x14ac:dyDescent="0.3">
      <c r="A298" s="15" t="s">
        <v>590</v>
      </c>
      <c r="B298" s="15" t="s">
        <v>35</v>
      </c>
      <c r="C298" s="15" t="s">
        <v>12</v>
      </c>
      <c r="D298" s="15" t="s">
        <v>13</v>
      </c>
      <c r="E298" s="15">
        <v>14</v>
      </c>
      <c r="F298" s="15">
        <v>11</v>
      </c>
      <c r="G298" s="15" t="s">
        <v>25</v>
      </c>
      <c r="H298" s="15" t="s">
        <v>20</v>
      </c>
      <c r="I298" s="15" t="s">
        <v>591</v>
      </c>
      <c r="J298" s="15">
        <v>64</v>
      </c>
    </row>
    <row r="299" spans="1:10" x14ac:dyDescent="0.3">
      <c r="A299" s="15" t="s">
        <v>592</v>
      </c>
      <c r="B299" s="15" t="s">
        <v>51</v>
      </c>
      <c r="C299" s="15" t="s">
        <v>19</v>
      </c>
      <c r="D299" s="15" t="s">
        <v>31</v>
      </c>
      <c r="E299" s="15">
        <v>18</v>
      </c>
      <c r="F299" s="15">
        <v>10</v>
      </c>
      <c r="G299" s="15" t="s">
        <v>43</v>
      </c>
      <c r="H299" s="15" t="s">
        <v>76</v>
      </c>
      <c r="I299" s="15" t="s">
        <v>593</v>
      </c>
      <c r="J299" s="15">
        <v>98</v>
      </c>
    </row>
    <row r="300" spans="1:10" x14ac:dyDescent="0.3">
      <c r="A300" s="15" t="s">
        <v>594</v>
      </c>
      <c r="B300" s="15" t="s">
        <v>54</v>
      </c>
      <c r="C300" s="15" t="s">
        <v>55</v>
      </c>
      <c r="D300" s="15" t="s">
        <v>13</v>
      </c>
      <c r="E300" s="15">
        <v>20</v>
      </c>
      <c r="F300" s="15">
        <v>11</v>
      </c>
      <c r="G300" s="15" t="s">
        <v>43</v>
      </c>
      <c r="H300" s="15" t="s">
        <v>40</v>
      </c>
      <c r="I300" s="15" t="s">
        <v>595</v>
      </c>
      <c r="J300" s="15">
        <v>84</v>
      </c>
    </row>
    <row r="301" spans="1:10" x14ac:dyDescent="0.3">
      <c r="A301" s="15" t="s">
        <v>596</v>
      </c>
      <c r="B301" s="15" t="s">
        <v>11</v>
      </c>
      <c r="C301" s="15" t="s">
        <v>30</v>
      </c>
      <c r="D301" s="15" t="s">
        <v>13</v>
      </c>
      <c r="E301" s="15">
        <v>14</v>
      </c>
      <c r="F301" s="15">
        <v>9</v>
      </c>
      <c r="G301" s="15" t="s">
        <v>25</v>
      </c>
      <c r="H301" s="15" t="s">
        <v>76</v>
      </c>
      <c r="I301" s="15" t="s">
        <v>447</v>
      </c>
      <c r="J301" s="15">
        <v>62</v>
      </c>
    </row>
    <row r="302" spans="1:10" x14ac:dyDescent="0.3">
      <c r="A302" s="15" t="s">
        <v>597</v>
      </c>
      <c r="B302" s="15" t="s">
        <v>18</v>
      </c>
      <c r="C302" s="15" t="s">
        <v>85</v>
      </c>
      <c r="D302" s="15" t="s">
        <v>31</v>
      </c>
      <c r="E302" s="15">
        <v>18</v>
      </c>
      <c r="F302" s="15">
        <v>11</v>
      </c>
      <c r="G302" s="15" t="s">
        <v>43</v>
      </c>
      <c r="H302" s="15" t="s">
        <v>40</v>
      </c>
      <c r="I302" s="15" t="s">
        <v>598</v>
      </c>
      <c r="J302" s="15">
        <v>55</v>
      </c>
    </row>
    <row r="303" spans="1:10" x14ac:dyDescent="0.3">
      <c r="A303" s="15" t="s">
        <v>599</v>
      </c>
      <c r="B303" s="15" t="s">
        <v>84</v>
      </c>
      <c r="C303" s="15" t="s">
        <v>30</v>
      </c>
      <c r="D303" s="15" t="s">
        <v>13</v>
      </c>
      <c r="E303" s="15">
        <v>17</v>
      </c>
      <c r="F303" s="15">
        <v>11</v>
      </c>
      <c r="G303" s="15" t="s">
        <v>43</v>
      </c>
      <c r="H303" s="15" t="s">
        <v>15</v>
      </c>
      <c r="I303" s="15" t="s">
        <v>600</v>
      </c>
      <c r="J303" s="15">
        <v>73</v>
      </c>
    </row>
    <row r="304" spans="1:10" x14ac:dyDescent="0.3">
      <c r="A304" s="15" t="s">
        <v>601</v>
      </c>
      <c r="B304" s="15" t="s">
        <v>73</v>
      </c>
      <c r="C304" s="15" t="s">
        <v>55</v>
      </c>
      <c r="D304" s="15" t="s">
        <v>31</v>
      </c>
      <c r="E304" s="15">
        <v>17</v>
      </c>
      <c r="F304" s="15">
        <v>11</v>
      </c>
      <c r="G304" s="15" t="s">
        <v>43</v>
      </c>
      <c r="H304" s="15" t="s">
        <v>61</v>
      </c>
      <c r="I304" s="15" t="s">
        <v>502</v>
      </c>
      <c r="J304" s="15">
        <v>76</v>
      </c>
    </row>
    <row r="305" spans="1:10" x14ac:dyDescent="0.3">
      <c r="A305" s="15" t="s">
        <v>602</v>
      </c>
      <c r="B305" s="15" t="s">
        <v>23</v>
      </c>
      <c r="C305" s="15" t="s">
        <v>19</v>
      </c>
      <c r="D305" s="15" t="s">
        <v>13</v>
      </c>
      <c r="E305" s="15">
        <v>15</v>
      </c>
      <c r="F305" s="15">
        <v>12</v>
      </c>
      <c r="G305" s="15" t="s">
        <v>14</v>
      </c>
      <c r="H305" s="15" t="s">
        <v>61</v>
      </c>
      <c r="I305" s="15" t="s">
        <v>603</v>
      </c>
      <c r="J305" s="15">
        <v>54</v>
      </c>
    </row>
    <row r="306" spans="1:10" x14ac:dyDescent="0.3">
      <c r="A306" s="15" t="s">
        <v>604</v>
      </c>
      <c r="B306" s="15" t="s">
        <v>51</v>
      </c>
      <c r="C306" s="15" t="s">
        <v>85</v>
      </c>
      <c r="D306" s="15" t="s">
        <v>31</v>
      </c>
      <c r="E306" s="15">
        <v>20</v>
      </c>
      <c r="F306" s="15">
        <v>12</v>
      </c>
      <c r="G306" s="15" t="s">
        <v>25</v>
      </c>
      <c r="H306" s="15" t="s">
        <v>26</v>
      </c>
      <c r="I306" s="15" t="s">
        <v>299</v>
      </c>
      <c r="J306" s="15">
        <v>69</v>
      </c>
    </row>
    <row r="307" spans="1:10" x14ac:dyDescent="0.3">
      <c r="A307" s="15" t="s">
        <v>605</v>
      </c>
      <c r="B307" s="15" t="s">
        <v>54</v>
      </c>
      <c r="C307" s="15" t="s">
        <v>19</v>
      </c>
      <c r="D307" s="15" t="s">
        <v>31</v>
      </c>
      <c r="E307" s="15">
        <v>20</v>
      </c>
      <c r="F307" s="15">
        <v>10</v>
      </c>
      <c r="G307" s="15" t="s">
        <v>43</v>
      </c>
      <c r="H307" s="15" t="s">
        <v>37</v>
      </c>
      <c r="I307" s="15" t="s">
        <v>606</v>
      </c>
      <c r="J307" s="15">
        <v>99</v>
      </c>
    </row>
    <row r="308" spans="1:10" x14ac:dyDescent="0.3">
      <c r="A308" s="15" t="s">
        <v>607</v>
      </c>
      <c r="B308" s="15" t="s">
        <v>68</v>
      </c>
      <c r="C308" s="15" t="s">
        <v>55</v>
      </c>
      <c r="D308" s="15" t="s">
        <v>13</v>
      </c>
      <c r="E308" s="15">
        <v>19</v>
      </c>
      <c r="F308" s="15">
        <v>11</v>
      </c>
      <c r="G308" s="15" t="s">
        <v>25</v>
      </c>
      <c r="H308" s="15" t="s">
        <v>20</v>
      </c>
      <c r="I308" s="15" t="s">
        <v>608</v>
      </c>
      <c r="J308" s="15">
        <v>43</v>
      </c>
    </row>
    <row r="309" spans="1:10" x14ac:dyDescent="0.3">
      <c r="A309" s="15" t="s">
        <v>609</v>
      </c>
      <c r="B309" s="15" t="s">
        <v>68</v>
      </c>
      <c r="C309" s="15" t="s">
        <v>58</v>
      </c>
      <c r="D309" s="15" t="s">
        <v>13</v>
      </c>
      <c r="E309" s="15">
        <v>14</v>
      </c>
      <c r="F309" s="15">
        <v>10</v>
      </c>
      <c r="G309" s="15" t="s">
        <v>25</v>
      </c>
      <c r="H309" s="15" t="s">
        <v>37</v>
      </c>
      <c r="I309" s="15" t="s">
        <v>610</v>
      </c>
      <c r="J309" s="15">
        <v>90</v>
      </c>
    </row>
    <row r="310" spans="1:10" x14ac:dyDescent="0.3">
      <c r="A310" s="15" t="s">
        <v>611</v>
      </c>
      <c r="B310" s="15" t="s">
        <v>18</v>
      </c>
      <c r="C310" s="15" t="s">
        <v>24</v>
      </c>
      <c r="D310" s="15" t="s">
        <v>31</v>
      </c>
      <c r="E310" s="15">
        <v>19</v>
      </c>
      <c r="F310" s="15">
        <v>12</v>
      </c>
      <c r="G310" s="15" t="s">
        <v>43</v>
      </c>
      <c r="H310" s="15" t="s">
        <v>26</v>
      </c>
      <c r="I310" s="15" t="s">
        <v>612</v>
      </c>
      <c r="J310" s="15">
        <v>82</v>
      </c>
    </row>
    <row r="311" spans="1:10" x14ac:dyDescent="0.3">
      <c r="A311" s="15" t="s">
        <v>613</v>
      </c>
      <c r="B311" s="15" t="s">
        <v>68</v>
      </c>
      <c r="C311" s="15" t="s">
        <v>85</v>
      </c>
      <c r="D311" s="15" t="s">
        <v>31</v>
      </c>
      <c r="E311" s="15">
        <v>15</v>
      </c>
      <c r="F311" s="15">
        <v>9</v>
      </c>
      <c r="G311" s="15" t="s">
        <v>32</v>
      </c>
      <c r="H311" s="15" t="s">
        <v>37</v>
      </c>
      <c r="I311" s="15" t="s">
        <v>614</v>
      </c>
      <c r="J311" s="15">
        <v>39</v>
      </c>
    </row>
    <row r="312" spans="1:10" x14ac:dyDescent="0.3">
      <c r="A312" s="15" t="s">
        <v>615</v>
      </c>
      <c r="B312" s="15" t="s">
        <v>18</v>
      </c>
      <c r="C312" s="15" t="s">
        <v>12</v>
      </c>
      <c r="D312" s="15" t="s">
        <v>13</v>
      </c>
      <c r="E312" s="15">
        <v>17</v>
      </c>
      <c r="F312" s="15">
        <v>12</v>
      </c>
      <c r="G312" s="15" t="s">
        <v>14</v>
      </c>
      <c r="H312" s="15" t="s">
        <v>61</v>
      </c>
      <c r="I312" s="15" t="s">
        <v>616</v>
      </c>
      <c r="J312" s="15">
        <v>99</v>
      </c>
    </row>
    <row r="313" spans="1:10" x14ac:dyDescent="0.3">
      <c r="A313" s="15" t="s">
        <v>617</v>
      </c>
      <c r="B313" s="15" t="s">
        <v>35</v>
      </c>
      <c r="C313" s="15" t="s">
        <v>12</v>
      </c>
      <c r="D313" s="15" t="s">
        <v>13</v>
      </c>
      <c r="E313" s="15">
        <v>15</v>
      </c>
      <c r="F313" s="15">
        <v>9</v>
      </c>
      <c r="G313" s="15" t="s">
        <v>25</v>
      </c>
      <c r="H313" s="15" t="s">
        <v>46</v>
      </c>
      <c r="I313" s="15" t="s">
        <v>155</v>
      </c>
      <c r="J313" s="15">
        <v>85</v>
      </c>
    </row>
    <row r="314" spans="1:10" x14ac:dyDescent="0.3">
      <c r="A314" s="15" t="s">
        <v>618</v>
      </c>
      <c r="B314" s="15" t="s">
        <v>73</v>
      </c>
      <c r="C314" s="15" t="s">
        <v>85</v>
      </c>
      <c r="D314" s="15" t="s">
        <v>31</v>
      </c>
      <c r="E314" s="15">
        <v>14</v>
      </c>
      <c r="F314" s="15">
        <v>11</v>
      </c>
      <c r="G314" s="15" t="s">
        <v>25</v>
      </c>
      <c r="H314" s="15" t="s">
        <v>20</v>
      </c>
      <c r="I314" s="15" t="s">
        <v>619</v>
      </c>
      <c r="J314" s="15">
        <v>67</v>
      </c>
    </row>
    <row r="315" spans="1:10" x14ac:dyDescent="0.3">
      <c r="A315" s="15" t="s">
        <v>620</v>
      </c>
      <c r="B315" s="15" t="s">
        <v>84</v>
      </c>
      <c r="C315" s="15" t="s">
        <v>24</v>
      </c>
      <c r="D315" s="15" t="s">
        <v>31</v>
      </c>
      <c r="E315" s="15">
        <v>19</v>
      </c>
      <c r="F315" s="15">
        <v>12</v>
      </c>
      <c r="G315" s="15" t="s">
        <v>14</v>
      </c>
      <c r="H315" s="15" t="s">
        <v>61</v>
      </c>
      <c r="I315" s="15" t="s">
        <v>621</v>
      </c>
      <c r="J315" s="15">
        <v>77</v>
      </c>
    </row>
    <row r="316" spans="1:10" x14ac:dyDescent="0.3">
      <c r="A316" s="15" t="s">
        <v>622</v>
      </c>
      <c r="B316" s="15" t="s">
        <v>23</v>
      </c>
      <c r="C316" s="15" t="s">
        <v>96</v>
      </c>
      <c r="D316" s="15" t="s">
        <v>31</v>
      </c>
      <c r="E316" s="15">
        <v>17</v>
      </c>
      <c r="F316" s="15">
        <v>12</v>
      </c>
      <c r="G316" s="15" t="s">
        <v>43</v>
      </c>
      <c r="H316" s="15" t="s">
        <v>46</v>
      </c>
      <c r="I316" s="15" t="s">
        <v>170</v>
      </c>
      <c r="J316" s="15">
        <v>62</v>
      </c>
    </row>
    <row r="317" spans="1:10" x14ac:dyDescent="0.3">
      <c r="A317" s="15" t="s">
        <v>623</v>
      </c>
      <c r="B317" s="15" t="s">
        <v>29</v>
      </c>
      <c r="C317" s="15" t="s">
        <v>12</v>
      </c>
      <c r="D317" s="15" t="s">
        <v>31</v>
      </c>
      <c r="E317" s="15">
        <v>19</v>
      </c>
      <c r="F317" s="15">
        <v>11</v>
      </c>
      <c r="G317" s="15" t="s">
        <v>25</v>
      </c>
      <c r="H317" s="15" t="s">
        <v>76</v>
      </c>
      <c r="I317" s="15" t="s">
        <v>624</v>
      </c>
      <c r="J317" s="15">
        <v>49</v>
      </c>
    </row>
    <row r="318" spans="1:10" x14ac:dyDescent="0.3">
      <c r="A318" s="15" t="s">
        <v>625</v>
      </c>
      <c r="B318" s="15" t="s">
        <v>68</v>
      </c>
      <c r="C318" s="15" t="s">
        <v>96</v>
      </c>
      <c r="D318" s="15" t="s">
        <v>31</v>
      </c>
      <c r="E318" s="15">
        <v>19</v>
      </c>
      <c r="F318" s="15">
        <v>12</v>
      </c>
      <c r="G318" s="15" t="s">
        <v>32</v>
      </c>
      <c r="H318" s="15" t="s">
        <v>15</v>
      </c>
      <c r="I318" s="15" t="s">
        <v>626</v>
      </c>
      <c r="J318" s="15">
        <v>86</v>
      </c>
    </row>
    <row r="319" spans="1:10" x14ac:dyDescent="0.3">
      <c r="A319" s="15" t="s">
        <v>627</v>
      </c>
      <c r="B319" s="15" t="s">
        <v>35</v>
      </c>
      <c r="C319" s="15" t="s">
        <v>85</v>
      </c>
      <c r="D319" s="15" t="s">
        <v>31</v>
      </c>
      <c r="E319" s="15">
        <v>16</v>
      </c>
      <c r="F319" s="15">
        <v>9</v>
      </c>
      <c r="G319" s="15" t="s">
        <v>43</v>
      </c>
      <c r="H319" s="15" t="s">
        <v>20</v>
      </c>
      <c r="I319" s="15" t="s">
        <v>628</v>
      </c>
      <c r="J319" s="15">
        <v>84</v>
      </c>
    </row>
    <row r="320" spans="1:10" x14ac:dyDescent="0.3">
      <c r="A320" s="15" t="s">
        <v>629</v>
      </c>
      <c r="B320" s="15" t="s">
        <v>35</v>
      </c>
      <c r="C320" s="15" t="s">
        <v>58</v>
      </c>
      <c r="D320" s="15" t="s">
        <v>13</v>
      </c>
      <c r="E320" s="15">
        <v>18</v>
      </c>
      <c r="F320" s="15">
        <v>9</v>
      </c>
      <c r="G320" s="15" t="s">
        <v>25</v>
      </c>
      <c r="H320" s="15" t="s">
        <v>76</v>
      </c>
      <c r="I320" s="15" t="s">
        <v>105</v>
      </c>
      <c r="J320" s="15">
        <v>82</v>
      </c>
    </row>
    <row r="321" spans="1:10" x14ac:dyDescent="0.3">
      <c r="A321" s="15" t="s">
        <v>630</v>
      </c>
      <c r="B321" s="15" t="s">
        <v>84</v>
      </c>
      <c r="C321" s="15" t="s">
        <v>96</v>
      </c>
      <c r="D321" s="15" t="s">
        <v>31</v>
      </c>
      <c r="E321" s="15">
        <v>19</v>
      </c>
      <c r="F321" s="15">
        <v>10</v>
      </c>
      <c r="G321" s="15" t="s">
        <v>43</v>
      </c>
      <c r="H321" s="15" t="s">
        <v>20</v>
      </c>
      <c r="I321" s="15" t="s">
        <v>631</v>
      </c>
      <c r="J321" s="15">
        <v>63</v>
      </c>
    </row>
    <row r="322" spans="1:10" x14ac:dyDescent="0.3">
      <c r="A322" s="15" t="s">
        <v>632</v>
      </c>
      <c r="B322" s="15" t="s">
        <v>54</v>
      </c>
      <c r="C322" s="15" t="s">
        <v>55</v>
      </c>
      <c r="D322" s="15" t="s">
        <v>31</v>
      </c>
      <c r="E322" s="15">
        <v>19</v>
      </c>
      <c r="F322" s="15">
        <v>11</v>
      </c>
      <c r="G322" s="15" t="s">
        <v>25</v>
      </c>
      <c r="H322" s="15" t="s">
        <v>61</v>
      </c>
      <c r="I322" s="15" t="s">
        <v>633</v>
      </c>
      <c r="J322" s="15">
        <v>82</v>
      </c>
    </row>
    <row r="323" spans="1:10" x14ac:dyDescent="0.3">
      <c r="A323" s="15" t="s">
        <v>634</v>
      </c>
      <c r="B323" s="15" t="s">
        <v>54</v>
      </c>
      <c r="C323" s="15" t="s">
        <v>30</v>
      </c>
      <c r="D323" s="15" t="s">
        <v>31</v>
      </c>
      <c r="E323" s="15">
        <v>15</v>
      </c>
      <c r="F323" s="15">
        <v>9</v>
      </c>
      <c r="G323" s="15" t="s">
        <v>25</v>
      </c>
      <c r="H323" s="15" t="s">
        <v>40</v>
      </c>
      <c r="I323" s="15" t="s">
        <v>635</v>
      </c>
      <c r="J323" s="15">
        <v>53</v>
      </c>
    </row>
    <row r="324" spans="1:10" x14ac:dyDescent="0.3">
      <c r="A324" s="15" t="s">
        <v>636</v>
      </c>
      <c r="B324" s="15" t="s">
        <v>11</v>
      </c>
      <c r="C324" s="15" t="s">
        <v>79</v>
      </c>
      <c r="D324" s="15" t="s">
        <v>13</v>
      </c>
      <c r="E324" s="15">
        <v>19</v>
      </c>
      <c r="F324" s="15">
        <v>9</v>
      </c>
      <c r="G324" s="15" t="s">
        <v>32</v>
      </c>
      <c r="H324" s="15" t="s">
        <v>76</v>
      </c>
      <c r="I324" s="15" t="s">
        <v>637</v>
      </c>
      <c r="J324" s="15">
        <v>97</v>
      </c>
    </row>
    <row r="325" spans="1:10" x14ac:dyDescent="0.3">
      <c r="A325" s="15" t="s">
        <v>638</v>
      </c>
      <c r="B325" s="15" t="s">
        <v>54</v>
      </c>
      <c r="C325" s="15" t="s">
        <v>12</v>
      </c>
      <c r="D325" s="15" t="s">
        <v>31</v>
      </c>
      <c r="E325" s="15">
        <v>15</v>
      </c>
      <c r="F325" s="15">
        <v>12</v>
      </c>
      <c r="G325" s="15" t="s">
        <v>43</v>
      </c>
      <c r="H325" s="15" t="s">
        <v>76</v>
      </c>
      <c r="I325" s="15" t="s">
        <v>639</v>
      </c>
      <c r="J325" s="15">
        <v>51</v>
      </c>
    </row>
    <row r="326" spans="1:10" x14ac:dyDescent="0.3">
      <c r="A326" s="15" t="s">
        <v>640</v>
      </c>
      <c r="B326" s="15" t="s">
        <v>84</v>
      </c>
      <c r="C326" s="15" t="s">
        <v>79</v>
      </c>
      <c r="D326" s="15" t="s">
        <v>31</v>
      </c>
      <c r="E326" s="15">
        <v>14</v>
      </c>
      <c r="F326" s="15">
        <v>9</v>
      </c>
      <c r="G326" s="15" t="s">
        <v>14</v>
      </c>
      <c r="H326" s="15" t="s">
        <v>37</v>
      </c>
      <c r="I326" s="15" t="s">
        <v>641</v>
      </c>
      <c r="J326" s="15">
        <v>43</v>
      </c>
    </row>
    <row r="327" spans="1:10" x14ac:dyDescent="0.3">
      <c r="A327" s="15" t="s">
        <v>642</v>
      </c>
      <c r="B327" s="15" t="s">
        <v>18</v>
      </c>
      <c r="C327" s="15" t="s">
        <v>19</v>
      </c>
      <c r="D327" s="15" t="s">
        <v>13</v>
      </c>
      <c r="E327" s="15">
        <v>14</v>
      </c>
      <c r="F327" s="15">
        <v>9</v>
      </c>
      <c r="G327" s="15" t="s">
        <v>43</v>
      </c>
      <c r="H327" s="15" t="s">
        <v>20</v>
      </c>
      <c r="I327" s="15" t="s">
        <v>643</v>
      </c>
      <c r="J327" s="15">
        <v>57</v>
      </c>
    </row>
    <row r="328" spans="1:10" x14ac:dyDescent="0.3">
      <c r="A328" s="15" t="s">
        <v>644</v>
      </c>
      <c r="B328" s="15" t="s">
        <v>51</v>
      </c>
      <c r="C328" s="15" t="s">
        <v>36</v>
      </c>
      <c r="D328" s="15" t="s">
        <v>31</v>
      </c>
      <c r="E328" s="15">
        <v>16</v>
      </c>
      <c r="F328" s="15">
        <v>11</v>
      </c>
      <c r="G328" s="15" t="s">
        <v>43</v>
      </c>
      <c r="H328" s="15" t="s">
        <v>20</v>
      </c>
      <c r="I328" s="15" t="s">
        <v>645</v>
      </c>
      <c r="J328" s="15">
        <v>81</v>
      </c>
    </row>
    <row r="329" spans="1:10" x14ac:dyDescent="0.3">
      <c r="A329" s="15" t="s">
        <v>646</v>
      </c>
      <c r="B329" s="15" t="s">
        <v>84</v>
      </c>
      <c r="C329" s="15" t="s">
        <v>12</v>
      </c>
      <c r="D329" s="15" t="s">
        <v>31</v>
      </c>
      <c r="E329" s="15">
        <v>17</v>
      </c>
      <c r="F329" s="15">
        <v>12</v>
      </c>
      <c r="G329" s="15" t="s">
        <v>25</v>
      </c>
      <c r="H329" s="15" t="s">
        <v>76</v>
      </c>
      <c r="I329" s="15" t="s">
        <v>647</v>
      </c>
      <c r="J329" s="15">
        <v>83</v>
      </c>
    </row>
    <row r="330" spans="1:10" x14ac:dyDescent="0.3">
      <c r="A330" s="15" t="s">
        <v>648</v>
      </c>
      <c r="B330" s="15" t="s">
        <v>51</v>
      </c>
      <c r="C330" s="15" t="s">
        <v>79</v>
      </c>
      <c r="D330" s="15" t="s">
        <v>13</v>
      </c>
      <c r="E330" s="15">
        <v>14</v>
      </c>
      <c r="F330" s="15">
        <v>9</v>
      </c>
      <c r="G330" s="15" t="s">
        <v>25</v>
      </c>
      <c r="H330" s="15" t="s">
        <v>15</v>
      </c>
      <c r="I330" s="15" t="s">
        <v>649</v>
      </c>
      <c r="J330" s="15">
        <v>77</v>
      </c>
    </row>
    <row r="331" spans="1:10" x14ac:dyDescent="0.3">
      <c r="A331" s="15" t="s">
        <v>650</v>
      </c>
      <c r="B331" s="15" t="s">
        <v>23</v>
      </c>
      <c r="C331" s="15" t="s">
        <v>24</v>
      </c>
      <c r="D331" s="15" t="s">
        <v>13</v>
      </c>
      <c r="E331" s="15">
        <v>17</v>
      </c>
      <c r="F331" s="15">
        <v>12</v>
      </c>
      <c r="G331" s="15" t="s">
        <v>25</v>
      </c>
      <c r="H331" s="15" t="s">
        <v>46</v>
      </c>
      <c r="I331" s="15" t="s">
        <v>651</v>
      </c>
      <c r="J331" s="15">
        <v>45</v>
      </c>
    </row>
    <row r="332" spans="1:10" x14ac:dyDescent="0.3">
      <c r="A332" s="15" t="s">
        <v>652</v>
      </c>
      <c r="B332" s="15" t="s">
        <v>51</v>
      </c>
      <c r="C332" s="15" t="s">
        <v>55</v>
      </c>
      <c r="D332" s="15" t="s">
        <v>13</v>
      </c>
      <c r="E332" s="15">
        <v>16</v>
      </c>
      <c r="F332" s="15">
        <v>12</v>
      </c>
      <c r="G332" s="15" t="s">
        <v>32</v>
      </c>
      <c r="H332" s="15" t="s">
        <v>61</v>
      </c>
      <c r="I332" s="15" t="s">
        <v>653</v>
      </c>
      <c r="J332" s="15">
        <v>45</v>
      </c>
    </row>
    <row r="333" spans="1:10" x14ac:dyDescent="0.3">
      <c r="A333" s="15" t="s">
        <v>654</v>
      </c>
      <c r="B333" s="15" t="s">
        <v>18</v>
      </c>
      <c r="C333" s="15" t="s">
        <v>24</v>
      </c>
      <c r="D333" s="15" t="s">
        <v>31</v>
      </c>
      <c r="E333" s="15">
        <v>14</v>
      </c>
      <c r="F333" s="15">
        <v>12</v>
      </c>
      <c r="G333" s="15" t="s">
        <v>14</v>
      </c>
      <c r="H333" s="15" t="s">
        <v>46</v>
      </c>
      <c r="I333" s="15" t="s">
        <v>655</v>
      </c>
      <c r="J333" s="15">
        <v>42</v>
      </c>
    </row>
    <row r="334" spans="1:10" x14ac:dyDescent="0.3">
      <c r="A334" s="15" t="s">
        <v>656</v>
      </c>
      <c r="B334" s="15" t="s">
        <v>29</v>
      </c>
      <c r="C334" s="15" t="s">
        <v>30</v>
      </c>
      <c r="D334" s="15" t="s">
        <v>13</v>
      </c>
      <c r="E334" s="15">
        <v>19</v>
      </c>
      <c r="F334" s="15">
        <v>10</v>
      </c>
      <c r="G334" s="15" t="s">
        <v>43</v>
      </c>
      <c r="H334" s="15" t="s">
        <v>15</v>
      </c>
      <c r="I334" s="15" t="s">
        <v>657</v>
      </c>
      <c r="J334" s="15">
        <v>85</v>
      </c>
    </row>
    <row r="335" spans="1:10" x14ac:dyDescent="0.3">
      <c r="A335" s="15" t="s">
        <v>658</v>
      </c>
      <c r="B335" s="15" t="s">
        <v>11</v>
      </c>
      <c r="C335" s="15" t="s">
        <v>96</v>
      </c>
      <c r="D335" s="15" t="s">
        <v>31</v>
      </c>
      <c r="E335" s="15">
        <v>20</v>
      </c>
      <c r="F335" s="15">
        <v>10</v>
      </c>
      <c r="G335" s="15" t="s">
        <v>43</v>
      </c>
      <c r="H335" s="15" t="s">
        <v>37</v>
      </c>
      <c r="I335" s="15" t="s">
        <v>659</v>
      </c>
      <c r="J335" s="15">
        <v>62</v>
      </c>
    </row>
    <row r="336" spans="1:10" x14ac:dyDescent="0.3">
      <c r="A336" s="15" t="s">
        <v>660</v>
      </c>
      <c r="B336" s="15" t="s">
        <v>23</v>
      </c>
      <c r="C336" s="15" t="s">
        <v>12</v>
      </c>
      <c r="D336" s="15" t="s">
        <v>13</v>
      </c>
      <c r="E336" s="15">
        <v>16</v>
      </c>
      <c r="F336" s="15">
        <v>11</v>
      </c>
      <c r="G336" s="15" t="s">
        <v>25</v>
      </c>
      <c r="H336" s="15" t="s">
        <v>40</v>
      </c>
      <c r="I336" s="15" t="s">
        <v>41</v>
      </c>
      <c r="J336" s="15">
        <v>86</v>
      </c>
    </row>
    <row r="337" spans="1:10" x14ac:dyDescent="0.3">
      <c r="A337" s="15" t="s">
        <v>661</v>
      </c>
      <c r="B337" s="15" t="s">
        <v>54</v>
      </c>
      <c r="C337" s="15" t="s">
        <v>12</v>
      </c>
      <c r="D337" s="15" t="s">
        <v>31</v>
      </c>
      <c r="E337" s="15">
        <v>19</v>
      </c>
      <c r="F337" s="15">
        <v>10</v>
      </c>
      <c r="G337" s="15" t="s">
        <v>14</v>
      </c>
      <c r="H337" s="15" t="s">
        <v>76</v>
      </c>
      <c r="I337" s="15" t="s">
        <v>662</v>
      </c>
      <c r="J337" s="15">
        <v>54</v>
      </c>
    </row>
    <row r="338" spans="1:10" x14ac:dyDescent="0.3">
      <c r="A338" s="15" t="s">
        <v>663</v>
      </c>
      <c r="B338" s="15" t="s">
        <v>73</v>
      </c>
      <c r="C338" s="15" t="s">
        <v>36</v>
      </c>
      <c r="D338" s="15" t="s">
        <v>13</v>
      </c>
      <c r="E338" s="15">
        <v>20</v>
      </c>
      <c r="F338" s="15">
        <v>12</v>
      </c>
      <c r="G338" s="15" t="s">
        <v>25</v>
      </c>
      <c r="H338" s="15" t="s">
        <v>40</v>
      </c>
      <c r="I338" s="15" t="s">
        <v>664</v>
      </c>
      <c r="J338" s="15">
        <v>50</v>
      </c>
    </row>
    <row r="339" spans="1:10" x14ac:dyDescent="0.3">
      <c r="A339" s="15" t="s">
        <v>665</v>
      </c>
      <c r="B339" s="15" t="s">
        <v>51</v>
      </c>
      <c r="C339" s="15" t="s">
        <v>96</v>
      </c>
      <c r="D339" s="15" t="s">
        <v>13</v>
      </c>
      <c r="E339" s="15">
        <v>14</v>
      </c>
      <c r="F339" s="15">
        <v>10</v>
      </c>
      <c r="G339" s="15" t="s">
        <v>14</v>
      </c>
      <c r="H339" s="15" t="s">
        <v>37</v>
      </c>
      <c r="I339" s="15" t="s">
        <v>666</v>
      </c>
      <c r="J339" s="15">
        <v>68</v>
      </c>
    </row>
    <row r="340" spans="1:10" x14ac:dyDescent="0.3">
      <c r="A340" s="15" t="s">
        <v>667</v>
      </c>
      <c r="B340" s="15" t="s">
        <v>35</v>
      </c>
      <c r="C340" s="15" t="s">
        <v>12</v>
      </c>
      <c r="D340" s="15" t="s">
        <v>31</v>
      </c>
      <c r="E340" s="15">
        <v>15</v>
      </c>
      <c r="F340" s="15">
        <v>12</v>
      </c>
      <c r="G340" s="15" t="s">
        <v>14</v>
      </c>
      <c r="H340" s="15" t="s">
        <v>46</v>
      </c>
      <c r="I340" s="15" t="s">
        <v>668</v>
      </c>
      <c r="J340" s="15">
        <v>82</v>
      </c>
    </row>
    <row r="341" spans="1:10" x14ac:dyDescent="0.3">
      <c r="A341" s="15" t="s">
        <v>669</v>
      </c>
      <c r="B341" s="15" t="s">
        <v>11</v>
      </c>
      <c r="C341" s="15" t="s">
        <v>24</v>
      </c>
      <c r="D341" s="15" t="s">
        <v>13</v>
      </c>
      <c r="E341" s="15">
        <v>19</v>
      </c>
      <c r="F341" s="15">
        <v>9</v>
      </c>
      <c r="G341" s="15" t="s">
        <v>32</v>
      </c>
      <c r="H341" s="15" t="s">
        <v>40</v>
      </c>
      <c r="I341" s="15" t="s">
        <v>670</v>
      </c>
      <c r="J341" s="15">
        <v>51</v>
      </c>
    </row>
    <row r="342" spans="1:10" x14ac:dyDescent="0.3">
      <c r="A342" s="15" t="s">
        <v>671</v>
      </c>
      <c r="B342" s="15" t="s">
        <v>11</v>
      </c>
      <c r="C342" s="15" t="s">
        <v>36</v>
      </c>
      <c r="D342" s="15" t="s">
        <v>13</v>
      </c>
      <c r="E342" s="15">
        <v>14</v>
      </c>
      <c r="F342" s="15">
        <v>10</v>
      </c>
      <c r="G342" s="15" t="s">
        <v>32</v>
      </c>
      <c r="H342" s="15" t="s">
        <v>40</v>
      </c>
      <c r="I342" s="15" t="s">
        <v>672</v>
      </c>
      <c r="J342" s="15">
        <v>64</v>
      </c>
    </row>
    <row r="343" spans="1:10" x14ac:dyDescent="0.3">
      <c r="A343" s="15" t="s">
        <v>673</v>
      </c>
      <c r="B343" s="15" t="s">
        <v>11</v>
      </c>
      <c r="C343" s="15" t="s">
        <v>19</v>
      </c>
      <c r="D343" s="15" t="s">
        <v>31</v>
      </c>
      <c r="E343" s="15">
        <v>17</v>
      </c>
      <c r="F343" s="15">
        <v>10</v>
      </c>
      <c r="G343" s="15" t="s">
        <v>32</v>
      </c>
      <c r="H343" s="15" t="s">
        <v>46</v>
      </c>
      <c r="I343" s="15" t="s">
        <v>674</v>
      </c>
      <c r="J343" s="15">
        <v>85</v>
      </c>
    </row>
    <row r="344" spans="1:10" x14ac:dyDescent="0.3">
      <c r="A344" s="15" t="s">
        <v>675</v>
      </c>
      <c r="B344" s="15" t="s">
        <v>73</v>
      </c>
      <c r="C344" s="15" t="s">
        <v>24</v>
      </c>
      <c r="D344" s="15" t="s">
        <v>13</v>
      </c>
      <c r="E344" s="15">
        <v>19</v>
      </c>
      <c r="F344" s="15">
        <v>11</v>
      </c>
      <c r="G344" s="15" t="s">
        <v>14</v>
      </c>
      <c r="H344" s="15" t="s">
        <v>37</v>
      </c>
      <c r="I344" s="15" t="s">
        <v>676</v>
      </c>
      <c r="J344" s="15">
        <v>51</v>
      </c>
    </row>
    <row r="345" spans="1:10" x14ac:dyDescent="0.3">
      <c r="A345" s="15" t="s">
        <v>677</v>
      </c>
      <c r="B345" s="15" t="s">
        <v>23</v>
      </c>
      <c r="C345" s="15" t="s">
        <v>85</v>
      </c>
      <c r="D345" s="15" t="s">
        <v>13</v>
      </c>
      <c r="E345" s="15">
        <v>20</v>
      </c>
      <c r="F345" s="15">
        <v>10</v>
      </c>
      <c r="G345" s="15" t="s">
        <v>32</v>
      </c>
      <c r="H345" s="15" t="s">
        <v>40</v>
      </c>
      <c r="I345" s="15" t="s">
        <v>678</v>
      </c>
      <c r="J345" s="15">
        <v>56</v>
      </c>
    </row>
    <row r="346" spans="1:10" x14ac:dyDescent="0.3">
      <c r="A346" s="15" t="s">
        <v>679</v>
      </c>
      <c r="B346" s="15" t="s">
        <v>18</v>
      </c>
      <c r="C346" s="15" t="s">
        <v>96</v>
      </c>
      <c r="D346" s="15" t="s">
        <v>13</v>
      </c>
      <c r="E346" s="15">
        <v>14</v>
      </c>
      <c r="F346" s="15">
        <v>12</v>
      </c>
      <c r="G346" s="15" t="s">
        <v>32</v>
      </c>
      <c r="H346" s="15" t="s">
        <v>46</v>
      </c>
      <c r="I346" s="15" t="s">
        <v>680</v>
      </c>
      <c r="J346" s="15">
        <v>44</v>
      </c>
    </row>
    <row r="347" spans="1:10" x14ac:dyDescent="0.3">
      <c r="A347" s="15" t="s">
        <v>681</v>
      </c>
      <c r="B347" s="15" t="s">
        <v>35</v>
      </c>
      <c r="C347" s="15" t="s">
        <v>36</v>
      </c>
      <c r="D347" s="15" t="s">
        <v>13</v>
      </c>
      <c r="E347" s="15">
        <v>14</v>
      </c>
      <c r="F347" s="15">
        <v>9</v>
      </c>
      <c r="G347" s="15" t="s">
        <v>43</v>
      </c>
      <c r="H347" s="15" t="s">
        <v>46</v>
      </c>
      <c r="I347" s="15" t="s">
        <v>682</v>
      </c>
      <c r="J347" s="15">
        <v>67</v>
      </c>
    </row>
    <row r="348" spans="1:10" x14ac:dyDescent="0.3">
      <c r="A348" s="15" t="s">
        <v>683</v>
      </c>
      <c r="B348" s="15" t="s">
        <v>84</v>
      </c>
      <c r="C348" s="15" t="s">
        <v>55</v>
      </c>
      <c r="D348" s="15" t="s">
        <v>31</v>
      </c>
      <c r="E348" s="15">
        <v>16</v>
      </c>
      <c r="F348" s="15">
        <v>12</v>
      </c>
      <c r="G348" s="15" t="s">
        <v>14</v>
      </c>
      <c r="H348" s="15" t="s">
        <v>76</v>
      </c>
      <c r="I348" s="15" t="s">
        <v>125</v>
      </c>
      <c r="J348" s="15">
        <v>60</v>
      </c>
    </row>
    <row r="349" spans="1:10" x14ac:dyDescent="0.3">
      <c r="A349" s="15" t="s">
        <v>684</v>
      </c>
      <c r="B349" s="15" t="s">
        <v>54</v>
      </c>
      <c r="C349" s="15" t="s">
        <v>24</v>
      </c>
      <c r="D349" s="15" t="s">
        <v>31</v>
      </c>
      <c r="E349" s="15">
        <v>17</v>
      </c>
      <c r="F349" s="15">
        <v>10</v>
      </c>
      <c r="G349" s="15" t="s">
        <v>43</v>
      </c>
      <c r="H349" s="15" t="s">
        <v>46</v>
      </c>
      <c r="I349" s="15" t="s">
        <v>685</v>
      </c>
      <c r="J349" s="15">
        <v>74</v>
      </c>
    </row>
    <row r="350" spans="1:10" x14ac:dyDescent="0.3">
      <c r="A350" s="15" t="s">
        <v>686</v>
      </c>
      <c r="B350" s="15" t="s">
        <v>23</v>
      </c>
      <c r="C350" s="15" t="s">
        <v>96</v>
      </c>
      <c r="D350" s="15" t="s">
        <v>31</v>
      </c>
      <c r="E350" s="15">
        <v>16</v>
      </c>
      <c r="F350" s="15">
        <v>9</v>
      </c>
      <c r="G350" s="15" t="s">
        <v>25</v>
      </c>
      <c r="H350" s="15" t="s">
        <v>20</v>
      </c>
      <c r="I350" s="15" t="s">
        <v>277</v>
      </c>
      <c r="J350" s="15">
        <v>71</v>
      </c>
    </row>
    <row r="351" spans="1:10" x14ac:dyDescent="0.3">
      <c r="A351" s="15" t="s">
        <v>687</v>
      </c>
      <c r="B351" s="15" t="s">
        <v>84</v>
      </c>
      <c r="C351" s="15" t="s">
        <v>19</v>
      </c>
      <c r="D351" s="15" t="s">
        <v>13</v>
      </c>
      <c r="E351" s="15">
        <v>16</v>
      </c>
      <c r="F351" s="15">
        <v>10</v>
      </c>
      <c r="G351" s="15" t="s">
        <v>25</v>
      </c>
      <c r="H351" s="15" t="s">
        <v>46</v>
      </c>
      <c r="I351" s="15" t="s">
        <v>564</v>
      </c>
      <c r="J351" s="15">
        <v>52</v>
      </c>
    </row>
    <row r="352" spans="1:10" x14ac:dyDescent="0.3">
      <c r="A352" s="15" t="s">
        <v>688</v>
      </c>
      <c r="B352" s="15" t="s">
        <v>23</v>
      </c>
      <c r="C352" s="15" t="s">
        <v>96</v>
      </c>
      <c r="D352" s="15" t="s">
        <v>31</v>
      </c>
      <c r="E352" s="15">
        <v>19</v>
      </c>
      <c r="F352" s="15">
        <v>10</v>
      </c>
      <c r="G352" s="15" t="s">
        <v>25</v>
      </c>
      <c r="H352" s="15" t="s">
        <v>40</v>
      </c>
      <c r="I352" s="15" t="s">
        <v>195</v>
      </c>
      <c r="J352" s="15">
        <v>55</v>
      </c>
    </row>
    <row r="353" spans="1:10" x14ac:dyDescent="0.3">
      <c r="A353" s="15" t="s">
        <v>689</v>
      </c>
      <c r="B353" s="15" t="s">
        <v>68</v>
      </c>
      <c r="C353" s="15" t="s">
        <v>96</v>
      </c>
      <c r="D353" s="15" t="s">
        <v>13</v>
      </c>
      <c r="E353" s="15">
        <v>20</v>
      </c>
      <c r="F353" s="15">
        <v>12</v>
      </c>
      <c r="G353" s="15" t="s">
        <v>43</v>
      </c>
      <c r="H353" s="15" t="s">
        <v>20</v>
      </c>
      <c r="I353" s="15" t="s">
        <v>626</v>
      </c>
      <c r="J353" s="15">
        <v>48</v>
      </c>
    </row>
    <row r="354" spans="1:10" x14ac:dyDescent="0.3">
      <c r="A354" s="15" t="s">
        <v>690</v>
      </c>
      <c r="B354" s="15" t="s">
        <v>23</v>
      </c>
      <c r="C354" s="15" t="s">
        <v>85</v>
      </c>
      <c r="D354" s="15" t="s">
        <v>13</v>
      </c>
      <c r="E354" s="15">
        <v>19</v>
      </c>
      <c r="F354" s="15">
        <v>9</v>
      </c>
      <c r="G354" s="15" t="s">
        <v>14</v>
      </c>
      <c r="H354" s="15" t="s">
        <v>76</v>
      </c>
      <c r="I354" s="15" t="s">
        <v>635</v>
      </c>
      <c r="J354" s="15">
        <v>91</v>
      </c>
    </row>
    <row r="355" spans="1:10" x14ac:dyDescent="0.3">
      <c r="A355" s="15" t="s">
        <v>691</v>
      </c>
      <c r="B355" s="15" t="s">
        <v>84</v>
      </c>
      <c r="C355" s="15" t="s">
        <v>55</v>
      </c>
      <c r="D355" s="15" t="s">
        <v>13</v>
      </c>
      <c r="E355" s="15">
        <v>16</v>
      </c>
      <c r="F355" s="15">
        <v>10</v>
      </c>
      <c r="G355" s="15" t="s">
        <v>43</v>
      </c>
      <c r="H355" s="15" t="s">
        <v>46</v>
      </c>
      <c r="I355" s="15" t="s">
        <v>692</v>
      </c>
      <c r="J355" s="15">
        <v>91</v>
      </c>
    </row>
    <row r="356" spans="1:10" x14ac:dyDescent="0.3">
      <c r="A356" s="15" t="s">
        <v>693</v>
      </c>
      <c r="B356" s="15" t="s">
        <v>73</v>
      </c>
      <c r="C356" s="15" t="s">
        <v>58</v>
      </c>
      <c r="D356" s="15" t="s">
        <v>31</v>
      </c>
      <c r="E356" s="15">
        <v>16</v>
      </c>
      <c r="F356" s="15">
        <v>11</v>
      </c>
      <c r="G356" s="15" t="s">
        <v>25</v>
      </c>
      <c r="H356" s="15" t="s">
        <v>37</v>
      </c>
      <c r="I356" s="15" t="s">
        <v>694</v>
      </c>
      <c r="J356" s="15">
        <v>65</v>
      </c>
    </row>
    <row r="357" spans="1:10" x14ac:dyDescent="0.3">
      <c r="A357" s="15" t="s">
        <v>695</v>
      </c>
      <c r="B357" s="15" t="s">
        <v>51</v>
      </c>
      <c r="C357" s="15" t="s">
        <v>24</v>
      </c>
      <c r="D357" s="15" t="s">
        <v>13</v>
      </c>
      <c r="E357" s="15">
        <v>17</v>
      </c>
      <c r="F357" s="15">
        <v>9</v>
      </c>
      <c r="G357" s="15" t="s">
        <v>32</v>
      </c>
      <c r="H357" s="15" t="s">
        <v>15</v>
      </c>
      <c r="I357" s="15" t="s">
        <v>696</v>
      </c>
      <c r="J357" s="15">
        <v>69</v>
      </c>
    </row>
    <row r="358" spans="1:10" x14ac:dyDescent="0.3">
      <c r="A358" s="15" t="s">
        <v>697</v>
      </c>
      <c r="B358" s="15" t="s">
        <v>29</v>
      </c>
      <c r="C358" s="15" t="s">
        <v>30</v>
      </c>
      <c r="D358" s="15" t="s">
        <v>31</v>
      </c>
      <c r="E358" s="15">
        <v>19</v>
      </c>
      <c r="F358" s="15">
        <v>10</v>
      </c>
      <c r="G358" s="15" t="s">
        <v>25</v>
      </c>
      <c r="H358" s="15" t="s">
        <v>61</v>
      </c>
      <c r="I358" s="15" t="s">
        <v>698</v>
      </c>
      <c r="J358" s="15">
        <v>75</v>
      </c>
    </row>
    <row r="359" spans="1:10" x14ac:dyDescent="0.3">
      <c r="A359" s="15" t="s">
        <v>699</v>
      </c>
      <c r="B359" s="15" t="s">
        <v>11</v>
      </c>
      <c r="C359" s="15" t="s">
        <v>30</v>
      </c>
      <c r="D359" s="15" t="s">
        <v>31</v>
      </c>
      <c r="E359" s="15">
        <v>16</v>
      </c>
      <c r="F359" s="15">
        <v>11</v>
      </c>
      <c r="G359" s="15" t="s">
        <v>43</v>
      </c>
      <c r="H359" s="15" t="s">
        <v>40</v>
      </c>
      <c r="I359" s="15" t="s">
        <v>97</v>
      </c>
      <c r="J359" s="15">
        <v>72</v>
      </c>
    </row>
    <row r="360" spans="1:10" x14ac:dyDescent="0.3">
      <c r="A360" s="15" t="s">
        <v>700</v>
      </c>
      <c r="B360" s="15" t="s">
        <v>23</v>
      </c>
      <c r="C360" s="15" t="s">
        <v>55</v>
      </c>
      <c r="D360" s="15" t="s">
        <v>31</v>
      </c>
      <c r="E360" s="15">
        <v>20</v>
      </c>
      <c r="F360" s="15">
        <v>10</v>
      </c>
      <c r="G360" s="15" t="s">
        <v>14</v>
      </c>
      <c r="H360" s="15" t="s">
        <v>15</v>
      </c>
      <c r="I360" s="15" t="s">
        <v>678</v>
      </c>
      <c r="J360" s="15">
        <v>59</v>
      </c>
    </row>
    <row r="361" spans="1:10" x14ac:dyDescent="0.3">
      <c r="A361" s="15" t="s">
        <v>701</v>
      </c>
      <c r="B361" s="15" t="s">
        <v>54</v>
      </c>
      <c r="C361" s="15" t="s">
        <v>30</v>
      </c>
      <c r="D361" s="15" t="s">
        <v>31</v>
      </c>
      <c r="E361" s="15">
        <v>15</v>
      </c>
      <c r="F361" s="15">
        <v>11</v>
      </c>
      <c r="G361" s="15" t="s">
        <v>14</v>
      </c>
      <c r="H361" s="15" t="s">
        <v>76</v>
      </c>
      <c r="I361" s="15" t="s">
        <v>702</v>
      </c>
      <c r="J361" s="15">
        <v>42</v>
      </c>
    </row>
    <row r="362" spans="1:10" x14ac:dyDescent="0.3">
      <c r="A362" s="15" t="s">
        <v>703</v>
      </c>
      <c r="B362" s="15" t="s">
        <v>73</v>
      </c>
      <c r="C362" s="15" t="s">
        <v>30</v>
      </c>
      <c r="D362" s="15" t="s">
        <v>31</v>
      </c>
      <c r="E362" s="15">
        <v>17</v>
      </c>
      <c r="F362" s="15">
        <v>12</v>
      </c>
      <c r="G362" s="15" t="s">
        <v>32</v>
      </c>
      <c r="H362" s="15" t="s">
        <v>40</v>
      </c>
      <c r="I362" s="15" t="s">
        <v>704</v>
      </c>
      <c r="J362" s="15">
        <v>93</v>
      </c>
    </row>
    <row r="363" spans="1:10" x14ac:dyDescent="0.3">
      <c r="A363" s="15" t="s">
        <v>705</v>
      </c>
      <c r="B363" s="15" t="s">
        <v>84</v>
      </c>
      <c r="C363" s="15" t="s">
        <v>55</v>
      </c>
      <c r="D363" s="15" t="s">
        <v>31</v>
      </c>
      <c r="E363" s="15">
        <v>14</v>
      </c>
      <c r="F363" s="15">
        <v>12</v>
      </c>
      <c r="G363" s="15" t="s">
        <v>43</v>
      </c>
      <c r="H363" s="15" t="s">
        <v>76</v>
      </c>
      <c r="I363" s="15" t="s">
        <v>706</v>
      </c>
      <c r="J363" s="15">
        <v>63</v>
      </c>
    </row>
    <row r="364" spans="1:10" x14ac:dyDescent="0.3">
      <c r="A364" s="15" t="s">
        <v>707</v>
      </c>
      <c r="B364" s="15" t="s">
        <v>68</v>
      </c>
      <c r="C364" s="15" t="s">
        <v>96</v>
      </c>
      <c r="D364" s="15" t="s">
        <v>31</v>
      </c>
      <c r="E364" s="15">
        <v>20</v>
      </c>
      <c r="F364" s="15">
        <v>12</v>
      </c>
      <c r="G364" s="15" t="s">
        <v>43</v>
      </c>
      <c r="H364" s="15" t="s">
        <v>37</v>
      </c>
      <c r="I364" s="15" t="s">
        <v>708</v>
      </c>
      <c r="J364" s="15">
        <v>35</v>
      </c>
    </row>
    <row r="365" spans="1:10" x14ac:dyDescent="0.3">
      <c r="A365" s="15" t="s">
        <v>709</v>
      </c>
      <c r="B365" s="15" t="s">
        <v>54</v>
      </c>
      <c r="C365" s="15" t="s">
        <v>19</v>
      </c>
      <c r="D365" s="15" t="s">
        <v>31</v>
      </c>
      <c r="E365" s="15">
        <v>18</v>
      </c>
      <c r="F365" s="15">
        <v>10</v>
      </c>
      <c r="G365" s="15" t="s">
        <v>43</v>
      </c>
      <c r="H365" s="15" t="s">
        <v>37</v>
      </c>
      <c r="I365" s="15" t="s">
        <v>710</v>
      </c>
      <c r="J365" s="15">
        <v>89</v>
      </c>
    </row>
    <row r="366" spans="1:10" x14ac:dyDescent="0.3">
      <c r="A366" s="15" t="s">
        <v>711</v>
      </c>
      <c r="B366" s="15" t="s">
        <v>29</v>
      </c>
      <c r="C366" s="15" t="s">
        <v>79</v>
      </c>
      <c r="D366" s="15" t="s">
        <v>13</v>
      </c>
      <c r="E366" s="15">
        <v>14</v>
      </c>
      <c r="F366" s="15">
        <v>9</v>
      </c>
      <c r="G366" s="15" t="s">
        <v>32</v>
      </c>
      <c r="H366" s="15" t="s">
        <v>15</v>
      </c>
      <c r="I366" s="15" t="s">
        <v>712</v>
      </c>
      <c r="J366" s="15">
        <v>72</v>
      </c>
    </row>
    <row r="367" spans="1:10" x14ac:dyDescent="0.3">
      <c r="A367" s="15" t="s">
        <v>713</v>
      </c>
      <c r="B367" s="15" t="s">
        <v>29</v>
      </c>
      <c r="C367" s="15" t="s">
        <v>24</v>
      </c>
      <c r="D367" s="15" t="s">
        <v>31</v>
      </c>
      <c r="E367" s="15">
        <v>16</v>
      </c>
      <c r="F367" s="15">
        <v>12</v>
      </c>
      <c r="G367" s="15" t="s">
        <v>32</v>
      </c>
      <c r="H367" s="15" t="s">
        <v>26</v>
      </c>
      <c r="I367" s="15" t="s">
        <v>714</v>
      </c>
      <c r="J367" s="15">
        <v>57</v>
      </c>
    </row>
    <row r="368" spans="1:10" x14ac:dyDescent="0.3">
      <c r="A368" s="15" t="s">
        <v>715</v>
      </c>
      <c r="B368" s="15" t="s">
        <v>51</v>
      </c>
      <c r="C368" s="15" t="s">
        <v>79</v>
      </c>
      <c r="D368" s="15" t="s">
        <v>13</v>
      </c>
      <c r="E368" s="15">
        <v>19</v>
      </c>
      <c r="F368" s="15">
        <v>10</v>
      </c>
      <c r="G368" s="15" t="s">
        <v>32</v>
      </c>
      <c r="H368" s="15" t="s">
        <v>40</v>
      </c>
      <c r="I368" s="15" t="s">
        <v>702</v>
      </c>
      <c r="J368" s="15">
        <v>84</v>
      </c>
    </row>
    <row r="369" spans="1:10" x14ac:dyDescent="0.3">
      <c r="A369" s="15" t="s">
        <v>716</v>
      </c>
      <c r="B369" s="15" t="s">
        <v>23</v>
      </c>
      <c r="C369" s="15" t="s">
        <v>58</v>
      </c>
      <c r="D369" s="15" t="s">
        <v>31</v>
      </c>
      <c r="E369" s="15">
        <v>17</v>
      </c>
      <c r="F369" s="15">
        <v>9</v>
      </c>
      <c r="G369" s="15" t="s">
        <v>25</v>
      </c>
      <c r="H369" s="15" t="s">
        <v>15</v>
      </c>
      <c r="I369" s="15" t="s">
        <v>717</v>
      </c>
      <c r="J369" s="15">
        <v>51</v>
      </c>
    </row>
    <row r="370" spans="1:10" x14ac:dyDescent="0.3">
      <c r="A370" s="15" t="s">
        <v>718</v>
      </c>
      <c r="B370" s="15" t="s">
        <v>84</v>
      </c>
      <c r="C370" s="15" t="s">
        <v>12</v>
      </c>
      <c r="D370" s="15" t="s">
        <v>31</v>
      </c>
      <c r="E370" s="15">
        <v>20</v>
      </c>
      <c r="F370" s="15">
        <v>10</v>
      </c>
      <c r="G370" s="15" t="s">
        <v>25</v>
      </c>
      <c r="H370" s="15" t="s">
        <v>61</v>
      </c>
      <c r="I370" s="15" t="s">
        <v>639</v>
      </c>
      <c r="J370" s="15">
        <v>35</v>
      </c>
    </row>
    <row r="371" spans="1:10" x14ac:dyDescent="0.3">
      <c r="A371" s="15" t="s">
        <v>719</v>
      </c>
      <c r="B371" s="15" t="s">
        <v>18</v>
      </c>
      <c r="C371" s="15" t="s">
        <v>24</v>
      </c>
      <c r="D371" s="15" t="s">
        <v>31</v>
      </c>
      <c r="E371" s="15">
        <v>18</v>
      </c>
      <c r="F371" s="15">
        <v>11</v>
      </c>
      <c r="G371" s="15" t="s">
        <v>43</v>
      </c>
      <c r="H371" s="15" t="s">
        <v>40</v>
      </c>
      <c r="I371" s="15" t="s">
        <v>720</v>
      </c>
      <c r="J371" s="15">
        <v>83</v>
      </c>
    </row>
    <row r="372" spans="1:10" x14ac:dyDescent="0.3">
      <c r="A372" s="15" t="s">
        <v>721</v>
      </c>
      <c r="B372" s="15" t="s">
        <v>23</v>
      </c>
      <c r="C372" s="15" t="s">
        <v>19</v>
      </c>
      <c r="D372" s="15" t="s">
        <v>31</v>
      </c>
      <c r="E372" s="15">
        <v>18</v>
      </c>
      <c r="F372" s="15">
        <v>10</v>
      </c>
      <c r="G372" s="15" t="s">
        <v>14</v>
      </c>
      <c r="H372" s="15" t="s">
        <v>26</v>
      </c>
      <c r="I372" s="15" t="s">
        <v>722</v>
      </c>
      <c r="J372" s="15">
        <v>43</v>
      </c>
    </row>
    <row r="373" spans="1:10" x14ac:dyDescent="0.3">
      <c r="A373" s="15" t="s">
        <v>723</v>
      </c>
      <c r="B373" s="15" t="s">
        <v>68</v>
      </c>
      <c r="C373" s="15" t="s">
        <v>79</v>
      </c>
      <c r="D373" s="15" t="s">
        <v>31</v>
      </c>
      <c r="E373" s="15">
        <v>19</v>
      </c>
      <c r="F373" s="15">
        <v>12</v>
      </c>
      <c r="G373" s="15" t="s">
        <v>25</v>
      </c>
      <c r="H373" s="15" t="s">
        <v>40</v>
      </c>
      <c r="I373" s="15" t="s">
        <v>724</v>
      </c>
      <c r="J373" s="15">
        <v>65</v>
      </c>
    </row>
    <row r="374" spans="1:10" x14ac:dyDescent="0.3">
      <c r="A374" s="15" t="s">
        <v>725</v>
      </c>
      <c r="B374" s="15" t="s">
        <v>11</v>
      </c>
      <c r="C374" s="15" t="s">
        <v>55</v>
      </c>
      <c r="D374" s="15" t="s">
        <v>31</v>
      </c>
      <c r="E374" s="15">
        <v>15</v>
      </c>
      <c r="F374" s="15">
        <v>9</v>
      </c>
      <c r="G374" s="15" t="s">
        <v>25</v>
      </c>
      <c r="H374" s="15" t="s">
        <v>37</v>
      </c>
      <c r="I374" s="15" t="s">
        <v>726</v>
      </c>
      <c r="J374" s="15">
        <v>72</v>
      </c>
    </row>
    <row r="375" spans="1:10" x14ac:dyDescent="0.3">
      <c r="A375" s="15" t="s">
        <v>727</v>
      </c>
      <c r="B375" s="15" t="s">
        <v>68</v>
      </c>
      <c r="C375" s="15" t="s">
        <v>12</v>
      </c>
      <c r="D375" s="15" t="s">
        <v>13</v>
      </c>
      <c r="E375" s="15">
        <v>14</v>
      </c>
      <c r="F375" s="15">
        <v>9</v>
      </c>
      <c r="G375" s="15" t="s">
        <v>14</v>
      </c>
      <c r="H375" s="15" t="s">
        <v>20</v>
      </c>
      <c r="I375" s="15" t="s">
        <v>728</v>
      </c>
      <c r="J375" s="15">
        <v>68</v>
      </c>
    </row>
    <row r="376" spans="1:10" x14ac:dyDescent="0.3">
      <c r="A376" s="15" t="s">
        <v>729</v>
      </c>
      <c r="B376" s="15" t="s">
        <v>35</v>
      </c>
      <c r="C376" s="15" t="s">
        <v>79</v>
      </c>
      <c r="D376" s="15" t="s">
        <v>13</v>
      </c>
      <c r="E376" s="15">
        <v>15</v>
      </c>
      <c r="F376" s="15">
        <v>9</v>
      </c>
      <c r="G376" s="15" t="s">
        <v>43</v>
      </c>
      <c r="H376" s="15" t="s">
        <v>76</v>
      </c>
      <c r="I376" s="15" t="s">
        <v>730</v>
      </c>
      <c r="J376" s="15">
        <v>39</v>
      </c>
    </row>
    <row r="377" spans="1:10" x14ac:dyDescent="0.3">
      <c r="A377" s="15" t="s">
        <v>731</v>
      </c>
      <c r="B377" s="15" t="s">
        <v>84</v>
      </c>
      <c r="C377" s="15" t="s">
        <v>85</v>
      </c>
      <c r="D377" s="15" t="s">
        <v>31</v>
      </c>
      <c r="E377" s="15">
        <v>17</v>
      </c>
      <c r="F377" s="15">
        <v>9</v>
      </c>
      <c r="G377" s="15" t="s">
        <v>43</v>
      </c>
      <c r="H377" s="15" t="s">
        <v>76</v>
      </c>
      <c r="I377" s="15" t="s">
        <v>732</v>
      </c>
      <c r="J377" s="15">
        <v>97</v>
      </c>
    </row>
    <row r="378" spans="1:10" x14ac:dyDescent="0.3">
      <c r="A378" s="15" t="s">
        <v>733</v>
      </c>
      <c r="B378" s="15" t="s">
        <v>84</v>
      </c>
      <c r="C378" s="15" t="s">
        <v>85</v>
      </c>
      <c r="D378" s="15" t="s">
        <v>31</v>
      </c>
      <c r="E378" s="15">
        <v>17</v>
      </c>
      <c r="F378" s="15">
        <v>12</v>
      </c>
      <c r="G378" s="15" t="s">
        <v>43</v>
      </c>
      <c r="H378" s="15" t="s">
        <v>15</v>
      </c>
      <c r="I378" s="15" t="s">
        <v>734</v>
      </c>
      <c r="J378" s="15">
        <v>77</v>
      </c>
    </row>
    <row r="379" spans="1:10" x14ac:dyDescent="0.3">
      <c r="A379" s="15" t="s">
        <v>735</v>
      </c>
      <c r="B379" s="15" t="s">
        <v>68</v>
      </c>
      <c r="C379" s="15" t="s">
        <v>24</v>
      </c>
      <c r="D379" s="15" t="s">
        <v>31</v>
      </c>
      <c r="E379" s="15">
        <v>16</v>
      </c>
      <c r="F379" s="15">
        <v>12</v>
      </c>
      <c r="G379" s="15" t="s">
        <v>43</v>
      </c>
      <c r="H379" s="15" t="s">
        <v>26</v>
      </c>
      <c r="I379" s="15" t="s">
        <v>736</v>
      </c>
      <c r="J379" s="15">
        <v>85</v>
      </c>
    </row>
    <row r="380" spans="1:10" x14ac:dyDescent="0.3">
      <c r="A380" s="15" t="s">
        <v>737</v>
      </c>
      <c r="B380" s="15" t="s">
        <v>54</v>
      </c>
      <c r="C380" s="15" t="s">
        <v>96</v>
      </c>
      <c r="D380" s="15" t="s">
        <v>13</v>
      </c>
      <c r="E380" s="15">
        <v>19</v>
      </c>
      <c r="F380" s="15">
        <v>12</v>
      </c>
      <c r="G380" s="15" t="s">
        <v>25</v>
      </c>
      <c r="H380" s="15" t="s">
        <v>20</v>
      </c>
      <c r="I380" s="15" t="s">
        <v>738</v>
      </c>
      <c r="J380" s="15">
        <v>85</v>
      </c>
    </row>
    <row r="381" spans="1:10" x14ac:dyDescent="0.3">
      <c r="A381" s="15" t="s">
        <v>739</v>
      </c>
      <c r="B381" s="15" t="s">
        <v>18</v>
      </c>
      <c r="C381" s="15" t="s">
        <v>79</v>
      </c>
      <c r="D381" s="15" t="s">
        <v>31</v>
      </c>
      <c r="E381" s="15">
        <v>14</v>
      </c>
      <c r="F381" s="15">
        <v>10</v>
      </c>
      <c r="G381" s="15" t="s">
        <v>32</v>
      </c>
      <c r="H381" s="15" t="s">
        <v>20</v>
      </c>
      <c r="I381" s="15" t="s">
        <v>740</v>
      </c>
      <c r="J381" s="15">
        <v>99</v>
      </c>
    </row>
    <row r="382" spans="1:10" x14ac:dyDescent="0.3">
      <c r="A382" s="15" t="s">
        <v>741</v>
      </c>
      <c r="B382" s="15" t="s">
        <v>54</v>
      </c>
      <c r="C382" s="15" t="s">
        <v>24</v>
      </c>
      <c r="D382" s="15" t="s">
        <v>13</v>
      </c>
      <c r="E382" s="15">
        <v>14</v>
      </c>
      <c r="F382" s="15">
        <v>9</v>
      </c>
      <c r="G382" s="15" t="s">
        <v>14</v>
      </c>
      <c r="H382" s="15" t="s">
        <v>76</v>
      </c>
      <c r="I382" s="15" t="s">
        <v>742</v>
      </c>
      <c r="J382" s="15">
        <v>55</v>
      </c>
    </row>
    <row r="383" spans="1:10" x14ac:dyDescent="0.3">
      <c r="A383" s="15" t="s">
        <v>743</v>
      </c>
      <c r="B383" s="15" t="s">
        <v>84</v>
      </c>
      <c r="C383" s="15" t="s">
        <v>19</v>
      </c>
      <c r="D383" s="15" t="s">
        <v>13</v>
      </c>
      <c r="E383" s="15">
        <v>15</v>
      </c>
      <c r="F383" s="15">
        <v>10</v>
      </c>
      <c r="G383" s="15" t="s">
        <v>43</v>
      </c>
      <c r="H383" s="15" t="s">
        <v>26</v>
      </c>
      <c r="I383" s="15" t="s">
        <v>744</v>
      </c>
      <c r="J383" s="15">
        <v>60</v>
      </c>
    </row>
    <row r="384" spans="1:10" x14ac:dyDescent="0.3">
      <c r="A384" s="15" t="s">
        <v>745</v>
      </c>
      <c r="B384" s="15" t="s">
        <v>73</v>
      </c>
      <c r="C384" s="15" t="s">
        <v>36</v>
      </c>
      <c r="D384" s="15" t="s">
        <v>13</v>
      </c>
      <c r="E384" s="15">
        <v>16</v>
      </c>
      <c r="F384" s="15">
        <v>9</v>
      </c>
      <c r="G384" s="15" t="s">
        <v>32</v>
      </c>
      <c r="H384" s="15" t="s">
        <v>76</v>
      </c>
      <c r="I384" s="15" t="s">
        <v>746</v>
      </c>
      <c r="J384" s="15">
        <v>38</v>
      </c>
    </row>
    <row r="385" spans="1:10" x14ac:dyDescent="0.3">
      <c r="A385" s="15" t="s">
        <v>747</v>
      </c>
      <c r="B385" s="15" t="s">
        <v>51</v>
      </c>
      <c r="C385" s="15" t="s">
        <v>96</v>
      </c>
      <c r="D385" s="15" t="s">
        <v>13</v>
      </c>
      <c r="E385" s="15">
        <v>17</v>
      </c>
      <c r="F385" s="15">
        <v>12</v>
      </c>
      <c r="G385" s="15" t="s">
        <v>14</v>
      </c>
      <c r="H385" s="15" t="s">
        <v>26</v>
      </c>
      <c r="I385" s="15" t="s">
        <v>748</v>
      </c>
      <c r="J385" s="15">
        <v>67</v>
      </c>
    </row>
    <row r="386" spans="1:10" x14ac:dyDescent="0.3">
      <c r="A386" s="15" t="s">
        <v>749</v>
      </c>
      <c r="B386" s="15" t="s">
        <v>84</v>
      </c>
      <c r="C386" s="15" t="s">
        <v>30</v>
      </c>
      <c r="D386" s="15" t="s">
        <v>13</v>
      </c>
      <c r="E386" s="15">
        <v>15</v>
      </c>
      <c r="F386" s="15">
        <v>12</v>
      </c>
      <c r="G386" s="15" t="s">
        <v>25</v>
      </c>
      <c r="H386" s="15" t="s">
        <v>61</v>
      </c>
      <c r="I386" s="15" t="s">
        <v>750</v>
      </c>
      <c r="J386" s="15">
        <v>95</v>
      </c>
    </row>
    <row r="387" spans="1:10" x14ac:dyDescent="0.3">
      <c r="A387" s="15" t="s">
        <v>751</v>
      </c>
      <c r="B387" s="15" t="s">
        <v>73</v>
      </c>
      <c r="C387" s="15" t="s">
        <v>79</v>
      </c>
      <c r="D387" s="15" t="s">
        <v>31</v>
      </c>
      <c r="E387" s="15">
        <v>20</v>
      </c>
      <c r="F387" s="15">
        <v>12</v>
      </c>
      <c r="G387" s="15" t="s">
        <v>25</v>
      </c>
      <c r="H387" s="15" t="s">
        <v>76</v>
      </c>
      <c r="I387" s="15" t="s">
        <v>752</v>
      </c>
      <c r="J387" s="15">
        <v>91</v>
      </c>
    </row>
    <row r="388" spans="1:10" x14ac:dyDescent="0.3">
      <c r="A388" s="15" t="s">
        <v>753</v>
      </c>
      <c r="B388" s="15" t="s">
        <v>73</v>
      </c>
      <c r="C388" s="15" t="s">
        <v>24</v>
      </c>
      <c r="D388" s="15" t="s">
        <v>13</v>
      </c>
      <c r="E388" s="15">
        <v>18</v>
      </c>
      <c r="F388" s="15">
        <v>11</v>
      </c>
      <c r="G388" s="15" t="s">
        <v>32</v>
      </c>
      <c r="H388" s="15" t="s">
        <v>40</v>
      </c>
      <c r="I388" s="15" t="s">
        <v>313</v>
      </c>
      <c r="J388" s="15">
        <v>58</v>
      </c>
    </row>
    <row r="389" spans="1:10" x14ac:dyDescent="0.3">
      <c r="A389" s="15" t="s">
        <v>754</v>
      </c>
      <c r="B389" s="15" t="s">
        <v>54</v>
      </c>
      <c r="C389" s="15" t="s">
        <v>12</v>
      </c>
      <c r="D389" s="15" t="s">
        <v>13</v>
      </c>
      <c r="E389" s="15">
        <v>14</v>
      </c>
      <c r="F389" s="15">
        <v>12</v>
      </c>
      <c r="G389" s="15" t="s">
        <v>32</v>
      </c>
      <c r="H389" s="15" t="s">
        <v>20</v>
      </c>
      <c r="I389" s="15" t="s">
        <v>755</v>
      </c>
      <c r="J389" s="15">
        <v>98</v>
      </c>
    </row>
    <row r="390" spans="1:10" x14ac:dyDescent="0.3">
      <c r="A390" s="15" t="s">
        <v>756</v>
      </c>
      <c r="B390" s="15" t="s">
        <v>11</v>
      </c>
      <c r="C390" s="15" t="s">
        <v>30</v>
      </c>
      <c r="D390" s="15" t="s">
        <v>13</v>
      </c>
      <c r="E390" s="15">
        <v>15</v>
      </c>
      <c r="F390" s="15">
        <v>11</v>
      </c>
      <c r="G390" s="15" t="s">
        <v>14</v>
      </c>
      <c r="H390" s="15" t="s">
        <v>76</v>
      </c>
      <c r="I390" s="15" t="s">
        <v>757</v>
      </c>
      <c r="J390" s="15">
        <v>39</v>
      </c>
    </row>
    <row r="391" spans="1:10" x14ac:dyDescent="0.3">
      <c r="A391" s="15" t="s">
        <v>758</v>
      </c>
      <c r="B391" s="15" t="s">
        <v>73</v>
      </c>
      <c r="C391" s="15" t="s">
        <v>12</v>
      </c>
      <c r="D391" s="15" t="s">
        <v>31</v>
      </c>
      <c r="E391" s="15">
        <v>16</v>
      </c>
      <c r="F391" s="15">
        <v>11</v>
      </c>
      <c r="G391" s="15" t="s">
        <v>43</v>
      </c>
      <c r="H391" s="15" t="s">
        <v>40</v>
      </c>
      <c r="I391" s="15" t="s">
        <v>759</v>
      </c>
      <c r="J391" s="15">
        <v>70</v>
      </c>
    </row>
    <row r="392" spans="1:10" x14ac:dyDescent="0.3">
      <c r="A392" s="15" t="s">
        <v>760</v>
      </c>
      <c r="B392" s="15" t="s">
        <v>84</v>
      </c>
      <c r="C392" s="15" t="s">
        <v>96</v>
      </c>
      <c r="D392" s="15" t="s">
        <v>31</v>
      </c>
      <c r="E392" s="15">
        <v>16</v>
      </c>
      <c r="F392" s="15">
        <v>11</v>
      </c>
      <c r="G392" s="15" t="s">
        <v>32</v>
      </c>
      <c r="H392" s="15" t="s">
        <v>76</v>
      </c>
      <c r="I392" s="15" t="s">
        <v>761</v>
      </c>
      <c r="J392" s="15">
        <v>83</v>
      </c>
    </row>
    <row r="393" spans="1:10" x14ac:dyDescent="0.3">
      <c r="A393" s="15" t="s">
        <v>762</v>
      </c>
      <c r="B393" s="15" t="s">
        <v>68</v>
      </c>
      <c r="C393" s="15" t="s">
        <v>85</v>
      </c>
      <c r="D393" s="15" t="s">
        <v>31</v>
      </c>
      <c r="E393" s="15">
        <v>20</v>
      </c>
      <c r="F393" s="15">
        <v>12</v>
      </c>
      <c r="G393" s="15" t="s">
        <v>43</v>
      </c>
      <c r="H393" s="15" t="s">
        <v>20</v>
      </c>
      <c r="I393" s="15" t="s">
        <v>763</v>
      </c>
      <c r="J393" s="15">
        <v>82</v>
      </c>
    </row>
    <row r="394" spans="1:10" x14ac:dyDescent="0.3">
      <c r="A394" s="15" t="s">
        <v>764</v>
      </c>
      <c r="B394" s="15" t="s">
        <v>18</v>
      </c>
      <c r="C394" s="15" t="s">
        <v>55</v>
      </c>
      <c r="D394" s="15" t="s">
        <v>13</v>
      </c>
      <c r="E394" s="15">
        <v>16</v>
      </c>
      <c r="F394" s="15">
        <v>12</v>
      </c>
      <c r="G394" s="15" t="s">
        <v>14</v>
      </c>
      <c r="H394" s="15" t="s">
        <v>40</v>
      </c>
      <c r="I394" s="15" t="s">
        <v>765</v>
      </c>
      <c r="J394" s="15">
        <v>61</v>
      </c>
    </row>
    <row r="395" spans="1:10" x14ac:dyDescent="0.3">
      <c r="A395" s="15" t="s">
        <v>766</v>
      </c>
      <c r="B395" s="15" t="s">
        <v>35</v>
      </c>
      <c r="C395" s="15" t="s">
        <v>58</v>
      </c>
      <c r="D395" s="15" t="s">
        <v>13</v>
      </c>
      <c r="E395" s="15">
        <v>20</v>
      </c>
      <c r="F395" s="15">
        <v>11</v>
      </c>
      <c r="G395" s="15" t="s">
        <v>32</v>
      </c>
      <c r="H395" s="15" t="s">
        <v>46</v>
      </c>
      <c r="I395" s="15" t="s">
        <v>767</v>
      </c>
      <c r="J395" s="15">
        <v>54</v>
      </c>
    </row>
    <row r="396" spans="1:10" x14ac:dyDescent="0.3">
      <c r="A396" s="15" t="s">
        <v>768</v>
      </c>
      <c r="B396" s="15" t="s">
        <v>23</v>
      </c>
      <c r="C396" s="15" t="s">
        <v>24</v>
      </c>
      <c r="D396" s="15" t="s">
        <v>13</v>
      </c>
      <c r="E396" s="15">
        <v>17</v>
      </c>
      <c r="F396" s="15">
        <v>11</v>
      </c>
      <c r="G396" s="15" t="s">
        <v>25</v>
      </c>
      <c r="H396" s="15" t="s">
        <v>40</v>
      </c>
      <c r="I396" s="15" t="s">
        <v>258</v>
      </c>
      <c r="J396" s="15">
        <v>61</v>
      </c>
    </row>
    <row r="397" spans="1:10" x14ac:dyDescent="0.3">
      <c r="A397" s="15" t="s">
        <v>769</v>
      </c>
      <c r="B397" s="15" t="s">
        <v>35</v>
      </c>
      <c r="C397" s="15" t="s">
        <v>30</v>
      </c>
      <c r="D397" s="15" t="s">
        <v>13</v>
      </c>
      <c r="E397" s="15">
        <v>16</v>
      </c>
      <c r="F397" s="15">
        <v>11</v>
      </c>
      <c r="G397" s="15" t="s">
        <v>32</v>
      </c>
      <c r="H397" s="15" t="s">
        <v>46</v>
      </c>
      <c r="I397" s="15" t="s">
        <v>770</v>
      </c>
      <c r="J397" s="15">
        <v>85</v>
      </c>
    </row>
    <row r="398" spans="1:10" x14ac:dyDescent="0.3">
      <c r="A398" s="15" t="s">
        <v>771</v>
      </c>
      <c r="B398" s="15" t="s">
        <v>23</v>
      </c>
      <c r="C398" s="15" t="s">
        <v>24</v>
      </c>
      <c r="D398" s="15" t="s">
        <v>31</v>
      </c>
      <c r="E398" s="15">
        <v>18</v>
      </c>
      <c r="F398" s="15">
        <v>11</v>
      </c>
      <c r="G398" s="15" t="s">
        <v>25</v>
      </c>
      <c r="H398" s="15" t="s">
        <v>46</v>
      </c>
      <c r="I398" s="15" t="s">
        <v>772</v>
      </c>
      <c r="J398" s="15">
        <v>89</v>
      </c>
    </row>
    <row r="399" spans="1:10" x14ac:dyDescent="0.3">
      <c r="A399" s="15" t="s">
        <v>773</v>
      </c>
      <c r="B399" s="15" t="s">
        <v>68</v>
      </c>
      <c r="C399" s="15" t="s">
        <v>19</v>
      </c>
      <c r="D399" s="15" t="s">
        <v>13</v>
      </c>
      <c r="E399" s="15">
        <v>14</v>
      </c>
      <c r="F399" s="15">
        <v>11</v>
      </c>
      <c r="G399" s="15" t="s">
        <v>14</v>
      </c>
      <c r="H399" s="15" t="s">
        <v>20</v>
      </c>
      <c r="I399" s="15" t="s">
        <v>774</v>
      </c>
      <c r="J399" s="15">
        <v>72</v>
      </c>
    </row>
    <row r="400" spans="1:10" x14ac:dyDescent="0.3">
      <c r="A400" s="15" t="s">
        <v>775</v>
      </c>
      <c r="B400" s="15" t="s">
        <v>29</v>
      </c>
      <c r="C400" s="15" t="s">
        <v>85</v>
      </c>
      <c r="D400" s="15" t="s">
        <v>31</v>
      </c>
      <c r="E400" s="15">
        <v>20</v>
      </c>
      <c r="F400" s="15">
        <v>10</v>
      </c>
      <c r="G400" s="15" t="s">
        <v>14</v>
      </c>
      <c r="H400" s="15" t="s">
        <v>46</v>
      </c>
      <c r="I400" s="15" t="s">
        <v>366</v>
      </c>
      <c r="J400" s="15">
        <v>100</v>
      </c>
    </row>
    <row r="401" spans="1:10" x14ac:dyDescent="0.3">
      <c r="A401" s="15" t="s">
        <v>776</v>
      </c>
      <c r="B401" s="15" t="s">
        <v>11</v>
      </c>
      <c r="C401" s="15" t="s">
        <v>12</v>
      </c>
      <c r="D401" s="15" t="s">
        <v>31</v>
      </c>
      <c r="E401" s="15">
        <v>20</v>
      </c>
      <c r="F401" s="15">
        <v>9</v>
      </c>
      <c r="G401" s="15" t="s">
        <v>14</v>
      </c>
      <c r="H401" s="15" t="s">
        <v>76</v>
      </c>
      <c r="I401" s="15" t="s">
        <v>777</v>
      </c>
      <c r="J401" s="15">
        <v>84</v>
      </c>
    </row>
    <row r="402" spans="1:10" x14ac:dyDescent="0.3">
      <c r="A402" s="15" t="s">
        <v>778</v>
      </c>
      <c r="B402" s="15" t="s">
        <v>73</v>
      </c>
      <c r="C402" s="15" t="s">
        <v>19</v>
      </c>
      <c r="D402" s="15" t="s">
        <v>13</v>
      </c>
      <c r="E402" s="15">
        <v>17</v>
      </c>
      <c r="F402" s="15">
        <v>12</v>
      </c>
      <c r="G402" s="15" t="s">
        <v>14</v>
      </c>
      <c r="H402" s="15" t="s">
        <v>37</v>
      </c>
      <c r="I402" s="15" t="s">
        <v>779</v>
      </c>
      <c r="J402" s="15">
        <v>76</v>
      </c>
    </row>
    <row r="403" spans="1:10" x14ac:dyDescent="0.3">
      <c r="A403" s="15" t="s">
        <v>780</v>
      </c>
      <c r="B403" s="15" t="s">
        <v>35</v>
      </c>
      <c r="C403" s="15" t="s">
        <v>36</v>
      </c>
      <c r="D403" s="15" t="s">
        <v>31</v>
      </c>
      <c r="E403" s="15">
        <v>14</v>
      </c>
      <c r="F403" s="15">
        <v>9</v>
      </c>
      <c r="G403" s="15" t="s">
        <v>25</v>
      </c>
      <c r="H403" s="15" t="s">
        <v>40</v>
      </c>
      <c r="I403" s="15" t="s">
        <v>781</v>
      </c>
      <c r="J403" s="15">
        <v>36</v>
      </c>
    </row>
    <row r="404" spans="1:10" x14ac:dyDescent="0.3">
      <c r="A404" s="15" t="s">
        <v>782</v>
      </c>
      <c r="B404" s="15" t="s">
        <v>84</v>
      </c>
      <c r="C404" s="15" t="s">
        <v>12</v>
      </c>
      <c r="D404" s="15" t="s">
        <v>31</v>
      </c>
      <c r="E404" s="15">
        <v>14</v>
      </c>
      <c r="F404" s="15">
        <v>11</v>
      </c>
      <c r="G404" s="15" t="s">
        <v>14</v>
      </c>
      <c r="H404" s="15" t="s">
        <v>37</v>
      </c>
      <c r="I404" s="15" t="s">
        <v>252</v>
      </c>
      <c r="J404" s="15">
        <v>95</v>
      </c>
    </row>
    <row r="405" spans="1:10" x14ac:dyDescent="0.3">
      <c r="A405" s="15" t="s">
        <v>783</v>
      </c>
      <c r="B405" s="15" t="s">
        <v>54</v>
      </c>
      <c r="C405" s="15" t="s">
        <v>79</v>
      </c>
      <c r="D405" s="15" t="s">
        <v>31</v>
      </c>
      <c r="E405" s="15">
        <v>15</v>
      </c>
      <c r="F405" s="15">
        <v>11</v>
      </c>
      <c r="G405" s="15" t="s">
        <v>25</v>
      </c>
      <c r="H405" s="15" t="s">
        <v>61</v>
      </c>
      <c r="I405" s="15" t="s">
        <v>628</v>
      </c>
      <c r="J405" s="15">
        <v>39</v>
      </c>
    </row>
    <row r="406" spans="1:10" x14ac:dyDescent="0.3">
      <c r="A406" s="15" t="s">
        <v>784</v>
      </c>
      <c r="B406" s="15" t="s">
        <v>84</v>
      </c>
      <c r="C406" s="15" t="s">
        <v>12</v>
      </c>
      <c r="D406" s="15" t="s">
        <v>13</v>
      </c>
      <c r="E406" s="15">
        <v>17</v>
      </c>
      <c r="F406" s="15">
        <v>9</v>
      </c>
      <c r="G406" s="15" t="s">
        <v>43</v>
      </c>
      <c r="H406" s="15" t="s">
        <v>76</v>
      </c>
      <c r="I406" s="15" t="s">
        <v>685</v>
      </c>
      <c r="J406" s="15">
        <v>89</v>
      </c>
    </row>
    <row r="407" spans="1:10" x14ac:dyDescent="0.3">
      <c r="A407" s="15" t="s">
        <v>785</v>
      </c>
      <c r="B407" s="15" t="s">
        <v>35</v>
      </c>
      <c r="C407" s="15" t="s">
        <v>58</v>
      </c>
      <c r="D407" s="15" t="s">
        <v>13</v>
      </c>
      <c r="E407" s="15">
        <v>18</v>
      </c>
      <c r="F407" s="15">
        <v>12</v>
      </c>
      <c r="G407" s="15" t="s">
        <v>43</v>
      </c>
      <c r="H407" s="15" t="s">
        <v>20</v>
      </c>
      <c r="I407" s="15" t="s">
        <v>786</v>
      </c>
      <c r="J407" s="15">
        <v>93</v>
      </c>
    </row>
    <row r="408" spans="1:10" x14ac:dyDescent="0.3">
      <c r="A408" s="15" t="s">
        <v>787</v>
      </c>
      <c r="B408" s="15" t="s">
        <v>18</v>
      </c>
      <c r="C408" s="15" t="s">
        <v>36</v>
      </c>
      <c r="D408" s="15" t="s">
        <v>31</v>
      </c>
      <c r="E408" s="15">
        <v>16</v>
      </c>
      <c r="F408" s="15">
        <v>9</v>
      </c>
      <c r="G408" s="15" t="s">
        <v>14</v>
      </c>
      <c r="H408" s="15" t="s">
        <v>76</v>
      </c>
      <c r="I408" s="15" t="s">
        <v>788</v>
      </c>
      <c r="J408" s="15">
        <v>88</v>
      </c>
    </row>
    <row r="409" spans="1:10" x14ac:dyDescent="0.3">
      <c r="A409" s="15" t="s">
        <v>789</v>
      </c>
      <c r="B409" s="15" t="s">
        <v>54</v>
      </c>
      <c r="C409" s="15" t="s">
        <v>12</v>
      </c>
      <c r="D409" s="15" t="s">
        <v>31</v>
      </c>
      <c r="E409" s="15">
        <v>18</v>
      </c>
      <c r="F409" s="15">
        <v>10</v>
      </c>
      <c r="G409" s="15" t="s">
        <v>25</v>
      </c>
      <c r="H409" s="15" t="s">
        <v>15</v>
      </c>
      <c r="I409" s="15" t="s">
        <v>790</v>
      </c>
      <c r="J409" s="15">
        <v>95</v>
      </c>
    </row>
    <row r="410" spans="1:10" x14ac:dyDescent="0.3">
      <c r="A410" s="15" t="s">
        <v>791</v>
      </c>
      <c r="B410" s="15" t="s">
        <v>51</v>
      </c>
      <c r="C410" s="15" t="s">
        <v>85</v>
      </c>
      <c r="D410" s="15" t="s">
        <v>13</v>
      </c>
      <c r="E410" s="15">
        <v>14</v>
      </c>
      <c r="F410" s="15">
        <v>9</v>
      </c>
      <c r="G410" s="15" t="s">
        <v>43</v>
      </c>
      <c r="H410" s="15" t="s">
        <v>61</v>
      </c>
      <c r="I410" s="15" t="s">
        <v>792</v>
      </c>
      <c r="J410" s="15">
        <v>96</v>
      </c>
    </row>
    <row r="411" spans="1:10" x14ac:dyDescent="0.3">
      <c r="A411" s="15" t="s">
        <v>793</v>
      </c>
      <c r="B411" s="15" t="s">
        <v>35</v>
      </c>
      <c r="C411" s="15" t="s">
        <v>19</v>
      </c>
      <c r="D411" s="15" t="s">
        <v>31</v>
      </c>
      <c r="E411" s="15">
        <v>20</v>
      </c>
      <c r="F411" s="15">
        <v>11</v>
      </c>
      <c r="G411" s="15" t="s">
        <v>32</v>
      </c>
      <c r="H411" s="15" t="s">
        <v>20</v>
      </c>
      <c r="I411" s="15" t="s">
        <v>794</v>
      </c>
      <c r="J411" s="15">
        <v>74</v>
      </c>
    </row>
    <row r="412" spans="1:10" x14ac:dyDescent="0.3">
      <c r="A412" s="15" t="s">
        <v>795</v>
      </c>
      <c r="B412" s="15" t="s">
        <v>54</v>
      </c>
      <c r="C412" s="15" t="s">
        <v>30</v>
      </c>
      <c r="D412" s="15" t="s">
        <v>13</v>
      </c>
      <c r="E412" s="15">
        <v>18</v>
      </c>
      <c r="F412" s="15">
        <v>12</v>
      </c>
      <c r="G412" s="15" t="s">
        <v>32</v>
      </c>
      <c r="H412" s="15" t="s">
        <v>20</v>
      </c>
      <c r="I412" s="15" t="s">
        <v>796</v>
      </c>
      <c r="J412" s="15">
        <v>55</v>
      </c>
    </row>
    <row r="413" spans="1:10" x14ac:dyDescent="0.3">
      <c r="A413" s="15" t="s">
        <v>797</v>
      </c>
      <c r="B413" s="15" t="s">
        <v>23</v>
      </c>
      <c r="C413" s="15" t="s">
        <v>85</v>
      </c>
      <c r="D413" s="15" t="s">
        <v>13</v>
      </c>
      <c r="E413" s="15">
        <v>17</v>
      </c>
      <c r="F413" s="15">
        <v>12</v>
      </c>
      <c r="G413" s="15" t="s">
        <v>14</v>
      </c>
      <c r="H413" s="15" t="s">
        <v>76</v>
      </c>
      <c r="I413" s="15" t="s">
        <v>71</v>
      </c>
      <c r="J413" s="15">
        <v>77</v>
      </c>
    </row>
    <row r="414" spans="1:10" x14ac:dyDescent="0.3">
      <c r="A414" s="15" t="s">
        <v>798</v>
      </c>
      <c r="B414" s="15" t="s">
        <v>23</v>
      </c>
      <c r="C414" s="15" t="s">
        <v>19</v>
      </c>
      <c r="D414" s="15" t="s">
        <v>13</v>
      </c>
      <c r="E414" s="15">
        <v>17</v>
      </c>
      <c r="F414" s="15">
        <v>12</v>
      </c>
      <c r="G414" s="15" t="s">
        <v>14</v>
      </c>
      <c r="H414" s="15" t="s">
        <v>40</v>
      </c>
      <c r="I414" s="15" t="s">
        <v>159</v>
      </c>
      <c r="J414" s="15">
        <v>95</v>
      </c>
    </row>
    <row r="415" spans="1:10" x14ac:dyDescent="0.3">
      <c r="A415" s="15" t="s">
        <v>799</v>
      </c>
      <c r="B415" s="15" t="s">
        <v>54</v>
      </c>
      <c r="C415" s="15" t="s">
        <v>36</v>
      </c>
      <c r="D415" s="15" t="s">
        <v>31</v>
      </c>
      <c r="E415" s="15">
        <v>17</v>
      </c>
      <c r="F415" s="15">
        <v>12</v>
      </c>
      <c r="G415" s="15" t="s">
        <v>14</v>
      </c>
      <c r="H415" s="15" t="s">
        <v>46</v>
      </c>
      <c r="I415" s="15" t="s">
        <v>533</v>
      </c>
      <c r="J415" s="15">
        <v>59</v>
      </c>
    </row>
    <row r="416" spans="1:10" x14ac:dyDescent="0.3">
      <c r="A416" s="15" t="s">
        <v>800</v>
      </c>
      <c r="B416" s="15" t="s">
        <v>23</v>
      </c>
      <c r="C416" s="15" t="s">
        <v>79</v>
      </c>
      <c r="D416" s="15" t="s">
        <v>31</v>
      </c>
      <c r="E416" s="15">
        <v>18</v>
      </c>
      <c r="F416" s="15">
        <v>11</v>
      </c>
      <c r="G416" s="15" t="s">
        <v>32</v>
      </c>
      <c r="H416" s="15" t="s">
        <v>76</v>
      </c>
      <c r="I416" s="15" t="s">
        <v>801</v>
      </c>
      <c r="J416" s="15">
        <v>97</v>
      </c>
    </row>
    <row r="417" spans="1:10" x14ac:dyDescent="0.3">
      <c r="A417" s="15" t="s">
        <v>802</v>
      </c>
      <c r="B417" s="15" t="s">
        <v>29</v>
      </c>
      <c r="C417" s="15" t="s">
        <v>96</v>
      </c>
      <c r="D417" s="15" t="s">
        <v>13</v>
      </c>
      <c r="E417" s="15">
        <v>14</v>
      </c>
      <c r="F417" s="15">
        <v>10</v>
      </c>
      <c r="G417" s="15" t="s">
        <v>25</v>
      </c>
      <c r="H417" s="15" t="s">
        <v>61</v>
      </c>
      <c r="I417" s="15" t="s">
        <v>803</v>
      </c>
      <c r="J417" s="15">
        <v>89</v>
      </c>
    </row>
    <row r="418" spans="1:10" x14ac:dyDescent="0.3">
      <c r="A418" s="15" t="s">
        <v>804</v>
      </c>
      <c r="B418" s="15" t="s">
        <v>54</v>
      </c>
      <c r="C418" s="15" t="s">
        <v>79</v>
      </c>
      <c r="D418" s="15" t="s">
        <v>13</v>
      </c>
      <c r="E418" s="15">
        <v>19</v>
      </c>
      <c r="F418" s="15">
        <v>9</v>
      </c>
      <c r="G418" s="15" t="s">
        <v>25</v>
      </c>
      <c r="H418" s="15" t="s">
        <v>61</v>
      </c>
      <c r="I418" s="15" t="s">
        <v>56</v>
      </c>
      <c r="J418" s="15">
        <v>43</v>
      </c>
    </row>
    <row r="419" spans="1:10" x14ac:dyDescent="0.3">
      <c r="A419" s="15" t="s">
        <v>805</v>
      </c>
      <c r="B419" s="15" t="s">
        <v>29</v>
      </c>
      <c r="C419" s="15" t="s">
        <v>36</v>
      </c>
      <c r="D419" s="15" t="s">
        <v>31</v>
      </c>
      <c r="E419" s="15">
        <v>17</v>
      </c>
      <c r="F419" s="15">
        <v>10</v>
      </c>
      <c r="G419" s="15" t="s">
        <v>25</v>
      </c>
      <c r="H419" s="15" t="s">
        <v>15</v>
      </c>
      <c r="I419" s="15" t="s">
        <v>806</v>
      </c>
      <c r="J419" s="15">
        <v>59</v>
      </c>
    </row>
    <row r="420" spans="1:10" x14ac:dyDescent="0.3">
      <c r="A420" s="15" t="s">
        <v>807</v>
      </c>
      <c r="B420" s="15" t="s">
        <v>68</v>
      </c>
      <c r="C420" s="15" t="s">
        <v>79</v>
      </c>
      <c r="D420" s="15" t="s">
        <v>31</v>
      </c>
      <c r="E420" s="15">
        <v>16</v>
      </c>
      <c r="F420" s="15">
        <v>10</v>
      </c>
      <c r="G420" s="15" t="s">
        <v>43</v>
      </c>
      <c r="H420" s="15" t="s">
        <v>76</v>
      </c>
      <c r="I420" s="15" t="s">
        <v>305</v>
      </c>
      <c r="J420" s="15">
        <v>40</v>
      </c>
    </row>
    <row r="421" spans="1:10" x14ac:dyDescent="0.3">
      <c r="A421" s="15" t="s">
        <v>808</v>
      </c>
      <c r="B421" s="15" t="s">
        <v>54</v>
      </c>
      <c r="C421" s="15" t="s">
        <v>24</v>
      </c>
      <c r="D421" s="15" t="s">
        <v>13</v>
      </c>
      <c r="E421" s="15">
        <v>14</v>
      </c>
      <c r="F421" s="15">
        <v>9</v>
      </c>
      <c r="G421" s="15" t="s">
        <v>25</v>
      </c>
      <c r="H421" s="15" t="s">
        <v>46</v>
      </c>
      <c r="I421" s="15" t="s">
        <v>809</v>
      </c>
      <c r="J421" s="15">
        <v>92</v>
      </c>
    </row>
    <row r="422" spans="1:10" x14ac:dyDescent="0.3">
      <c r="A422" s="15" t="s">
        <v>810</v>
      </c>
      <c r="B422" s="15" t="s">
        <v>73</v>
      </c>
      <c r="C422" s="15" t="s">
        <v>12</v>
      </c>
      <c r="D422" s="15" t="s">
        <v>13</v>
      </c>
      <c r="E422" s="15">
        <v>14</v>
      </c>
      <c r="F422" s="15">
        <v>10</v>
      </c>
      <c r="G422" s="15" t="s">
        <v>14</v>
      </c>
      <c r="H422" s="15" t="s">
        <v>46</v>
      </c>
      <c r="I422" s="15" t="s">
        <v>385</v>
      </c>
      <c r="J422" s="15">
        <v>49</v>
      </c>
    </row>
    <row r="423" spans="1:10" x14ac:dyDescent="0.3">
      <c r="A423" s="15" t="s">
        <v>811</v>
      </c>
      <c r="B423" s="15" t="s">
        <v>29</v>
      </c>
      <c r="C423" s="15" t="s">
        <v>58</v>
      </c>
      <c r="D423" s="15" t="s">
        <v>13</v>
      </c>
      <c r="E423" s="15">
        <v>20</v>
      </c>
      <c r="F423" s="15">
        <v>11</v>
      </c>
      <c r="G423" s="15" t="s">
        <v>14</v>
      </c>
      <c r="H423" s="15" t="s">
        <v>61</v>
      </c>
      <c r="I423" s="15" t="s">
        <v>358</v>
      </c>
      <c r="J423" s="15">
        <v>44</v>
      </c>
    </row>
    <row r="424" spans="1:10" x14ac:dyDescent="0.3">
      <c r="A424" s="15" t="s">
        <v>812</v>
      </c>
      <c r="B424" s="15" t="s">
        <v>51</v>
      </c>
      <c r="C424" s="15" t="s">
        <v>55</v>
      </c>
      <c r="D424" s="15" t="s">
        <v>13</v>
      </c>
      <c r="E424" s="15">
        <v>15</v>
      </c>
      <c r="F424" s="15">
        <v>10</v>
      </c>
      <c r="G424" s="15" t="s">
        <v>43</v>
      </c>
      <c r="H424" s="15" t="s">
        <v>46</v>
      </c>
      <c r="I424" s="15" t="s">
        <v>82</v>
      </c>
      <c r="J424" s="15">
        <v>62</v>
      </c>
    </row>
    <row r="425" spans="1:10" x14ac:dyDescent="0.3">
      <c r="A425" s="15" t="s">
        <v>813</v>
      </c>
      <c r="B425" s="15" t="s">
        <v>73</v>
      </c>
      <c r="C425" s="15" t="s">
        <v>58</v>
      </c>
      <c r="D425" s="15" t="s">
        <v>13</v>
      </c>
      <c r="E425" s="15">
        <v>17</v>
      </c>
      <c r="F425" s="15">
        <v>12</v>
      </c>
      <c r="G425" s="15" t="s">
        <v>32</v>
      </c>
      <c r="H425" s="15" t="s">
        <v>46</v>
      </c>
      <c r="I425" s="15" t="s">
        <v>346</v>
      </c>
      <c r="J425" s="15">
        <v>60</v>
      </c>
    </row>
    <row r="426" spans="1:10" x14ac:dyDescent="0.3">
      <c r="A426" s="15" t="s">
        <v>814</v>
      </c>
      <c r="B426" s="15" t="s">
        <v>18</v>
      </c>
      <c r="C426" s="15" t="s">
        <v>24</v>
      </c>
      <c r="D426" s="15" t="s">
        <v>31</v>
      </c>
      <c r="E426" s="15">
        <v>17</v>
      </c>
      <c r="F426" s="15">
        <v>10</v>
      </c>
      <c r="G426" s="15" t="s">
        <v>14</v>
      </c>
      <c r="H426" s="15" t="s">
        <v>76</v>
      </c>
      <c r="I426" s="15" t="s">
        <v>815</v>
      </c>
      <c r="J426" s="15">
        <v>47</v>
      </c>
    </row>
    <row r="427" spans="1:10" x14ac:dyDescent="0.3">
      <c r="A427" s="15" t="s">
        <v>816</v>
      </c>
      <c r="B427" s="15" t="s">
        <v>23</v>
      </c>
      <c r="C427" s="15" t="s">
        <v>79</v>
      </c>
      <c r="D427" s="15" t="s">
        <v>31</v>
      </c>
      <c r="E427" s="15">
        <v>15</v>
      </c>
      <c r="F427" s="15">
        <v>9</v>
      </c>
      <c r="G427" s="15" t="s">
        <v>25</v>
      </c>
      <c r="H427" s="15" t="s">
        <v>76</v>
      </c>
      <c r="I427" s="15" t="s">
        <v>149</v>
      </c>
      <c r="J427" s="15">
        <v>79</v>
      </c>
    </row>
    <row r="428" spans="1:10" x14ac:dyDescent="0.3">
      <c r="A428" s="15" t="s">
        <v>817</v>
      </c>
      <c r="B428" s="15" t="s">
        <v>51</v>
      </c>
      <c r="C428" s="15" t="s">
        <v>55</v>
      </c>
      <c r="D428" s="15" t="s">
        <v>31</v>
      </c>
      <c r="E428" s="15">
        <v>19</v>
      </c>
      <c r="F428" s="15">
        <v>11</v>
      </c>
      <c r="G428" s="15" t="s">
        <v>14</v>
      </c>
      <c r="H428" s="15" t="s">
        <v>26</v>
      </c>
      <c r="I428" s="15" t="s">
        <v>818</v>
      </c>
      <c r="J428" s="15">
        <v>56</v>
      </c>
    </row>
    <row r="429" spans="1:10" x14ac:dyDescent="0.3">
      <c r="A429" s="15" t="s">
        <v>819</v>
      </c>
      <c r="B429" s="15" t="s">
        <v>18</v>
      </c>
      <c r="C429" s="15" t="s">
        <v>36</v>
      </c>
      <c r="D429" s="15" t="s">
        <v>31</v>
      </c>
      <c r="E429" s="15">
        <v>14</v>
      </c>
      <c r="F429" s="15">
        <v>10</v>
      </c>
      <c r="G429" s="15" t="s">
        <v>43</v>
      </c>
      <c r="H429" s="15" t="s">
        <v>76</v>
      </c>
      <c r="I429" s="15" t="s">
        <v>820</v>
      </c>
      <c r="J429" s="15">
        <v>56</v>
      </c>
    </row>
    <row r="430" spans="1:10" x14ac:dyDescent="0.3">
      <c r="A430" s="15" t="s">
        <v>821</v>
      </c>
      <c r="B430" s="15" t="s">
        <v>18</v>
      </c>
      <c r="C430" s="15" t="s">
        <v>79</v>
      </c>
      <c r="D430" s="15" t="s">
        <v>13</v>
      </c>
      <c r="E430" s="15">
        <v>20</v>
      </c>
      <c r="F430" s="15">
        <v>12</v>
      </c>
      <c r="G430" s="15" t="s">
        <v>32</v>
      </c>
      <c r="H430" s="15" t="s">
        <v>26</v>
      </c>
      <c r="I430" s="15" t="s">
        <v>822</v>
      </c>
      <c r="J430" s="15">
        <v>52</v>
      </c>
    </row>
    <row r="431" spans="1:10" x14ac:dyDescent="0.3">
      <c r="A431" s="15" t="s">
        <v>823</v>
      </c>
      <c r="B431" s="15" t="s">
        <v>11</v>
      </c>
      <c r="C431" s="15" t="s">
        <v>79</v>
      </c>
      <c r="D431" s="15" t="s">
        <v>31</v>
      </c>
      <c r="E431" s="15">
        <v>18</v>
      </c>
      <c r="F431" s="15">
        <v>12</v>
      </c>
      <c r="G431" s="15" t="s">
        <v>43</v>
      </c>
      <c r="H431" s="15" t="s">
        <v>37</v>
      </c>
      <c r="I431" s="15" t="s">
        <v>292</v>
      </c>
      <c r="J431" s="15">
        <v>94</v>
      </c>
    </row>
    <row r="432" spans="1:10" x14ac:dyDescent="0.3">
      <c r="A432" s="15" t="s">
        <v>824</v>
      </c>
      <c r="B432" s="15" t="s">
        <v>54</v>
      </c>
      <c r="C432" s="15" t="s">
        <v>19</v>
      </c>
      <c r="D432" s="15" t="s">
        <v>31</v>
      </c>
      <c r="E432" s="15">
        <v>20</v>
      </c>
      <c r="F432" s="15">
        <v>9</v>
      </c>
      <c r="G432" s="15" t="s">
        <v>14</v>
      </c>
      <c r="H432" s="15" t="s">
        <v>37</v>
      </c>
      <c r="I432" s="15" t="s">
        <v>825</v>
      </c>
      <c r="J432" s="15">
        <v>43</v>
      </c>
    </row>
    <row r="433" spans="1:10" x14ac:dyDescent="0.3">
      <c r="A433" s="15" t="s">
        <v>826</v>
      </c>
      <c r="B433" s="15" t="s">
        <v>51</v>
      </c>
      <c r="C433" s="15" t="s">
        <v>55</v>
      </c>
      <c r="D433" s="15" t="s">
        <v>31</v>
      </c>
      <c r="E433" s="15">
        <v>15</v>
      </c>
      <c r="F433" s="15">
        <v>10</v>
      </c>
      <c r="G433" s="15" t="s">
        <v>43</v>
      </c>
      <c r="H433" s="15" t="s">
        <v>37</v>
      </c>
      <c r="I433" s="15" t="s">
        <v>174</v>
      </c>
      <c r="J433" s="15">
        <v>42</v>
      </c>
    </row>
    <row r="434" spans="1:10" x14ac:dyDescent="0.3">
      <c r="A434" s="15" t="s">
        <v>827</v>
      </c>
      <c r="B434" s="15" t="s">
        <v>35</v>
      </c>
      <c r="C434" s="15" t="s">
        <v>12</v>
      </c>
      <c r="D434" s="15" t="s">
        <v>13</v>
      </c>
      <c r="E434" s="15">
        <v>14</v>
      </c>
      <c r="F434" s="15">
        <v>12</v>
      </c>
      <c r="G434" s="15" t="s">
        <v>25</v>
      </c>
      <c r="H434" s="15" t="s">
        <v>61</v>
      </c>
      <c r="I434" s="15" t="s">
        <v>570</v>
      </c>
      <c r="J434" s="15">
        <v>65</v>
      </c>
    </row>
    <row r="435" spans="1:10" x14ac:dyDescent="0.3">
      <c r="A435" s="15" t="s">
        <v>828</v>
      </c>
      <c r="B435" s="15" t="s">
        <v>29</v>
      </c>
      <c r="C435" s="15" t="s">
        <v>55</v>
      </c>
      <c r="D435" s="15" t="s">
        <v>13</v>
      </c>
      <c r="E435" s="15">
        <v>15</v>
      </c>
      <c r="F435" s="15">
        <v>9</v>
      </c>
      <c r="G435" s="15" t="s">
        <v>32</v>
      </c>
      <c r="H435" s="15" t="s">
        <v>40</v>
      </c>
      <c r="I435" s="15" t="s">
        <v>829</v>
      </c>
      <c r="J435" s="15">
        <v>64</v>
      </c>
    </row>
    <row r="436" spans="1:10" x14ac:dyDescent="0.3">
      <c r="A436" s="15" t="s">
        <v>830</v>
      </c>
      <c r="B436" s="15" t="s">
        <v>23</v>
      </c>
      <c r="C436" s="15" t="s">
        <v>58</v>
      </c>
      <c r="D436" s="15" t="s">
        <v>31</v>
      </c>
      <c r="E436" s="15">
        <v>17</v>
      </c>
      <c r="F436" s="15">
        <v>9</v>
      </c>
      <c r="G436" s="15" t="s">
        <v>43</v>
      </c>
      <c r="H436" s="15" t="s">
        <v>61</v>
      </c>
      <c r="I436" s="15" t="s">
        <v>820</v>
      </c>
      <c r="J436" s="15">
        <v>59</v>
      </c>
    </row>
    <row r="437" spans="1:10" x14ac:dyDescent="0.3">
      <c r="A437" s="15" t="s">
        <v>831</v>
      </c>
      <c r="B437" s="15" t="s">
        <v>54</v>
      </c>
      <c r="C437" s="15" t="s">
        <v>36</v>
      </c>
      <c r="D437" s="15" t="s">
        <v>31</v>
      </c>
      <c r="E437" s="15">
        <v>19</v>
      </c>
      <c r="F437" s="15">
        <v>9</v>
      </c>
      <c r="G437" s="15" t="s">
        <v>32</v>
      </c>
      <c r="H437" s="15" t="s">
        <v>15</v>
      </c>
      <c r="I437" s="15" t="s">
        <v>832</v>
      </c>
      <c r="J437" s="15">
        <v>35</v>
      </c>
    </row>
    <row r="438" spans="1:10" x14ac:dyDescent="0.3">
      <c r="A438" s="15" t="s">
        <v>833</v>
      </c>
      <c r="B438" s="15" t="s">
        <v>73</v>
      </c>
      <c r="C438" s="15" t="s">
        <v>96</v>
      </c>
      <c r="D438" s="15" t="s">
        <v>31</v>
      </c>
      <c r="E438" s="15">
        <v>15</v>
      </c>
      <c r="F438" s="15">
        <v>10</v>
      </c>
      <c r="G438" s="15" t="s">
        <v>43</v>
      </c>
      <c r="H438" s="15" t="s">
        <v>76</v>
      </c>
      <c r="I438" s="15" t="s">
        <v>834</v>
      </c>
      <c r="J438" s="15">
        <v>37</v>
      </c>
    </row>
    <row r="439" spans="1:10" x14ac:dyDescent="0.3">
      <c r="A439" s="15" t="s">
        <v>835</v>
      </c>
      <c r="B439" s="15" t="s">
        <v>18</v>
      </c>
      <c r="C439" s="15" t="s">
        <v>55</v>
      </c>
      <c r="D439" s="15" t="s">
        <v>31</v>
      </c>
      <c r="E439" s="15">
        <v>16</v>
      </c>
      <c r="F439" s="15">
        <v>10</v>
      </c>
      <c r="G439" s="15" t="s">
        <v>14</v>
      </c>
      <c r="H439" s="15" t="s">
        <v>61</v>
      </c>
      <c r="I439" s="15" t="s">
        <v>411</v>
      </c>
      <c r="J439" s="15">
        <v>52</v>
      </c>
    </row>
    <row r="440" spans="1:10" x14ac:dyDescent="0.3">
      <c r="A440" s="15" t="s">
        <v>836</v>
      </c>
      <c r="B440" s="15" t="s">
        <v>18</v>
      </c>
      <c r="C440" s="15" t="s">
        <v>58</v>
      </c>
      <c r="D440" s="15" t="s">
        <v>13</v>
      </c>
      <c r="E440" s="15">
        <v>16</v>
      </c>
      <c r="F440" s="15">
        <v>9</v>
      </c>
      <c r="G440" s="15" t="s">
        <v>14</v>
      </c>
      <c r="H440" s="15" t="s">
        <v>37</v>
      </c>
      <c r="I440" s="15" t="s">
        <v>837</v>
      </c>
      <c r="J440" s="15">
        <v>64</v>
      </c>
    </row>
    <row r="441" spans="1:10" x14ac:dyDescent="0.3">
      <c r="A441" s="15" t="s">
        <v>838</v>
      </c>
      <c r="B441" s="15" t="s">
        <v>29</v>
      </c>
      <c r="C441" s="15" t="s">
        <v>36</v>
      </c>
      <c r="D441" s="15" t="s">
        <v>31</v>
      </c>
      <c r="E441" s="15">
        <v>17</v>
      </c>
      <c r="F441" s="15">
        <v>10</v>
      </c>
      <c r="G441" s="15" t="s">
        <v>25</v>
      </c>
      <c r="H441" s="15" t="s">
        <v>15</v>
      </c>
      <c r="I441" s="15" t="s">
        <v>839</v>
      </c>
      <c r="J441" s="15">
        <v>35</v>
      </c>
    </row>
    <row r="442" spans="1:10" x14ac:dyDescent="0.3">
      <c r="A442" s="15" t="s">
        <v>840</v>
      </c>
      <c r="B442" s="15" t="s">
        <v>29</v>
      </c>
      <c r="C442" s="15" t="s">
        <v>12</v>
      </c>
      <c r="D442" s="15" t="s">
        <v>31</v>
      </c>
      <c r="E442" s="15">
        <v>20</v>
      </c>
      <c r="F442" s="15">
        <v>10</v>
      </c>
      <c r="G442" s="15" t="s">
        <v>43</v>
      </c>
      <c r="H442" s="15" t="s">
        <v>15</v>
      </c>
      <c r="I442" s="15" t="s">
        <v>841</v>
      </c>
      <c r="J442" s="15">
        <v>37</v>
      </c>
    </row>
    <row r="443" spans="1:10" x14ac:dyDescent="0.3">
      <c r="A443" s="15" t="s">
        <v>842</v>
      </c>
      <c r="B443" s="15" t="s">
        <v>23</v>
      </c>
      <c r="C443" s="15" t="s">
        <v>30</v>
      </c>
      <c r="D443" s="15" t="s">
        <v>13</v>
      </c>
      <c r="E443" s="15">
        <v>15</v>
      </c>
      <c r="F443" s="15">
        <v>9</v>
      </c>
      <c r="G443" s="15" t="s">
        <v>32</v>
      </c>
      <c r="H443" s="15" t="s">
        <v>37</v>
      </c>
      <c r="I443" s="15" t="s">
        <v>477</v>
      </c>
      <c r="J443" s="15">
        <v>51</v>
      </c>
    </row>
    <row r="444" spans="1:10" x14ac:dyDescent="0.3">
      <c r="A444" s="15" t="s">
        <v>843</v>
      </c>
      <c r="B444" s="15" t="s">
        <v>54</v>
      </c>
      <c r="C444" s="15" t="s">
        <v>12</v>
      </c>
      <c r="D444" s="15" t="s">
        <v>31</v>
      </c>
      <c r="E444" s="15">
        <v>17</v>
      </c>
      <c r="F444" s="15">
        <v>10</v>
      </c>
      <c r="G444" s="15" t="s">
        <v>25</v>
      </c>
      <c r="H444" s="15" t="s">
        <v>40</v>
      </c>
      <c r="I444" s="15" t="s">
        <v>844</v>
      </c>
      <c r="J444" s="15">
        <v>43</v>
      </c>
    </row>
    <row r="445" spans="1:10" x14ac:dyDescent="0.3">
      <c r="A445" s="15" t="s">
        <v>845</v>
      </c>
      <c r="B445" s="15" t="s">
        <v>11</v>
      </c>
      <c r="C445" s="15" t="s">
        <v>19</v>
      </c>
      <c r="D445" s="15" t="s">
        <v>31</v>
      </c>
      <c r="E445" s="15">
        <v>19</v>
      </c>
      <c r="F445" s="15">
        <v>11</v>
      </c>
      <c r="G445" s="15" t="s">
        <v>43</v>
      </c>
      <c r="H445" s="15" t="s">
        <v>76</v>
      </c>
      <c r="I445" s="15" t="s">
        <v>282</v>
      </c>
      <c r="J445" s="15">
        <v>44</v>
      </c>
    </row>
    <row r="446" spans="1:10" x14ac:dyDescent="0.3">
      <c r="A446" s="15" t="s">
        <v>846</v>
      </c>
      <c r="B446" s="15" t="s">
        <v>35</v>
      </c>
      <c r="C446" s="15" t="s">
        <v>79</v>
      </c>
      <c r="D446" s="15" t="s">
        <v>13</v>
      </c>
      <c r="E446" s="15">
        <v>17</v>
      </c>
      <c r="F446" s="15">
        <v>12</v>
      </c>
      <c r="G446" s="15" t="s">
        <v>25</v>
      </c>
      <c r="H446" s="15" t="s">
        <v>46</v>
      </c>
      <c r="I446" s="15" t="s">
        <v>847</v>
      </c>
      <c r="J446" s="15">
        <v>41</v>
      </c>
    </row>
    <row r="447" spans="1:10" x14ac:dyDescent="0.3">
      <c r="A447" s="15" t="s">
        <v>848</v>
      </c>
      <c r="B447" s="15" t="s">
        <v>18</v>
      </c>
      <c r="C447" s="15" t="s">
        <v>24</v>
      </c>
      <c r="D447" s="15" t="s">
        <v>31</v>
      </c>
      <c r="E447" s="15">
        <v>16</v>
      </c>
      <c r="F447" s="15">
        <v>10</v>
      </c>
      <c r="G447" s="15" t="s">
        <v>25</v>
      </c>
      <c r="H447" s="15" t="s">
        <v>61</v>
      </c>
      <c r="I447" s="15" t="s">
        <v>849</v>
      </c>
      <c r="J447" s="15">
        <v>78</v>
      </c>
    </row>
    <row r="448" spans="1:10" x14ac:dyDescent="0.3">
      <c r="A448" s="15" t="s">
        <v>850</v>
      </c>
      <c r="B448" s="15" t="s">
        <v>51</v>
      </c>
      <c r="C448" s="15" t="s">
        <v>96</v>
      </c>
      <c r="D448" s="15" t="s">
        <v>13</v>
      </c>
      <c r="E448" s="15">
        <v>14</v>
      </c>
      <c r="F448" s="15">
        <v>9</v>
      </c>
      <c r="G448" s="15" t="s">
        <v>25</v>
      </c>
      <c r="H448" s="15" t="s">
        <v>26</v>
      </c>
      <c r="I448" s="15" t="s">
        <v>851</v>
      </c>
      <c r="J448" s="15">
        <v>90</v>
      </c>
    </row>
    <row r="449" spans="1:10" x14ac:dyDescent="0.3">
      <c r="A449" s="15" t="s">
        <v>852</v>
      </c>
      <c r="B449" s="15" t="s">
        <v>29</v>
      </c>
      <c r="C449" s="15" t="s">
        <v>55</v>
      </c>
      <c r="D449" s="15" t="s">
        <v>13</v>
      </c>
      <c r="E449" s="15">
        <v>15</v>
      </c>
      <c r="F449" s="15">
        <v>9</v>
      </c>
      <c r="G449" s="15" t="s">
        <v>14</v>
      </c>
      <c r="H449" s="15" t="s">
        <v>20</v>
      </c>
      <c r="I449" s="15" t="s">
        <v>853</v>
      </c>
      <c r="J449" s="15">
        <v>74</v>
      </c>
    </row>
    <row r="450" spans="1:10" x14ac:dyDescent="0.3">
      <c r="A450" s="15" t="s">
        <v>854</v>
      </c>
      <c r="B450" s="15" t="s">
        <v>51</v>
      </c>
      <c r="C450" s="15" t="s">
        <v>55</v>
      </c>
      <c r="D450" s="15" t="s">
        <v>13</v>
      </c>
      <c r="E450" s="15">
        <v>15</v>
      </c>
      <c r="F450" s="15">
        <v>11</v>
      </c>
      <c r="G450" s="15" t="s">
        <v>14</v>
      </c>
      <c r="H450" s="15" t="s">
        <v>61</v>
      </c>
      <c r="I450" s="15" t="s">
        <v>855</v>
      </c>
      <c r="J450" s="15">
        <v>84</v>
      </c>
    </row>
    <row r="451" spans="1:10" x14ac:dyDescent="0.3">
      <c r="A451" s="15" t="s">
        <v>856</v>
      </c>
      <c r="B451" s="15" t="s">
        <v>29</v>
      </c>
      <c r="C451" s="15" t="s">
        <v>85</v>
      </c>
      <c r="D451" s="15" t="s">
        <v>13</v>
      </c>
      <c r="E451" s="15">
        <v>16</v>
      </c>
      <c r="F451" s="15">
        <v>9</v>
      </c>
      <c r="G451" s="15" t="s">
        <v>14</v>
      </c>
      <c r="H451" s="15" t="s">
        <v>61</v>
      </c>
      <c r="I451" s="15" t="s">
        <v>262</v>
      </c>
      <c r="J451" s="15">
        <v>78</v>
      </c>
    </row>
    <row r="452" spans="1:10" x14ac:dyDescent="0.3">
      <c r="A452" s="15" t="s">
        <v>857</v>
      </c>
      <c r="B452" s="15" t="s">
        <v>18</v>
      </c>
      <c r="C452" s="15" t="s">
        <v>96</v>
      </c>
      <c r="D452" s="15" t="s">
        <v>13</v>
      </c>
      <c r="E452" s="15">
        <v>20</v>
      </c>
      <c r="F452" s="15">
        <v>11</v>
      </c>
      <c r="G452" s="15" t="s">
        <v>32</v>
      </c>
      <c r="H452" s="15" t="s">
        <v>61</v>
      </c>
      <c r="I452" s="15" t="s">
        <v>570</v>
      </c>
      <c r="J452" s="15">
        <v>94</v>
      </c>
    </row>
    <row r="453" spans="1:10" x14ac:dyDescent="0.3">
      <c r="A453" s="15" t="s">
        <v>858</v>
      </c>
      <c r="B453" s="15" t="s">
        <v>35</v>
      </c>
      <c r="C453" s="15" t="s">
        <v>12</v>
      </c>
      <c r="D453" s="15" t="s">
        <v>31</v>
      </c>
      <c r="E453" s="15">
        <v>19</v>
      </c>
      <c r="F453" s="15">
        <v>9</v>
      </c>
      <c r="G453" s="15" t="s">
        <v>43</v>
      </c>
      <c r="H453" s="15" t="s">
        <v>26</v>
      </c>
      <c r="I453" s="15" t="s">
        <v>859</v>
      </c>
      <c r="J453" s="15">
        <v>88</v>
      </c>
    </row>
    <row r="454" spans="1:10" x14ac:dyDescent="0.3">
      <c r="A454" s="15" t="s">
        <v>860</v>
      </c>
      <c r="B454" s="15" t="s">
        <v>68</v>
      </c>
      <c r="C454" s="15" t="s">
        <v>12</v>
      </c>
      <c r="D454" s="15" t="s">
        <v>13</v>
      </c>
      <c r="E454" s="15">
        <v>16</v>
      </c>
      <c r="F454" s="15">
        <v>12</v>
      </c>
      <c r="G454" s="15" t="s">
        <v>14</v>
      </c>
      <c r="H454" s="15" t="s">
        <v>37</v>
      </c>
      <c r="I454" s="15" t="s">
        <v>861</v>
      </c>
      <c r="J454" s="15">
        <v>84</v>
      </c>
    </row>
    <row r="455" spans="1:10" x14ac:dyDescent="0.3">
      <c r="A455" s="15" t="s">
        <v>862</v>
      </c>
      <c r="B455" s="15" t="s">
        <v>51</v>
      </c>
      <c r="C455" s="15" t="s">
        <v>24</v>
      </c>
      <c r="D455" s="15" t="s">
        <v>13</v>
      </c>
      <c r="E455" s="15">
        <v>17</v>
      </c>
      <c r="F455" s="15">
        <v>9</v>
      </c>
      <c r="G455" s="15" t="s">
        <v>43</v>
      </c>
      <c r="H455" s="15" t="s">
        <v>15</v>
      </c>
      <c r="I455" s="15" t="s">
        <v>863</v>
      </c>
      <c r="J455" s="15">
        <v>86</v>
      </c>
    </row>
    <row r="456" spans="1:10" x14ac:dyDescent="0.3">
      <c r="A456" s="15" t="s">
        <v>864</v>
      </c>
      <c r="B456" s="15" t="s">
        <v>35</v>
      </c>
      <c r="C456" s="15" t="s">
        <v>58</v>
      </c>
      <c r="D456" s="15" t="s">
        <v>13</v>
      </c>
      <c r="E456" s="15">
        <v>17</v>
      </c>
      <c r="F456" s="15">
        <v>10</v>
      </c>
      <c r="G456" s="15" t="s">
        <v>14</v>
      </c>
      <c r="H456" s="15" t="s">
        <v>20</v>
      </c>
      <c r="I456" s="15" t="s">
        <v>865</v>
      </c>
      <c r="J456" s="15">
        <v>92</v>
      </c>
    </row>
    <row r="457" spans="1:10" x14ac:dyDescent="0.3">
      <c r="A457" s="15" t="s">
        <v>866</v>
      </c>
      <c r="B457" s="15" t="s">
        <v>18</v>
      </c>
      <c r="C457" s="15" t="s">
        <v>24</v>
      </c>
      <c r="D457" s="15" t="s">
        <v>13</v>
      </c>
      <c r="E457" s="15">
        <v>15</v>
      </c>
      <c r="F457" s="15">
        <v>11</v>
      </c>
      <c r="G457" s="15" t="s">
        <v>14</v>
      </c>
      <c r="H457" s="15" t="s">
        <v>61</v>
      </c>
      <c r="I457" s="15" t="s">
        <v>867</v>
      </c>
      <c r="J457" s="15">
        <v>97</v>
      </c>
    </row>
    <row r="458" spans="1:10" x14ac:dyDescent="0.3">
      <c r="A458" s="15" t="s">
        <v>868</v>
      </c>
      <c r="B458" s="15" t="s">
        <v>84</v>
      </c>
      <c r="C458" s="15" t="s">
        <v>30</v>
      </c>
      <c r="D458" s="15" t="s">
        <v>31</v>
      </c>
      <c r="E458" s="15">
        <v>15</v>
      </c>
      <c r="F458" s="15">
        <v>9</v>
      </c>
      <c r="G458" s="15" t="s">
        <v>43</v>
      </c>
      <c r="H458" s="15" t="s">
        <v>61</v>
      </c>
      <c r="I458" s="15" t="s">
        <v>151</v>
      </c>
      <c r="J458" s="15">
        <v>45</v>
      </c>
    </row>
    <row r="459" spans="1:10" x14ac:dyDescent="0.3">
      <c r="A459" s="15" t="s">
        <v>869</v>
      </c>
      <c r="B459" s="15" t="s">
        <v>73</v>
      </c>
      <c r="C459" s="15" t="s">
        <v>96</v>
      </c>
      <c r="D459" s="15" t="s">
        <v>31</v>
      </c>
      <c r="E459" s="15">
        <v>17</v>
      </c>
      <c r="F459" s="15">
        <v>9</v>
      </c>
      <c r="G459" s="15" t="s">
        <v>43</v>
      </c>
      <c r="H459" s="15" t="s">
        <v>26</v>
      </c>
      <c r="I459" s="15" t="s">
        <v>870</v>
      </c>
      <c r="J459" s="15">
        <v>53</v>
      </c>
    </row>
    <row r="460" spans="1:10" x14ac:dyDescent="0.3">
      <c r="A460" s="15" t="s">
        <v>871</v>
      </c>
      <c r="B460" s="15" t="s">
        <v>11</v>
      </c>
      <c r="C460" s="15" t="s">
        <v>12</v>
      </c>
      <c r="D460" s="15" t="s">
        <v>13</v>
      </c>
      <c r="E460" s="15">
        <v>20</v>
      </c>
      <c r="F460" s="15">
        <v>10</v>
      </c>
      <c r="G460" s="15" t="s">
        <v>25</v>
      </c>
      <c r="H460" s="15" t="s">
        <v>76</v>
      </c>
      <c r="I460" s="15" t="s">
        <v>872</v>
      </c>
      <c r="J460" s="15">
        <v>66</v>
      </c>
    </row>
    <row r="461" spans="1:10" x14ac:dyDescent="0.3">
      <c r="A461" s="15" t="s">
        <v>873</v>
      </c>
      <c r="B461" s="15" t="s">
        <v>18</v>
      </c>
      <c r="C461" s="15" t="s">
        <v>79</v>
      </c>
      <c r="D461" s="15" t="s">
        <v>31</v>
      </c>
      <c r="E461" s="15">
        <v>19</v>
      </c>
      <c r="F461" s="15">
        <v>12</v>
      </c>
      <c r="G461" s="15" t="s">
        <v>32</v>
      </c>
      <c r="H461" s="15" t="s">
        <v>76</v>
      </c>
      <c r="I461" s="15" t="s">
        <v>742</v>
      </c>
      <c r="J461" s="15">
        <v>83</v>
      </c>
    </row>
    <row r="462" spans="1:10" x14ac:dyDescent="0.3">
      <c r="A462" s="15" t="s">
        <v>874</v>
      </c>
      <c r="B462" s="15" t="s">
        <v>35</v>
      </c>
      <c r="C462" s="15" t="s">
        <v>36</v>
      </c>
      <c r="D462" s="15" t="s">
        <v>13</v>
      </c>
      <c r="E462" s="15">
        <v>16</v>
      </c>
      <c r="F462" s="15">
        <v>10</v>
      </c>
      <c r="G462" s="15" t="s">
        <v>14</v>
      </c>
      <c r="H462" s="15" t="s">
        <v>61</v>
      </c>
      <c r="I462" s="15" t="s">
        <v>875</v>
      </c>
      <c r="J462" s="15">
        <v>35</v>
      </c>
    </row>
    <row r="463" spans="1:10" x14ac:dyDescent="0.3">
      <c r="A463" s="15" t="s">
        <v>876</v>
      </c>
      <c r="B463" s="15" t="s">
        <v>18</v>
      </c>
      <c r="C463" s="15" t="s">
        <v>24</v>
      </c>
      <c r="D463" s="15" t="s">
        <v>31</v>
      </c>
      <c r="E463" s="15">
        <v>16</v>
      </c>
      <c r="F463" s="15">
        <v>9</v>
      </c>
      <c r="G463" s="15" t="s">
        <v>43</v>
      </c>
      <c r="H463" s="15" t="s">
        <v>26</v>
      </c>
      <c r="I463" s="15" t="s">
        <v>515</v>
      </c>
      <c r="J463" s="15">
        <v>48</v>
      </c>
    </row>
    <row r="464" spans="1:10" x14ac:dyDescent="0.3">
      <c r="A464" s="15" t="s">
        <v>877</v>
      </c>
      <c r="B464" s="15" t="s">
        <v>73</v>
      </c>
      <c r="C464" s="15" t="s">
        <v>85</v>
      </c>
      <c r="D464" s="15" t="s">
        <v>13</v>
      </c>
      <c r="E464" s="15">
        <v>19</v>
      </c>
      <c r="F464" s="15">
        <v>10</v>
      </c>
      <c r="G464" s="15" t="s">
        <v>25</v>
      </c>
      <c r="H464" s="15" t="s">
        <v>26</v>
      </c>
      <c r="I464" s="15" t="s">
        <v>878</v>
      </c>
      <c r="J464" s="15">
        <v>81</v>
      </c>
    </row>
    <row r="465" spans="1:10" x14ac:dyDescent="0.3">
      <c r="A465" s="15" t="s">
        <v>879</v>
      </c>
      <c r="B465" s="15" t="s">
        <v>18</v>
      </c>
      <c r="C465" s="15" t="s">
        <v>85</v>
      </c>
      <c r="D465" s="15" t="s">
        <v>13</v>
      </c>
      <c r="E465" s="15">
        <v>15</v>
      </c>
      <c r="F465" s="15">
        <v>11</v>
      </c>
      <c r="G465" s="15" t="s">
        <v>32</v>
      </c>
      <c r="H465" s="15" t="s">
        <v>37</v>
      </c>
      <c r="I465" s="15" t="s">
        <v>880</v>
      </c>
      <c r="J465" s="15">
        <v>86</v>
      </c>
    </row>
    <row r="466" spans="1:10" x14ac:dyDescent="0.3">
      <c r="A466" s="15" t="s">
        <v>881</v>
      </c>
      <c r="B466" s="15" t="s">
        <v>73</v>
      </c>
      <c r="C466" s="15" t="s">
        <v>24</v>
      </c>
      <c r="D466" s="15" t="s">
        <v>31</v>
      </c>
      <c r="E466" s="15">
        <v>14</v>
      </c>
      <c r="F466" s="15">
        <v>12</v>
      </c>
      <c r="G466" s="15" t="s">
        <v>25</v>
      </c>
      <c r="H466" s="15" t="s">
        <v>46</v>
      </c>
      <c r="I466" s="15" t="s">
        <v>882</v>
      </c>
      <c r="J466" s="15">
        <v>58</v>
      </c>
    </row>
    <row r="467" spans="1:10" x14ac:dyDescent="0.3">
      <c r="A467" s="15" t="s">
        <v>883</v>
      </c>
      <c r="B467" s="15" t="s">
        <v>23</v>
      </c>
      <c r="C467" s="15" t="s">
        <v>85</v>
      </c>
      <c r="D467" s="15" t="s">
        <v>13</v>
      </c>
      <c r="E467" s="15">
        <v>19</v>
      </c>
      <c r="F467" s="15">
        <v>9</v>
      </c>
      <c r="G467" s="15" t="s">
        <v>43</v>
      </c>
      <c r="H467" s="15" t="s">
        <v>20</v>
      </c>
      <c r="I467" s="15" t="s">
        <v>884</v>
      </c>
      <c r="J467" s="15">
        <v>69</v>
      </c>
    </row>
    <row r="468" spans="1:10" x14ac:dyDescent="0.3">
      <c r="A468" s="15" t="s">
        <v>885</v>
      </c>
      <c r="B468" s="15" t="s">
        <v>51</v>
      </c>
      <c r="C468" s="15" t="s">
        <v>55</v>
      </c>
      <c r="D468" s="15" t="s">
        <v>13</v>
      </c>
      <c r="E468" s="15">
        <v>16</v>
      </c>
      <c r="F468" s="15">
        <v>11</v>
      </c>
      <c r="G468" s="15" t="s">
        <v>32</v>
      </c>
      <c r="H468" s="15" t="s">
        <v>76</v>
      </c>
      <c r="I468" s="15" t="s">
        <v>886</v>
      </c>
      <c r="J468" s="15">
        <v>65</v>
      </c>
    </row>
    <row r="469" spans="1:10" x14ac:dyDescent="0.3">
      <c r="A469" s="15" t="s">
        <v>887</v>
      </c>
      <c r="B469" s="15" t="s">
        <v>11</v>
      </c>
      <c r="C469" s="15" t="s">
        <v>30</v>
      </c>
      <c r="D469" s="15" t="s">
        <v>31</v>
      </c>
      <c r="E469" s="15">
        <v>17</v>
      </c>
      <c r="F469" s="15">
        <v>9</v>
      </c>
      <c r="G469" s="15" t="s">
        <v>14</v>
      </c>
      <c r="H469" s="15" t="s">
        <v>76</v>
      </c>
      <c r="I469" s="15" t="s">
        <v>653</v>
      </c>
      <c r="J469" s="15">
        <v>53</v>
      </c>
    </row>
    <row r="470" spans="1:10" x14ac:dyDescent="0.3">
      <c r="A470" s="15" t="s">
        <v>888</v>
      </c>
      <c r="B470" s="15" t="s">
        <v>23</v>
      </c>
      <c r="C470" s="15" t="s">
        <v>58</v>
      </c>
      <c r="D470" s="15" t="s">
        <v>31</v>
      </c>
      <c r="E470" s="15">
        <v>18</v>
      </c>
      <c r="F470" s="15">
        <v>10</v>
      </c>
      <c r="G470" s="15" t="s">
        <v>14</v>
      </c>
      <c r="H470" s="15" t="s">
        <v>20</v>
      </c>
      <c r="I470" s="15" t="s">
        <v>153</v>
      </c>
      <c r="J470" s="15">
        <v>92</v>
      </c>
    </row>
    <row r="471" spans="1:10" x14ac:dyDescent="0.3">
      <c r="A471" s="15" t="s">
        <v>889</v>
      </c>
      <c r="B471" s="15" t="s">
        <v>68</v>
      </c>
      <c r="C471" s="15" t="s">
        <v>19</v>
      </c>
      <c r="D471" s="15" t="s">
        <v>31</v>
      </c>
      <c r="E471" s="15">
        <v>18</v>
      </c>
      <c r="F471" s="15">
        <v>12</v>
      </c>
      <c r="G471" s="15" t="s">
        <v>32</v>
      </c>
      <c r="H471" s="15" t="s">
        <v>46</v>
      </c>
      <c r="I471" s="15" t="s">
        <v>890</v>
      </c>
      <c r="J471" s="15">
        <v>88</v>
      </c>
    </row>
    <row r="472" spans="1:10" x14ac:dyDescent="0.3">
      <c r="A472" s="15" t="s">
        <v>891</v>
      </c>
      <c r="B472" s="15" t="s">
        <v>68</v>
      </c>
      <c r="C472" s="15" t="s">
        <v>79</v>
      </c>
      <c r="D472" s="15" t="s">
        <v>31</v>
      </c>
      <c r="E472" s="15">
        <v>17</v>
      </c>
      <c r="F472" s="15">
        <v>10</v>
      </c>
      <c r="G472" s="15" t="s">
        <v>32</v>
      </c>
      <c r="H472" s="15" t="s">
        <v>61</v>
      </c>
      <c r="I472" s="15" t="s">
        <v>892</v>
      </c>
      <c r="J472" s="15">
        <v>56</v>
      </c>
    </row>
    <row r="473" spans="1:10" x14ac:dyDescent="0.3">
      <c r="A473" s="15" t="s">
        <v>893</v>
      </c>
      <c r="B473" s="15" t="s">
        <v>29</v>
      </c>
      <c r="C473" s="15" t="s">
        <v>30</v>
      </c>
      <c r="D473" s="15" t="s">
        <v>13</v>
      </c>
      <c r="E473" s="15">
        <v>17</v>
      </c>
      <c r="F473" s="15">
        <v>9</v>
      </c>
      <c r="G473" s="15" t="s">
        <v>14</v>
      </c>
      <c r="H473" s="15" t="s">
        <v>46</v>
      </c>
      <c r="I473" s="15" t="s">
        <v>423</v>
      </c>
      <c r="J473" s="15">
        <v>46</v>
      </c>
    </row>
    <row r="474" spans="1:10" x14ac:dyDescent="0.3">
      <c r="A474" s="15" t="s">
        <v>894</v>
      </c>
      <c r="B474" s="15" t="s">
        <v>23</v>
      </c>
      <c r="C474" s="15" t="s">
        <v>79</v>
      </c>
      <c r="D474" s="15" t="s">
        <v>31</v>
      </c>
      <c r="E474" s="15">
        <v>20</v>
      </c>
      <c r="F474" s="15">
        <v>9</v>
      </c>
      <c r="G474" s="15" t="s">
        <v>14</v>
      </c>
      <c r="H474" s="15" t="s">
        <v>26</v>
      </c>
      <c r="I474" s="15" t="s">
        <v>895</v>
      </c>
      <c r="J474" s="15">
        <v>36</v>
      </c>
    </row>
    <row r="475" spans="1:10" x14ac:dyDescent="0.3">
      <c r="A475" s="15" t="s">
        <v>896</v>
      </c>
      <c r="B475" s="15" t="s">
        <v>11</v>
      </c>
      <c r="C475" s="15" t="s">
        <v>36</v>
      </c>
      <c r="D475" s="15" t="s">
        <v>13</v>
      </c>
      <c r="E475" s="15">
        <v>15</v>
      </c>
      <c r="F475" s="15">
        <v>11</v>
      </c>
      <c r="G475" s="15" t="s">
        <v>14</v>
      </c>
      <c r="H475" s="15" t="s">
        <v>26</v>
      </c>
      <c r="I475" s="15" t="s">
        <v>897</v>
      </c>
      <c r="J475" s="15">
        <v>95</v>
      </c>
    </row>
    <row r="476" spans="1:10" x14ac:dyDescent="0.3">
      <c r="A476" s="15" t="s">
        <v>898</v>
      </c>
      <c r="B476" s="15" t="s">
        <v>18</v>
      </c>
      <c r="C476" s="15" t="s">
        <v>19</v>
      </c>
      <c r="D476" s="15" t="s">
        <v>13</v>
      </c>
      <c r="E476" s="15">
        <v>17</v>
      </c>
      <c r="F476" s="15">
        <v>10</v>
      </c>
      <c r="G476" s="15" t="s">
        <v>25</v>
      </c>
      <c r="H476" s="15" t="s">
        <v>61</v>
      </c>
      <c r="I476" s="15" t="s">
        <v>471</v>
      </c>
      <c r="J476" s="15">
        <v>58</v>
      </c>
    </row>
    <row r="477" spans="1:10" x14ac:dyDescent="0.3">
      <c r="A477" s="15" t="s">
        <v>899</v>
      </c>
      <c r="B477" s="15" t="s">
        <v>11</v>
      </c>
      <c r="C477" s="15" t="s">
        <v>79</v>
      </c>
      <c r="D477" s="15" t="s">
        <v>13</v>
      </c>
      <c r="E477" s="15">
        <v>15</v>
      </c>
      <c r="F477" s="15">
        <v>10</v>
      </c>
      <c r="G477" s="15" t="s">
        <v>14</v>
      </c>
      <c r="H477" s="15" t="s">
        <v>37</v>
      </c>
      <c r="I477" s="15" t="s">
        <v>900</v>
      </c>
      <c r="J477" s="15">
        <v>88</v>
      </c>
    </row>
    <row r="478" spans="1:10" x14ac:dyDescent="0.3">
      <c r="A478" s="15" t="s">
        <v>901</v>
      </c>
      <c r="B478" s="15" t="s">
        <v>68</v>
      </c>
      <c r="C478" s="15" t="s">
        <v>19</v>
      </c>
      <c r="D478" s="15" t="s">
        <v>31</v>
      </c>
      <c r="E478" s="15">
        <v>18</v>
      </c>
      <c r="F478" s="15">
        <v>11</v>
      </c>
      <c r="G478" s="15" t="s">
        <v>14</v>
      </c>
      <c r="H478" s="15" t="s">
        <v>40</v>
      </c>
      <c r="I478" s="15" t="s">
        <v>139</v>
      </c>
      <c r="J478" s="15">
        <v>75</v>
      </c>
    </row>
    <row r="479" spans="1:10" x14ac:dyDescent="0.3">
      <c r="A479" s="15" t="s">
        <v>902</v>
      </c>
      <c r="B479" s="15" t="s">
        <v>35</v>
      </c>
      <c r="C479" s="15" t="s">
        <v>12</v>
      </c>
      <c r="D479" s="15" t="s">
        <v>31</v>
      </c>
      <c r="E479" s="15">
        <v>14</v>
      </c>
      <c r="F479" s="15">
        <v>11</v>
      </c>
      <c r="G479" s="15" t="s">
        <v>14</v>
      </c>
      <c r="H479" s="15" t="s">
        <v>37</v>
      </c>
      <c r="I479" s="15" t="s">
        <v>271</v>
      </c>
      <c r="J479" s="15">
        <v>59</v>
      </c>
    </row>
    <row r="480" spans="1:10" x14ac:dyDescent="0.3">
      <c r="A480" s="15" t="s">
        <v>903</v>
      </c>
      <c r="B480" s="15" t="s">
        <v>54</v>
      </c>
      <c r="C480" s="15" t="s">
        <v>30</v>
      </c>
      <c r="D480" s="15" t="s">
        <v>31</v>
      </c>
      <c r="E480" s="15">
        <v>20</v>
      </c>
      <c r="F480" s="15">
        <v>12</v>
      </c>
      <c r="G480" s="15" t="s">
        <v>43</v>
      </c>
      <c r="H480" s="15" t="s">
        <v>40</v>
      </c>
      <c r="I480" s="15" t="s">
        <v>904</v>
      </c>
      <c r="J480" s="15">
        <v>55</v>
      </c>
    </row>
    <row r="481" spans="1:10" x14ac:dyDescent="0.3">
      <c r="A481" s="15" t="s">
        <v>905</v>
      </c>
      <c r="B481" s="15" t="s">
        <v>54</v>
      </c>
      <c r="C481" s="15" t="s">
        <v>30</v>
      </c>
      <c r="D481" s="15" t="s">
        <v>13</v>
      </c>
      <c r="E481" s="15">
        <v>16</v>
      </c>
      <c r="F481" s="15">
        <v>12</v>
      </c>
      <c r="G481" s="15" t="s">
        <v>43</v>
      </c>
      <c r="H481" s="15" t="s">
        <v>40</v>
      </c>
      <c r="I481" s="15" t="s">
        <v>556</v>
      </c>
      <c r="J481" s="15">
        <v>81</v>
      </c>
    </row>
    <row r="482" spans="1:10" x14ac:dyDescent="0.3">
      <c r="A482" s="15" t="s">
        <v>906</v>
      </c>
      <c r="B482" s="15" t="s">
        <v>73</v>
      </c>
      <c r="C482" s="15" t="s">
        <v>36</v>
      </c>
      <c r="D482" s="15" t="s">
        <v>13</v>
      </c>
      <c r="E482" s="15">
        <v>17</v>
      </c>
      <c r="F482" s="15">
        <v>12</v>
      </c>
      <c r="G482" s="15" t="s">
        <v>25</v>
      </c>
      <c r="H482" s="15" t="s">
        <v>76</v>
      </c>
      <c r="I482" s="15" t="s">
        <v>907</v>
      </c>
      <c r="J482" s="15">
        <v>75</v>
      </c>
    </row>
    <row r="483" spans="1:10" x14ac:dyDescent="0.3">
      <c r="A483" s="15" t="s">
        <v>908</v>
      </c>
      <c r="B483" s="15" t="s">
        <v>11</v>
      </c>
      <c r="C483" s="15" t="s">
        <v>79</v>
      </c>
      <c r="D483" s="15" t="s">
        <v>31</v>
      </c>
      <c r="E483" s="15">
        <v>14</v>
      </c>
      <c r="F483" s="15">
        <v>10</v>
      </c>
      <c r="G483" s="15" t="s">
        <v>14</v>
      </c>
      <c r="H483" s="15" t="s">
        <v>46</v>
      </c>
      <c r="I483" s="15" t="s">
        <v>909</v>
      </c>
      <c r="J483" s="15">
        <v>55</v>
      </c>
    </row>
    <row r="484" spans="1:10" x14ac:dyDescent="0.3">
      <c r="A484" s="15" t="s">
        <v>910</v>
      </c>
      <c r="B484" s="15" t="s">
        <v>84</v>
      </c>
      <c r="C484" s="15" t="s">
        <v>12</v>
      </c>
      <c r="D484" s="15" t="s">
        <v>31</v>
      </c>
      <c r="E484" s="15">
        <v>18</v>
      </c>
      <c r="F484" s="15">
        <v>11</v>
      </c>
      <c r="G484" s="15" t="s">
        <v>25</v>
      </c>
      <c r="H484" s="15" t="s">
        <v>15</v>
      </c>
      <c r="I484" s="15" t="s">
        <v>911</v>
      </c>
      <c r="J484" s="15">
        <v>87</v>
      </c>
    </row>
    <row r="485" spans="1:10" x14ac:dyDescent="0.3">
      <c r="A485" s="15" t="s">
        <v>912</v>
      </c>
      <c r="B485" s="15" t="s">
        <v>23</v>
      </c>
      <c r="C485" s="15" t="s">
        <v>79</v>
      </c>
      <c r="D485" s="15" t="s">
        <v>31</v>
      </c>
      <c r="E485" s="15">
        <v>17</v>
      </c>
      <c r="F485" s="15">
        <v>12</v>
      </c>
      <c r="G485" s="15" t="s">
        <v>32</v>
      </c>
      <c r="H485" s="15" t="s">
        <v>46</v>
      </c>
      <c r="I485" s="15" t="s">
        <v>400</v>
      </c>
      <c r="J485" s="15">
        <v>70</v>
      </c>
    </row>
    <row r="486" spans="1:10" x14ac:dyDescent="0.3">
      <c r="A486" s="15" t="s">
        <v>913</v>
      </c>
      <c r="B486" s="15" t="s">
        <v>68</v>
      </c>
      <c r="C486" s="15" t="s">
        <v>58</v>
      </c>
      <c r="D486" s="15" t="s">
        <v>13</v>
      </c>
      <c r="E486" s="15">
        <v>14</v>
      </c>
      <c r="F486" s="15">
        <v>10</v>
      </c>
      <c r="G486" s="15" t="s">
        <v>14</v>
      </c>
      <c r="H486" s="15" t="s">
        <v>15</v>
      </c>
      <c r="I486" s="15" t="s">
        <v>914</v>
      </c>
      <c r="J486" s="15">
        <v>69</v>
      </c>
    </row>
    <row r="487" spans="1:10" x14ac:dyDescent="0.3">
      <c r="A487" s="15" t="s">
        <v>915</v>
      </c>
      <c r="B487" s="15" t="s">
        <v>23</v>
      </c>
      <c r="C487" s="15" t="s">
        <v>58</v>
      </c>
      <c r="D487" s="15" t="s">
        <v>31</v>
      </c>
      <c r="E487" s="15">
        <v>17</v>
      </c>
      <c r="F487" s="15">
        <v>9</v>
      </c>
      <c r="G487" s="15" t="s">
        <v>25</v>
      </c>
      <c r="H487" s="15" t="s">
        <v>46</v>
      </c>
      <c r="I487" s="15" t="s">
        <v>916</v>
      </c>
      <c r="J487" s="15">
        <v>85</v>
      </c>
    </row>
    <row r="488" spans="1:10" x14ac:dyDescent="0.3">
      <c r="A488" s="15" t="s">
        <v>917</v>
      </c>
      <c r="B488" s="15" t="s">
        <v>11</v>
      </c>
      <c r="C488" s="15" t="s">
        <v>96</v>
      </c>
      <c r="D488" s="15" t="s">
        <v>31</v>
      </c>
      <c r="E488" s="15">
        <v>19</v>
      </c>
      <c r="F488" s="15">
        <v>11</v>
      </c>
      <c r="G488" s="15" t="s">
        <v>43</v>
      </c>
      <c r="H488" s="15" t="s">
        <v>26</v>
      </c>
      <c r="I488" s="15" t="s">
        <v>918</v>
      </c>
      <c r="J488" s="15">
        <v>87</v>
      </c>
    </row>
    <row r="489" spans="1:10" x14ac:dyDescent="0.3">
      <c r="A489" s="15" t="s">
        <v>919</v>
      </c>
      <c r="B489" s="15" t="s">
        <v>23</v>
      </c>
      <c r="C489" s="15" t="s">
        <v>19</v>
      </c>
      <c r="D489" s="15" t="s">
        <v>13</v>
      </c>
      <c r="E489" s="15">
        <v>14</v>
      </c>
      <c r="F489" s="15">
        <v>12</v>
      </c>
      <c r="G489" s="15" t="s">
        <v>14</v>
      </c>
      <c r="H489" s="15" t="s">
        <v>15</v>
      </c>
      <c r="I489" s="15" t="s">
        <v>920</v>
      </c>
      <c r="J489" s="15">
        <v>92</v>
      </c>
    </row>
    <row r="490" spans="1:10" x14ac:dyDescent="0.3">
      <c r="A490" s="15" t="s">
        <v>921</v>
      </c>
      <c r="B490" s="15" t="s">
        <v>18</v>
      </c>
      <c r="C490" s="15" t="s">
        <v>24</v>
      </c>
      <c r="D490" s="15" t="s">
        <v>13</v>
      </c>
      <c r="E490" s="15">
        <v>19</v>
      </c>
      <c r="F490" s="15">
        <v>10</v>
      </c>
      <c r="G490" s="15" t="s">
        <v>14</v>
      </c>
      <c r="H490" s="15" t="s">
        <v>20</v>
      </c>
      <c r="I490" s="15" t="s">
        <v>922</v>
      </c>
      <c r="J490" s="15">
        <v>58</v>
      </c>
    </row>
    <row r="491" spans="1:10" x14ac:dyDescent="0.3">
      <c r="A491" s="15" t="s">
        <v>923</v>
      </c>
      <c r="B491" s="15" t="s">
        <v>68</v>
      </c>
      <c r="C491" s="15" t="s">
        <v>55</v>
      </c>
      <c r="D491" s="15" t="s">
        <v>31</v>
      </c>
      <c r="E491" s="15">
        <v>16</v>
      </c>
      <c r="F491" s="15">
        <v>12</v>
      </c>
      <c r="G491" s="15" t="s">
        <v>43</v>
      </c>
      <c r="H491" s="15" t="s">
        <v>37</v>
      </c>
      <c r="I491" s="15" t="s">
        <v>924</v>
      </c>
      <c r="J491" s="15">
        <v>77</v>
      </c>
    </row>
    <row r="492" spans="1:10" x14ac:dyDescent="0.3">
      <c r="A492" s="15" t="s">
        <v>925</v>
      </c>
      <c r="B492" s="15" t="s">
        <v>68</v>
      </c>
      <c r="C492" s="15" t="s">
        <v>30</v>
      </c>
      <c r="D492" s="15" t="s">
        <v>31</v>
      </c>
      <c r="E492" s="15">
        <v>18</v>
      </c>
      <c r="F492" s="15">
        <v>9</v>
      </c>
      <c r="G492" s="15" t="s">
        <v>32</v>
      </c>
      <c r="H492" s="15" t="s">
        <v>20</v>
      </c>
      <c r="I492" s="15" t="s">
        <v>732</v>
      </c>
      <c r="J492" s="15">
        <v>86</v>
      </c>
    </row>
    <row r="493" spans="1:10" x14ac:dyDescent="0.3">
      <c r="A493" s="15" t="s">
        <v>926</v>
      </c>
      <c r="B493" s="15" t="s">
        <v>73</v>
      </c>
      <c r="C493" s="15" t="s">
        <v>85</v>
      </c>
      <c r="D493" s="15" t="s">
        <v>13</v>
      </c>
      <c r="E493" s="15">
        <v>14</v>
      </c>
      <c r="F493" s="15">
        <v>9</v>
      </c>
      <c r="G493" s="15" t="s">
        <v>32</v>
      </c>
      <c r="H493" s="15" t="s">
        <v>20</v>
      </c>
      <c r="I493" s="15" t="s">
        <v>927</v>
      </c>
      <c r="J493" s="15">
        <v>94</v>
      </c>
    </row>
    <row r="494" spans="1:10" x14ac:dyDescent="0.3">
      <c r="A494" s="15" t="s">
        <v>928</v>
      </c>
      <c r="B494" s="15" t="s">
        <v>23</v>
      </c>
      <c r="C494" s="15" t="s">
        <v>55</v>
      </c>
      <c r="D494" s="15" t="s">
        <v>13</v>
      </c>
      <c r="E494" s="15">
        <v>20</v>
      </c>
      <c r="F494" s="15">
        <v>11</v>
      </c>
      <c r="G494" s="15" t="s">
        <v>14</v>
      </c>
      <c r="H494" s="15" t="s">
        <v>15</v>
      </c>
      <c r="I494" s="15" t="s">
        <v>608</v>
      </c>
      <c r="J494" s="15">
        <v>49</v>
      </c>
    </row>
    <row r="495" spans="1:10" x14ac:dyDescent="0.3">
      <c r="A495" s="15" t="s">
        <v>929</v>
      </c>
      <c r="B495" s="15" t="s">
        <v>35</v>
      </c>
      <c r="C495" s="15" t="s">
        <v>30</v>
      </c>
      <c r="D495" s="15" t="s">
        <v>13</v>
      </c>
      <c r="E495" s="15">
        <v>15</v>
      </c>
      <c r="F495" s="15">
        <v>12</v>
      </c>
      <c r="G495" s="15" t="s">
        <v>32</v>
      </c>
      <c r="H495" s="15" t="s">
        <v>26</v>
      </c>
      <c r="I495" s="15" t="s">
        <v>262</v>
      </c>
      <c r="J495" s="15">
        <v>55</v>
      </c>
    </row>
    <row r="496" spans="1:10" x14ac:dyDescent="0.3">
      <c r="A496" s="15" t="s">
        <v>930</v>
      </c>
      <c r="B496" s="15" t="s">
        <v>35</v>
      </c>
      <c r="C496" s="15" t="s">
        <v>96</v>
      </c>
      <c r="D496" s="15" t="s">
        <v>31</v>
      </c>
      <c r="E496" s="15">
        <v>20</v>
      </c>
      <c r="F496" s="15">
        <v>9</v>
      </c>
      <c r="G496" s="15" t="s">
        <v>25</v>
      </c>
      <c r="H496" s="15" t="s">
        <v>61</v>
      </c>
      <c r="I496" s="15" t="s">
        <v>342</v>
      </c>
      <c r="J496" s="15">
        <v>62</v>
      </c>
    </row>
    <row r="497" spans="1:10" x14ac:dyDescent="0.3">
      <c r="A497" s="15" t="s">
        <v>931</v>
      </c>
      <c r="B497" s="15" t="s">
        <v>23</v>
      </c>
      <c r="C497" s="15" t="s">
        <v>36</v>
      </c>
      <c r="D497" s="15" t="s">
        <v>13</v>
      </c>
      <c r="E497" s="15">
        <v>20</v>
      </c>
      <c r="F497" s="15">
        <v>9</v>
      </c>
      <c r="G497" s="15" t="s">
        <v>43</v>
      </c>
      <c r="H497" s="15" t="s">
        <v>40</v>
      </c>
      <c r="I497" s="15" t="s">
        <v>932</v>
      </c>
      <c r="J497" s="15">
        <v>85</v>
      </c>
    </row>
    <row r="498" spans="1:10" x14ac:dyDescent="0.3">
      <c r="A498" s="15" t="s">
        <v>933</v>
      </c>
      <c r="B498" s="15" t="s">
        <v>51</v>
      </c>
      <c r="C498" s="15" t="s">
        <v>96</v>
      </c>
      <c r="D498" s="15" t="s">
        <v>13</v>
      </c>
      <c r="E498" s="15">
        <v>20</v>
      </c>
      <c r="F498" s="15">
        <v>11</v>
      </c>
      <c r="G498" s="15" t="s">
        <v>25</v>
      </c>
      <c r="H498" s="15" t="s">
        <v>15</v>
      </c>
      <c r="I498" s="15" t="s">
        <v>494</v>
      </c>
      <c r="J498" s="15">
        <v>42</v>
      </c>
    </row>
    <row r="499" spans="1:10" x14ac:dyDescent="0.3">
      <c r="A499" s="15" t="s">
        <v>934</v>
      </c>
      <c r="B499" s="15" t="s">
        <v>51</v>
      </c>
      <c r="C499" s="15" t="s">
        <v>58</v>
      </c>
      <c r="D499" s="15" t="s">
        <v>31</v>
      </c>
      <c r="E499" s="15">
        <v>18</v>
      </c>
      <c r="F499" s="15">
        <v>11</v>
      </c>
      <c r="G499" s="15" t="s">
        <v>14</v>
      </c>
      <c r="H499" s="15" t="s">
        <v>37</v>
      </c>
      <c r="I499" s="15" t="s">
        <v>806</v>
      </c>
      <c r="J499" s="15">
        <v>88</v>
      </c>
    </row>
    <row r="500" spans="1:10" x14ac:dyDescent="0.3">
      <c r="A500" s="15" t="s">
        <v>935</v>
      </c>
      <c r="B500" s="15" t="s">
        <v>18</v>
      </c>
      <c r="C500" s="15" t="s">
        <v>12</v>
      </c>
      <c r="D500" s="15" t="s">
        <v>13</v>
      </c>
      <c r="E500" s="15">
        <v>20</v>
      </c>
      <c r="F500" s="15">
        <v>11</v>
      </c>
      <c r="G500" s="15" t="s">
        <v>43</v>
      </c>
      <c r="H500" s="15" t="s">
        <v>46</v>
      </c>
      <c r="I500" s="15" t="s">
        <v>936</v>
      </c>
      <c r="J500" s="15">
        <v>94</v>
      </c>
    </row>
    <row r="501" spans="1:10" x14ac:dyDescent="0.3">
      <c r="A501" s="15" t="s">
        <v>937</v>
      </c>
      <c r="B501" s="15" t="s">
        <v>73</v>
      </c>
      <c r="C501" s="15" t="s">
        <v>85</v>
      </c>
      <c r="D501" s="15" t="s">
        <v>31</v>
      </c>
      <c r="E501" s="15">
        <v>16</v>
      </c>
      <c r="F501" s="15">
        <v>10</v>
      </c>
      <c r="G501" s="15" t="s">
        <v>25</v>
      </c>
      <c r="H501" s="15" t="s">
        <v>76</v>
      </c>
      <c r="I501" s="15" t="s">
        <v>305</v>
      </c>
      <c r="J501" s="15">
        <v>90</v>
      </c>
    </row>
    <row r="502" spans="1:10" x14ac:dyDescent="0.3">
      <c r="A502" s="15" t="s">
        <v>938</v>
      </c>
      <c r="B502" s="15" t="s">
        <v>18</v>
      </c>
      <c r="C502" s="15" t="s">
        <v>58</v>
      </c>
      <c r="D502" s="15" t="s">
        <v>13</v>
      </c>
      <c r="E502" s="15">
        <v>16</v>
      </c>
      <c r="F502" s="15">
        <v>12</v>
      </c>
      <c r="G502" s="15" t="s">
        <v>25</v>
      </c>
      <c r="H502" s="15" t="s">
        <v>26</v>
      </c>
      <c r="I502" s="15" t="s">
        <v>939</v>
      </c>
      <c r="J502" s="15">
        <v>41</v>
      </c>
    </row>
    <row r="503" spans="1:10" x14ac:dyDescent="0.3">
      <c r="A503" s="15" t="s">
        <v>940</v>
      </c>
      <c r="B503" s="15" t="s">
        <v>51</v>
      </c>
      <c r="C503" s="15" t="s">
        <v>96</v>
      </c>
      <c r="D503" s="15" t="s">
        <v>31</v>
      </c>
      <c r="E503" s="15">
        <v>18</v>
      </c>
      <c r="F503" s="15">
        <v>9</v>
      </c>
      <c r="G503" s="15" t="s">
        <v>43</v>
      </c>
      <c r="H503" s="15" t="s">
        <v>76</v>
      </c>
      <c r="I503" s="15" t="s">
        <v>506</v>
      </c>
      <c r="J503" s="15">
        <v>36</v>
      </c>
    </row>
  </sheetData>
  <mergeCells count="1">
    <mergeCell ref="B1:J1"/>
  </mergeCells>
  <conditionalFormatting sqref="J4:J50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92CA6-E8E4-418E-BBBB-61F9318D32B9}">
  <dimension ref="A1:J503"/>
  <sheetViews>
    <sheetView workbookViewId="0">
      <selection activeCell="N7" sqref="N7"/>
    </sheetView>
  </sheetViews>
  <sheetFormatPr defaultRowHeight="14.4" x14ac:dyDescent="0.3"/>
  <cols>
    <col min="1" max="2" width="10.44140625" bestFit="1" customWidth="1"/>
    <col min="3" max="3" width="10.33203125" bestFit="1" customWidth="1"/>
    <col min="4" max="4" width="7.109375" bestFit="1" customWidth="1"/>
    <col min="5" max="5" width="4.21875" bestFit="1" customWidth="1"/>
    <col min="6" max="6" width="5.109375" bestFit="1" customWidth="1"/>
    <col min="7" max="7" width="7.21875" bestFit="1" customWidth="1"/>
    <col min="8" max="8" width="9.77734375" bestFit="1" customWidth="1"/>
    <col min="9" max="9" width="14.6640625" bestFit="1" customWidth="1"/>
    <col min="10" max="10" width="6.21875" bestFit="1" customWidth="1"/>
  </cols>
  <sheetData>
    <row r="1" spans="1:10" ht="18" x14ac:dyDescent="0.35">
      <c r="A1" s="16">
        <v>15</v>
      </c>
      <c r="B1" s="29" t="s">
        <v>971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</row>
    <row r="4" spans="1:10" x14ac:dyDescent="0.3">
      <c r="A4" s="15" t="s">
        <v>10</v>
      </c>
      <c r="B4" s="15" t="s">
        <v>943</v>
      </c>
      <c r="C4" s="15" t="s">
        <v>12</v>
      </c>
      <c r="D4" s="15" t="s">
        <v>13</v>
      </c>
      <c r="E4" s="15">
        <v>16</v>
      </c>
      <c r="F4" s="15">
        <v>10</v>
      </c>
      <c r="G4" s="15" t="s">
        <v>14</v>
      </c>
      <c r="H4" s="15" t="s">
        <v>15</v>
      </c>
      <c r="I4" s="15" t="s">
        <v>16</v>
      </c>
      <c r="J4" s="15">
        <v>37</v>
      </c>
    </row>
    <row r="5" spans="1:10" x14ac:dyDescent="0.3">
      <c r="A5" s="15" t="s">
        <v>17</v>
      </c>
      <c r="B5" s="15" t="s">
        <v>18</v>
      </c>
      <c r="C5" s="15" t="s">
        <v>19</v>
      </c>
      <c r="D5" s="15" t="s">
        <v>13</v>
      </c>
      <c r="E5" s="15">
        <v>15</v>
      </c>
      <c r="F5" s="15">
        <v>12</v>
      </c>
      <c r="G5" s="15" t="s">
        <v>14</v>
      </c>
      <c r="H5" s="15" t="s">
        <v>20</v>
      </c>
      <c r="I5" s="15" t="s">
        <v>21</v>
      </c>
      <c r="J5" s="15">
        <v>98</v>
      </c>
    </row>
    <row r="6" spans="1:10" x14ac:dyDescent="0.3">
      <c r="A6" s="15" t="s">
        <v>22</v>
      </c>
      <c r="B6" s="15" t="s">
        <v>23</v>
      </c>
      <c r="C6" s="15" t="s">
        <v>24</v>
      </c>
      <c r="D6" s="15" t="s">
        <v>13</v>
      </c>
      <c r="E6" s="15">
        <v>14</v>
      </c>
      <c r="F6" s="15">
        <v>12</v>
      </c>
      <c r="G6" s="15" t="s">
        <v>25</v>
      </c>
      <c r="H6" s="15" t="s">
        <v>26</v>
      </c>
      <c r="I6" s="15" t="s">
        <v>27</v>
      </c>
      <c r="J6" s="15">
        <v>38</v>
      </c>
    </row>
    <row r="7" spans="1:10" x14ac:dyDescent="0.3">
      <c r="A7" s="15" t="s">
        <v>28</v>
      </c>
      <c r="B7" s="15" t="s">
        <v>29</v>
      </c>
      <c r="C7" s="15" t="s">
        <v>30</v>
      </c>
      <c r="D7" s="15" t="s">
        <v>31</v>
      </c>
      <c r="E7" s="15">
        <v>20</v>
      </c>
      <c r="F7" s="15">
        <v>9</v>
      </c>
      <c r="G7" s="15" t="s">
        <v>32</v>
      </c>
      <c r="H7" s="15" t="s">
        <v>26</v>
      </c>
      <c r="I7" s="15" t="s">
        <v>33</v>
      </c>
      <c r="J7" s="15">
        <v>84</v>
      </c>
    </row>
    <row r="8" spans="1:10" x14ac:dyDescent="0.3">
      <c r="A8" s="15" t="s">
        <v>34</v>
      </c>
      <c r="B8" s="15" t="s">
        <v>35</v>
      </c>
      <c r="C8" s="15" t="s">
        <v>36</v>
      </c>
      <c r="D8" s="15" t="s">
        <v>31</v>
      </c>
      <c r="E8" s="15">
        <v>17</v>
      </c>
      <c r="F8" s="15">
        <v>10</v>
      </c>
      <c r="G8" s="15" t="s">
        <v>32</v>
      </c>
      <c r="H8" s="15" t="s">
        <v>37</v>
      </c>
      <c r="I8" s="15" t="s">
        <v>38</v>
      </c>
      <c r="J8" s="15">
        <v>45</v>
      </c>
    </row>
    <row r="9" spans="1:10" x14ac:dyDescent="0.3">
      <c r="A9" s="15" t="s">
        <v>39</v>
      </c>
      <c r="B9" s="15" t="s">
        <v>11</v>
      </c>
      <c r="C9" s="15" t="s">
        <v>12</v>
      </c>
      <c r="D9" s="15" t="s">
        <v>31</v>
      </c>
      <c r="E9" s="15">
        <v>19</v>
      </c>
      <c r="F9" s="15">
        <v>10</v>
      </c>
      <c r="G9" s="15" t="s">
        <v>14</v>
      </c>
      <c r="H9" s="15" t="s">
        <v>40</v>
      </c>
      <c r="I9" s="15" t="s">
        <v>41</v>
      </c>
      <c r="J9" s="15">
        <v>36</v>
      </c>
    </row>
    <row r="10" spans="1:10" x14ac:dyDescent="0.3">
      <c r="A10" s="15" t="s">
        <v>42</v>
      </c>
      <c r="B10" s="15" t="s">
        <v>29</v>
      </c>
      <c r="C10" s="15" t="s">
        <v>24</v>
      </c>
      <c r="D10" s="15" t="s">
        <v>31</v>
      </c>
      <c r="E10" s="15">
        <v>20</v>
      </c>
      <c r="F10" s="15">
        <v>9</v>
      </c>
      <c r="G10" s="15" t="s">
        <v>43</v>
      </c>
      <c r="H10" s="15" t="s">
        <v>40</v>
      </c>
      <c r="I10" s="15" t="s">
        <v>44</v>
      </c>
      <c r="J10" s="15">
        <v>88</v>
      </c>
    </row>
    <row r="11" spans="1:10" x14ac:dyDescent="0.3">
      <c r="A11" s="15" t="s">
        <v>45</v>
      </c>
      <c r="B11" s="15" t="s">
        <v>35</v>
      </c>
      <c r="C11" s="15" t="s">
        <v>12</v>
      </c>
      <c r="D11" s="15" t="s">
        <v>13</v>
      </c>
      <c r="E11" s="15">
        <v>19</v>
      </c>
      <c r="F11" s="15">
        <v>12</v>
      </c>
      <c r="G11" s="15" t="s">
        <v>32</v>
      </c>
      <c r="H11" s="15" t="s">
        <v>46</v>
      </c>
      <c r="I11" s="15" t="s">
        <v>47</v>
      </c>
      <c r="J11" s="15">
        <v>60</v>
      </c>
    </row>
    <row r="12" spans="1:10" x14ac:dyDescent="0.3">
      <c r="A12" s="15" t="s">
        <v>48</v>
      </c>
      <c r="B12" s="15" t="s">
        <v>18</v>
      </c>
      <c r="C12" s="15" t="s">
        <v>30</v>
      </c>
      <c r="D12" s="15" t="s">
        <v>31</v>
      </c>
      <c r="E12" s="15">
        <v>19</v>
      </c>
      <c r="F12" s="15">
        <v>12</v>
      </c>
      <c r="G12" s="15" t="s">
        <v>14</v>
      </c>
      <c r="H12" s="15" t="s">
        <v>46</v>
      </c>
      <c r="I12" s="15" t="s">
        <v>49</v>
      </c>
      <c r="J12" s="15">
        <v>92</v>
      </c>
    </row>
    <row r="13" spans="1:10" x14ac:dyDescent="0.3">
      <c r="A13" s="15" t="s">
        <v>50</v>
      </c>
      <c r="B13" s="15" t="s">
        <v>51</v>
      </c>
      <c r="C13" s="15" t="s">
        <v>24</v>
      </c>
      <c r="D13" s="15" t="s">
        <v>31</v>
      </c>
      <c r="E13" s="15">
        <v>15</v>
      </c>
      <c r="F13" s="15">
        <v>9</v>
      </c>
      <c r="G13" s="15" t="s">
        <v>43</v>
      </c>
      <c r="H13" s="15" t="s">
        <v>15</v>
      </c>
      <c r="I13" s="15" t="s">
        <v>52</v>
      </c>
      <c r="J13" s="15">
        <v>90</v>
      </c>
    </row>
    <row r="14" spans="1:10" x14ac:dyDescent="0.3">
      <c r="A14" s="15" t="s">
        <v>53</v>
      </c>
      <c r="B14" s="15" t="s">
        <v>54</v>
      </c>
      <c r="C14" s="15" t="s">
        <v>55</v>
      </c>
      <c r="D14" s="15" t="s">
        <v>31</v>
      </c>
      <c r="E14" s="15">
        <v>20</v>
      </c>
      <c r="F14" s="15">
        <v>10</v>
      </c>
      <c r="G14" s="15" t="s">
        <v>25</v>
      </c>
      <c r="H14" s="15" t="s">
        <v>40</v>
      </c>
      <c r="I14" s="15" t="s">
        <v>56</v>
      </c>
      <c r="J14" s="15">
        <v>59</v>
      </c>
    </row>
    <row r="15" spans="1:10" x14ac:dyDescent="0.3">
      <c r="A15" s="15" t="s">
        <v>57</v>
      </c>
      <c r="B15" s="15" t="s">
        <v>51</v>
      </c>
      <c r="C15" s="15" t="s">
        <v>58</v>
      </c>
      <c r="D15" s="15" t="s">
        <v>13</v>
      </c>
      <c r="E15" s="15">
        <v>14</v>
      </c>
      <c r="F15" s="15">
        <v>12</v>
      </c>
      <c r="G15" s="15" t="s">
        <v>32</v>
      </c>
      <c r="H15" s="15" t="s">
        <v>40</v>
      </c>
      <c r="I15" s="15" t="s">
        <v>59</v>
      </c>
      <c r="J15" s="15">
        <v>43</v>
      </c>
    </row>
    <row r="16" spans="1:10" x14ac:dyDescent="0.3">
      <c r="A16" s="15" t="s">
        <v>60</v>
      </c>
      <c r="B16" s="15" t="s">
        <v>35</v>
      </c>
      <c r="C16" s="15" t="s">
        <v>55</v>
      </c>
      <c r="D16" s="15" t="s">
        <v>13</v>
      </c>
      <c r="E16" s="15">
        <v>15</v>
      </c>
      <c r="F16" s="15">
        <v>12</v>
      </c>
      <c r="G16" s="15" t="s">
        <v>14</v>
      </c>
      <c r="H16" s="15" t="s">
        <v>61</v>
      </c>
      <c r="I16" s="15" t="s">
        <v>62</v>
      </c>
      <c r="J16" s="15">
        <v>51</v>
      </c>
    </row>
    <row r="17" spans="1:10" x14ac:dyDescent="0.3">
      <c r="A17" s="15" t="s">
        <v>63</v>
      </c>
      <c r="B17" s="15" t="s">
        <v>11</v>
      </c>
      <c r="C17" s="15" t="s">
        <v>55</v>
      </c>
      <c r="D17" s="15" t="s">
        <v>13</v>
      </c>
      <c r="E17" s="15">
        <v>16</v>
      </c>
      <c r="F17" s="15">
        <v>10</v>
      </c>
      <c r="G17" s="15" t="s">
        <v>25</v>
      </c>
      <c r="H17" s="15" t="s">
        <v>26</v>
      </c>
      <c r="I17" s="15" t="s">
        <v>64</v>
      </c>
      <c r="J17" s="15">
        <v>42</v>
      </c>
    </row>
    <row r="18" spans="1:10" x14ac:dyDescent="0.3">
      <c r="A18" s="15" t="s">
        <v>65</v>
      </c>
      <c r="B18" s="15" t="s">
        <v>23</v>
      </c>
      <c r="C18" s="15" t="s">
        <v>30</v>
      </c>
      <c r="D18" s="15" t="s">
        <v>13</v>
      </c>
      <c r="E18" s="15">
        <v>20</v>
      </c>
      <c r="F18" s="15">
        <v>12</v>
      </c>
      <c r="G18" s="15" t="s">
        <v>14</v>
      </c>
      <c r="H18" s="15" t="s">
        <v>40</v>
      </c>
      <c r="I18" s="15" t="s">
        <v>66</v>
      </c>
      <c r="J18" s="15">
        <v>62</v>
      </c>
    </row>
    <row r="19" spans="1:10" x14ac:dyDescent="0.3">
      <c r="A19" s="15" t="s">
        <v>67</v>
      </c>
      <c r="B19" s="15" t="s">
        <v>68</v>
      </c>
      <c r="C19" s="15" t="s">
        <v>19</v>
      </c>
      <c r="D19" s="15" t="s">
        <v>13</v>
      </c>
      <c r="E19" s="15">
        <v>20</v>
      </c>
      <c r="F19" s="15">
        <v>9</v>
      </c>
      <c r="G19" s="15" t="s">
        <v>14</v>
      </c>
      <c r="H19" s="15" t="s">
        <v>20</v>
      </c>
      <c r="I19" s="15" t="s">
        <v>69</v>
      </c>
      <c r="J19" s="15">
        <v>55</v>
      </c>
    </row>
    <row r="20" spans="1:10" x14ac:dyDescent="0.3">
      <c r="A20" s="15" t="s">
        <v>70</v>
      </c>
      <c r="B20" s="15" t="s">
        <v>51</v>
      </c>
      <c r="C20" s="15" t="s">
        <v>36</v>
      </c>
      <c r="D20" s="15" t="s">
        <v>13</v>
      </c>
      <c r="E20" s="15">
        <v>14</v>
      </c>
      <c r="F20" s="15">
        <v>12</v>
      </c>
      <c r="G20" s="15" t="s">
        <v>25</v>
      </c>
      <c r="H20" s="15" t="s">
        <v>37</v>
      </c>
      <c r="I20" s="15" t="s">
        <v>71</v>
      </c>
      <c r="J20" s="15">
        <v>42</v>
      </c>
    </row>
    <row r="21" spans="1:10" x14ac:dyDescent="0.3">
      <c r="A21" s="15" t="s">
        <v>72</v>
      </c>
      <c r="B21" s="15" t="s">
        <v>73</v>
      </c>
      <c r="C21" s="15" t="s">
        <v>58</v>
      </c>
      <c r="D21" s="15" t="s">
        <v>31</v>
      </c>
      <c r="E21" s="15">
        <v>19</v>
      </c>
      <c r="F21" s="15">
        <v>9</v>
      </c>
      <c r="G21" s="15" t="s">
        <v>32</v>
      </c>
      <c r="H21" s="15" t="s">
        <v>46</v>
      </c>
      <c r="I21" s="15" t="s">
        <v>74</v>
      </c>
      <c r="J21" s="15">
        <v>76</v>
      </c>
    </row>
    <row r="22" spans="1:10" x14ac:dyDescent="0.3">
      <c r="A22" s="15" t="s">
        <v>75</v>
      </c>
      <c r="B22" s="15" t="s">
        <v>29</v>
      </c>
      <c r="C22" s="15" t="s">
        <v>58</v>
      </c>
      <c r="D22" s="15" t="s">
        <v>31</v>
      </c>
      <c r="E22" s="15">
        <v>17</v>
      </c>
      <c r="F22" s="15">
        <v>12</v>
      </c>
      <c r="G22" s="15" t="s">
        <v>32</v>
      </c>
      <c r="H22" s="15" t="s">
        <v>76</v>
      </c>
      <c r="I22" s="15" t="s">
        <v>77</v>
      </c>
      <c r="J22" s="15">
        <v>66</v>
      </c>
    </row>
    <row r="23" spans="1:10" x14ac:dyDescent="0.3">
      <c r="A23" s="15" t="s">
        <v>78</v>
      </c>
      <c r="B23" s="15" t="s">
        <v>68</v>
      </c>
      <c r="C23" s="15" t="s">
        <v>79</v>
      </c>
      <c r="D23" s="15" t="s">
        <v>31</v>
      </c>
      <c r="E23" s="15">
        <v>15</v>
      </c>
      <c r="F23" s="15">
        <v>10</v>
      </c>
      <c r="G23" s="15" t="s">
        <v>14</v>
      </c>
      <c r="H23" s="15" t="s">
        <v>20</v>
      </c>
      <c r="I23" s="15" t="s">
        <v>80</v>
      </c>
      <c r="J23" s="15">
        <v>59</v>
      </c>
    </row>
    <row r="24" spans="1:10" x14ac:dyDescent="0.3">
      <c r="A24" s="15" t="s">
        <v>81</v>
      </c>
      <c r="B24" s="15" t="s">
        <v>29</v>
      </c>
      <c r="C24" s="15" t="s">
        <v>58</v>
      </c>
      <c r="D24" s="15" t="s">
        <v>31</v>
      </c>
      <c r="E24" s="15">
        <v>19</v>
      </c>
      <c r="F24" s="15">
        <v>9</v>
      </c>
      <c r="G24" s="15" t="s">
        <v>14</v>
      </c>
      <c r="H24" s="15" t="s">
        <v>61</v>
      </c>
      <c r="I24" s="15" t="s">
        <v>82</v>
      </c>
      <c r="J24" s="15">
        <v>50</v>
      </c>
    </row>
    <row r="25" spans="1:10" x14ac:dyDescent="0.3">
      <c r="A25" s="15" t="s">
        <v>83</v>
      </c>
      <c r="B25" s="15" t="s">
        <v>84</v>
      </c>
      <c r="C25" s="15" t="s">
        <v>85</v>
      </c>
      <c r="D25" s="15" t="s">
        <v>31</v>
      </c>
      <c r="E25" s="15">
        <v>16</v>
      </c>
      <c r="F25" s="15">
        <v>9</v>
      </c>
      <c r="G25" s="15" t="s">
        <v>43</v>
      </c>
      <c r="H25" s="15" t="s">
        <v>37</v>
      </c>
      <c r="I25" s="15" t="s">
        <v>86</v>
      </c>
      <c r="J25" s="15">
        <v>52</v>
      </c>
    </row>
    <row r="26" spans="1:10" x14ac:dyDescent="0.3">
      <c r="A26" s="15" t="s">
        <v>87</v>
      </c>
      <c r="B26" s="15" t="s">
        <v>18</v>
      </c>
      <c r="C26" s="15" t="s">
        <v>12</v>
      </c>
      <c r="D26" s="15" t="s">
        <v>13</v>
      </c>
      <c r="E26" s="15">
        <v>20</v>
      </c>
      <c r="F26" s="15">
        <v>12</v>
      </c>
      <c r="G26" s="15" t="s">
        <v>32</v>
      </c>
      <c r="H26" s="15" t="s">
        <v>26</v>
      </c>
      <c r="I26" s="15" t="s">
        <v>88</v>
      </c>
      <c r="J26" s="15">
        <v>86</v>
      </c>
    </row>
    <row r="27" spans="1:10" x14ac:dyDescent="0.3">
      <c r="A27" s="15" t="s">
        <v>89</v>
      </c>
      <c r="B27" s="15" t="s">
        <v>68</v>
      </c>
      <c r="C27" s="15" t="s">
        <v>85</v>
      </c>
      <c r="D27" s="15" t="s">
        <v>31</v>
      </c>
      <c r="E27" s="15">
        <v>16</v>
      </c>
      <c r="F27" s="15">
        <v>9</v>
      </c>
      <c r="G27" s="15" t="s">
        <v>43</v>
      </c>
      <c r="H27" s="15" t="s">
        <v>20</v>
      </c>
      <c r="I27" s="15" t="s">
        <v>90</v>
      </c>
      <c r="J27" s="15">
        <v>52</v>
      </c>
    </row>
    <row r="28" spans="1:10" x14ac:dyDescent="0.3">
      <c r="A28" s="15" t="s">
        <v>91</v>
      </c>
      <c r="B28" s="15" t="s">
        <v>73</v>
      </c>
      <c r="C28" s="15" t="s">
        <v>12</v>
      </c>
      <c r="D28" s="15" t="s">
        <v>13</v>
      </c>
      <c r="E28" s="15">
        <v>20</v>
      </c>
      <c r="F28" s="15">
        <v>10</v>
      </c>
      <c r="G28" s="15" t="s">
        <v>43</v>
      </c>
      <c r="H28" s="15" t="s">
        <v>46</v>
      </c>
      <c r="I28" s="15" t="s">
        <v>92</v>
      </c>
      <c r="J28" s="15">
        <v>82</v>
      </c>
    </row>
    <row r="29" spans="1:10" x14ac:dyDescent="0.3">
      <c r="A29" s="15" t="s">
        <v>93</v>
      </c>
      <c r="B29" s="15" t="s">
        <v>29</v>
      </c>
      <c r="C29" s="15" t="s">
        <v>24</v>
      </c>
      <c r="D29" s="15" t="s">
        <v>31</v>
      </c>
      <c r="E29" s="15">
        <v>14</v>
      </c>
      <c r="F29" s="15">
        <v>12</v>
      </c>
      <c r="G29" s="15" t="s">
        <v>32</v>
      </c>
      <c r="H29" s="15" t="s">
        <v>61</v>
      </c>
      <c r="I29" s="15" t="s">
        <v>94</v>
      </c>
      <c r="J29" s="15">
        <v>72</v>
      </c>
    </row>
    <row r="30" spans="1:10" x14ac:dyDescent="0.3">
      <c r="A30" s="15" t="s">
        <v>95</v>
      </c>
      <c r="B30" s="15" t="s">
        <v>18</v>
      </c>
      <c r="C30" s="15" t="s">
        <v>96</v>
      </c>
      <c r="D30" s="15" t="s">
        <v>13</v>
      </c>
      <c r="E30" s="15">
        <v>19</v>
      </c>
      <c r="F30" s="15">
        <v>12</v>
      </c>
      <c r="G30" s="15" t="s">
        <v>14</v>
      </c>
      <c r="H30" s="15" t="s">
        <v>15</v>
      </c>
      <c r="I30" s="15" t="s">
        <v>97</v>
      </c>
      <c r="J30" s="15">
        <v>56</v>
      </c>
    </row>
    <row r="31" spans="1:10" x14ac:dyDescent="0.3">
      <c r="A31" s="15" t="s">
        <v>98</v>
      </c>
      <c r="B31" s="15" t="s">
        <v>68</v>
      </c>
      <c r="C31" s="15" t="s">
        <v>55</v>
      </c>
      <c r="D31" s="15" t="s">
        <v>13</v>
      </c>
      <c r="E31" s="15">
        <v>19</v>
      </c>
      <c r="F31" s="15">
        <v>11</v>
      </c>
      <c r="G31" s="15" t="s">
        <v>43</v>
      </c>
      <c r="H31" s="15" t="s">
        <v>15</v>
      </c>
      <c r="I31" s="15" t="s">
        <v>99</v>
      </c>
      <c r="J31" s="15">
        <v>56</v>
      </c>
    </row>
    <row r="32" spans="1:10" x14ac:dyDescent="0.3">
      <c r="A32" s="15" t="s">
        <v>100</v>
      </c>
      <c r="B32" s="15" t="s">
        <v>35</v>
      </c>
      <c r="C32" s="15" t="s">
        <v>12</v>
      </c>
      <c r="D32" s="15" t="s">
        <v>31</v>
      </c>
      <c r="E32" s="15">
        <v>19</v>
      </c>
      <c r="F32" s="15">
        <v>12</v>
      </c>
      <c r="G32" s="15" t="s">
        <v>25</v>
      </c>
      <c r="H32" s="15" t="s">
        <v>76</v>
      </c>
      <c r="I32" s="15" t="s">
        <v>101</v>
      </c>
      <c r="J32" s="15">
        <v>54</v>
      </c>
    </row>
    <row r="33" spans="1:10" x14ac:dyDescent="0.3">
      <c r="A33" s="15" t="s">
        <v>102</v>
      </c>
      <c r="B33" s="15" t="s">
        <v>35</v>
      </c>
      <c r="C33" s="15" t="s">
        <v>12</v>
      </c>
      <c r="D33" s="15" t="s">
        <v>13</v>
      </c>
      <c r="E33" s="15">
        <v>20</v>
      </c>
      <c r="F33" s="15">
        <v>11</v>
      </c>
      <c r="G33" s="15" t="s">
        <v>14</v>
      </c>
      <c r="H33" s="15" t="s">
        <v>26</v>
      </c>
      <c r="I33" s="15" t="s">
        <v>103</v>
      </c>
      <c r="J33" s="15">
        <v>70</v>
      </c>
    </row>
    <row r="34" spans="1:10" x14ac:dyDescent="0.3">
      <c r="A34" s="15" t="s">
        <v>104</v>
      </c>
      <c r="B34" s="15" t="s">
        <v>29</v>
      </c>
      <c r="C34" s="15" t="s">
        <v>79</v>
      </c>
      <c r="D34" s="15" t="s">
        <v>31</v>
      </c>
      <c r="E34" s="15">
        <v>18</v>
      </c>
      <c r="F34" s="15">
        <v>10</v>
      </c>
      <c r="G34" s="15" t="s">
        <v>25</v>
      </c>
      <c r="H34" s="15" t="s">
        <v>61</v>
      </c>
      <c r="I34" s="15" t="s">
        <v>105</v>
      </c>
      <c r="J34" s="15">
        <v>57</v>
      </c>
    </row>
    <row r="35" spans="1:10" x14ac:dyDescent="0.3">
      <c r="A35" s="15" t="s">
        <v>106</v>
      </c>
      <c r="B35" s="15" t="s">
        <v>51</v>
      </c>
      <c r="C35" s="15" t="s">
        <v>55</v>
      </c>
      <c r="D35" s="15" t="s">
        <v>13</v>
      </c>
      <c r="E35" s="15">
        <v>20</v>
      </c>
      <c r="F35" s="15">
        <v>9</v>
      </c>
      <c r="G35" s="15" t="s">
        <v>32</v>
      </c>
      <c r="H35" s="15" t="s">
        <v>26</v>
      </c>
      <c r="I35" s="15" t="s">
        <v>107</v>
      </c>
      <c r="J35" s="15">
        <v>91</v>
      </c>
    </row>
    <row r="36" spans="1:10" x14ac:dyDescent="0.3">
      <c r="A36" s="15" t="s">
        <v>108</v>
      </c>
      <c r="B36" s="15" t="s">
        <v>29</v>
      </c>
      <c r="C36" s="15" t="s">
        <v>96</v>
      </c>
      <c r="D36" s="15" t="s">
        <v>31</v>
      </c>
      <c r="E36" s="15">
        <v>15</v>
      </c>
      <c r="F36" s="15">
        <v>11</v>
      </c>
      <c r="G36" s="15" t="s">
        <v>43</v>
      </c>
      <c r="H36" s="15" t="s">
        <v>26</v>
      </c>
      <c r="I36" s="15" t="s">
        <v>109</v>
      </c>
      <c r="J36" s="15">
        <v>77</v>
      </c>
    </row>
    <row r="37" spans="1:10" x14ac:dyDescent="0.3">
      <c r="A37" s="15" t="s">
        <v>110</v>
      </c>
      <c r="B37" s="15" t="s">
        <v>51</v>
      </c>
      <c r="C37" s="15" t="s">
        <v>58</v>
      </c>
      <c r="D37" s="15" t="s">
        <v>31</v>
      </c>
      <c r="E37" s="15">
        <v>14</v>
      </c>
      <c r="F37" s="15">
        <v>10</v>
      </c>
      <c r="G37" s="15" t="s">
        <v>32</v>
      </c>
      <c r="H37" s="15" t="s">
        <v>76</v>
      </c>
      <c r="I37" s="15" t="s">
        <v>111</v>
      </c>
      <c r="J37" s="15">
        <v>60</v>
      </c>
    </row>
    <row r="38" spans="1:10" x14ac:dyDescent="0.3">
      <c r="A38" s="15" t="s">
        <v>112</v>
      </c>
      <c r="B38" s="15" t="s">
        <v>73</v>
      </c>
      <c r="C38" s="15" t="s">
        <v>30</v>
      </c>
      <c r="D38" s="15" t="s">
        <v>13</v>
      </c>
      <c r="E38" s="15">
        <v>15</v>
      </c>
      <c r="F38" s="15">
        <v>9</v>
      </c>
      <c r="G38" s="15" t="s">
        <v>14</v>
      </c>
      <c r="H38" s="15" t="s">
        <v>26</v>
      </c>
      <c r="I38" s="15" t="s">
        <v>113</v>
      </c>
      <c r="J38" s="15">
        <v>58</v>
      </c>
    </row>
    <row r="39" spans="1:10" x14ac:dyDescent="0.3">
      <c r="A39" s="15" t="s">
        <v>114</v>
      </c>
      <c r="B39" s="15" t="s">
        <v>73</v>
      </c>
      <c r="C39" s="15" t="s">
        <v>58</v>
      </c>
      <c r="D39" s="15" t="s">
        <v>13</v>
      </c>
      <c r="E39" s="15">
        <v>20</v>
      </c>
      <c r="F39" s="15">
        <v>9</v>
      </c>
      <c r="G39" s="15" t="s">
        <v>25</v>
      </c>
      <c r="H39" s="15" t="s">
        <v>46</v>
      </c>
      <c r="I39" s="15" t="s">
        <v>115</v>
      </c>
      <c r="J39" s="15">
        <v>40</v>
      </c>
    </row>
    <row r="40" spans="1:10" x14ac:dyDescent="0.3">
      <c r="A40" s="15" t="s">
        <v>116</v>
      </c>
      <c r="B40" s="15" t="s">
        <v>84</v>
      </c>
      <c r="C40" s="15" t="s">
        <v>19</v>
      </c>
      <c r="D40" s="15" t="s">
        <v>13</v>
      </c>
      <c r="E40" s="15">
        <v>19</v>
      </c>
      <c r="F40" s="15">
        <v>12</v>
      </c>
      <c r="G40" s="15" t="s">
        <v>14</v>
      </c>
      <c r="H40" s="15" t="s">
        <v>20</v>
      </c>
      <c r="I40" s="15" t="s">
        <v>117</v>
      </c>
      <c r="J40" s="15">
        <v>56</v>
      </c>
    </row>
    <row r="41" spans="1:10" x14ac:dyDescent="0.3">
      <c r="A41" s="15" t="s">
        <v>118</v>
      </c>
      <c r="B41" s="15" t="s">
        <v>84</v>
      </c>
      <c r="C41" s="15" t="s">
        <v>58</v>
      </c>
      <c r="D41" s="15" t="s">
        <v>31</v>
      </c>
      <c r="E41" s="15">
        <v>20</v>
      </c>
      <c r="F41" s="15">
        <v>10</v>
      </c>
      <c r="G41" s="15" t="s">
        <v>32</v>
      </c>
      <c r="H41" s="15" t="s">
        <v>26</v>
      </c>
      <c r="I41" s="15" t="s">
        <v>119</v>
      </c>
      <c r="J41" s="15">
        <v>52</v>
      </c>
    </row>
    <row r="42" spans="1:10" x14ac:dyDescent="0.3">
      <c r="A42" s="15" t="s">
        <v>120</v>
      </c>
      <c r="B42" s="15" t="s">
        <v>35</v>
      </c>
      <c r="C42" s="15" t="s">
        <v>36</v>
      </c>
      <c r="D42" s="15" t="s">
        <v>31</v>
      </c>
      <c r="E42" s="15">
        <v>20</v>
      </c>
      <c r="F42" s="15">
        <v>10</v>
      </c>
      <c r="G42" s="15" t="s">
        <v>43</v>
      </c>
      <c r="H42" s="15" t="s">
        <v>61</v>
      </c>
      <c r="I42" s="15" t="s">
        <v>121</v>
      </c>
      <c r="J42" s="15">
        <v>37</v>
      </c>
    </row>
    <row r="43" spans="1:10" x14ac:dyDescent="0.3">
      <c r="A43" s="15" t="s">
        <v>122</v>
      </c>
      <c r="B43" s="15" t="s">
        <v>18</v>
      </c>
      <c r="C43" s="15" t="s">
        <v>19</v>
      </c>
      <c r="D43" s="15" t="s">
        <v>13</v>
      </c>
      <c r="E43" s="15">
        <v>15</v>
      </c>
      <c r="F43" s="15">
        <v>10</v>
      </c>
      <c r="G43" s="15" t="s">
        <v>32</v>
      </c>
      <c r="H43" s="15" t="s">
        <v>20</v>
      </c>
      <c r="I43" s="15" t="s">
        <v>123</v>
      </c>
      <c r="J43" s="15">
        <v>51</v>
      </c>
    </row>
    <row r="44" spans="1:10" x14ac:dyDescent="0.3">
      <c r="A44" s="15" t="s">
        <v>124</v>
      </c>
      <c r="B44" s="15" t="s">
        <v>68</v>
      </c>
      <c r="C44" s="15" t="s">
        <v>36</v>
      </c>
      <c r="D44" s="15" t="s">
        <v>13</v>
      </c>
      <c r="E44" s="15">
        <v>18</v>
      </c>
      <c r="F44" s="15">
        <v>10</v>
      </c>
      <c r="G44" s="15" t="s">
        <v>43</v>
      </c>
      <c r="H44" s="15" t="s">
        <v>20</v>
      </c>
      <c r="I44" s="15" t="s">
        <v>125</v>
      </c>
      <c r="J44" s="15">
        <v>66</v>
      </c>
    </row>
    <row r="45" spans="1:10" x14ac:dyDescent="0.3">
      <c r="A45" s="15" t="s">
        <v>126</v>
      </c>
      <c r="B45" s="15" t="s">
        <v>18</v>
      </c>
      <c r="C45" s="15" t="s">
        <v>24</v>
      </c>
      <c r="D45" s="15" t="s">
        <v>13</v>
      </c>
      <c r="E45" s="15">
        <v>15</v>
      </c>
      <c r="F45" s="15">
        <v>9</v>
      </c>
      <c r="G45" s="15" t="s">
        <v>25</v>
      </c>
      <c r="H45" s="15" t="s">
        <v>76</v>
      </c>
      <c r="I45" s="15" t="s">
        <v>127</v>
      </c>
      <c r="J45" s="15">
        <v>59</v>
      </c>
    </row>
    <row r="46" spans="1:10" x14ac:dyDescent="0.3">
      <c r="A46" s="15" t="s">
        <v>128</v>
      </c>
      <c r="B46" s="15" t="s">
        <v>11</v>
      </c>
      <c r="C46" s="15" t="s">
        <v>24</v>
      </c>
      <c r="D46" s="15" t="s">
        <v>31</v>
      </c>
      <c r="E46" s="15">
        <v>17</v>
      </c>
      <c r="F46" s="15">
        <v>12</v>
      </c>
      <c r="G46" s="15" t="s">
        <v>32</v>
      </c>
      <c r="H46" s="15" t="s">
        <v>15</v>
      </c>
      <c r="I46" s="15" t="s">
        <v>129</v>
      </c>
      <c r="J46" s="15">
        <v>68</v>
      </c>
    </row>
    <row r="47" spans="1:10" x14ac:dyDescent="0.3">
      <c r="A47" s="15" t="s">
        <v>130</v>
      </c>
      <c r="B47" s="15" t="s">
        <v>73</v>
      </c>
      <c r="C47" s="15" t="s">
        <v>30</v>
      </c>
      <c r="D47" s="15" t="s">
        <v>13</v>
      </c>
      <c r="E47" s="15">
        <v>17</v>
      </c>
      <c r="F47" s="15">
        <v>12</v>
      </c>
      <c r="G47" s="15" t="s">
        <v>25</v>
      </c>
      <c r="H47" s="15" t="s">
        <v>40</v>
      </c>
      <c r="I47" s="15" t="s">
        <v>131</v>
      </c>
      <c r="J47" s="15">
        <v>82</v>
      </c>
    </row>
    <row r="48" spans="1:10" x14ac:dyDescent="0.3">
      <c r="A48" s="15" t="s">
        <v>132</v>
      </c>
      <c r="B48" s="15" t="s">
        <v>29</v>
      </c>
      <c r="C48" s="15" t="s">
        <v>12</v>
      </c>
      <c r="D48" s="15" t="s">
        <v>13</v>
      </c>
      <c r="E48" s="15">
        <v>17</v>
      </c>
      <c r="F48" s="15">
        <v>10</v>
      </c>
      <c r="G48" s="15" t="s">
        <v>25</v>
      </c>
      <c r="H48" s="15" t="s">
        <v>37</v>
      </c>
      <c r="I48" s="15" t="s">
        <v>133</v>
      </c>
      <c r="J48" s="15">
        <v>88</v>
      </c>
    </row>
    <row r="49" spans="1:10" x14ac:dyDescent="0.3">
      <c r="A49" s="15" t="s">
        <v>134</v>
      </c>
      <c r="B49" s="15" t="s">
        <v>23</v>
      </c>
      <c r="C49" s="15" t="s">
        <v>30</v>
      </c>
      <c r="D49" s="15" t="s">
        <v>31</v>
      </c>
      <c r="E49" s="15">
        <v>20</v>
      </c>
      <c r="F49" s="15">
        <v>9</v>
      </c>
      <c r="G49" s="15" t="s">
        <v>14</v>
      </c>
      <c r="H49" s="15" t="s">
        <v>15</v>
      </c>
      <c r="I49" s="15" t="s">
        <v>135</v>
      </c>
      <c r="J49" s="15">
        <v>50</v>
      </c>
    </row>
    <row r="50" spans="1:10" x14ac:dyDescent="0.3">
      <c r="A50" s="15" t="s">
        <v>136</v>
      </c>
      <c r="B50" s="15" t="s">
        <v>11</v>
      </c>
      <c r="C50" s="15" t="s">
        <v>79</v>
      </c>
      <c r="D50" s="15" t="s">
        <v>13</v>
      </c>
      <c r="E50" s="15">
        <v>14</v>
      </c>
      <c r="F50" s="15">
        <v>10</v>
      </c>
      <c r="G50" s="15" t="s">
        <v>43</v>
      </c>
      <c r="H50" s="15" t="s">
        <v>61</v>
      </c>
      <c r="I50" s="15" t="s">
        <v>137</v>
      </c>
      <c r="J50" s="15">
        <v>65</v>
      </c>
    </row>
    <row r="51" spans="1:10" x14ac:dyDescent="0.3">
      <c r="A51" s="15" t="s">
        <v>138</v>
      </c>
      <c r="B51" s="15" t="s">
        <v>51</v>
      </c>
      <c r="C51" s="15" t="s">
        <v>85</v>
      </c>
      <c r="D51" s="15" t="s">
        <v>13</v>
      </c>
      <c r="E51" s="15">
        <v>18</v>
      </c>
      <c r="F51" s="15">
        <v>11</v>
      </c>
      <c r="G51" s="15" t="s">
        <v>43</v>
      </c>
      <c r="H51" s="15" t="s">
        <v>61</v>
      </c>
      <c r="I51" s="15" t="s">
        <v>139</v>
      </c>
      <c r="J51" s="15">
        <v>100</v>
      </c>
    </row>
    <row r="52" spans="1:10" x14ac:dyDescent="0.3">
      <c r="A52" s="15" t="s">
        <v>140</v>
      </c>
      <c r="B52" s="15" t="s">
        <v>35</v>
      </c>
      <c r="C52" s="15" t="s">
        <v>30</v>
      </c>
      <c r="D52" s="15" t="s">
        <v>31</v>
      </c>
      <c r="E52" s="15">
        <v>19</v>
      </c>
      <c r="F52" s="15">
        <v>10</v>
      </c>
      <c r="G52" s="15" t="s">
        <v>32</v>
      </c>
      <c r="H52" s="15" t="s">
        <v>76</v>
      </c>
      <c r="I52" s="15" t="s">
        <v>141</v>
      </c>
      <c r="J52" s="15">
        <v>93</v>
      </c>
    </row>
    <row r="53" spans="1:10" x14ac:dyDescent="0.3">
      <c r="A53" s="15" t="s">
        <v>142</v>
      </c>
      <c r="B53" s="15" t="s">
        <v>29</v>
      </c>
      <c r="C53" s="15" t="s">
        <v>96</v>
      </c>
      <c r="D53" s="15" t="s">
        <v>31</v>
      </c>
      <c r="E53" s="15">
        <v>16</v>
      </c>
      <c r="F53" s="15">
        <v>12</v>
      </c>
      <c r="G53" s="15" t="s">
        <v>14</v>
      </c>
      <c r="H53" s="15" t="s">
        <v>37</v>
      </c>
      <c r="I53" s="15" t="s">
        <v>143</v>
      </c>
      <c r="J53" s="15">
        <v>85</v>
      </c>
    </row>
    <row r="54" spans="1:10" x14ac:dyDescent="0.3">
      <c r="A54" s="15" t="s">
        <v>144</v>
      </c>
      <c r="B54" s="15" t="s">
        <v>73</v>
      </c>
      <c r="C54" s="15" t="s">
        <v>12</v>
      </c>
      <c r="D54" s="15" t="s">
        <v>31</v>
      </c>
      <c r="E54" s="15">
        <v>20</v>
      </c>
      <c r="F54" s="15">
        <v>10</v>
      </c>
      <c r="G54" s="15" t="s">
        <v>14</v>
      </c>
      <c r="H54" s="15" t="s">
        <v>26</v>
      </c>
      <c r="I54" s="15" t="s">
        <v>145</v>
      </c>
      <c r="J54" s="15">
        <v>71</v>
      </c>
    </row>
    <row r="55" spans="1:10" x14ac:dyDescent="0.3">
      <c r="A55" s="15" t="s">
        <v>146</v>
      </c>
      <c r="B55" s="15" t="s">
        <v>35</v>
      </c>
      <c r="C55" s="15" t="s">
        <v>30</v>
      </c>
      <c r="D55" s="15" t="s">
        <v>31</v>
      </c>
      <c r="E55" s="15">
        <v>20</v>
      </c>
      <c r="F55" s="15">
        <v>9</v>
      </c>
      <c r="G55" s="15" t="s">
        <v>43</v>
      </c>
      <c r="H55" s="15" t="s">
        <v>15</v>
      </c>
      <c r="I55" s="15" t="s">
        <v>147</v>
      </c>
      <c r="J55" s="15">
        <v>40</v>
      </c>
    </row>
    <row r="56" spans="1:10" x14ac:dyDescent="0.3">
      <c r="A56" s="15" t="s">
        <v>148</v>
      </c>
      <c r="B56" s="15" t="s">
        <v>51</v>
      </c>
      <c r="C56" s="15" t="s">
        <v>96</v>
      </c>
      <c r="D56" s="15" t="s">
        <v>13</v>
      </c>
      <c r="E56" s="15">
        <v>19</v>
      </c>
      <c r="F56" s="15">
        <v>11</v>
      </c>
      <c r="G56" s="15" t="s">
        <v>14</v>
      </c>
      <c r="H56" s="15" t="s">
        <v>76</v>
      </c>
      <c r="I56" s="15" t="s">
        <v>149</v>
      </c>
      <c r="J56" s="15">
        <v>83</v>
      </c>
    </row>
    <row r="57" spans="1:10" x14ac:dyDescent="0.3">
      <c r="A57" s="15" t="s">
        <v>150</v>
      </c>
      <c r="B57" s="15" t="s">
        <v>23</v>
      </c>
      <c r="C57" s="15" t="s">
        <v>55</v>
      </c>
      <c r="D57" s="15" t="s">
        <v>31</v>
      </c>
      <c r="E57" s="15">
        <v>17</v>
      </c>
      <c r="F57" s="15">
        <v>9</v>
      </c>
      <c r="G57" s="15" t="s">
        <v>25</v>
      </c>
      <c r="H57" s="15" t="s">
        <v>20</v>
      </c>
      <c r="I57" s="15" t="s">
        <v>151</v>
      </c>
      <c r="J57" s="15">
        <v>55</v>
      </c>
    </row>
    <row r="58" spans="1:10" x14ac:dyDescent="0.3">
      <c r="A58" s="15" t="s">
        <v>152</v>
      </c>
      <c r="B58" s="15" t="s">
        <v>23</v>
      </c>
      <c r="C58" s="15" t="s">
        <v>55</v>
      </c>
      <c r="D58" s="15" t="s">
        <v>13</v>
      </c>
      <c r="E58" s="15">
        <v>17</v>
      </c>
      <c r="F58" s="15">
        <v>12</v>
      </c>
      <c r="G58" s="15" t="s">
        <v>32</v>
      </c>
      <c r="H58" s="15" t="s">
        <v>46</v>
      </c>
      <c r="I58" s="15" t="s">
        <v>153</v>
      </c>
      <c r="J58" s="15">
        <v>39</v>
      </c>
    </row>
    <row r="59" spans="1:10" x14ac:dyDescent="0.3">
      <c r="A59" s="15" t="s">
        <v>154</v>
      </c>
      <c r="B59" s="15" t="s">
        <v>51</v>
      </c>
      <c r="C59" s="15" t="s">
        <v>36</v>
      </c>
      <c r="D59" s="15" t="s">
        <v>31</v>
      </c>
      <c r="E59" s="15">
        <v>18</v>
      </c>
      <c r="F59" s="15">
        <v>12</v>
      </c>
      <c r="G59" s="15" t="s">
        <v>43</v>
      </c>
      <c r="H59" s="15" t="s">
        <v>76</v>
      </c>
      <c r="I59" s="15" t="s">
        <v>155</v>
      </c>
      <c r="J59" s="15">
        <v>77</v>
      </c>
    </row>
    <row r="60" spans="1:10" x14ac:dyDescent="0.3">
      <c r="A60" s="15" t="s">
        <v>156</v>
      </c>
      <c r="B60" s="15" t="s">
        <v>35</v>
      </c>
      <c r="C60" s="15" t="s">
        <v>55</v>
      </c>
      <c r="D60" s="15" t="s">
        <v>13</v>
      </c>
      <c r="E60" s="15">
        <v>19</v>
      </c>
      <c r="F60" s="15">
        <v>11</v>
      </c>
      <c r="G60" s="15" t="s">
        <v>14</v>
      </c>
      <c r="H60" s="15" t="s">
        <v>40</v>
      </c>
      <c r="I60" s="15" t="s">
        <v>157</v>
      </c>
      <c r="J60" s="15">
        <v>63</v>
      </c>
    </row>
    <row r="61" spans="1:10" x14ac:dyDescent="0.3">
      <c r="A61" s="15" t="s">
        <v>158</v>
      </c>
      <c r="B61" s="15" t="s">
        <v>18</v>
      </c>
      <c r="C61" s="15" t="s">
        <v>19</v>
      </c>
      <c r="D61" s="15" t="s">
        <v>13</v>
      </c>
      <c r="E61" s="15">
        <v>16</v>
      </c>
      <c r="F61" s="15">
        <v>12</v>
      </c>
      <c r="G61" s="15" t="s">
        <v>43</v>
      </c>
      <c r="H61" s="15" t="s">
        <v>40</v>
      </c>
      <c r="I61" s="15" t="s">
        <v>159</v>
      </c>
      <c r="J61" s="15">
        <v>36</v>
      </c>
    </row>
    <row r="62" spans="1:10" x14ac:dyDescent="0.3">
      <c r="A62" s="15" t="s">
        <v>160</v>
      </c>
      <c r="B62" s="15" t="s">
        <v>51</v>
      </c>
      <c r="C62" s="15" t="s">
        <v>85</v>
      </c>
      <c r="D62" s="15" t="s">
        <v>31</v>
      </c>
      <c r="E62" s="15">
        <v>17</v>
      </c>
      <c r="F62" s="15">
        <v>11</v>
      </c>
      <c r="G62" s="15" t="s">
        <v>43</v>
      </c>
      <c r="H62" s="15" t="s">
        <v>37</v>
      </c>
      <c r="I62" s="15" t="s">
        <v>161</v>
      </c>
      <c r="J62" s="15">
        <v>99</v>
      </c>
    </row>
    <row r="63" spans="1:10" x14ac:dyDescent="0.3">
      <c r="A63" s="15" t="s">
        <v>162</v>
      </c>
      <c r="B63" s="15" t="s">
        <v>73</v>
      </c>
      <c r="C63" s="15" t="s">
        <v>36</v>
      </c>
      <c r="D63" s="15" t="s">
        <v>31</v>
      </c>
      <c r="E63" s="15">
        <v>20</v>
      </c>
      <c r="F63" s="15">
        <v>9</v>
      </c>
      <c r="G63" s="15" t="s">
        <v>32</v>
      </c>
      <c r="H63" s="15" t="s">
        <v>20</v>
      </c>
      <c r="I63" s="15" t="s">
        <v>163</v>
      </c>
      <c r="J63" s="15">
        <v>49</v>
      </c>
    </row>
    <row r="64" spans="1:10" x14ac:dyDescent="0.3">
      <c r="A64" s="15" t="s">
        <v>164</v>
      </c>
      <c r="B64" s="15" t="s">
        <v>23</v>
      </c>
      <c r="C64" s="15" t="s">
        <v>19</v>
      </c>
      <c r="D64" s="15" t="s">
        <v>31</v>
      </c>
      <c r="E64" s="15">
        <v>17</v>
      </c>
      <c r="F64" s="15">
        <v>9</v>
      </c>
      <c r="G64" s="15" t="s">
        <v>25</v>
      </c>
      <c r="H64" s="15" t="s">
        <v>15</v>
      </c>
      <c r="I64" s="15" t="s">
        <v>165</v>
      </c>
      <c r="J64" s="15">
        <v>64</v>
      </c>
    </row>
    <row r="65" spans="1:10" x14ac:dyDescent="0.3">
      <c r="A65" s="15" t="s">
        <v>166</v>
      </c>
      <c r="B65" s="15" t="s">
        <v>84</v>
      </c>
      <c r="C65" s="15" t="s">
        <v>24</v>
      </c>
      <c r="D65" s="15" t="s">
        <v>13</v>
      </c>
      <c r="E65" s="15">
        <v>14</v>
      </c>
      <c r="F65" s="15">
        <v>10</v>
      </c>
      <c r="G65" s="15" t="s">
        <v>43</v>
      </c>
      <c r="H65" s="15" t="s">
        <v>15</v>
      </c>
      <c r="I65" s="15" t="s">
        <v>167</v>
      </c>
      <c r="J65" s="15">
        <v>45</v>
      </c>
    </row>
    <row r="66" spans="1:10" x14ac:dyDescent="0.3">
      <c r="A66" s="15" t="s">
        <v>168</v>
      </c>
      <c r="B66" s="15" t="s">
        <v>18</v>
      </c>
      <c r="C66" s="15" t="s">
        <v>79</v>
      </c>
      <c r="D66" s="15" t="s">
        <v>13</v>
      </c>
      <c r="E66" s="15">
        <v>17</v>
      </c>
      <c r="F66" s="15">
        <v>12</v>
      </c>
      <c r="G66" s="15" t="s">
        <v>25</v>
      </c>
      <c r="H66" s="15" t="s">
        <v>26</v>
      </c>
      <c r="I66" s="15" t="s">
        <v>137</v>
      </c>
      <c r="J66" s="15">
        <v>82</v>
      </c>
    </row>
    <row r="67" spans="1:10" x14ac:dyDescent="0.3">
      <c r="A67" s="15" t="s">
        <v>169</v>
      </c>
      <c r="B67" s="15" t="s">
        <v>11</v>
      </c>
      <c r="C67" s="15" t="s">
        <v>30</v>
      </c>
      <c r="D67" s="15" t="s">
        <v>31</v>
      </c>
      <c r="E67" s="15">
        <v>18</v>
      </c>
      <c r="F67" s="15">
        <v>9</v>
      </c>
      <c r="G67" s="15" t="s">
        <v>25</v>
      </c>
      <c r="H67" s="15" t="s">
        <v>46</v>
      </c>
      <c r="I67" s="15" t="s">
        <v>170</v>
      </c>
      <c r="J67" s="15">
        <v>60</v>
      </c>
    </row>
    <row r="68" spans="1:10" x14ac:dyDescent="0.3">
      <c r="A68" s="15" t="s">
        <v>171</v>
      </c>
      <c r="B68" s="15" t="s">
        <v>29</v>
      </c>
      <c r="C68" s="15" t="s">
        <v>85</v>
      </c>
      <c r="D68" s="15" t="s">
        <v>13</v>
      </c>
      <c r="E68" s="15">
        <v>14</v>
      </c>
      <c r="F68" s="15">
        <v>10</v>
      </c>
      <c r="G68" s="15" t="s">
        <v>32</v>
      </c>
      <c r="H68" s="15" t="s">
        <v>61</v>
      </c>
      <c r="I68" s="15" t="s">
        <v>172</v>
      </c>
      <c r="J68" s="15">
        <v>51</v>
      </c>
    </row>
    <row r="69" spans="1:10" x14ac:dyDescent="0.3">
      <c r="A69" s="15" t="s">
        <v>173</v>
      </c>
      <c r="B69" s="15" t="s">
        <v>54</v>
      </c>
      <c r="C69" s="15" t="s">
        <v>30</v>
      </c>
      <c r="D69" s="15" t="s">
        <v>31</v>
      </c>
      <c r="E69" s="15">
        <v>18</v>
      </c>
      <c r="F69" s="15">
        <v>9</v>
      </c>
      <c r="G69" s="15" t="s">
        <v>32</v>
      </c>
      <c r="H69" s="15" t="s">
        <v>40</v>
      </c>
      <c r="I69" s="15" t="s">
        <v>174</v>
      </c>
      <c r="J69" s="15">
        <v>54</v>
      </c>
    </row>
    <row r="70" spans="1:10" x14ac:dyDescent="0.3">
      <c r="A70" s="15" t="s">
        <v>175</v>
      </c>
      <c r="B70" s="15" t="s">
        <v>35</v>
      </c>
      <c r="C70" s="15" t="s">
        <v>30</v>
      </c>
      <c r="D70" s="15" t="s">
        <v>31</v>
      </c>
      <c r="E70" s="15">
        <v>20</v>
      </c>
      <c r="F70" s="15">
        <v>9</v>
      </c>
      <c r="G70" s="15" t="s">
        <v>14</v>
      </c>
      <c r="H70" s="15" t="s">
        <v>61</v>
      </c>
      <c r="I70" s="15" t="s">
        <v>176</v>
      </c>
      <c r="J70" s="15">
        <v>76</v>
      </c>
    </row>
    <row r="71" spans="1:10" x14ac:dyDescent="0.3">
      <c r="A71" s="15" t="s">
        <v>177</v>
      </c>
      <c r="B71" s="15" t="s">
        <v>29</v>
      </c>
      <c r="C71" s="15" t="s">
        <v>58</v>
      </c>
      <c r="D71" s="15" t="s">
        <v>31</v>
      </c>
      <c r="E71" s="15">
        <v>19</v>
      </c>
      <c r="F71" s="15">
        <v>12</v>
      </c>
      <c r="G71" s="15" t="s">
        <v>43</v>
      </c>
      <c r="H71" s="15" t="s">
        <v>61</v>
      </c>
      <c r="I71" s="15" t="s">
        <v>178</v>
      </c>
      <c r="J71" s="15">
        <v>99</v>
      </c>
    </row>
    <row r="72" spans="1:10" x14ac:dyDescent="0.3">
      <c r="A72" s="15" t="s">
        <v>179</v>
      </c>
      <c r="B72" s="15" t="s">
        <v>29</v>
      </c>
      <c r="C72" s="15" t="s">
        <v>58</v>
      </c>
      <c r="D72" s="15" t="s">
        <v>31</v>
      </c>
      <c r="E72" s="15">
        <v>16</v>
      </c>
      <c r="F72" s="15">
        <v>11</v>
      </c>
      <c r="G72" s="15" t="s">
        <v>25</v>
      </c>
      <c r="H72" s="15" t="s">
        <v>26</v>
      </c>
      <c r="I72" s="15" t="s">
        <v>180</v>
      </c>
      <c r="J72" s="15">
        <v>75</v>
      </c>
    </row>
    <row r="73" spans="1:10" x14ac:dyDescent="0.3">
      <c r="A73" s="15" t="s">
        <v>181</v>
      </c>
      <c r="B73" s="15" t="s">
        <v>11</v>
      </c>
      <c r="C73" s="15" t="s">
        <v>55</v>
      </c>
      <c r="D73" s="15" t="s">
        <v>31</v>
      </c>
      <c r="E73" s="15">
        <v>18</v>
      </c>
      <c r="F73" s="15">
        <v>10</v>
      </c>
      <c r="G73" s="15" t="s">
        <v>25</v>
      </c>
      <c r="H73" s="15" t="s">
        <v>46</v>
      </c>
      <c r="I73" s="15" t="s">
        <v>182</v>
      </c>
      <c r="J73" s="15">
        <v>98</v>
      </c>
    </row>
    <row r="74" spans="1:10" x14ac:dyDescent="0.3">
      <c r="A74" s="15" t="s">
        <v>183</v>
      </c>
      <c r="B74" s="15" t="s">
        <v>11</v>
      </c>
      <c r="C74" s="15" t="s">
        <v>30</v>
      </c>
      <c r="D74" s="15" t="s">
        <v>31</v>
      </c>
      <c r="E74" s="15">
        <v>17</v>
      </c>
      <c r="F74" s="15">
        <v>12</v>
      </c>
      <c r="G74" s="15" t="s">
        <v>14</v>
      </c>
      <c r="H74" s="15" t="s">
        <v>37</v>
      </c>
      <c r="I74" s="15" t="s">
        <v>184</v>
      </c>
      <c r="J74" s="15">
        <v>49</v>
      </c>
    </row>
    <row r="75" spans="1:10" x14ac:dyDescent="0.3">
      <c r="A75" s="15" t="s">
        <v>185</v>
      </c>
      <c r="B75" s="15" t="s">
        <v>35</v>
      </c>
      <c r="C75" s="15" t="s">
        <v>30</v>
      </c>
      <c r="D75" s="15" t="s">
        <v>31</v>
      </c>
      <c r="E75" s="15">
        <v>14</v>
      </c>
      <c r="F75" s="15">
        <v>12</v>
      </c>
      <c r="G75" s="15" t="s">
        <v>43</v>
      </c>
      <c r="H75" s="15" t="s">
        <v>61</v>
      </c>
      <c r="I75" s="15" t="s">
        <v>186</v>
      </c>
      <c r="J75" s="15">
        <v>45</v>
      </c>
    </row>
    <row r="76" spans="1:10" x14ac:dyDescent="0.3">
      <c r="A76" s="15" t="s">
        <v>187</v>
      </c>
      <c r="B76" s="15" t="s">
        <v>51</v>
      </c>
      <c r="C76" s="15" t="s">
        <v>12</v>
      </c>
      <c r="D76" s="15" t="s">
        <v>31</v>
      </c>
      <c r="E76" s="15">
        <v>17</v>
      </c>
      <c r="F76" s="15">
        <v>10</v>
      </c>
      <c r="G76" s="15" t="s">
        <v>43</v>
      </c>
      <c r="H76" s="15" t="s">
        <v>46</v>
      </c>
      <c r="I76" s="15" t="s">
        <v>101</v>
      </c>
      <c r="J76" s="15">
        <v>66</v>
      </c>
    </row>
    <row r="77" spans="1:10" x14ac:dyDescent="0.3">
      <c r="A77" s="15" t="s">
        <v>188</v>
      </c>
      <c r="B77" s="15" t="s">
        <v>23</v>
      </c>
      <c r="C77" s="15" t="s">
        <v>55</v>
      </c>
      <c r="D77" s="15" t="s">
        <v>31</v>
      </c>
      <c r="E77" s="15">
        <v>15</v>
      </c>
      <c r="F77" s="15">
        <v>9</v>
      </c>
      <c r="G77" s="15" t="s">
        <v>43</v>
      </c>
      <c r="H77" s="15" t="s">
        <v>20</v>
      </c>
      <c r="I77" s="15" t="s">
        <v>189</v>
      </c>
      <c r="J77" s="15">
        <v>88</v>
      </c>
    </row>
    <row r="78" spans="1:10" x14ac:dyDescent="0.3">
      <c r="A78" s="15" t="s">
        <v>190</v>
      </c>
      <c r="B78" s="15" t="s">
        <v>18</v>
      </c>
      <c r="C78" s="15" t="s">
        <v>19</v>
      </c>
      <c r="D78" s="15" t="s">
        <v>31</v>
      </c>
      <c r="E78" s="15">
        <v>14</v>
      </c>
      <c r="F78" s="15">
        <v>12</v>
      </c>
      <c r="G78" s="15" t="s">
        <v>32</v>
      </c>
      <c r="H78" s="15" t="s">
        <v>37</v>
      </c>
      <c r="I78" s="15" t="s">
        <v>191</v>
      </c>
      <c r="J78" s="15">
        <v>63</v>
      </c>
    </row>
    <row r="79" spans="1:10" x14ac:dyDescent="0.3">
      <c r="A79" s="15" t="s">
        <v>192</v>
      </c>
      <c r="B79" s="15" t="s">
        <v>68</v>
      </c>
      <c r="C79" s="15" t="s">
        <v>85</v>
      </c>
      <c r="D79" s="15" t="s">
        <v>13</v>
      </c>
      <c r="E79" s="15">
        <v>19</v>
      </c>
      <c r="F79" s="15">
        <v>11</v>
      </c>
      <c r="G79" s="15" t="s">
        <v>43</v>
      </c>
      <c r="H79" s="15" t="s">
        <v>61</v>
      </c>
      <c r="I79" s="15" t="s">
        <v>193</v>
      </c>
      <c r="J79" s="15">
        <v>78</v>
      </c>
    </row>
    <row r="80" spans="1:10" x14ac:dyDescent="0.3">
      <c r="A80" s="15" t="s">
        <v>194</v>
      </c>
      <c r="B80" s="15" t="s">
        <v>23</v>
      </c>
      <c r="C80" s="15" t="s">
        <v>19</v>
      </c>
      <c r="D80" s="15" t="s">
        <v>31</v>
      </c>
      <c r="E80" s="15">
        <v>20</v>
      </c>
      <c r="F80" s="15">
        <v>9</v>
      </c>
      <c r="G80" s="15" t="s">
        <v>25</v>
      </c>
      <c r="H80" s="15" t="s">
        <v>76</v>
      </c>
      <c r="I80" s="15" t="s">
        <v>195</v>
      </c>
      <c r="J80" s="15">
        <v>76</v>
      </c>
    </row>
    <row r="81" spans="1:10" x14ac:dyDescent="0.3">
      <c r="A81" s="15" t="s">
        <v>196</v>
      </c>
      <c r="B81" s="15" t="s">
        <v>23</v>
      </c>
      <c r="C81" s="15" t="s">
        <v>79</v>
      </c>
      <c r="D81" s="15" t="s">
        <v>13</v>
      </c>
      <c r="E81" s="15">
        <v>18</v>
      </c>
      <c r="F81" s="15">
        <v>12</v>
      </c>
      <c r="G81" s="15" t="s">
        <v>43</v>
      </c>
      <c r="H81" s="15" t="s">
        <v>76</v>
      </c>
      <c r="I81" s="15" t="s">
        <v>197</v>
      </c>
      <c r="J81" s="15">
        <v>67</v>
      </c>
    </row>
    <row r="82" spans="1:10" x14ac:dyDescent="0.3">
      <c r="A82" s="15" t="s">
        <v>198</v>
      </c>
      <c r="B82" s="15" t="s">
        <v>11</v>
      </c>
      <c r="C82" s="15" t="s">
        <v>85</v>
      </c>
      <c r="D82" s="15" t="s">
        <v>31</v>
      </c>
      <c r="E82" s="15">
        <v>14</v>
      </c>
      <c r="F82" s="15">
        <v>10</v>
      </c>
      <c r="G82" s="15" t="s">
        <v>25</v>
      </c>
      <c r="H82" s="15" t="s">
        <v>61</v>
      </c>
      <c r="I82" s="15" t="s">
        <v>199</v>
      </c>
      <c r="J82" s="15">
        <v>97</v>
      </c>
    </row>
    <row r="83" spans="1:10" x14ac:dyDescent="0.3">
      <c r="A83" s="15" t="s">
        <v>200</v>
      </c>
      <c r="B83" s="15" t="s">
        <v>29</v>
      </c>
      <c r="C83" s="15" t="s">
        <v>12</v>
      </c>
      <c r="D83" s="15" t="s">
        <v>13</v>
      </c>
      <c r="E83" s="15">
        <v>18</v>
      </c>
      <c r="F83" s="15">
        <v>12</v>
      </c>
      <c r="G83" s="15" t="s">
        <v>25</v>
      </c>
      <c r="H83" s="15" t="s">
        <v>26</v>
      </c>
      <c r="I83" s="15" t="s">
        <v>201</v>
      </c>
      <c r="J83" s="15">
        <v>89</v>
      </c>
    </row>
    <row r="84" spans="1:10" x14ac:dyDescent="0.3">
      <c r="A84" s="15" t="s">
        <v>202</v>
      </c>
      <c r="B84" s="15" t="s">
        <v>51</v>
      </c>
      <c r="C84" s="15" t="s">
        <v>55</v>
      </c>
      <c r="D84" s="15" t="s">
        <v>31</v>
      </c>
      <c r="E84" s="15">
        <v>15</v>
      </c>
      <c r="F84" s="15">
        <v>9</v>
      </c>
      <c r="G84" s="15" t="s">
        <v>14</v>
      </c>
      <c r="H84" s="15" t="s">
        <v>40</v>
      </c>
      <c r="I84" s="15" t="s">
        <v>111</v>
      </c>
      <c r="J84" s="15">
        <v>70</v>
      </c>
    </row>
    <row r="85" spans="1:10" x14ac:dyDescent="0.3">
      <c r="A85" s="15" t="s">
        <v>203</v>
      </c>
      <c r="B85" s="15" t="s">
        <v>35</v>
      </c>
      <c r="C85" s="15" t="s">
        <v>96</v>
      </c>
      <c r="D85" s="15" t="s">
        <v>13</v>
      </c>
      <c r="E85" s="15">
        <v>17</v>
      </c>
      <c r="F85" s="15">
        <v>12</v>
      </c>
      <c r="G85" s="15" t="s">
        <v>25</v>
      </c>
      <c r="H85" s="15" t="s">
        <v>20</v>
      </c>
      <c r="I85" s="15" t="s">
        <v>204</v>
      </c>
      <c r="J85" s="15">
        <v>90</v>
      </c>
    </row>
    <row r="86" spans="1:10" x14ac:dyDescent="0.3">
      <c r="A86" s="15" t="s">
        <v>205</v>
      </c>
      <c r="B86" s="15" t="s">
        <v>73</v>
      </c>
      <c r="C86" s="15" t="s">
        <v>24</v>
      </c>
      <c r="D86" s="15" t="s">
        <v>13</v>
      </c>
      <c r="E86" s="15">
        <v>17</v>
      </c>
      <c r="F86" s="15">
        <v>9</v>
      </c>
      <c r="G86" s="15" t="s">
        <v>14</v>
      </c>
      <c r="H86" s="15" t="s">
        <v>46</v>
      </c>
      <c r="I86" s="15" t="s">
        <v>206</v>
      </c>
      <c r="J86" s="15">
        <v>59</v>
      </c>
    </row>
    <row r="87" spans="1:10" x14ac:dyDescent="0.3">
      <c r="A87" s="15" t="s">
        <v>207</v>
      </c>
      <c r="B87" s="15" t="s">
        <v>54</v>
      </c>
      <c r="C87" s="15" t="s">
        <v>19</v>
      </c>
      <c r="D87" s="15" t="s">
        <v>31</v>
      </c>
      <c r="E87" s="15">
        <v>19</v>
      </c>
      <c r="F87" s="15">
        <v>9</v>
      </c>
      <c r="G87" s="15" t="s">
        <v>14</v>
      </c>
      <c r="H87" s="15" t="s">
        <v>61</v>
      </c>
      <c r="I87" s="15" t="s">
        <v>208</v>
      </c>
      <c r="J87" s="15">
        <v>76</v>
      </c>
    </row>
    <row r="88" spans="1:10" x14ac:dyDescent="0.3">
      <c r="A88" s="15" t="s">
        <v>209</v>
      </c>
      <c r="B88" s="15" t="s">
        <v>29</v>
      </c>
      <c r="C88" s="15" t="s">
        <v>30</v>
      </c>
      <c r="D88" s="15" t="s">
        <v>31</v>
      </c>
      <c r="E88" s="15">
        <v>18</v>
      </c>
      <c r="F88" s="15">
        <v>11</v>
      </c>
      <c r="G88" s="15" t="s">
        <v>43</v>
      </c>
      <c r="H88" s="15" t="s">
        <v>20</v>
      </c>
      <c r="I88" s="15" t="s">
        <v>210</v>
      </c>
      <c r="J88" s="15">
        <v>78</v>
      </c>
    </row>
    <row r="89" spans="1:10" x14ac:dyDescent="0.3">
      <c r="A89" s="15" t="s">
        <v>211</v>
      </c>
      <c r="B89" s="15" t="s">
        <v>35</v>
      </c>
      <c r="C89" s="15" t="s">
        <v>19</v>
      </c>
      <c r="D89" s="15" t="s">
        <v>31</v>
      </c>
      <c r="E89" s="15">
        <v>16</v>
      </c>
      <c r="F89" s="15">
        <v>9</v>
      </c>
      <c r="G89" s="15" t="s">
        <v>14</v>
      </c>
      <c r="H89" s="15" t="s">
        <v>37</v>
      </c>
      <c r="I89" s="15" t="s">
        <v>212</v>
      </c>
      <c r="J89" s="15">
        <v>57</v>
      </c>
    </row>
    <row r="90" spans="1:10" x14ac:dyDescent="0.3">
      <c r="A90" s="15" t="s">
        <v>213</v>
      </c>
      <c r="B90" s="15" t="s">
        <v>29</v>
      </c>
      <c r="C90" s="15" t="s">
        <v>24</v>
      </c>
      <c r="D90" s="15" t="s">
        <v>31</v>
      </c>
      <c r="E90" s="15">
        <v>17</v>
      </c>
      <c r="F90" s="15">
        <v>11</v>
      </c>
      <c r="G90" s="15" t="s">
        <v>14</v>
      </c>
      <c r="H90" s="15" t="s">
        <v>76</v>
      </c>
      <c r="I90" s="15" t="s">
        <v>214</v>
      </c>
      <c r="J90" s="15">
        <v>74</v>
      </c>
    </row>
    <row r="91" spans="1:10" x14ac:dyDescent="0.3">
      <c r="A91" s="15" t="s">
        <v>215</v>
      </c>
      <c r="B91" s="15" t="s">
        <v>84</v>
      </c>
      <c r="C91" s="15" t="s">
        <v>36</v>
      </c>
      <c r="D91" s="15" t="s">
        <v>31</v>
      </c>
      <c r="E91" s="15">
        <v>19</v>
      </c>
      <c r="F91" s="15">
        <v>12</v>
      </c>
      <c r="G91" s="15" t="s">
        <v>14</v>
      </c>
      <c r="H91" s="15" t="s">
        <v>37</v>
      </c>
      <c r="I91" s="15" t="s">
        <v>216</v>
      </c>
      <c r="J91" s="15">
        <v>84</v>
      </c>
    </row>
    <row r="92" spans="1:10" x14ac:dyDescent="0.3">
      <c r="A92" s="15" t="s">
        <v>217</v>
      </c>
      <c r="B92" s="15" t="s">
        <v>84</v>
      </c>
      <c r="C92" s="15" t="s">
        <v>96</v>
      </c>
      <c r="D92" s="15" t="s">
        <v>31</v>
      </c>
      <c r="E92" s="15">
        <v>17</v>
      </c>
      <c r="F92" s="15">
        <v>10</v>
      </c>
      <c r="G92" s="15" t="s">
        <v>43</v>
      </c>
      <c r="H92" s="15" t="s">
        <v>46</v>
      </c>
      <c r="I92" s="15" t="s">
        <v>218</v>
      </c>
      <c r="J92" s="15">
        <v>46</v>
      </c>
    </row>
    <row r="93" spans="1:10" x14ac:dyDescent="0.3">
      <c r="A93" s="15" t="s">
        <v>219</v>
      </c>
      <c r="B93" s="15" t="s">
        <v>68</v>
      </c>
      <c r="C93" s="15" t="s">
        <v>19</v>
      </c>
      <c r="D93" s="15" t="s">
        <v>13</v>
      </c>
      <c r="E93" s="15">
        <v>19</v>
      </c>
      <c r="F93" s="15">
        <v>9</v>
      </c>
      <c r="G93" s="15" t="s">
        <v>14</v>
      </c>
      <c r="H93" s="15" t="s">
        <v>40</v>
      </c>
      <c r="I93" s="15" t="s">
        <v>220</v>
      </c>
      <c r="J93" s="15">
        <v>63</v>
      </c>
    </row>
    <row r="94" spans="1:10" x14ac:dyDescent="0.3">
      <c r="A94" s="15" t="s">
        <v>221</v>
      </c>
      <c r="B94" s="15" t="s">
        <v>51</v>
      </c>
      <c r="C94" s="15" t="s">
        <v>55</v>
      </c>
      <c r="D94" s="15" t="s">
        <v>13</v>
      </c>
      <c r="E94" s="15">
        <v>14</v>
      </c>
      <c r="F94" s="15">
        <v>10</v>
      </c>
      <c r="G94" s="15" t="s">
        <v>43</v>
      </c>
      <c r="H94" s="15" t="s">
        <v>61</v>
      </c>
      <c r="I94" s="15" t="s">
        <v>222</v>
      </c>
      <c r="J94" s="15">
        <v>72</v>
      </c>
    </row>
    <row r="95" spans="1:10" x14ac:dyDescent="0.3">
      <c r="A95" s="15" t="s">
        <v>223</v>
      </c>
      <c r="B95" s="15" t="s">
        <v>68</v>
      </c>
      <c r="C95" s="15" t="s">
        <v>24</v>
      </c>
      <c r="D95" s="15" t="s">
        <v>13</v>
      </c>
      <c r="E95" s="15">
        <v>18</v>
      </c>
      <c r="F95" s="15">
        <v>11</v>
      </c>
      <c r="G95" s="15" t="s">
        <v>32</v>
      </c>
      <c r="H95" s="15" t="s">
        <v>40</v>
      </c>
      <c r="I95" s="15" t="s">
        <v>224</v>
      </c>
      <c r="J95" s="15">
        <v>87</v>
      </c>
    </row>
    <row r="96" spans="1:10" x14ac:dyDescent="0.3">
      <c r="A96" s="15" t="s">
        <v>225</v>
      </c>
      <c r="B96" s="15" t="s">
        <v>35</v>
      </c>
      <c r="C96" s="15" t="s">
        <v>85</v>
      </c>
      <c r="D96" s="15" t="s">
        <v>13</v>
      </c>
      <c r="E96" s="15">
        <v>20</v>
      </c>
      <c r="F96" s="15">
        <v>9</v>
      </c>
      <c r="G96" s="15" t="s">
        <v>14</v>
      </c>
      <c r="H96" s="15" t="s">
        <v>40</v>
      </c>
      <c r="I96" s="15" t="s">
        <v>226</v>
      </c>
      <c r="J96" s="15">
        <v>55</v>
      </c>
    </row>
    <row r="97" spans="1:10" x14ac:dyDescent="0.3">
      <c r="A97" s="15" t="s">
        <v>227</v>
      </c>
      <c r="B97" s="15" t="s">
        <v>68</v>
      </c>
      <c r="C97" s="15" t="s">
        <v>58</v>
      </c>
      <c r="D97" s="15" t="s">
        <v>13</v>
      </c>
      <c r="E97" s="15">
        <v>17</v>
      </c>
      <c r="F97" s="15">
        <v>12</v>
      </c>
      <c r="G97" s="15" t="s">
        <v>32</v>
      </c>
      <c r="H97" s="15" t="s">
        <v>26</v>
      </c>
      <c r="I97" s="15" t="s">
        <v>228</v>
      </c>
      <c r="J97" s="15">
        <v>37</v>
      </c>
    </row>
    <row r="98" spans="1:10" x14ac:dyDescent="0.3">
      <c r="A98" s="15" t="s">
        <v>229</v>
      </c>
      <c r="B98" s="15" t="s">
        <v>68</v>
      </c>
      <c r="C98" s="15" t="s">
        <v>24</v>
      </c>
      <c r="D98" s="15" t="s">
        <v>13</v>
      </c>
      <c r="E98" s="15">
        <v>17</v>
      </c>
      <c r="F98" s="15">
        <v>11</v>
      </c>
      <c r="G98" s="15" t="s">
        <v>43</v>
      </c>
      <c r="H98" s="15" t="s">
        <v>26</v>
      </c>
      <c r="I98" s="15" t="s">
        <v>230</v>
      </c>
      <c r="J98" s="15">
        <v>53</v>
      </c>
    </row>
    <row r="99" spans="1:10" x14ac:dyDescent="0.3">
      <c r="A99" s="15" t="s">
        <v>231</v>
      </c>
      <c r="B99" s="15" t="s">
        <v>23</v>
      </c>
      <c r="C99" s="15" t="s">
        <v>24</v>
      </c>
      <c r="D99" s="15" t="s">
        <v>31</v>
      </c>
      <c r="E99" s="15">
        <v>18</v>
      </c>
      <c r="F99" s="15">
        <v>9</v>
      </c>
      <c r="G99" s="15" t="s">
        <v>25</v>
      </c>
      <c r="H99" s="15" t="s">
        <v>61</v>
      </c>
      <c r="I99" s="15" t="s">
        <v>232</v>
      </c>
      <c r="J99" s="15">
        <v>88</v>
      </c>
    </row>
    <row r="100" spans="1:10" x14ac:dyDescent="0.3">
      <c r="A100" s="15" t="s">
        <v>233</v>
      </c>
      <c r="B100" s="15" t="s">
        <v>11</v>
      </c>
      <c r="C100" s="15" t="s">
        <v>55</v>
      </c>
      <c r="D100" s="15" t="s">
        <v>13</v>
      </c>
      <c r="E100" s="15">
        <v>14</v>
      </c>
      <c r="F100" s="15">
        <v>9</v>
      </c>
      <c r="G100" s="15" t="s">
        <v>25</v>
      </c>
      <c r="H100" s="15" t="s">
        <v>37</v>
      </c>
      <c r="I100" s="15" t="s">
        <v>234</v>
      </c>
      <c r="J100" s="15">
        <v>66</v>
      </c>
    </row>
    <row r="101" spans="1:10" x14ac:dyDescent="0.3">
      <c r="A101" s="15" t="s">
        <v>235</v>
      </c>
      <c r="B101" s="15" t="s">
        <v>11</v>
      </c>
      <c r="C101" s="15" t="s">
        <v>36</v>
      </c>
      <c r="D101" s="15" t="s">
        <v>31</v>
      </c>
      <c r="E101" s="15">
        <v>14</v>
      </c>
      <c r="F101" s="15">
        <v>12</v>
      </c>
      <c r="G101" s="15" t="s">
        <v>43</v>
      </c>
      <c r="H101" s="15" t="s">
        <v>40</v>
      </c>
      <c r="I101" s="15" t="s">
        <v>236</v>
      </c>
      <c r="J101" s="15">
        <v>65</v>
      </c>
    </row>
    <row r="102" spans="1:10" x14ac:dyDescent="0.3">
      <c r="A102" s="15" t="s">
        <v>237</v>
      </c>
      <c r="B102" s="15" t="s">
        <v>23</v>
      </c>
      <c r="C102" s="15" t="s">
        <v>24</v>
      </c>
      <c r="D102" s="15" t="s">
        <v>31</v>
      </c>
      <c r="E102" s="15">
        <v>16</v>
      </c>
      <c r="F102" s="15">
        <v>10</v>
      </c>
      <c r="G102" s="15" t="s">
        <v>43</v>
      </c>
      <c r="H102" s="15" t="s">
        <v>20</v>
      </c>
      <c r="I102" s="15" t="s">
        <v>238</v>
      </c>
      <c r="J102" s="15">
        <v>71</v>
      </c>
    </row>
    <row r="103" spans="1:10" x14ac:dyDescent="0.3">
      <c r="A103" s="15" t="s">
        <v>239</v>
      </c>
      <c r="B103" s="15" t="s">
        <v>68</v>
      </c>
      <c r="C103" s="15" t="s">
        <v>58</v>
      </c>
      <c r="D103" s="15" t="s">
        <v>13</v>
      </c>
      <c r="E103" s="15">
        <v>18</v>
      </c>
      <c r="F103" s="15">
        <v>11</v>
      </c>
      <c r="G103" s="15" t="s">
        <v>25</v>
      </c>
      <c r="H103" s="15" t="s">
        <v>15</v>
      </c>
      <c r="I103" s="15" t="s">
        <v>240</v>
      </c>
      <c r="J103" s="15">
        <v>48</v>
      </c>
    </row>
    <row r="104" spans="1:10" x14ac:dyDescent="0.3">
      <c r="A104" s="15" t="s">
        <v>241</v>
      </c>
      <c r="B104" s="15" t="s">
        <v>54</v>
      </c>
      <c r="C104" s="15" t="s">
        <v>85</v>
      </c>
      <c r="D104" s="15" t="s">
        <v>31</v>
      </c>
      <c r="E104" s="15">
        <v>15</v>
      </c>
      <c r="F104" s="15">
        <v>12</v>
      </c>
      <c r="G104" s="15" t="s">
        <v>14</v>
      </c>
      <c r="H104" s="15" t="s">
        <v>40</v>
      </c>
      <c r="I104" s="15" t="s">
        <v>242</v>
      </c>
      <c r="J104" s="15">
        <v>100</v>
      </c>
    </row>
    <row r="105" spans="1:10" x14ac:dyDescent="0.3">
      <c r="A105" s="15" t="s">
        <v>243</v>
      </c>
      <c r="B105" s="15" t="s">
        <v>23</v>
      </c>
      <c r="C105" s="15" t="s">
        <v>96</v>
      </c>
      <c r="D105" s="15" t="s">
        <v>31</v>
      </c>
      <c r="E105" s="15">
        <v>15</v>
      </c>
      <c r="F105" s="15">
        <v>11</v>
      </c>
      <c r="G105" s="15" t="s">
        <v>25</v>
      </c>
      <c r="H105" s="15" t="s">
        <v>61</v>
      </c>
      <c r="I105" s="15" t="s">
        <v>244</v>
      </c>
      <c r="J105" s="15">
        <v>72</v>
      </c>
    </row>
    <row r="106" spans="1:10" x14ac:dyDescent="0.3">
      <c r="A106" s="15" t="s">
        <v>245</v>
      </c>
      <c r="B106" s="15" t="s">
        <v>54</v>
      </c>
      <c r="C106" s="15" t="s">
        <v>19</v>
      </c>
      <c r="D106" s="15" t="s">
        <v>31</v>
      </c>
      <c r="E106" s="15">
        <v>18</v>
      </c>
      <c r="F106" s="15">
        <v>12</v>
      </c>
      <c r="G106" s="15" t="s">
        <v>32</v>
      </c>
      <c r="H106" s="15" t="s">
        <v>26</v>
      </c>
      <c r="I106" s="15" t="s">
        <v>246</v>
      </c>
      <c r="J106" s="15">
        <v>74</v>
      </c>
    </row>
    <row r="107" spans="1:10" x14ac:dyDescent="0.3">
      <c r="A107" s="15" t="s">
        <v>247</v>
      </c>
      <c r="B107" s="15" t="s">
        <v>29</v>
      </c>
      <c r="C107" s="15" t="s">
        <v>58</v>
      </c>
      <c r="D107" s="15" t="s">
        <v>31</v>
      </c>
      <c r="E107" s="15">
        <v>14</v>
      </c>
      <c r="F107" s="15">
        <v>12</v>
      </c>
      <c r="G107" s="15" t="s">
        <v>14</v>
      </c>
      <c r="H107" s="15" t="s">
        <v>40</v>
      </c>
      <c r="I107" s="15" t="s">
        <v>248</v>
      </c>
      <c r="J107" s="15">
        <v>66</v>
      </c>
    </row>
    <row r="108" spans="1:10" x14ac:dyDescent="0.3">
      <c r="A108" s="15" t="s">
        <v>249</v>
      </c>
      <c r="B108" s="15" t="s">
        <v>68</v>
      </c>
      <c r="C108" s="15" t="s">
        <v>30</v>
      </c>
      <c r="D108" s="15" t="s">
        <v>31</v>
      </c>
      <c r="E108" s="15">
        <v>16</v>
      </c>
      <c r="F108" s="15">
        <v>11</v>
      </c>
      <c r="G108" s="15" t="s">
        <v>32</v>
      </c>
      <c r="H108" s="15" t="s">
        <v>20</v>
      </c>
      <c r="I108" s="15" t="s">
        <v>250</v>
      </c>
      <c r="J108" s="15">
        <v>90</v>
      </c>
    </row>
    <row r="109" spans="1:10" x14ac:dyDescent="0.3">
      <c r="A109" s="15" t="s">
        <v>251</v>
      </c>
      <c r="B109" s="15" t="s">
        <v>23</v>
      </c>
      <c r="C109" s="15" t="s">
        <v>24</v>
      </c>
      <c r="D109" s="15" t="s">
        <v>13</v>
      </c>
      <c r="E109" s="15">
        <v>16</v>
      </c>
      <c r="F109" s="15">
        <v>12</v>
      </c>
      <c r="G109" s="15" t="s">
        <v>43</v>
      </c>
      <c r="H109" s="15" t="s">
        <v>40</v>
      </c>
      <c r="I109" s="15" t="s">
        <v>252</v>
      </c>
      <c r="J109" s="15">
        <v>50</v>
      </c>
    </row>
    <row r="110" spans="1:10" x14ac:dyDescent="0.3">
      <c r="A110" s="15" t="s">
        <v>253</v>
      </c>
      <c r="B110" s="15" t="s">
        <v>18</v>
      </c>
      <c r="C110" s="15" t="s">
        <v>24</v>
      </c>
      <c r="D110" s="15" t="s">
        <v>13</v>
      </c>
      <c r="E110" s="15">
        <v>15</v>
      </c>
      <c r="F110" s="15">
        <v>9</v>
      </c>
      <c r="G110" s="15" t="s">
        <v>25</v>
      </c>
      <c r="H110" s="15" t="s">
        <v>20</v>
      </c>
      <c r="I110" s="15" t="s">
        <v>254</v>
      </c>
      <c r="J110" s="15">
        <v>36</v>
      </c>
    </row>
    <row r="111" spans="1:10" x14ac:dyDescent="0.3">
      <c r="A111" s="15" t="s">
        <v>255</v>
      </c>
      <c r="B111" s="15" t="s">
        <v>51</v>
      </c>
      <c r="C111" s="15" t="s">
        <v>79</v>
      </c>
      <c r="D111" s="15" t="s">
        <v>31</v>
      </c>
      <c r="E111" s="15">
        <v>20</v>
      </c>
      <c r="F111" s="15">
        <v>12</v>
      </c>
      <c r="G111" s="15" t="s">
        <v>43</v>
      </c>
      <c r="H111" s="15" t="s">
        <v>40</v>
      </c>
      <c r="I111" s="15" t="s">
        <v>256</v>
      </c>
      <c r="J111" s="15">
        <v>48</v>
      </c>
    </row>
    <row r="112" spans="1:10" x14ac:dyDescent="0.3">
      <c r="A112" s="15" t="s">
        <v>257</v>
      </c>
      <c r="B112" s="15" t="s">
        <v>68</v>
      </c>
      <c r="C112" s="15" t="s">
        <v>79</v>
      </c>
      <c r="D112" s="15" t="s">
        <v>31</v>
      </c>
      <c r="E112" s="15">
        <v>20</v>
      </c>
      <c r="F112" s="15">
        <v>11</v>
      </c>
      <c r="G112" s="15" t="s">
        <v>43</v>
      </c>
      <c r="H112" s="15" t="s">
        <v>46</v>
      </c>
      <c r="I112" s="15" t="s">
        <v>258</v>
      </c>
      <c r="J112" s="15">
        <v>52</v>
      </c>
    </row>
    <row r="113" spans="1:10" x14ac:dyDescent="0.3">
      <c r="A113" s="15" t="s">
        <v>259</v>
      </c>
      <c r="B113" s="15" t="s">
        <v>54</v>
      </c>
      <c r="C113" s="15" t="s">
        <v>85</v>
      </c>
      <c r="D113" s="15" t="s">
        <v>13</v>
      </c>
      <c r="E113" s="15">
        <v>14</v>
      </c>
      <c r="F113" s="15">
        <v>11</v>
      </c>
      <c r="G113" s="15" t="s">
        <v>43</v>
      </c>
      <c r="H113" s="15" t="s">
        <v>46</v>
      </c>
      <c r="I113" s="15" t="s">
        <v>260</v>
      </c>
      <c r="J113" s="15">
        <v>62</v>
      </c>
    </row>
    <row r="114" spans="1:10" x14ac:dyDescent="0.3">
      <c r="A114" s="15" t="s">
        <v>261</v>
      </c>
      <c r="B114" s="15" t="s">
        <v>23</v>
      </c>
      <c r="C114" s="15" t="s">
        <v>36</v>
      </c>
      <c r="D114" s="15" t="s">
        <v>13</v>
      </c>
      <c r="E114" s="15">
        <v>15</v>
      </c>
      <c r="F114" s="15">
        <v>11</v>
      </c>
      <c r="G114" s="15" t="s">
        <v>25</v>
      </c>
      <c r="H114" s="15" t="s">
        <v>26</v>
      </c>
      <c r="I114" s="15" t="s">
        <v>262</v>
      </c>
      <c r="J114" s="15">
        <v>63</v>
      </c>
    </row>
    <row r="115" spans="1:10" x14ac:dyDescent="0.3">
      <c r="A115" s="15" t="s">
        <v>263</v>
      </c>
      <c r="B115" s="15" t="s">
        <v>29</v>
      </c>
      <c r="C115" s="15" t="s">
        <v>19</v>
      </c>
      <c r="D115" s="15" t="s">
        <v>13</v>
      </c>
      <c r="E115" s="15">
        <v>15</v>
      </c>
      <c r="F115" s="15">
        <v>11</v>
      </c>
      <c r="G115" s="15" t="s">
        <v>25</v>
      </c>
      <c r="H115" s="15" t="s">
        <v>46</v>
      </c>
      <c r="I115" s="15" t="s">
        <v>264</v>
      </c>
      <c r="J115" s="15">
        <v>58</v>
      </c>
    </row>
    <row r="116" spans="1:10" x14ac:dyDescent="0.3">
      <c r="A116" s="15" t="s">
        <v>265</v>
      </c>
      <c r="B116" s="15" t="s">
        <v>11</v>
      </c>
      <c r="C116" s="15" t="s">
        <v>85</v>
      </c>
      <c r="D116" s="15" t="s">
        <v>31</v>
      </c>
      <c r="E116" s="15">
        <v>14</v>
      </c>
      <c r="F116" s="15">
        <v>9</v>
      </c>
      <c r="G116" s="15" t="s">
        <v>43</v>
      </c>
      <c r="H116" s="15" t="s">
        <v>61</v>
      </c>
      <c r="I116" s="15" t="s">
        <v>56</v>
      </c>
      <c r="J116" s="15">
        <v>41</v>
      </c>
    </row>
    <row r="117" spans="1:10" x14ac:dyDescent="0.3">
      <c r="A117" s="15" t="s">
        <v>266</v>
      </c>
      <c r="B117" s="15" t="s">
        <v>54</v>
      </c>
      <c r="C117" s="15" t="s">
        <v>58</v>
      </c>
      <c r="D117" s="15" t="s">
        <v>13</v>
      </c>
      <c r="E117" s="15">
        <v>19</v>
      </c>
      <c r="F117" s="15">
        <v>11</v>
      </c>
      <c r="G117" s="15" t="s">
        <v>14</v>
      </c>
      <c r="H117" s="15" t="s">
        <v>40</v>
      </c>
      <c r="I117" s="15" t="s">
        <v>267</v>
      </c>
      <c r="J117" s="15">
        <v>41</v>
      </c>
    </row>
    <row r="118" spans="1:10" x14ac:dyDescent="0.3">
      <c r="A118" s="15" t="s">
        <v>268</v>
      </c>
      <c r="B118" s="15" t="s">
        <v>68</v>
      </c>
      <c r="C118" s="15" t="s">
        <v>24</v>
      </c>
      <c r="D118" s="15" t="s">
        <v>31</v>
      </c>
      <c r="E118" s="15">
        <v>16</v>
      </c>
      <c r="F118" s="15">
        <v>12</v>
      </c>
      <c r="G118" s="15" t="s">
        <v>43</v>
      </c>
      <c r="H118" s="15" t="s">
        <v>26</v>
      </c>
      <c r="I118" s="15" t="s">
        <v>269</v>
      </c>
      <c r="J118" s="15">
        <v>47</v>
      </c>
    </row>
    <row r="119" spans="1:10" x14ac:dyDescent="0.3">
      <c r="A119" s="15" t="s">
        <v>270</v>
      </c>
      <c r="B119" s="15" t="s">
        <v>73</v>
      </c>
      <c r="C119" s="15" t="s">
        <v>30</v>
      </c>
      <c r="D119" s="15" t="s">
        <v>31</v>
      </c>
      <c r="E119" s="15">
        <v>15</v>
      </c>
      <c r="F119" s="15">
        <v>9</v>
      </c>
      <c r="G119" s="15" t="s">
        <v>43</v>
      </c>
      <c r="H119" s="15" t="s">
        <v>26</v>
      </c>
      <c r="I119" s="15" t="s">
        <v>271</v>
      </c>
      <c r="J119" s="15">
        <v>76</v>
      </c>
    </row>
    <row r="120" spans="1:10" x14ac:dyDescent="0.3">
      <c r="A120" s="15" t="s">
        <v>272</v>
      </c>
      <c r="B120" s="15" t="s">
        <v>54</v>
      </c>
      <c r="C120" s="15" t="s">
        <v>24</v>
      </c>
      <c r="D120" s="15" t="s">
        <v>13</v>
      </c>
      <c r="E120" s="15">
        <v>15</v>
      </c>
      <c r="F120" s="15">
        <v>9</v>
      </c>
      <c r="G120" s="15" t="s">
        <v>43</v>
      </c>
      <c r="H120" s="15" t="s">
        <v>20</v>
      </c>
      <c r="I120" s="15" t="s">
        <v>273</v>
      </c>
      <c r="J120" s="15">
        <v>50</v>
      </c>
    </row>
    <row r="121" spans="1:10" x14ac:dyDescent="0.3">
      <c r="A121" s="15" t="s">
        <v>274</v>
      </c>
      <c r="B121" s="15" t="s">
        <v>35</v>
      </c>
      <c r="C121" s="15" t="s">
        <v>36</v>
      </c>
      <c r="D121" s="15" t="s">
        <v>13</v>
      </c>
      <c r="E121" s="15">
        <v>19</v>
      </c>
      <c r="F121" s="15">
        <v>9</v>
      </c>
      <c r="G121" s="15" t="s">
        <v>32</v>
      </c>
      <c r="H121" s="15" t="s">
        <v>61</v>
      </c>
      <c r="I121" s="15" t="s">
        <v>275</v>
      </c>
      <c r="J121" s="15">
        <v>63</v>
      </c>
    </row>
    <row r="122" spans="1:10" x14ac:dyDescent="0.3">
      <c r="A122" s="15" t="s">
        <v>276</v>
      </c>
      <c r="B122" s="15" t="s">
        <v>84</v>
      </c>
      <c r="C122" s="15" t="s">
        <v>30</v>
      </c>
      <c r="D122" s="15" t="s">
        <v>31</v>
      </c>
      <c r="E122" s="15">
        <v>14</v>
      </c>
      <c r="F122" s="15">
        <v>12</v>
      </c>
      <c r="G122" s="15" t="s">
        <v>14</v>
      </c>
      <c r="H122" s="15" t="s">
        <v>26</v>
      </c>
      <c r="I122" s="15" t="s">
        <v>277</v>
      </c>
      <c r="J122" s="15">
        <v>62</v>
      </c>
    </row>
    <row r="123" spans="1:10" x14ac:dyDescent="0.3">
      <c r="A123" s="15" t="s">
        <v>278</v>
      </c>
      <c r="B123" s="15" t="s">
        <v>73</v>
      </c>
      <c r="C123" s="15" t="s">
        <v>36</v>
      </c>
      <c r="D123" s="15" t="s">
        <v>13</v>
      </c>
      <c r="E123" s="15">
        <v>14</v>
      </c>
      <c r="F123" s="15">
        <v>11</v>
      </c>
      <c r="G123" s="15" t="s">
        <v>32</v>
      </c>
      <c r="H123" s="15" t="s">
        <v>37</v>
      </c>
      <c r="I123" s="15" t="s">
        <v>279</v>
      </c>
      <c r="J123" s="15">
        <v>51</v>
      </c>
    </row>
    <row r="124" spans="1:10" x14ac:dyDescent="0.3">
      <c r="A124" s="15" t="s">
        <v>280</v>
      </c>
      <c r="B124" s="15" t="s">
        <v>84</v>
      </c>
      <c r="C124" s="15" t="s">
        <v>58</v>
      </c>
      <c r="D124" s="15" t="s">
        <v>13</v>
      </c>
      <c r="E124" s="15">
        <v>18</v>
      </c>
      <c r="F124" s="15">
        <v>12</v>
      </c>
      <c r="G124" s="15" t="s">
        <v>32</v>
      </c>
      <c r="H124" s="15" t="s">
        <v>76</v>
      </c>
      <c r="I124" s="15" t="s">
        <v>159</v>
      </c>
      <c r="J124" s="15">
        <v>98</v>
      </c>
    </row>
    <row r="125" spans="1:10" x14ac:dyDescent="0.3">
      <c r="A125" s="15" t="s">
        <v>281</v>
      </c>
      <c r="B125" s="15" t="s">
        <v>51</v>
      </c>
      <c r="C125" s="15" t="s">
        <v>36</v>
      </c>
      <c r="D125" s="15" t="s">
        <v>31</v>
      </c>
      <c r="E125" s="15">
        <v>15</v>
      </c>
      <c r="F125" s="15">
        <v>11</v>
      </c>
      <c r="G125" s="15" t="s">
        <v>43</v>
      </c>
      <c r="H125" s="15" t="s">
        <v>37</v>
      </c>
      <c r="I125" s="15" t="s">
        <v>282</v>
      </c>
      <c r="J125" s="15">
        <v>66</v>
      </c>
    </row>
    <row r="126" spans="1:10" x14ac:dyDescent="0.3">
      <c r="A126" s="15" t="s">
        <v>283</v>
      </c>
      <c r="B126" s="15" t="s">
        <v>68</v>
      </c>
      <c r="C126" s="15" t="s">
        <v>79</v>
      </c>
      <c r="D126" s="15" t="s">
        <v>31</v>
      </c>
      <c r="E126" s="15">
        <v>16</v>
      </c>
      <c r="F126" s="15">
        <v>11</v>
      </c>
      <c r="G126" s="15" t="s">
        <v>32</v>
      </c>
      <c r="H126" s="15" t="s">
        <v>40</v>
      </c>
      <c r="I126" s="15" t="s">
        <v>284</v>
      </c>
      <c r="J126" s="15">
        <v>95</v>
      </c>
    </row>
    <row r="127" spans="1:10" x14ac:dyDescent="0.3">
      <c r="A127" s="15" t="s">
        <v>285</v>
      </c>
      <c r="B127" s="15" t="s">
        <v>18</v>
      </c>
      <c r="C127" s="15" t="s">
        <v>36</v>
      </c>
      <c r="D127" s="15" t="s">
        <v>31</v>
      </c>
      <c r="E127" s="15">
        <v>14</v>
      </c>
      <c r="F127" s="15">
        <v>11</v>
      </c>
      <c r="G127" s="15" t="s">
        <v>25</v>
      </c>
      <c r="H127" s="15" t="s">
        <v>46</v>
      </c>
      <c r="I127" s="15" t="s">
        <v>286</v>
      </c>
      <c r="J127" s="15">
        <v>64</v>
      </c>
    </row>
    <row r="128" spans="1:10" x14ac:dyDescent="0.3">
      <c r="A128" s="15" t="s">
        <v>287</v>
      </c>
      <c r="B128" s="15" t="s">
        <v>54</v>
      </c>
      <c r="C128" s="15" t="s">
        <v>24</v>
      </c>
      <c r="D128" s="15" t="s">
        <v>31</v>
      </c>
      <c r="E128" s="15">
        <v>14</v>
      </c>
      <c r="F128" s="15">
        <v>12</v>
      </c>
      <c r="G128" s="15" t="s">
        <v>32</v>
      </c>
      <c r="H128" s="15" t="s">
        <v>76</v>
      </c>
      <c r="I128" s="15" t="s">
        <v>288</v>
      </c>
      <c r="J128" s="15">
        <v>48</v>
      </c>
    </row>
    <row r="129" spans="1:10" x14ac:dyDescent="0.3">
      <c r="A129" s="15" t="s">
        <v>289</v>
      </c>
      <c r="B129" s="15" t="s">
        <v>23</v>
      </c>
      <c r="C129" s="15" t="s">
        <v>79</v>
      </c>
      <c r="D129" s="15" t="s">
        <v>31</v>
      </c>
      <c r="E129" s="15">
        <v>17</v>
      </c>
      <c r="F129" s="15">
        <v>9</v>
      </c>
      <c r="G129" s="15" t="s">
        <v>25</v>
      </c>
      <c r="H129" s="15" t="s">
        <v>37</v>
      </c>
      <c r="I129" s="15" t="s">
        <v>290</v>
      </c>
      <c r="J129" s="15">
        <v>62</v>
      </c>
    </row>
    <row r="130" spans="1:10" x14ac:dyDescent="0.3">
      <c r="A130" s="15" t="s">
        <v>291</v>
      </c>
      <c r="B130" s="15" t="s">
        <v>11</v>
      </c>
      <c r="C130" s="15" t="s">
        <v>30</v>
      </c>
      <c r="D130" s="15" t="s">
        <v>31</v>
      </c>
      <c r="E130" s="15">
        <v>16</v>
      </c>
      <c r="F130" s="15">
        <v>9</v>
      </c>
      <c r="G130" s="15" t="s">
        <v>25</v>
      </c>
      <c r="H130" s="15" t="s">
        <v>61</v>
      </c>
      <c r="I130" s="15" t="s">
        <v>292</v>
      </c>
      <c r="J130" s="15">
        <v>97</v>
      </c>
    </row>
    <row r="131" spans="1:10" x14ac:dyDescent="0.3">
      <c r="A131" s="15" t="s">
        <v>293</v>
      </c>
      <c r="B131" s="15" t="s">
        <v>73</v>
      </c>
      <c r="C131" s="15" t="s">
        <v>96</v>
      </c>
      <c r="D131" s="15" t="s">
        <v>31</v>
      </c>
      <c r="E131" s="15">
        <v>20</v>
      </c>
      <c r="F131" s="15">
        <v>9</v>
      </c>
      <c r="G131" s="15" t="s">
        <v>43</v>
      </c>
      <c r="H131" s="15" t="s">
        <v>26</v>
      </c>
      <c r="I131" s="15" t="s">
        <v>74</v>
      </c>
      <c r="J131" s="15">
        <v>100</v>
      </c>
    </row>
    <row r="132" spans="1:10" x14ac:dyDescent="0.3">
      <c r="A132" s="15" t="s">
        <v>294</v>
      </c>
      <c r="B132" s="15" t="s">
        <v>35</v>
      </c>
      <c r="C132" s="15" t="s">
        <v>55</v>
      </c>
      <c r="D132" s="15" t="s">
        <v>13</v>
      </c>
      <c r="E132" s="15">
        <v>20</v>
      </c>
      <c r="F132" s="15">
        <v>9</v>
      </c>
      <c r="G132" s="15" t="s">
        <v>25</v>
      </c>
      <c r="H132" s="15" t="s">
        <v>46</v>
      </c>
      <c r="I132" s="15" t="s">
        <v>295</v>
      </c>
      <c r="J132" s="15">
        <v>99</v>
      </c>
    </row>
    <row r="133" spans="1:10" x14ac:dyDescent="0.3">
      <c r="A133" s="15" t="s">
        <v>296</v>
      </c>
      <c r="B133" s="15" t="s">
        <v>84</v>
      </c>
      <c r="C133" s="15" t="s">
        <v>19</v>
      </c>
      <c r="D133" s="15" t="s">
        <v>31</v>
      </c>
      <c r="E133" s="15">
        <v>20</v>
      </c>
      <c r="F133" s="15">
        <v>10</v>
      </c>
      <c r="G133" s="15" t="s">
        <v>43</v>
      </c>
      <c r="H133" s="15" t="s">
        <v>20</v>
      </c>
      <c r="I133" s="15" t="s">
        <v>297</v>
      </c>
      <c r="J133" s="15">
        <v>100</v>
      </c>
    </row>
    <row r="134" spans="1:10" x14ac:dyDescent="0.3">
      <c r="A134" s="15" t="s">
        <v>298</v>
      </c>
      <c r="B134" s="15" t="s">
        <v>29</v>
      </c>
      <c r="C134" s="15" t="s">
        <v>96</v>
      </c>
      <c r="D134" s="15" t="s">
        <v>31</v>
      </c>
      <c r="E134" s="15">
        <v>20</v>
      </c>
      <c r="F134" s="15">
        <v>10</v>
      </c>
      <c r="G134" s="15" t="s">
        <v>32</v>
      </c>
      <c r="H134" s="15" t="s">
        <v>26</v>
      </c>
      <c r="I134" s="15" t="s">
        <v>299</v>
      </c>
      <c r="J134" s="15">
        <v>56</v>
      </c>
    </row>
    <row r="135" spans="1:10" x14ac:dyDescent="0.3">
      <c r="A135" s="15" t="s">
        <v>300</v>
      </c>
      <c r="B135" s="15" t="s">
        <v>11</v>
      </c>
      <c r="C135" s="15" t="s">
        <v>79</v>
      </c>
      <c r="D135" s="15" t="s">
        <v>31</v>
      </c>
      <c r="E135" s="15">
        <v>18</v>
      </c>
      <c r="F135" s="15">
        <v>9</v>
      </c>
      <c r="G135" s="15" t="s">
        <v>14</v>
      </c>
      <c r="H135" s="15" t="s">
        <v>20</v>
      </c>
      <c r="I135" s="15" t="s">
        <v>301</v>
      </c>
      <c r="J135" s="15">
        <v>66</v>
      </c>
    </row>
    <row r="136" spans="1:10" x14ac:dyDescent="0.3">
      <c r="A136" s="15" t="s">
        <v>302</v>
      </c>
      <c r="B136" s="15" t="s">
        <v>29</v>
      </c>
      <c r="C136" s="15" t="s">
        <v>79</v>
      </c>
      <c r="D136" s="15" t="s">
        <v>13</v>
      </c>
      <c r="E136" s="15">
        <v>14</v>
      </c>
      <c r="F136" s="15">
        <v>12</v>
      </c>
      <c r="G136" s="15" t="s">
        <v>14</v>
      </c>
      <c r="H136" s="15" t="s">
        <v>20</v>
      </c>
      <c r="I136" s="15" t="s">
        <v>303</v>
      </c>
      <c r="J136" s="15">
        <v>66</v>
      </c>
    </row>
    <row r="137" spans="1:10" x14ac:dyDescent="0.3">
      <c r="A137" s="15" t="s">
        <v>304</v>
      </c>
      <c r="B137" s="15" t="s">
        <v>51</v>
      </c>
      <c r="C137" s="15" t="s">
        <v>36</v>
      </c>
      <c r="D137" s="15" t="s">
        <v>31</v>
      </c>
      <c r="E137" s="15">
        <v>15</v>
      </c>
      <c r="F137" s="15">
        <v>12</v>
      </c>
      <c r="G137" s="15" t="s">
        <v>32</v>
      </c>
      <c r="H137" s="15" t="s">
        <v>46</v>
      </c>
      <c r="I137" s="15" t="s">
        <v>305</v>
      </c>
      <c r="J137" s="15">
        <v>77</v>
      </c>
    </row>
    <row r="138" spans="1:10" x14ac:dyDescent="0.3">
      <c r="A138" s="15" t="s">
        <v>306</v>
      </c>
      <c r="B138" s="15" t="s">
        <v>23</v>
      </c>
      <c r="C138" s="15" t="s">
        <v>19</v>
      </c>
      <c r="D138" s="15" t="s">
        <v>31</v>
      </c>
      <c r="E138" s="15">
        <v>16</v>
      </c>
      <c r="F138" s="15">
        <v>10</v>
      </c>
      <c r="G138" s="15" t="s">
        <v>43</v>
      </c>
      <c r="H138" s="15" t="s">
        <v>61</v>
      </c>
      <c r="I138" s="15" t="s">
        <v>307</v>
      </c>
      <c r="J138" s="15">
        <v>47</v>
      </c>
    </row>
    <row r="139" spans="1:10" x14ac:dyDescent="0.3">
      <c r="A139" s="15" t="s">
        <v>308</v>
      </c>
      <c r="B139" s="15" t="s">
        <v>23</v>
      </c>
      <c r="C139" s="15" t="s">
        <v>36</v>
      </c>
      <c r="D139" s="15" t="s">
        <v>13</v>
      </c>
      <c r="E139" s="15">
        <v>18</v>
      </c>
      <c r="F139" s="15">
        <v>10</v>
      </c>
      <c r="G139" s="15" t="s">
        <v>43</v>
      </c>
      <c r="H139" s="15" t="s">
        <v>40</v>
      </c>
      <c r="I139" s="15" t="s">
        <v>309</v>
      </c>
      <c r="J139" s="15">
        <v>57</v>
      </c>
    </row>
    <row r="140" spans="1:10" x14ac:dyDescent="0.3">
      <c r="A140" s="15" t="s">
        <v>310</v>
      </c>
      <c r="B140" s="15" t="s">
        <v>29</v>
      </c>
      <c r="C140" s="15" t="s">
        <v>96</v>
      </c>
      <c r="D140" s="15" t="s">
        <v>31</v>
      </c>
      <c r="E140" s="15">
        <v>16</v>
      </c>
      <c r="F140" s="15">
        <v>9</v>
      </c>
      <c r="G140" s="15" t="s">
        <v>32</v>
      </c>
      <c r="H140" s="15" t="s">
        <v>46</v>
      </c>
      <c r="I140" s="15" t="s">
        <v>311</v>
      </c>
      <c r="J140" s="15">
        <v>67</v>
      </c>
    </row>
    <row r="141" spans="1:10" x14ac:dyDescent="0.3">
      <c r="A141" s="15" t="s">
        <v>312</v>
      </c>
      <c r="B141" s="15" t="s">
        <v>29</v>
      </c>
      <c r="C141" s="15" t="s">
        <v>12</v>
      </c>
      <c r="D141" s="15" t="s">
        <v>31</v>
      </c>
      <c r="E141" s="15">
        <v>14</v>
      </c>
      <c r="F141" s="15">
        <v>12</v>
      </c>
      <c r="G141" s="15" t="s">
        <v>43</v>
      </c>
      <c r="H141" s="15" t="s">
        <v>61</v>
      </c>
      <c r="I141" s="15" t="s">
        <v>313</v>
      </c>
      <c r="J141" s="15">
        <v>44</v>
      </c>
    </row>
    <row r="142" spans="1:10" x14ac:dyDescent="0.3">
      <c r="A142" s="15" t="s">
        <v>314</v>
      </c>
      <c r="B142" s="15" t="s">
        <v>68</v>
      </c>
      <c r="C142" s="15" t="s">
        <v>79</v>
      </c>
      <c r="D142" s="15" t="s">
        <v>13</v>
      </c>
      <c r="E142" s="15">
        <v>15</v>
      </c>
      <c r="F142" s="15">
        <v>11</v>
      </c>
      <c r="G142" s="15" t="s">
        <v>14</v>
      </c>
      <c r="H142" s="15" t="s">
        <v>46</v>
      </c>
      <c r="I142" s="15" t="s">
        <v>315</v>
      </c>
      <c r="J142" s="15">
        <v>35</v>
      </c>
    </row>
    <row r="143" spans="1:10" x14ac:dyDescent="0.3">
      <c r="A143" s="15" t="s">
        <v>316</v>
      </c>
      <c r="B143" s="15" t="s">
        <v>23</v>
      </c>
      <c r="C143" s="15" t="s">
        <v>36</v>
      </c>
      <c r="D143" s="15" t="s">
        <v>31</v>
      </c>
      <c r="E143" s="15">
        <v>20</v>
      </c>
      <c r="F143" s="15">
        <v>11</v>
      </c>
      <c r="G143" s="15" t="s">
        <v>14</v>
      </c>
      <c r="H143" s="15" t="s">
        <v>37</v>
      </c>
      <c r="I143" s="15" t="s">
        <v>317</v>
      </c>
      <c r="J143" s="15">
        <v>52</v>
      </c>
    </row>
    <row r="144" spans="1:10" x14ac:dyDescent="0.3">
      <c r="A144" s="15" t="s">
        <v>318</v>
      </c>
      <c r="B144" s="15" t="s">
        <v>54</v>
      </c>
      <c r="C144" s="15" t="s">
        <v>96</v>
      </c>
      <c r="D144" s="15" t="s">
        <v>13</v>
      </c>
      <c r="E144" s="15">
        <v>18</v>
      </c>
      <c r="F144" s="15">
        <v>9</v>
      </c>
      <c r="G144" s="15" t="s">
        <v>32</v>
      </c>
      <c r="H144" s="15" t="s">
        <v>76</v>
      </c>
      <c r="I144" s="15" t="s">
        <v>319</v>
      </c>
      <c r="J144" s="15">
        <v>86</v>
      </c>
    </row>
    <row r="145" spans="1:10" x14ac:dyDescent="0.3">
      <c r="A145" s="15" t="s">
        <v>320</v>
      </c>
      <c r="B145" s="15" t="s">
        <v>84</v>
      </c>
      <c r="C145" s="15" t="s">
        <v>55</v>
      </c>
      <c r="D145" s="15" t="s">
        <v>31</v>
      </c>
      <c r="E145" s="15">
        <v>16</v>
      </c>
      <c r="F145" s="15">
        <v>12</v>
      </c>
      <c r="G145" s="15" t="s">
        <v>32</v>
      </c>
      <c r="H145" s="15" t="s">
        <v>76</v>
      </c>
      <c r="I145" s="15" t="s">
        <v>321</v>
      </c>
      <c r="J145" s="15">
        <v>66</v>
      </c>
    </row>
    <row r="146" spans="1:10" x14ac:dyDescent="0.3">
      <c r="A146" s="15" t="s">
        <v>322</v>
      </c>
      <c r="B146" s="15" t="s">
        <v>35</v>
      </c>
      <c r="C146" s="15" t="s">
        <v>12</v>
      </c>
      <c r="D146" s="15" t="s">
        <v>13</v>
      </c>
      <c r="E146" s="15">
        <v>14</v>
      </c>
      <c r="F146" s="15">
        <v>11</v>
      </c>
      <c r="G146" s="15" t="s">
        <v>14</v>
      </c>
      <c r="H146" s="15" t="s">
        <v>26</v>
      </c>
      <c r="I146" s="15" t="s">
        <v>323</v>
      </c>
      <c r="J146" s="15">
        <v>93</v>
      </c>
    </row>
    <row r="147" spans="1:10" x14ac:dyDescent="0.3">
      <c r="A147" s="15" t="s">
        <v>324</v>
      </c>
      <c r="B147" s="15" t="s">
        <v>23</v>
      </c>
      <c r="C147" s="15" t="s">
        <v>85</v>
      </c>
      <c r="D147" s="15" t="s">
        <v>31</v>
      </c>
      <c r="E147" s="15">
        <v>16</v>
      </c>
      <c r="F147" s="15">
        <v>9</v>
      </c>
      <c r="G147" s="15" t="s">
        <v>32</v>
      </c>
      <c r="H147" s="15" t="s">
        <v>61</v>
      </c>
      <c r="I147" s="15" t="s">
        <v>325</v>
      </c>
      <c r="J147" s="15">
        <v>54</v>
      </c>
    </row>
    <row r="148" spans="1:10" x14ac:dyDescent="0.3">
      <c r="A148" s="15" t="s">
        <v>326</v>
      </c>
      <c r="B148" s="15" t="s">
        <v>54</v>
      </c>
      <c r="C148" s="15" t="s">
        <v>55</v>
      </c>
      <c r="D148" s="15" t="s">
        <v>13</v>
      </c>
      <c r="E148" s="15">
        <v>20</v>
      </c>
      <c r="F148" s="15">
        <v>9</v>
      </c>
      <c r="G148" s="15" t="s">
        <v>32</v>
      </c>
      <c r="H148" s="15" t="s">
        <v>15</v>
      </c>
      <c r="I148" s="15" t="s">
        <v>77</v>
      </c>
      <c r="J148" s="15">
        <v>75</v>
      </c>
    </row>
    <row r="149" spans="1:10" x14ac:dyDescent="0.3">
      <c r="A149" s="15" t="s">
        <v>327</v>
      </c>
      <c r="B149" s="15" t="s">
        <v>73</v>
      </c>
      <c r="C149" s="15" t="s">
        <v>96</v>
      </c>
      <c r="D149" s="15" t="s">
        <v>13</v>
      </c>
      <c r="E149" s="15">
        <v>20</v>
      </c>
      <c r="F149" s="15">
        <v>9</v>
      </c>
      <c r="G149" s="15" t="s">
        <v>32</v>
      </c>
      <c r="H149" s="15" t="s">
        <v>61</v>
      </c>
      <c r="I149" s="15" t="s">
        <v>328</v>
      </c>
      <c r="J149" s="15">
        <v>40</v>
      </c>
    </row>
    <row r="150" spans="1:10" x14ac:dyDescent="0.3">
      <c r="A150" s="15" t="s">
        <v>329</v>
      </c>
      <c r="B150" s="15" t="s">
        <v>11</v>
      </c>
      <c r="C150" s="15" t="s">
        <v>24</v>
      </c>
      <c r="D150" s="15" t="s">
        <v>31</v>
      </c>
      <c r="E150" s="15">
        <v>15</v>
      </c>
      <c r="F150" s="15">
        <v>9</v>
      </c>
      <c r="G150" s="15" t="s">
        <v>43</v>
      </c>
      <c r="H150" s="15" t="s">
        <v>61</v>
      </c>
      <c r="I150" s="15" t="s">
        <v>330</v>
      </c>
      <c r="J150" s="15">
        <v>83</v>
      </c>
    </row>
    <row r="151" spans="1:10" x14ac:dyDescent="0.3">
      <c r="A151" s="15" t="s">
        <v>331</v>
      </c>
      <c r="B151" s="15" t="s">
        <v>73</v>
      </c>
      <c r="C151" s="15" t="s">
        <v>30</v>
      </c>
      <c r="D151" s="15" t="s">
        <v>31</v>
      </c>
      <c r="E151" s="15">
        <v>19</v>
      </c>
      <c r="F151" s="15">
        <v>10</v>
      </c>
      <c r="G151" s="15" t="s">
        <v>43</v>
      </c>
      <c r="H151" s="15" t="s">
        <v>20</v>
      </c>
      <c r="I151" s="15" t="s">
        <v>191</v>
      </c>
      <c r="J151" s="15">
        <v>93</v>
      </c>
    </row>
    <row r="152" spans="1:10" x14ac:dyDescent="0.3">
      <c r="A152" s="15" t="s">
        <v>332</v>
      </c>
      <c r="B152" s="15" t="s">
        <v>29</v>
      </c>
      <c r="C152" s="15" t="s">
        <v>12</v>
      </c>
      <c r="D152" s="15" t="s">
        <v>31</v>
      </c>
      <c r="E152" s="15">
        <v>16</v>
      </c>
      <c r="F152" s="15">
        <v>11</v>
      </c>
      <c r="G152" s="15" t="s">
        <v>32</v>
      </c>
      <c r="H152" s="15" t="s">
        <v>76</v>
      </c>
      <c r="I152" s="15" t="s">
        <v>333</v>
      </c>
      <c r="J152" s="15">
        <v>42</v>
      </c>
    </row>
    <row r="153" spans="1:10" x14ac:dyDescent="0.3">
      <c r="A153" s="15" t="s">
        <v>334</v>
      </c>
      <c r="B153" s="15" t="s">
        <v>73</v>
      </c>
      <c r="C153" s="15" t="s">
        <v>12</v>
      </c>
      <c r="D153" s="15" t="s">
        <v>31</v>
      </c>
      <c r="E153" s="15">
        <v>18</v>
      </c>
      <c r="F153" s="15">
        <v>11</v>
      </c>
      <c r="G153" s="15" t="s">
        <v>32</v>
      </c>
      <c r="H153" s="15" t="s">
        <v>76</v>
      </c>
      <c r="I153" s="15" t="s">
        <v>335</v>
      </c>
      <c r="J153" s="15">
        <v>97</v>
      </c>
    </row>
    <row r="154" spans="1:10" x14ac:dyDescent="0.3">
      <c r="A154" s="15" t="s">
        <v>336</v>
      </c>
      <c r="B154" s="15" t="s">
        <v>11</v>
      </c>
      <c r="C154" s="15" t="s">
        <v>58</v>
      </c>
      <c r="D154" s="15" t="s">
        <v>31</v>
      </c>
      <c r="E154" s="15">
        <v>19</v>
      </c>
      <c r="F154" s="15">
        <v>12</v>
      </c>
      <c r="G154" s="15" t="s">
        <v>25</v>
      </c>
      <c r="H154" s="15" t="s">
        <v>61</v>
      </c>
      <c r="I154" s="15" t="s">
        <v>218</v>
      </c>
      <c r="J154" s="15">
        <v>68</v>
      </c>
    </row>
    <row r="155" spans="1:10" x14ac:dyDescent="0.3">
      <c r="A155" s="15" t="s">
        <v>337</v>
      </c>
      <c r="B155" s="15" t="s">
        <v>23</v>
      </c>
      <c r="C155" s="15" t="s">
        <v>30</v>
      </c>
      <c r="D155" s="15" t="s">
        <v>31</v>
      </c>
      <c r="E155" s="15">
        <v>19</v>
      </c>
      <c r="F155" s="15">
        <v>9</v>
      </c>
      <c r="G155" s="15" t="s">
        <v>32</v>
      </c>
      <c r="H155" s="15" t="s">
        <v>61</v>
      </c>
      <c r="I155" s="15" t="s">
        <v>338</v>
      </c>
      <c r="J155" s="15">
        <v>51</v>
      </c>
    </row>
    <row r="156" spans="1:10" x14ac:dyDescent="0.3">
      <c r="A156" s="15" t="s">
        <v>339</v>
      </c>
      <c r="B156" s="15" t="s">
        <v>23</v>
      </c>
      <c r="C156" s="15" t="s">
        <v>36</v>
      </c>
      <c r="D156" s="15" t="s">
        <v>13</v>
      </c>
      <c r="E156" s="15">
        <v>18</v>
      </c>
      <c r="F156" s="15">
        <v>9</v>
      </c>
      <c r="G156" s="15" t="s">
        <v>32</v>
      </c>
      <c r="H156" s="15" t="s">
        <v>37</v>
      </c>
      <c r="I156" s="15" t="s">
        <v>340</v>
      </c>
      <c r="J156" s="15">
        <v>64</v>
      </c>
    </row>
    <row r="157" spans="1:10" x14ac:dyDescent="0.3">
      <c r="A157" s="15" t="s">
        <v>341</v>
      </c>
      <c r="B157" s="15" t="s">
        <v>54</v>
      </c>
      <c r="C157" s="15" t="s">
        <v>55</v>
      </c>
      <c r="D157" s="15" t="s">
        <v>13</v>
      </c>
      <c r="E157" s="15">
        <v>14</v>
      </c>
      <c r="F157" s="15">
        <v>9</v>
      </c>
      <c r="G157" s="15" t="s">
        <v>25</v>
      </c>
      <c r="H157" s="15" t="s">
        <v>37</v>
      </c>
      <c r="I157" s="15" t="s">
        <v>342</v>
      </c>
      <c r="J157" s="15">
        <v>82</v>
      </c>
    </row>
    <row r="158" spans="1:10" x14ac:dyDescent="0.3">
      <c r="A158" s="15" t="s">
        <v>343</v>
      </c>
      <c r="B158" s="15" t="s">
        <v>68</v>
      </c>
      <c r="C158" s="15" t="s">
        <v>79</v>
      </c>
      <c r="D158" s="15" t="s">
        <v>13</v>
      </c>
      <c r="E158" s="15">
        <v>19</v>
      </c>
      <c r="F158" s="15">
        <v>11</v>
      </c>
      <c r="G158" s="15" t="s">
        <v>14</v>
      </c>
      <c r="H158" s="15" t="s">
        <v>40</v>
      </c>
      <c r="I158" s="15" t="s">
        <v>344</v>
      </c>
      <c r="J158" s="15">
        <v>35</v>
      </c>
    </row>
    <row r="159" spans="1:10" x14ac:dyDescent="0.3">
      <c r="A159" s="15" t="s">
        <v>345</v>
      </c>
      <c r="B159" s="15" t="s">
        <v>29</v>
      </c>
      <c r="C159" s="15" t="s">
        <v>24</v>
      </c>
      <c r="D159" s="15" t="s">
        <v>31</v>
      </c>
      <c r="E159" s="15">
        <v>15</v>
      </c>
      <c r="F159" s="15">
        <v>9</v>
      </c>
      <c r="G159" s="15" t="s">
        <v>14</v>
      </c>
      <c r="H159" s="15" t="s">
        <v>26</v>
      </c>
      <c r="I159" s="15" t="s">
        <v>346</v>
      </c>
      <c r="J159" s="15">
        <v>49</v>
      </c>
    </row>
    <row r="160" spans="1:10" x14ac:dyDescent="0.3">
      <c r="A160" s="15" t="s">
        <v>347</v>
      </c>
      <c r="B160" s="15" t="s">
        <v>23</v>
      </c>
      <c r="C160" s="15" t="s">
        <v>85</v>
      </c>
      <c r="D160" s="15" t="s">
        <v>31</v>
      </c>
      <c r="E160" s="15">
        <v>15</v>
      </c>
      <c r="F160" s="15">
        <v>11</v>
      </c>
      <c r="G160" s="15" t="s">
        <v>32</v>
      </c>
      <c r="H160" s="15" t="s">
        <v>26</v>
      </c>
      <c r="I160" s="15" t="s">
        <v>348</v>
      </c>
      <c r="J160" s="15">
        <v>37</v>
      </c>
    </row>
    <row r="161" spans="1:10" x14ac:dyDescent="0.3">
      <c r="A161" s="15" t="s">
        <v>349</v>
      </c>
      <c r="B161" s="15" t="s">
        <v>35</v>
      </c>
      <c r="C161" s="15" t="s">
        <v>30</v>
      </c>
      <c r="D161" s="15" t="s">
        <v>31</v>
      </c>
      <c r="E161" s="15">
        <v>18</v>
      </c>
      <c r="F161" s="15">
        <v>12</v>
      </c>
      <c r="G161" s="15" t="s">
        <v>43</v>
      </c>
      <c r="H161" s="15" t="s">
        <v>37</v>
      </c>
      <c r="I161" s="15" t="s">
        <v>350</v>
      </c>
      <c r="J161" s="15">
        <v>53</v>
      </c>
    </row>
    <row r="162" spans="1:10" x14ac:dyDescent="0.3">
      <c r="A162" s="15" t="s">
        <v>351</v>
      </c>
      <c r="B162" s="15" t="s">
        <v>68</v>
      </c>
      <c r="C162" s="15" t="s">
        <v>96</v>
      </c>
      <c r="D162" s="15" t="s">
        <v>13</v>
      </c>
      <c r="E162" s="15">
        <v>15</v>
      </c>
      <c r="F162" s="15">
        <v>10</v>
      </c>
      <c r="G162" s="15" t="s">
        <v>25</v>
      </c>
      <c r="H162" s="15" t="s">
        <v>20</v>
      </c>
      <c r="I162" s="15" t="s">
        <v>352</v>
      </c>
      <c r="J162" s="15">
        <v>50</v>
      </c>
    </row>
    <row r="163" spans="1:10" x14ac:dyDescent="0.3">
      <c r="A163" s="15" t="s">
        <v>353</v>
      </c>
      <c r="B163" s="15" t="s">
        <v>51</v>
      </c>
      <c r="C163" s="15" t="s">
        <v>55</v>
      </c>
      <c r="D163" s="15" t="s">
        <v>31</v>
      </c>
      <c r="E163" s="15">
        <v>20</v>
      </c>
      <c r="F163" s="15">
        <v>9</v>
      </c>
      <c r="G163" s="15" t="s">
        <v>25</v>
      </c>
      <c r="H163" s="15" t="s">
        <v>46</v>
      </c>
      <c r="I163" s="15" t="s">
        <v>354</v>
      </c>
      <c r="J163" s="15">
        <v>53</v>
      </c>
    </row>
    <row r="164" spans="1:10" x14ac:dyDescent="0.3">
      <c r="A164" s="15" t="s">
        <v>355</v>
      </c>
      <c r="B164" s="15" t="s">
        <v>68</v>
      </c>
      <c r="C164" s="15" t="s">
        <v>79</v>
      </c>
      <c r="D164" s="15" t="s">
        <v>13</v>
      </c>
      <c r="E164" s="15">
        <v>15</v>
      </c>
      <c r="F164" s="15">
        <v>12</v>
      </c>
      <c r="G164" s="15" t="s">
        <v>14</v>
      </c>
      <c r="H164" s="15" t="s">
        <v>20</v>
      </c>
      <c r="I164" s="15" t="s">
        <v>356</v>
      </c>
      <c r="J164" s="15">
        <v>37</v>
      </c>
    </row>
    <row r="165" spans="1:10" x14ac:dyDescent="0.3">
      <c r="A165" s="15" t="s">
        <v>357</v>
      </c>
      <c r="B165" s="15" t="s">
        <v>23</v>
      </c>
      <c r="C165" s="15" t="s">
        <v>24</v>
      </c>
      <c r="D165" s="15" t="s">
        <v>13</v>
      </c>
      <c r="E165" s="15">
        <v>16</v>
      </c>
      <c r="F165" s="15">
        <v>9</v>
      </c>
      <c r="G165" s="15" t="s">
        <v>25</v>
      </c>
      <c r="H165" s="15" t="s">
        <v>20</v>
      </c>
      <c r="I165" s="15" t="s">
        <v>358</v>
      </c>
      <c r="J165" s="15">
        <v>66</v>
      </c>
    </row>
    <row r="166" spans="1:10" x14ac:dyDescent="0.3">
      <c r="A166" s="15" t="s">
        <v>359</v>
      </c>
      <c r="B166" s="15" t="s">
        <v>68</v>
      </c>
      <c r="C166" s="15" t="s">
        <v>85</v>
      </c>
      <c r="D166" s="15" t="s">
        <v>13</v>
      </c>
      <c r="E166" s="15">
        <v>19</v>
      </c>
      <c r="F166" s="15">
        <v>11</v>
      </c>
      <c r="G166" s="15" t="s">
        <v>43</v>
      </c>
      <c r="H166" s="15" t="s">
        <v>76</v>
      </c>
      <c r="I166" s="15" t="s">
        <v>360</v>
      </c>
      <c r="J166" s="15">
        <v>64</v>
      </c>
    </row>
    <row r="167" spans="1:10" x14ac:dyDescent="0.3">
      <c r="A167" s="15" t="s">
        <v>361</v>
      </c>
      <c r="B167" s="15" t="s">
        <v>11</v>
      </c>
      <c r="C167" s="15" t="s">
        <v>30</v>
      </c>
      <c r="D167" s="15" t="s">
        <v>13</v>
      </c>
      <c r="E167" s="15">
        <v>20</v>
      </c>
      <c r="F167" s="15">
        <v>10</v>
      </c>
      <c r="G167" s="15" t="s">
        <v>32</v>
      </c>
      <c r="H167" s="15" t="s">
        <v>15</v>
      </c>
      <c r="I167" s="15" t="s">
        <v>362</v>
      </c>
      <c r="J167" s="15">
        <v>49</v>
      </c>
    </row>
    <row r="168" spans="1:10" x14ac:dyDescent="0.3">
      <c r="A168" s="15" t="s">
        <v>363</v>
      </c>
      <c r="B168" s="15" t="s">
        <v>11</v>
      </c>
      <c r="C168" s="15" t="s">
        <v>85</v>
      </c>
      <c r="D168" s="15" t="s">
        <v>31</v>
      </c>
      <c r="E168" s="15">
        <v>15</v>
      </c>
      <c r="F168" s="15">
        <v>10</v>
      </c>
      <c r="G168" s="15" t="s">
        <v>14</v>
      </c>
      <c r="H168" s="15" t="s">
        <v>37</v>
      </c>
      <c r="I168" s="15" t="s">
        <v>364</v>
      </c>
      <c r="J168" s="15">
        <v>71</v>
      </c>
    </row>
    <row r="169" spans="1:10" x14ac:dyDescent="0.3">
      <c r="A169" s="15" t="s">
        <v>365</v>
      </c>
      <c r="B169" s="15" t="s">
        <v>11</v>
      </c>
      <c r="C169" s="15" t="s">
        <v>55</v>
      </c>
      <c r="D169" s="15" t="s">
        <v>13</v>
      </c>
      <c r="E169" s="15">
        <v>16</v>
      </c>
      <c r="F169" s="15">
        <v>10</v>
      </c>
      <c r="G169" s="15" t="s">
        <v>32</v>
      </c>
      <c r="H169" s="15" t="s">
        <v>15</v>
      </c>
      <c r="I169" s="15" t="s">
        <v>366</v>
      </c>
      <c r="J169" s="15">
        <v>72</v>
      </c>
    </row>
    <row r="170" spans="1:10" x14ac:dyDescent="0.3">
      <c r="A170" s="15" t="s">
        <v>367</v>
      </c>
      <c r="B170" s="15" t="s">
        <v>35</v>
      </c>
      <c r="C170" s="15" t="s">
        <v>12</v>
      </c>
      <c r="D170" s="15" t="s">
        <v>31</v>
      </c>
      <c r="E170" s="15">
        <v>15</v>
      </c>
      <c r="F170" s="15">
        <v>10</v>
      </c>
      <c r="G170" s="15" t="s">
        <v>32</v>
      </c>
      <c r="H170" s="15" t="s">
        <v>20</v>
      </c>
      <c r="I170" s="15" t="s">
        <v>368</v>
      </c>
      <c r="J170" s="15">
        <v>99</v>
      </c>
    </row>
    <row r="171" spans="1:10" x14ac:dyDescent="0.3">
      <c r="A171" s="15" t="s">
        <v>369</v>
      </c>
      <c r="B171" s="15" t="s">
        <v>23</v>
      </c>
      <c r="C171" s="15" t="s">
        <v>24</v>
      </c>
      <c r="D171" s="15" t="s">
        <v>31</v>
      </c>
      <c r="E171" s="15">
        <v>17</v>
      </c>
      <c r="F171" s="15">
        <v>12</v>
      </c>
      <c r="G171" s="15" t="s">
        <v>43</v>
      </c>
      <c r="H171" s="15" t="s">
        <v>61</v>
      </c>
      <c r="I171" s="15" t="s">
        <v>370</v>
      </c>
      <c r="J171" s="15">
        <v>96</v>
      </c>
    </row>
    <row r="172" spans="1:10" x14ac:dyDescent="0.3">
      <c r="A172" s="15" t="s">
        <v>371</v>
      </c>
      <c r="B172" s="15" t="s">
        <v>35</v>
      </c>
      <c r="C172" s="15" t="s">
        <v>58</v>
      </c>
      <c r="D172" s="15" t="s">
        <v>31</v>
      </c>
      <c r="E172" s="15">
        <v>19</v>
      </c>
      <c r="F172" s="15">
        <v>9</v>
      </c>
      <c r="G172" s="15" t="s">
        <v>14</v>
      </c>
      <c r="H172" s="15" t="s">
        <v>20</v>
      </c>
      <c r="I172" s="15" t="s">
        <v>372</v>
      </c>
      <c r="J172" s="15">
        <v>87</v>
      </c>
    </row>
    <row r="173" spans="1:10" x14ac:dyDescent="0.3">
      <c r="A173" s="15" t="s">
        <v>373</v>
      </c>
      <c r="B173" s="15" t="s">
        <v>51</v>
      </c>
      <c r="C173" s="15" t="s">
        <v>19</v>
      </c>
      <c r="D173" s="15" t="s">
        <v>13</v>
      </c>
      <c r="E173" s="15">
        <v>15</v>
      </c>
      <c r="F173" s="15">
        <v>11</v>
      </c>
      <c r="G173" s="15" t="s">
        <v>14</v>
      </c>
      <c r="H173" s="15" t="s">
        <v>61</v>
      </c>
      <c r="I173" s="15" t="s">
        <v>374</v>
      </c>
      <c r="J173" s="15">
        <v>78</v>
      </c>
    </row>
    <row r="174" spans="1:10" x14ac:dyDescent="0.3">
      <c r="A174" s="15" t="s">
        <v>375</v>
      </c>
      <c r="B174" s="15" t="s">
        <v>35</v>
      </c>
      <c r="C174" s="15" t="s">
        <v>36</v>
      </c>
      <c r="D174" s="15" t="s">
        <v>13</v>
      </c>
      <c r="E174" s="15">
        <v>18</v>
      </c>
      <c r="F174" s="15">
        <v>11</v>
      </c>
      <c r="G174" s="15" t="s">
        <v>25</v>
      </c>
      <c r="H174" s="15" t="s">
        <v>40</v>
      </c>
      <c r="I174" s="15" t="s">
        <v>376</v>
      </c>
      <c r="J174" s="15">
        <v>62</v>
      </c>
    </row>
    <row r="175" spans="1:10" x14ac:dyDescent="0.3">
      <c r="A175" s="15" t="s">
        <v>377</v>
      </c>
      <c r="B175" s="15" t="s">
        <v>35</v>
      </c>
      <c r="C175" s="15" t="s">
        <v>30</v>
      </c>
      <c r="D175" s="15" t="s">
        <v>13</v>
      </c>
      <c r="E175" s="15">
        <v>20</v>
      </c>
      <c r="F175" s="15">
        <v>11</v>
      </c>
      <c r="G175" s="15" t="s">
        <v>32</v>
      </c>
      <c r="H175" s="15" t="s">
        <v>37</v>
      </c>
      <c r="I175" s="15" t="s">
        <v>189</v>
      </c>
      <c r="J175" s="15">
        <v>79</v>
      </c>
    </row>
    <row r="176" spans="1:10" x14ac:dyDescent="0.3">
      <c r="A176" s="15" t="s">
        <v>378</v>
      </c>
      <c r="B176" s="15" t="s">
        <v>18</v>
      </c>
      <c r="C176" s="15" t="s">
        <v>55</v>
      </c>
      <c r="D176" s="15" t="s">
        <v>31</v>
      </c>
      <c r="E176" s="15">
        <v>17</v>
      </c>
      <c r="F176" s="15">
        <v>9</v>
      </c>
      <c r="G176" s="15" t="s">
        <v>32</v>
      </c>
      <c r="H176" s="15" t="s">
        <v>26</v>
      </c>
      <c r="I176" s="15" t="s">
        <v>379</v>
      </c>
      <c r="J176" s="15">
        <v>66</v>
      </c>
    </row>
    <row r="177" spans="1:10" x14ac:dyDescent="0.3">
      <c r="A177" s="15" t="s">
        <v>380</v>
      </c>
      <c r="B177" s="15" t="s">
        <v>11</v>
      </c>
      <c r="C177" s="15" t="s">
        <v>24</v>
      </c>
      <c r="D177" s="15" t="s">
        <v>31</v>
      </c>
      <c r="E177" s="15">
        <v>18</v>
      </c>
      <c r="F177" s="15">
        <v>11</v>
      </c>
      <c r="G177" s="15" t="s">
        <v>32</v>
      </c>
      <c r="H177" s="15" t="s">
        <v>61</v>
      </c>
      <c r="I177" s="15" t="s">
        <v>381</v>
      </c>
      <c r="J177" s="15">
        <v>67</v>
      </c>
    </row>
    <row r="178" spans="1:10" x14ac:dyDescent="0.3">
      <c r="A178" s="15" t="s">
        <v>382</v>
      </c>
      <c r="B178" s="15" t="s">
        <v>51</v>
      </c>
      <c r="C178" s="15" t="s">
        <v>85</v>
      </c>
      <c r="D178" s="15" t="s">
        <v>13</v>
      </c>
      <c r="E178" s="15">
        <v>16</v>
      </c>
      <c r="F178" s="15">
        <v>10</v>
      </c>
      <c r="G178" s="15" t="s">
        <v>43</v>
      </c>
      <c r="H178" s="15" t="s">
        <v>61</v>
      </c>
      <c r="I178" s="15" t="s">
        <v>383</v>
      </c>
      <c r="J178" s="15">
        <v>72</v>
      </c>
    </row>
    <row r="179" spans="1:10" x14ac:dyDescent="0.3">
      <c r="A179" s="15" t="s">
        <v>384</v>
      </c>
      <c r="B179" s="15" t="s">
        <v>54</v>
      </c>
      <c r="C179" s="15" t="s">
        <v>19</v>
      </c>
      <c r="D179" s="15" t="s">
        <v>31</v>
      </c>
      <c r="E179" s="15">
        <v>16</v>
      </c>
      <c r="F179" s="15">
        <v>12</v>
      </c>
      <c r="G179" s="15" t="s">
        <v>25</v>
      </c>
      <c r="H179" s="15" t="s">
        <v>20</v>
      </c>
      <c r="I179" s="15" t="s">
        <v>385</v>
      </c>
      <c r="J179" s="15">
        <v>39</v>
      </c>
    </row>
    <row r="180" spans="1:10" x14ac:dyDescent="0.3">
      <c r="A180" s="15" t="s">
        <v>386</v>
      </c>
      <c r="B180" s="15" t="s">
        <v>68</v>
      </c>
      <c r="C180" s="15" t="s">
        <v>96</v>
      </c>
      <c r="D180" s="15" t="s">
        <v>13</v>
      </c>
      <c r="E180" s="15">
        <v>18</v>
      </c>
      <c r="F180" s="15">
        <v>9</v>
      </c>
      <c r="G180" s="15" t="s">
        <v>25</v>
      </c>
      <c r="H180" s="15" t="s">
        <v>46</v>
      </c>
      <c r="I180" s="15" t="s">
        <v>387</v>
      </c>
      <c r="J180" s="15">
        <v>74</v>
      </c>
    </row>
    <row r="181" spans="1:10" x14ac:dyDescent="0.3">
      <c r="A181" s="15" t="s">
        <v>388</v>
      </c>
      <c r="B181" s="15" t="s">
        <v>73</v>
      </c>
      <c r="C181" s="15" t="s">
        <v>12</v>
      </c>
      <c r="D181" s="15" t="s">
        <v>31</v>
      </c>
      <c r="E181" s="15">
        <v>19</v>
      </c>
      <c r="F181" s="15">
        <v>11</v>
      </c>
      <c r="G181" s="15" t="s">
        <v>43</v>
      </c>
      <c r="H181" s="15" t="s">
        <v>61</v>
      </c>
      <c r="I181" s="15" t="s">
        <v>214</v>
      </c>
      <c r="J181" s="15">
        <v>88</v>
      </c>
    </row>
    <row r="182" spans="1:10" x14ac:dyDescent="0.3">
      <c r="A182" s="15" t="s">
        <v>389</v>
      </c>
      <c r="B182" s="15" t="s">
        <v>54</v>
      </c>
      <c r="C182" s="15" t="s">
        <v>58</v>
      </c>
      <c r="D182" s="15" t="s">
        <v>31</v>
      </c>
      <c r="E182" s="15">
        <v>14</v>
      </c>
      <c r="F182" s="15">
        <v>11</v>
      </c>
      <c r="G182" s="15" t="s">
        <v>32</v>
      </c>
      <c r="H182" s="15" t="s">
        <v>76</v>
      </c>
      <c r="I182" s="15" t="s">
        <v>390</v>
      </c>
      <c r="J182" s="15">
        <v>54</v>
      </c>
    </row>
    <row r="183" spans="1:10" x14ac:dyDescent="0.3">
      <c r="A183" s="15" t="s">
        <v>391</v>
      </c>
      <c r="B183" s="15" t="s">
        <v>68</v>
      </c>
      <c r="C183" s="15" t="s">
        <v>19</v>
      </c>
      <c r="D183" s="15" t="s">
        <v>13</v>
      </c>
      <c r="E183" s="15">
        <v>19</v>
      </c>
      <c r="F183" s="15">
        <v>12</v>
      </c>
      <c r="G183" s="15" t="s">
        <v>25</v>
      </c>
      <c r="H183" s="15" t="s">
        <v>46</v>
      </c>
      <c r="I183" s="15" t="s">
        <v>392</v>
      </c>
      <c r="J183" s="15">
        <v>46</v>
      </c>
    </row>
    <row r="184" spans="1:10" x14ac:dyDescent="0.3">
      <c r="A184" s="15" t="s">
        <v>393</v>
      </c>
      <c r="B184" s="15" t="s">
        <v>68</v>
      </c>
      <c r="C184" s="15" t="s">
        <v>85</v>
      </c>
      <c r="D184" s="15" t="s">
        <v>13</v>
      </c>
      <c r="E184" s="15">
        <v>15</v>
      </c>
      <c r="F184" s="15">
        <v>10</v>
      </c>
      <c r="G184" s="15" t="s">
        <v>32</v>
      </c>
      <c r="H184" s="15" t="s">
        <v>37</v>
      </c>
      <c r="I184" s="15" t="s">
        <v>394</v>
      </c>
      <c r="J184" s="15">
        <v>89</v>
      </c>
    </row>
    <row r="185" spans="1:10" x14ac:dyDescent="0.3">
      <c r="A185" s="15" t="s">
        <v>395</v>
      </c>
      <c r="B185" s="15" t="s">
        <v>11</v>
      </c>
      <c r="C185" s="15" t="s">
        <v>96</v>
      </c>
      <c r="D185" s="15" t="s">
        <v>13</v>
      </c>
      <c r="E185" s="15">
        <v>18</v>
      </c>
      <c r="F185" s="15">
        <v>11</v>
      </c>
      <c r="G185" s="15" t="s">
        <v>25</v>
      </c>
      <c r="H185" s="15" t="s">
        <v>37</v>
      </c>
      <c r="I185" s="15" t="s">
        <v>396</v>
      </c>
      <c r="J185" s="15">
        <v>65</v>
      </c>
    </row>
    <row r="186" spans="1:10" x14ac:dyDescent="0.3">
      <c r="A186" s="15" t="s">
        <v>397</v>
      </c>
      <c r="B186" s="15" t="s">
        <v>23</v>
      </c>
      <c r="C186" s="15" t="s">
        <v>12</v>
      </c>
      <c r="D186" s="15" t="s">
        <v>13</v>
      </c>
      <c r="E186" s="15">
        <v>20</v>
      </c>
      <c r="F186" s="15">
        <v>9</v>
      </c>
      <c r="G186" s="15" t="s">
        <v>25</v>
      </c>
      <c r="H186" s="15" t="s">
        <v>46</v>
      </c>
      <c r="I186" s="15" t="s">
        <v>398</v>
      </c>
      <c r="J186" s="15">
        <v>91</v>
      </c>
    </row>
    <row r="187" spans="1:10" x14ac:dyDescent="0.3">
      <c r="A187" s="15" t="s">
        <v>399</v>
      </c>
      <c r="B187" s="15" t="s">
        <v>35</v>
      </c>
      <c r="C187" s="15" t="s">
        <v>79</v>
      </c>
      <c r="D187" s="15" t="s">
        <v>13</v>
      </c>
      <c r="E187" s="15">
        <v>17</v>
      </c>
      <c r="F187" s="15">
        <v>10</v>
      </c>
      <c r="G187" s="15" t="s">
        <v>43</v>
      </c>
      <c r="H187" s="15" t="s">
        <v>37</v>
      </c>
      <c r="I187" s="15" t="s">
        <v>400</v>
      </c>
      <c r="J187" s="15">
        <v>78</v>
      </c>
    </row>
    <row r="188" spans="1:10" x14ac:dyDescent="0.3">
      <c r="A188" s="15" t="s">
        <v>401</v>
      </c>
      <c r="B188" s="15" t="s">
        <v>11</v>
      </c>
      <c r="C188" s="15" t="s">
        <v>79</v>
      </c>
      <c r="D188" s="15" t="s">
        <v>31</v>
      </c>
      <c r="E188" s="15">
        <v>15</v>
      </c>
      <c r="F188" s="15">
        <v>11</v>
      </c>
      <c r="G188" s="15" t="s">
        <v>43</v>
      </c>
      <c r="H188" s="15" t="s">
        <v>40</v>
      </c>
      <c r="I188" s="15" t="s">
        <v>402</v>
      </c>
      <c r="J188" s="15">
        <v>84</v>
      </c>
    </row>
    <row r="189" spans="1:10" x14ac:dyDescent="0.3">
      <c r="A189" s="15" t="s">
        <v>403</v>
      </c>
      <c r="B189" s="15" t="s">
        <v>11</v>
      </c>
      <c r="C189" s="15" t="s">
        <v>12</v>
      </c>
      <c r="D189" s="15" t="s">
        <v>31</v>
      </c>
      <c r="E189" s="15">
        <v>19</v>
      </c>
      <c r="F189" s="15">
        <v>9</v>
      </c>
      <c r="G189" s="15" t="s">
        <v>43</v>
      </c>
      <c r="H189" s="15" t="s">
        <v>46</v>
      </c>
      <c r="I189" s="15" t="s">
        <v>404</v>
      </c>
      <c r="J189" s="15">
        <v>37</v>
      </c>
    </row>
    <row r="190" spans="1:10" x14ac:dyDescent="0.3">
      <c r="A190" s="15" t="s">
        <v>405</v>
      </c>
      <c r="B190" s="15" t="s">
        <v>18</v>
      </c>
      <c r="C190" s="15" t="s">
        <v>19</v>
      </c>
      <c r="D190" s="15" t="s">
        <v>31</v>
      </c>
      <c r="E190" s="15">
        <v>18</v>
      </c>
      <c r="F190" s="15">
        <v>12</v>
      </c>
      <c r="G190" s="15" t="s">
        <v>25</v>
      </c>
      <c r="H190" s="15" t="s">
        <v>37</v>
      </c>
      <c r="I190" s="15" t="s">
        <v>406</v>
      </c>
      <c r="J190" s="15">
        <v>70</v>
      </c>
    </row>
    <row r="191" spans="1:10" x14ac:dyDescent="0.3">
      <c r="A191" s="15" t="s">
        <v>407</v>
      </c>
      <c r="B191" s="15" t="s">
        <v>29</v>
      </c>
      <c r="C191" s="15" t="s">
        <v>12</v>
      </c>
      <c r="D191" s="15" t="s">
        <v>31</v>
      </c>
      <c r="E191" s="15">
        <v>16</v>
      </c>
      <c r="F191" s="15">
        <v>10</v>
      </c>
      <c r="G191" s="15" t="s">
        <v>14</v>
      </c>
      <c r="H191" s="15" t="s">
        <v>40</v>
      </c>
      <c r="I191" s="15" t="s">
        <v>71</v>
      </c>
      <c r="J191" s="15">
        <v>100</v>
      </c>
    </row>
    <row r="192" spans="1:10" x14ac:dyDescent="0.3">
      <c r="A192" s="15" t="s">
        <v>408</v>
      </c>
      <c r="B192" s="15" t="s">
        <v>51</v>
      </c>
      <c r="C192" s="15" t="s">
        <v>85</v>
      </c>
      <c r="D192" s="15" t="s">
        <v>13</v>
      </c>
      <c r="E192" s="15">
        <v>17</v>
      </c>
      <c r="F192" s="15">
        <v>11</v>
      </c>
      <c r="G192" s="15" t="s">
        <v>25</v>
      </c>
      <c r="H192" s="15" t="s">
        <v>46</v>
      </c>
      <c r="I192" s="15" t="s">
        <v>52</v>
      </c>
      <c r="J192" s="15">
        <v>42</v>
      </c>
    </row>
    <row r="193" spans="1:10" x14ac:dyDescent="0.3">
      <c r="A193" s="15" t="s">
        <v>409</v>
      </c>
      <c r="B193" s="15" t="s">
        <v>84</v>
      </c>
      <c r="C193" s="15" t="s">
        <v>24</v>
      </c>
      <c r="D193" s="15" t="s">
        <v>13</v>
      </c>
      <c r="E193" s="15">
        <v>20</v>
      </c>
      <c r="F193" s="15">
        <v>9</v>
      </c>
      <c r="G193" s="15" t="s">
        <v>25</v>
      </c>
      <c r="H193" s="15" t="s">
        <v>46</v>
      </c>
      <c r="I193" s="15" t="s">
        <v>290</v>
      </c>
      <c r="J193" s="15">
        <v>68</v>
      </c>
    </row>
    <row r="194" spans="1:10" x14ac:dyDescent="0.3">
      <c r="A194" s="15" t="s">
        <v>410</v>
      </c>
      <c r="B194" s="15" t="s">
        <v>18</v>
      </c>
      <c r="C194" s="15" t="s">
        <v>55</v>
      </c>
      <c r="D194" s="15" t="s">
        <v>31</v>
      </c>
      <c r="E194" s="15">
        <v>20</v>
      </c>
      <c r="F194" s="15">
        <v>10</v>
      </c>
      <c r="G194" s="15" t="s">
        <v>43</v>
      </c>
      <c r="H194" s="15" t="s">
        <v>40</v>
      </c>
      <c r="I194" s="15" t="s">
        <v>411</v>
      </c>
      <c r="J194" s="15">
        <v>59</v>
      </c>
    </row>
    <row r="195" spans="1:10" x14ac:dyDescent="0.3">
      <c r="A195" s="15" t="s">
        <v>412</v>
      </c>
      <c r="B195" s="15" t="s">
        <v>73</v>
      </c>
      <c r="C195" s="15" t="s">
        <v>55</v>
      </c>
      <c r="D195" s="15" t="s">
        <v>13</v>
      </c>
      <c r="E195" s="15">
        <v>16</v>
      </c>
      <c r="F195" s="15">
        <v>12</v>
      </c>
      <c r="G195" s="15" t="s">
        <v>32</v>
      </c>
      <c r="H195" s="15" t="s">
        <v>46</v>
      </c>
      <c r="I195" s="15" t="s">
        <v>413</v>
      </c>
      <c r="J195" s="15">
        <v>85</v>
      </c>
    </row>
    <row r="196" spans="1:10" x14ac:dyDescent="0.3">
      <c r="A196" s="15" t="s">
        <v>414</v>
      </c>
      <c r="B196" s="15" t="s">
        <v>11</v>
      </c>
      <c r="C196" s="15" t="s">
        <v>55</v>
      </c>
      <c r="D196" s="15" t="s">
        <v>13</v>
      </c>
      <c r="E196" s="15">
        <v>16</v>
      </c>
      <c r="F196" s="15">
        <v>12</v>
      </c>
      <c r="G196" s="15" t="s">
        <v>32</v>
      </c>
      <c r="H196" s="15" t="s">
        <v>37</v>
      </c>
      <c r="I196" s="15" t="s">
        <v>415</v>
      </c>
      <c r="J196" s="15">
        <v>47</v>
      </c>
    </row>
    <row r="197" spans="1:10" x14ac:dyDescent="0.3">
      <c r="A197" s="15" t="s">
        <v>416</v>
      </c>
      <c r="B197" s="15" t="s">
        <v>18</v>
      </c>
      <c r="C197" s="15" t="s">
        <v>79</v>
      </c>
      <c r="D197" s="15" t="s">
        <v>31</v>
      </c>
      <c r="E197" s="15">
        <v>20</v>
      </c>
      <c r="F197" s="15">
        <v>9</v>
      </c>
      <c r="G197" s="15" t="s">
        <v>25</v>
      </c>
      <c r="H197" s="15" t="s">
        <v>37</v>
      </c>
      <c r="I197" s="15" t="s">
        <v>417</v>
      </c>
      <c r="J197" s="15">
        <v>53</v>
      </c>
    </row>
    <row r="198" spans="1:10" x14ac:dyDescent="0.3">
      <c r="A198" s="15" t="s">
        <v>418</v>
      </c>
      <c r="B198" s="15" t="s">
        <v>84</v>
      </c>
      <c r="C198" s="15" t="s">
        <v>24</v>
      </c>
      <c r="D198" s="15" t="s">
        <v>13</v>
      </c>
      <c r="E198" s="15">
        <v>15</v>
      </c>
      <c r="F198" s="15">
        <v>9</v>
      </c>
      <c r="G198" s="15" t="s">
        <v>25</v>
      </c>
      <c r="H198" s="15" t="s">
        <v>20</v>
      </c>
      <c r="I198" s="15" t="s">
        <v>419</v>
      </c>
      <c r="J198" s="15">
        <v>63</v>
      </c>
    </row>
    <row r="199" spans="1:10" x14ac:dyDescent="0.3">
      <c r="A199" s="15" t="s">
        <v>420</v>
      </c>
      <c r="B199" s="15" t="s">
        <v>73</v>
      </c>
      <c r="C199" s="15" t="s">
        <v>85</v>
      </c>
      <c r="D199" s="15" t="s">
        <v>13</v>
      </c>
      <c r="E199" s="15">
        <v>16</v>
      </c>
      <c r="F199" s="15">
        <v>11</v>
      </c>
      <c r="G199" s="15" t="s">
        <v>43</v>
      </c>
      <c r="H199" s="15" t="s">
        <v>46</v>
      </c>
      <c r="I199" s="15" t="s">
        <v>421</v>
      </c>
      <c r="J199" s="15">
        <v>55</v>
      </c>
    </row>
    <row r="200" spans="1:10" x14ac:dyDescent="0.3">
      <c r="A200" s="15" t="s">
        <v>422</v>
      </c>
      <c r="B200" s="15" t="s">
        <v>73</v>
      </c>
      <c r="C200" s="15" t="s">
        <v>96</v>
      </c>
      <c r="D200" s="15" t="s">
        <v>13</v>
      </c>
      <c r="E200" s="15">
        <v>14</v>
      </c>
      <c r="F200" s="15">
        <v>10</v>
      </c>
      <c r="G200" s="15" t="s">
        <v>25</v>
      </c>
      <c r="H200" s="15" t="s">
        <v>15</v>
      </c>
      <c r="I200" s="15" t="s">
        <v>423</v>
      </c>
      <c r="J200" s="15">
        <v>99</v>
      </c>
    </row>
    <row r="201" spans="1:10" x14ac:dyDescent="0.3">
      <c r="A201" s="15" t="s">
        <v>424</v>
      </c>
      <c r="B201" s="15" t="s">
        <v>29</v>
      </c>
      <c r="C201" s="15" t="s">
        <v>36</v>
      </c>
      <c r="D201" s="15" t="s">
        <v>31</v>
      </c>
      <c r="E201" s="15">
        <v>16</v>
      </c>
      <c r="F201" s="15">
        <v>12</v>
      </c>
      <c r="G201" s="15" t="s">
        <v>32</v>
      </c>
      <c r="H201" s="15" t="s">
        <v>37</v>
      </c>
      <c r="I201" s="15" t="s">
        <v>180</v>
      </c>
      <c r="J201" s="15">
        <v>89</v>
      </c>
    </row>
    <row r="202" spans="1:10" x14ac:dyDescent="0.3">
      <c r="A202" s="15" t="s">
        <v>425</v>
      </c>
      <c r="B202" s="15" t="s">
        <v>73</v>
      </c>
      <c r="C202" s="15" t="s">
        <v>30</v>
      </c>
      <c r="D202" s="15" t="s">
        <v>31</v>
      </c>
      <c r="E202" s="15">
        <v>15</v>
      </c>
      <c r="F202" s="15">
        <v>9</v>
      </c>
      <c r="G202" s="15" t="s">
        <v>14</v>
      </c>
      <c r="H202" s="15" t="s">
        <v>76</v>
      </c>
      <c r="I202" s="15" t="s">
        <v>149</v>
      </c>
      <c r="J202" s="15">
        <v>54</v>
      </c>
    </row>
    <row r="203" spans="1:10" x14ac:dyDescent="0.3">
      <c r="A203" s="15" t="s">
        <v>426</v>
      </c>
      <c r="B203" s="15" t="s">
        <v>54</v>
      </c>
      <c r="C203" s="15" t="s">
        <v>96</v>
      </c>
      <c r="D203" s="15" t="s">
        <v>31</v>
      </c>
      <c r="E203" s="15">
        <v>16</v>
      </c>
      <c r="F203" s="15">
        <v>12</v>
      </c>
      <c r="G203" s="15" t="s">
        <v>25</v>
      </c>
      <c r="H203" s="15" t="s">
        <v>20</v>
      </c>
      <c r="I203" s="15" t="s">
        <v>427</v>
      </c>
      <c r="J203" s="15">
        <v>82</v>
      </c>
    </row>
    <row r="204" spans="1:10" x14ac:dyDescent="0.3">
      <c r="A204" s="15" t="s">
        <v>428</v>
      </c>
      <c r="B204" s="15" t="s">
        <v>54</v>
      </c>
      <c r="C204" s="15" t="s">
        <v>55</v>
      </c>
      <c r="D204" s="15" t="s">
        <v>13</v>
      </c>
      <c r="E204" s="15">
        <v>16</v>
      </c>
      <c r="F204" s="15">
        <v>11</v>
      </c>
      <c r="G204" s="15" t="s">
        <v>25</v>
      </c>
      <c r="H204" s="15" t="s">
        <v>15</v>
      </c>
      <c r="I204" s="15" t="s">
        <v>429</v>
      </c>
      <c r="J204" s="15">
        <v>86</v>
      </c>
    </row>
    <row r="205" spans="1:10" x14ac:dyDescent="0.3">
      <c r="A205" s="15" t="s">
        <v>430</v>
      </c>
      <c r="B205" s="15" t="s">
        <v>54</v>
      </c>
      <c r="C205" s="15" t="s">
        <v>30</v>
      </c>
      <c r="D205" s="15" t="s">
        <v>13</v>
      </c>
      <c r="E205" s="15">
        <v>18</v>
      </c>
      <c r="F205" s="15">
        <v>11</v>
      </c>
      <c r="G205" s="15" t="s">
        <v>25</v>
      </c>
      <c r="H205" s="15" t="s">
        <v>26</v>
      </c>
      <c r="I205" s="15" t="s">
        <v>431</v>
      </c>
      <c r="J205" s="15">
        <v>91</v>
      </c>
    </row>
    <row r="206" spans="1:10" x14ac:dyDescent="0.3">
      <c r="A206" s="15" t="s">
        <v>432</v>
      </c>
      <c r="B206" s="15" t="s">
        <v>51</v>
      </c>
      <c r="C206" s="15" t="s">
        <v>24</v>
      </c>
      <c r="D206" s="15" t="s">
        <v>31</v>
      </c>
      <c r="E206" s="15">
        <v>17</v>
      </c>
      <c r="F206" s="15">
        <v>11</v>
      </c>
      <c r="G206" s="15" t="s">
        <v>43</v>
      </c>
      <c r="H206" s="15" t="s">
        <v>15</v>
      </c>
      <c r="I206" s="15" t="s">
        <v>400</v>
      </c>
      <c r="J206" s="15">
        <v>53</v>
      </c>
    </row>
    <row r="207" spans="1:10" x14ac:dyDescent="0.3">
      <c r="A207" s="15" t="s">
        <v>433</v>
      </c>
      <c r="B207" s="15" t="s">
        <v>84</v>
      </c>
      <c r="C207" s="15" t="s">
        <v>36</v>
      </c>
      <c r="D207" s="15" t="s">
        <v>13</v>
      </c>
      <c r="E207" s="15">
        <v>14</v>
      </c>
      <c r="F207" s="15">
        <v>9</v>
      </c>
      <c r="G207" s="15" t="s">
        <v>32</v>
      </c>
      <c r="H207" s="15" t="s">
        <v>15</v>
      </c>
      <c r="I207" s="15" t="s">
        <v>434</v>
      </c>
      <c r="J207" s="15">
        <v>47</v>
      </c>
    </row>
    <row r="208" spans="1:10" x14ac:dyDescent="0.3">
      <c r="A208" s="15" t="s">
        <v>435</v>
      </c>
      <c r="B208" s="15" t="s">
        <v>29</v>
      </c>
      <c r="C208" s="15" t="s">
        <v>30</v>
      </c>
      <c r="D208" s="15" t="s">
        <v>31</v>
      </c>
      <c r="E208" s="15">
        <v>20</v>
      </c>
      <c r="F208" s="15">
        <v>12</v>
      </c>
      <c r="G208" s="15" t="s">
        <v>43</v>
      </c>
      <c r="H208" s="15" t="s">
        <v>26</v>
      </c>
      <c r="I208" s="15" t="s">
        <v>436</v>
      </c>
      <c r="J208" s="15">
        <v>36</v>
      </c>
    </row>
    <row r="209" spans="1:10" x14ac:dyDescent="0.3">
      <c r="A209" s="15" t="s">
        <v>437</v>
      </c>
      <c r="B209" s="15" t="s">
        <v>73</v>
      </c>
      <c r="C209" s="15" t="s">
        <v>30</v>
      </c>
      <c r="D209" s="15" t="s">
        <v>13</v>
      </c>
      <c r="E209" s="15">
        <v>14</v>
      </c>
      <c r="F209" s="15">
        <v>11</v>
      </c>
      <c r="G209" s="15" t="s">
        <v>32</v>
      </c>
      <c r="H209" s="15" t="s">
        <v>76</v>
      </c>
      <c r="I209" s="15" t="s">
        <v>438</v>
      </c>
      <c r="J209" s="15">
        <v>62</v>
      </c>
    </row>
    <row r="210" spans="1:10" x14ac:dyDescent="0.3">
      <c r="A210" s="15" t="s">
        <v>439</v>
      </c>
      <c r="B210" s="15" t="s">
        <v>11</v>
      </c>
      <c r="C210" s="15" t="s">
        <v>12</v>
      </c>
      <c r="D210" s="15" t="s">
        <v>13</v>
      </c>
      <c r="E210" s="15">
        <v>15</v>
      </c>
      <c r="F210" s="15">
        <v>9</v>
      </c>
      <c r="G210" s="15" t="s">
        <v>25</v>
      </c>
      <c r="H210" s="15" t="s">
        <v>15</v>
      </c>
      <c r="I210" s="15" t="s">
        <v>440</v>
      </c>
      <c r="J210" s="15">
        <v>90</v>
      </c>
    </row>
    <row r="211" spans="1:10" x14ac:dyDescent="0.3">
      <c r="A211" s="15" t="s">
        <v>441</v>
      </c>
      <c r="B211" s="15" t="s">
        <v>35</v>
      </c>
      <c r="C211" s="15" t="s">
        <v>12</v>
      </c>
      <c r="D211" s="15" t="s">
        <v>13</v>
      </c>
      <c r="E211" s="15">
        <v>17</v>
      </c>
      <c r="F211" s="15">
        <v>10</v>
      </c>
      <c r="G211" s="15" t="s">
        <v>32</v>
      </c>
      <c r="H211" s="15" t="s">
        <v>15</v>
      </c>
      <c r="I211" s="15" t="s">
        <v>442</v>
      </c>
      <c r="J211" s="15">
        <v>91</v>
      </c>
    </row>
    <row r="212" spans="1:10" x14ac:dyDescent="0.3">
      <c r="A212" s="15" t="s">
        <v>443</v>
      </c>
      <c r="B212" s="15" t="s">
        <v>18</v>
      </c>
      <c r="C212" s="15" t="s">
        <v>96</v>
      </c>
      <c r="D212" s="15" t="s">
        <v>13</v>
      </c>
      <c r="E212" s="15">
        <v>17</v>
      </c>
      <c r="F212" s="15">
        <v>9</v>
      </c>
      <c r="G212" s="15" t="s">
        <v>43</v>
      </c>
      <c r="H212" s="15" t="s">
        <v>37</v>
      </c>
      <c r="I212" s="15" t="s">
        <v>444</v>
      </c>
      <c r="J212" s="15">
        <v>60</v>
      </c>
    </row>
    <row r="213" spans="1:10" x14ac:dyDescent="0.3">
      <c r="A213" s="15" t="s">
        <v>445</v>
      </c>
      <c r="B213" s="15" t="s">
        <v>54</v>
      </c>
      <c r="C213" s="15" t="s">
        <v>96</v>
      </c>
      <c r="D213" s="15" t="s">
        <v>13</v>
      </c>
      <c r="E213" s="15">
        <v>20</v>
      </c>
      <c r="F213" s="15">
        <v>10</v>
      </c>
      <c r="G213" s="15" t="s">
        <v>32</v>
      </c>
      <c r="H213" s="15" t="s">
        <v>46</v>
      </c>
      <c r="I213" s="15" t="s">
        <v>182</v>
      </c>
      <c r="J213" s="15">
        <v>85</v>
      </c>
    </row>
    <row r="214" spans="1:10" x14ac:dyDescent="0.3">
      <c r="A214" s="15" t="s">
        <v>446</v>
      </c>
      <c r="B214" s="15" t="s">
        <v>73</v>
      </c>
      <c r="C214" s="15" t="s">
        <v>24</v>
      </c>
      <c r="D214" s="15" t="s">
        <v>13</v>
      </c>
      <c r="E214" s="15">
        <v>17</v>
      </c>
      <c r="F214" s="15">
        <v>10</v>
      </c>
      <c r="G214" s="15" t="s">
        <v>14</v>
      </c>
      <c r="H214" s="15" t="s">
        <v>20</v>
      </c>
      <c r="I214" s="15" t="s">
        <v>447</v>
      </c>
      <c r="J214" s="15">
        <v>58</v>
      </c>
    </row>
    <row r="215" spans="1:10" x14ac:dyDescent="0.3">
      <c r="A215" s="15" t="s">
        <v>448</v>
      </c>
      <c r="B215" s="15" t="s">
        <v>73</v>
      </c>
      <c r="C215" s="15" t="s">
        <v>36</v>
      </c>
      <c r="D215" s="15" t="s">
        <v>31</v>
      </c>
      <c r="E215" s="15">
        <v>19</v>
      </c>
      <c r="F215" s="15">
        <v>12</v>
      </c>
      <c r="G215" s="15" t="s">
        <v>14</v>
      </c>
      <c r="H215" s="15" t="s">
        <v>37</v>
      </c>
      <c r="I215" s="15" t="s">
        <v>449</v>
      </c>
      <c r="J215" s="15">
        <v>65</v>
      </c>
    </row>
    <row r="216" spans="1:10" x14ac:dyDescent="0.3">
      <c r="A216" s="15" t="s">
        <v>450</v>
      </c>
      <c r="B216" s="15" t="s">
        <v>54</v>
      </c>
      <c r="C216" s="15" t="s">
        <v>55</v>
      </c>
      <c r="D216" s="15" t="s">
        <v>31</v>
      </c>
      <c r="E216" s="15">
        <v>19</v>
      </c>
      <c r="F216" s="15">
        <v>12</v>
      </c>
      <c r="G216" s="15" t="s">
        <v>43</v>
      </c>
      <c r="H216" s="15" t="s">
        <v>20</v>
      </c>
      <c r="I216" s="15" t="s">
        <v>451</v>
      </c>
      <c r="J216" s="15">
        <v>58</v>
      </c>
    </row>
    <row r="217" spans="1:10" x14ac:dyDescent="0.3">
      <c r="A217" s="15" t="s">
        <v>452</v>
      </c>
      <c r="B217" s="15" t="s">
        <v>51</v>
      </c>
      <c r="C217" s="15" t="s">
        <v>12</v>
      </c>
      <c r="D217" s="15" t="s">
        <v>13</v>
      </c>
      <c r="E217" s="15">
        <v>18</v>
      </c>
      <c r="F217" s="15">
        <v>9</v>
      </c>
      <c r="G217" s="15" t="s">
        <v>32</v>
      </c>
      <c r="H217" s="15" t="s">
        <v>76</v>
      </c>
      <c r="I217" s="15" t="s">
        <v>453</v>
      </c>
      <c r="J217" s="15">
        <v>35</v>
      </c>
    </row>
    <row r="218" spans="1:10" x14ac:dyDescent="0.3">
      <c r="A218" s="15" t="s">
        <v>454</v>
      </c>
      <c r="B218" s="15" t="s">
        <v>29</v>
      </c>
      <c r="C218" s="15" t="s">
        <v>12</v>
      </c>
      <c r="D218" s="15" t="s">
        <v>31</v>
      </c>
      <c r="E218" s="15">
        <v>16</v>
      </c>
      <c r="F218" s="15">
        <v>11</v>
      </c>
      <c r="G218" s="15" t="s">
        <v>43</v>
      </c>
      <c r="H218" s="15" t="s">
        <v>61</v>
      </c>
      <c r="I218" s="15" t="s">
        <v>385</v>
      </c>
      <c r="J218" s="15">
        <v>40</v>
      </c>
    </row>
    <row r="219" spans="1:10" x14ac:dyDescent="0.3">
      <c r="A219" s="15" t="s">
        <v>455</v>
      </c>
      <c r="B219" s="15" t="s">
        <v>29</v>
      </c>
      <c r="C219" s="15" t="s">
        <v>30</v>
      </c>
      <c r="D219" s="15" t="s">
        <v>13</v>
      </c>
      <c r="E219" s="15">
        <v>16</v>
      </c>
      <c r="F219" s="15">
        <v>9</v>
      </c>
      <c r="G219" s="15" t="s">
        <v>14</v>
      </c>
      <c r="H219" s="15" t="s">
        <v>61</v>
      </c>
      <c r="I219" s="15" t="s">
        <v>447</v>
      </c>
      <c r="J219" s="15">
        <v>60</v>
      </c>
    </row>
    <row r="220" spans="1:10" x14ac:dyDescent="0.3">
      <c r="A220" s="15" t="s">
        <v>456</v>
      </c>
      <c r="B220" s="15" t="s">
        <v>11</v>
      </c>
      <c r="C220" s="15" t="s">
        <v>55</v>
      </c>
      <c r="D220" s="15" t="s">
        <v>13</v>
      </c>
      <c r="E220" s="15">
        <v>15</v>
      </c>
      <c r="F220" s="15">
        <v>9</v>
      </c>
      <c r="G220" s="15" t="s">
        <v>32</v>
      </c>
      <c r="H220" s="15" t="s">
        <v>61</v>
      </c>
      <c r="I220" s="15" t="s">
        <v>457</v>
      </c>
      <c r="J220" s="15">
        <v>97</v>
      </c>
    </row>
    <row r="221" spans="1:10" x14ac:dyDescent="0.3">
      <c r="A221" s="15" t="s">
        <v>458</v>
      </c>
      <c r="B221" s="15" t="s">
        <v>11</v>
      </c>
      <c r="C221" s="15" t="s">
        <v>55</v>
      </c>
      <c r="D221" s="15" t="s">
        <v>13</v>
      </c>
      <c r="E221" s="15">
        <v>19</v>
      </c>
      <c r="F221" s="15">
        <v>11</v>
      </c>
      <c r="G221" s="15" t="s">
        <v>14</v>
      </c>
      <c r="H221" s="15" t="s">
        <v>46</v>
      </c>
      <c r="I221" s="15" t="s">
        <v>459</v>
      </c>
      <c r="J221" s="15">
        <v>81</v>
      </c>
    </row>
    <row r="222" spans="1:10" x14ac:dyDescent="0.3">
      <c r="A222" s="15" t="s">
        <v>460</v>
      </c>
      <c r="B222" s="15" t="s">
        <v>51</v>
      </c>
      <c r="C222" s="15" t="s">
        <v>96</v>
      </c>
      <c r="D222" s="15" t="s">
        <v>31</v>
      </c>
      <c r="E222" s="15">
        <v>16</v>
      </c>
      <c r="F222" s="15">
        <v>12</v>
      </c>
      <c r="G222" s="15" t="s">
        <v>43</v>
      </c>
      <c r="H222" s="15" t="s">
        <v>15</v>
      </c>
      <c r="I222" s="15" t="s">
        <v>461</v>
      </c>
      <c r="J222" s="15">
        <v>65</v>
      </c>
    </row>
    <row r="223" spans="1:10" x14ac:dyDescent="0.3">
      <c r="A223" s="15" t="s">
        <v>462</v>
      </c>
      <c r="B223" s="15" t="s">
        <v>11</v>
      </c>
      <c r="C223" s="15" t="s">
        <v>24</v>
      </c>
      <c r="D223" s="15" t="s">
        <v>31</v>
      </c>
      <c r="E223" s="15">
        <v>19</v>
      </c>
      <c r="F223" s="15">
        <v>12</v>
      </c>
      <c r="G223" s="15" t="s">
        <v>43</v>
      </c>
      <c r="H223" s="15" t="s">
        <v>37</v>
      </c>
      <c r="I223" s="15" t="s">
        <v>463</v>
      </c>
      <c r="J223" s="15">
        <v>45</v>
      </c>
    </row>
    <row r="224" spans="1:10" x14ac:dyDescent="0.3">
      <c r="A224" s="15" t="s">
        <v>464</v>
      </c>
      <c r="B224" s="15" t="s">
        <v>11</v>
      </c>
      <c r="C224" s="15" t="s">
        <v>36</v>
      </c>
      <c r="D224" s="15" t="s">
        <v>13</v>
      </c>
      <c r="E224" s="15">
        <v>16</v>
      </c>
      <c r="F224" s="15">
        <v>11</v>
      </c>
      <c r="G224" s="15" t="s">
        <v>25</v>
      </c>
      <c r="H224" s="15" t="s">
        <v>40</v>
      </c>
      <c r="I224" s="15" t="s">
        <v>465</v>
      </c>
      <c r="J224" s="15">
        <v>79</v>
      </c>
    </row>
    <row r="225" spans="1:10" x14ac:dyDescent="0.3">
      <c r="A225" s="15" t="s">
        <v>466</v>
      </c>
      <c r="B225" s="15" t="s">
        <v>11</v>
      </c>
      <c r="C225" s="15" t="s">
        <v>55</v>
      </c>
      <c r="D225" s="15" t="s">
        <v>31</v>
      </c>
      <c r="E225" s="15">
        <v>20</v>
      </c>
      <c r="F225" s="15">
        <v>11</v>
      </c>
      <c r="G225" s="15" t="s">
        <v>32</v>
      </c>
      <c r="H225" s="15" t="s">
        <v>40</v>
      </c>
      <c r="I225" s="15" t="s">
        <v>467</v>
      </c>
      <c r="J225" s="15">
        <v>46</v>
      </c>
    </row>
    <row r="226" spans="1:10" x14ac:dyDescent="0.3">
      <c r="A226" s="15" t="s">
        <v>468</v>
      </c>
      <c r="B226" s="15" t="s">
        <v>73</v>
      </c>
      <c r="C226" s="15" t="s">
        <v>12</v>
      </c>
      <c r="D226" s="15" t="s">
        <v>13</v>
      </c>
      <c r="E226" s="15">
        <v>17</v>
      </c>
      <c r="F226" s="15">
        <v>10</v>
      </c>
      <c r="G226" s="15" t="s">
        <v>43</v>
      </c>
      <c r="H226" s="15" t="s">
        <v>15</v>
      </c>
      <c r="I226" s="15" t="s">
        <v>469</v>
      </c>
      <c r="J226" s="15">
        <v>75</v>
      </c>
    </row>
    <row r="227" spans="1:10" x14ac:dyDescent="0.3">
      <c r="A227" s="15" t="s">
        <v>470</v>
      </c>
      <c r="B227" s="15" t="s">
        <v>35</v>
      </c>
      <c r="C227" s="15" t="s">
        <v>96</v>
      </c>
      <c r="D227" s="15" t="s">
        <v>31</v>
      </c>
      <c r="E227" s="15">
        <v>16</v>
      </c>
      <c r="F227" s="15">
        <v>11</v>
      </c>
      <c r="G227" s="15" t="s">
        <v>32</v>
      </c>
      <c r="H227" s="15" t="s">
        <v>61</v>
      </c>
      <c r="I227" s="15" t="s">
        <v>471</v>
      </c>
      <c r="J227" s="15">
        <v>65</v>
      </c>
    </row>
    <row r="228" spans="1:10" x14ac:dyDescent="0.3">
      <c r="A228" s="15" t="s">
        <v>472</v>
      </c>
      <c r="B228" s="15" t="s">
        <v>84</v>
      </c>
      <c r="C228" s="15" t="s">
        <v>79</v>
      </c>
      <c r="D228" s="15" t="s">
        <v>31</v>
      </c>
      <c r="E228" s="15">
        <v>15</v>
      </c>
      <c r="F228" s="15">
        <v>11</v>
      </c>
      <c r="G228" s="15" t="s">
        <v>14</v>
      </c>
      <c r="H228" s="15" t="s">
        <v>40</v>
      </c>
      <c r="I228" s="15" t="s">
        <v>317</v>
      </c>
      <c r="J228" s="15">
        <v>72</v>
      </c>
    </row>
    <row r="229" spans="1:10" x14ac:dyDescent="0.3">
      <c r="A229" s="15" t="s">
        <v>473</v>
      </c>
      <c r="B229" s="15" t="s">
        <v>18</v>
      </c>
      <c r="C229" s="15" t="s">
        <v>19</v>
      </c>
      <c r="D229" s="15" t="s">
        <v>31</v>
      </c>
      <c r="E229" s="15">
        <v>16</v>
      </c>
      <c r="F229" s="15">
        <v>11</v>
      </c>
      <c r="G229" s="15" t="s">
        <v>14</v>
      </c>
      <c r="H229" s="15" t="s">
        <v>61</v>
      </c>
      <c r="I229" s="15" t="s">
        <v>474</v>
      </c>
      <c r="J229" s="15">
        <v>75</v>
      </c>
    </row>
    <row r="230" spans="1:10" x14ac:dyDescent="0.3">
      <c r="A230" s="15" t="s">
        <v>475</v>
      </c>
      <c r="B230" s="15" t="s">
        <v>35</v>
      </c>
      <c r="C230" s="15" t="s">
        <v>79</v>
      </c>
      <c r="D230" s="15" t="s">
        <v>13</v>
      </c>
      <c r="E230" s="15">
        <v>17</v>
      </c>
      <c r="F230" s="15">
        <v>9</v>
      </c>
      <c r="G230" s="15" t="s">
        <v>32</v>
      </c>
      <c r="H230" s="15" t="s">
        <v>15</v>
      </c>
      <c r="I230" s="15" t="s">
        <v>248</v>
      </c>
      <c r="J230" s="15">
        <v>50</v>
      </c>
    </row>
    <row r="231" spans="1:10" x14ac:dyDescent="0.3">
      <c r="A231" s="15" t="s">
        <v>476</v>
      </c>
      <c r="B231" s="15" t="s">
        <v>29</v>
      </c>
      <c r="C231" s="15" t="s">
        <v>55</v>
      </c>
      <c r="D231" s="15" t="s">
        <v>13</v>
      </c>
      <c r="E231" s="15">
        <v>19</v>
      </c>
      <c r="F231" s="15">
        <v>10</v>
      </c>
      <c r="G231" s="15" t="s">
        <v>43</v>
      </c>
      <c r="H231" s="15" t="s">
        <v>26</v>
      </c>
      <c r="I231" s="15" t="s">
        <v>477</v>
      </c>
      <c r="J231" s="15">
        <v>88</v>
      </c>
    </row>
    <row r="232" spans="1:10" x14ac:dyDescent="0.3">
      <c r="A232" s="15" t="s">
        <v>478</v>
      </c>
      <c r="B232" s="15" t="s">
        <v>11</v>
      </c>
      <c r="C232" s="15" t="s">
        <v>36</v>
      </c>
      <c r="D232" s="15" t="s">
        <v>13</v>
      </c>
      <c r="E232" s="15">
        <v>17</v>
      </c>
      <c r="F232" s="15">
        <v>12</v>
      </c>
      <c r="G232" s="15" t="s">
        <v>14</v>
      </c>
      <c r="H232" s="15" t="s">
        <v>37</v>
      </c>
      <c r="I232" s="15" t="s">
        <v>479</v>
      </c>
      <c r="J232" s="15">
        <v>63</v>
      </c>
    </row>
    <row r="233" spans="1:10" x14ac:dyDescent="0.3">
      <c r="A233" s="15" t="s">
        <v>480</v>
      </c>
      <c r="B233" s="15" t="s">
        <v>35</v>
      </c>
      <c r="C233" s="15" t="s">
        <v>12</v>
      </c>
      <c r="D233" s="15" t="s">
        <v>31</v>
      </c>
      <c r="E233" s="15">
        <v>18</v>
      </c>
      <c r="F233" s="15">
        <v>10</v>
      </c>
      <c r="G233" s="15" t="s">
        <v>14</v>
      </c>
      <c r="H233" s="15" t="s">
        <v>37</v>
      </c>
      <c r="I233" s="15" t="s">
        <v>481</v>
      </c>
      <c r="J233" s="15">
        <v>36</v>
      </c>
    </row>
    <row r="234" spans="1:10" x14ac:dyDescent="0.3">
      <c r="A234" s="15" t="s">
        <v>482</v>
      </c>
      <c r="B234" s="15" t="s">
        <v>35</v>
      </c>
      <c r="C234" s="15" t="s">
        <v>24</v>
      </c>
      <c r="D234" s="15" t="s">
        <v>13</v>
      </c>
      <c r="E234" s="15">
        <v>18</v>
      </c>
      <c r="F234" s="15">
        <v>11</v>
      </c>
      <c r="G234" s="15" t="s">
        <v>14</v>
      </c>
      <c r="H234" s="15" t="s">
        <v>61</v>
      </c>
      <c r="I234" s="15" t="s">
        <v>483</v>
      </c>
      <c r="J234" s="15">
        <v>86</v>
      </c>
    </row>
    <row r="235" spans="1:10" x14ac:dyDescent="0.3">
      <c r="A235" s="15" t="s">
        <v>484</v>
      </c>
      <c r="B235" s="15" t="s">
        <v>29</v>
      </c>
      <c r="C235" s="15" t="s">
        <v>79</v>
      </c>
      <c r="D235" s="15" t="s">
        <v>31</v>
      </c>
      <c r="E235" s="15">
        <v>14</v>
      </c>
      <c r="F235" s="15">
        <v>11</v>
      </c>
      <c r="G235" s="15" t="s">
        <v>32</v>
      </c>
      <c r="H235" s="15" t="s">
        <v>40</v>
      </c>
      <c r="I235" s="15" t="s">
        <v>184</v>
      </c>
      <c r="J235" s="15">
        <v>42</v>
      </c>
    </row>
    <row r="236" spans="1:10" x14ac:dyDescent="0.3">
      <c r="A236" s="15" t="s">
        <v>485</v>
      </c>
      <c r="B236" s="15" t="s">
        <v>18</v>
      </c>
      <c r="C236" s="15" t="s">
        <v>12</v>
      </c>
      <c r="D236" s="15" t="s">
        <v>31</v>
      </c>
      <c r="E236" s="15">
        <v>16</v>
      </c>
      <c r="F236" s="15">
        <v>12</v>
      </c>
      <c r="G236" s="15" t="s">
        <v>14</v>
      </c>
      <c r="H236" s="15" t="s">
        <v>76</v>
      </c>
      <c r="I236" s="15" t="s">
        <v>486</v>
      </c>
      <c r="J236" s="15">
        <v>70</v>
      </c>
    </row>
    <row r="237" spans="1:10" x14ac:dyDescent="0.3">
      <c r="A237" s="15" t="s">
        <v>487</v>
      </c>
      <c r="B237" s="15" t="s">
        <v>18</v>
      </c>
      <c r="C237" s="15" t="s">
        <v>79</v>
      </c>
      <c r="D237" s="15" t="s">
        <v>13</v>
      </c>
      <c r="E237" s="15">
        <v>16</v>
      </c>
      <c r="F237" s="15">
        <v>11</v>
      </c>
      <c r="G237" s="15" t="s">
        <v>43</v>
      </c>
      <c r="H237" s="15" t="s">
        <v>61</v>
      </c>
      <c r="I237" s="15" t="s">
        <v>488</v>
      </c>
      <c r="J237" s="15">
        <v>86</v>
      </c>
    </row>
    <row r="238" spans="1:10" x14ac:dyDescent="0.3">
      <c r="A238" s="15" t="s">
        <v>489</v>
      </c>
      <c r="B238" s="15" t="s">
        <v>68</v>
      </c>
      <c r="C238" s="15" t="s">
        <v>58</v>
      </c>
      <c r="D238" s="15" t="s">
        <v>31</v>
      </c>
      <c r="E238" s="15">
        <v>20</v>
      </c>
      <c r="F238" s="15">
        <v>10</v>
      </c>
      <c r="G238" s="15" t="s">
        <v>32</v>
      </c>
      <c r="H238" s="15" t="s">
        <v>20</v>
      </c>
      <c r="I238" s="15" t="s">
        <v>370</v>
      </c>
      <c r="J238" s="15">
        <v>93</v>
      </c>
    </row>
    <row r="239" spans="1:10" x14ac:dyDescent="0.3">
      <c r="A239" s="15" t="s">
        <v>490</v>
      </c>
      <c r="B239" s="15" t="s">
        <v>73</v>
      </c>
      <c r="C239" s="15" t="s">
        <v>96</v>
      </c>
      <c r="D239" s="15" t="s">
        <v>13</v>
      </c>
      <c r="E239" s="15">
        <v>17</v>
      </c>
      <c r="F239" s="15">
        <v>10</v>
      </c>
      <c r="G239" s="15" t="s">
        <v>32</v>
      </c>
      <c r="H239" s="15" t="s">
        <v>61</v>
      </c>
      <c r="I239" s="15" t="s">
        <v>491</v>
      </c>
      <c r="J239" s="15">
        <v>60</v>
      </c>
    </row>
    <row r="240" spans="1:10" x14ac:dyDescent="0.3">
      <c r="A240" s="15" t="s">
        <v>492</v>
      </c>
      <c r="B240" s="15" t="s">
        <v>18</v>
      </c>
      <c r="C240" s="15" t="s">
        <v>85</v>
      </c>
      <c r="D240" s="15" t="s">
        <v>31</v>
      </c>
      <c r="E240" s="15">
        <v>19</v>
      </c>
      <c r="F240" s="15">
        <v>11</v>
      </c>
      <c r="G240" s="15" t="s">
        <v>43</v>
      </c>
      <c r="H240" s="15" t="s">
        <v>15</v>
      </c>
      <c r="I240" s="15" t="s">
        <v>394</v>
      </c>
      <c r="J240" s="15">
        <v>50</v>
      </c>
    </row>
    <row r="241" spans="1:10" x14ac:dyDescent="0.3">
      <c r="A241" s="15" t="s">
        <v>493</v>
      </c>
      <c r="B241" s="15" t="s">
        <v>51</v>
      </c>
      <c r="C241" s="15" t="s">
        <v>96</v>
      </c>
      <c r="D241" s="15" t="s">
        <v>31</v>
      </c>
      <c r="E241" s="15">
        <v>14</v>
      </c>
      <c r="F241" s="15">
        <v>12</v>
      </c>
      <c r="G241" s="15" t="s">
        <v>14</v>
      </c>
      <c r="H241" s="15" t="s">
        <v>26</v>
      </c>
      <c r="I241" s="15" t="s">
        <v>494</v>
      </c>
      <c r="J241" s="15">
        <v>47</v>
      </c>
    </row>
    <row r="242" spans="1:10" x14ac:dyDescent="0.3">
      <c r="A242" s="15" t="s">
        <v>495</v>
      </c>
      <c r="B242" s="15" t="s">
        <v>35</v>
      </c>
      <c r="C242" s="15" t="s">
        <v>12</v>
      </c>
      <c r="D242" s="15" t="s">
        <v>13</v>
      </c>
      <c r="E242" s="15">
        <v>15</v>
      </c>
      <c r="F242" s="15">
        <v>12</v>
      </c>
      <c r="G242" s="15" t="s">
        <v>43</v>
      </c>
      <c r="H242" s="15" t="s">
        <v>20</v>
      </c>
      <c r="I242" s="15" t="s">
        <v>496</v>
      </c>
      <c r="J242" s="15">
        <v>49</v>
      </c>
    </row>
    <row r="243" spans="1:10" x14ac:dyDescent="0.3">
      <c r="A243" s="15" t="s">
        <v>497</v>
      </c>
      <c r="B243" s="15" t="s">
        <v>51</v>
      </c>
      <c r="C243" s="15" t="s">
        <v>96</v>
      </c>
      <c r="D243" s="15" t="s">
        <v>13</v>
      </c>
      <c r="E243" s="15">
        <v>16</v>
      </c>
      <c r="F243" s="15">
        <v>9</v>
      </c>
      <c r="G243" s="15" t="s">
        <v>25</v>
      </c>
      <c r="H243" s="15" t="s">
        <v>26</v>
      </c>
      <c r="I243" s="15" t="s">
        <v>498</v>
      </c>
      <c r="J243" s="15">
        <v>42</v>
      </c>
    </row>
    <row r="244" spans="1:10" x14ac:dyDescent="0.3">
      <c r="A244" s="15" t="s">
        <v>499</v>
      </c>
      <c r="B244" s="15" t="s">
        <v>54</v>
      </c>
      <c r="C244" s="15" t="s">
        <v>19</v>
      </c>
      <c r="D244" s="15" t="s">
        <v>31</v>
      </c>
      <c r="E244" s="15">
        <v>20</v>
      </c>
      <c r="F244" s="15">
        <v>9</v>
      </c>
      <c r="G244" s="15" t="s">
        <v>32</v>
      </c>
      <c r="H244" s="15" t="s">
        <v>46</v>
      </c>
      <c r="I244" s="15" t="s">
        <v>500</v>
      </c>
      <c r="J244" s="15">
        <v>42</v>
      </c>
    </row>
    <row r="245" spans="1:10" x14ac:dyDescent="0.3">
      <c r="A245" s="15" t="s">
        <v>501</v>
      </c>
      <c r="B245" s="15" t="s">
        <v>84</v>
      </c>
      <c r="C245" s="15" t="s">
        <v>19</v>
      </c>
      <c r="D245" s="15" t="s">
        <v>13</v>
      </c>
      <c r="E245" s="15">
        <v>18</v>
      </c>
      <c r="F245" s="15">
        <v>10</v>
      </c>
      <c r="G245" s="15" t="s">
        <v>14</v>
      </c>
      <c r="H245" s="15" t="s">
        <v>61</v>
      </c>
      <c r="I245" s="15" t="s">
        <v>502</v>
      </c>
      <c r="J245" s="15">
        <v>76</v>
      </c>
    </row>
    <row r="246" spans="1:10" x14ac:dyDescent="0.3">
      <c r="A246" s="15" t="s">
        <v>503</v>
      </c>
      <c r="B246" s="15" t="s">
        <v>84</v>
      </c>
      <c r="C246" s="15" t="s">
        <v>19</v>
      </c>
      <c r="D246" s="15" t="s">
        <v>31</v>
      </c>
      <c r="E246" s="15">
        <v>15</v>
      </c>
      <c r="F246" s="15">
        <v>10</v>
      </c>
      <c r="G246" s="15" t="s">
        <v>43</v>
      </c>
      <c r="H246" s="15" t="s">
        <v>61</v>
      </c>
      <c r="I246" s="15" t="s">
        <v>504</v>
      </c>
      <c r="J246" s="15">
        <v>44</v>
      </c>
    </row>
    <row r="247" spans="1:10" x14ac:dyDescent="0.3">
      <c r="A247" s="15" t="s">
        <v>505</v>
      </c>
      <c r="B247" s="15" t="s">
        <v>11</v>
      </c>
      <c r="C247" s="15" t="s">
        <v>12</v>
      </c>
      <c r="D247" s="15" t="s">
        <v>31</v>
      </c>
      <c r="E247" s="15">
        <v>19</v>
      </c>
      <c r="F247" s="15">
        <v>10</v>
      </c>
      <c r="G247" s="15" t="s">
        <v>14</v>
      </c>
      <c r="H247" s="15" t="s">
        <v>40</v>
      </c>
      <c r="I247" s="15" t="s">
        <v>506</v>
      </c>
      <c r="J247" s="15">
        <v>77</v>
      </c>
    </row>
    <row r="248" spans="1:10" x14ac:dyDescent="0.3">
      <c r="A248" s="15" t="s">
        <v>507</v>
      </c>
      <c r="B248" s="15" t="s">
        <v>54</v>
      </c>
      <c r="C248" s="15" t="s">
        <v>12</v>
      </c>
      <c r="D248" s="15" t="s">
        <v>31</v>
      </c>
      <c r="E248" s="15">
        <v>16</v>
      </c>
      <c r="F248" s="15">
        <v>12</v>
      </c>
      <c r="G248" s="15" t="s">
        <v>43</v>
      </c>
      <c r="H248" s="15" t="s">
        <v>61</v>
      </c>
      <c r="I248" s="15" t="s">
        <v>483</v>
      </c>
      <c r="J248" s="15">
        <v>45</v>
      </c>
    </row>
    <row r="249" spans="1:10" x14ac:dyDescent="0.3">
      <c r="A249" s="15" t="s">
        <v>508</v>
      </c>
      <c r="B249" s="15" t="s">
        <v>73</v>
      </c>
      <c r="C249" s="15" t="s">
        <v>55</v>
      </c>
      <c r="D249" s="15" t="s">
        <v>13</v>
      </c>
      <c r="E249" s="15">
        <v>15</v>
      </c>
      <c r="F249" s="15">
        <v>11</v>
      </c>
      <c r="G249" s="15" t="s">
        <v>43</v>
      </c>
      <c r="H249" s="15" t="s">
        <v>46</v>
      </c>
      <c r="I249" s="15" t="s">
        <v>509</v>
      </c>
      <c r="J249" s="15">
        <v>54</v>
      </c>
    </row>
    <row r="250" spans="1:10" x14ac:dyDescent="0.3">
      <c r="A250" s="15" t="s">
        <v>510</v>
      </c>
      <c r="B250" s="15" t="s">
        <v>54</v>
      </c>
      <c r="C250" s="15" t="s">
        <v>79</v>
      </c>
      <c r="D250" s="15" t="s">
        <v>31</v>
      </c>
      <c r="E250" s="15">
        <v>15</v>
      </c>
      <c r="F250" s="15">
        <v>9</v>
      </c>
      <c r="G250" s="15" t="s">
        <v>14</v>
      </c>
      <c r="H250" s="15" t="s">
        <v>40</v>
      </c>
      <c r="I250" s="15" t="s">
        <v>479</v>
      </c>
      <c r="J250" s="15">
        <v>66</v>
      </c>
    </row>
    <row r="251" spans="1:10" x14ac:dyDescent="0.3">
      <c r="A251" s="15" t="s">
        <v>511</v>
      </c>
      <c r="B251" s="15" t="s">
        <v>35</v>
      </c>
      <c r="C251" s="15" t="s">
        <v>19</v>
      </c>
      <c r="D251" s="15" t="s">
        <v>31</v>
      </c>
      <c r="E251" s="15">
        <v>15</v>
      </c>
      <c r="F251" s="15">
        <v>9</v>
      </c>
      <c r="G251" s="15" t="s">
        <v>25</v>
      </c>
      <c r="H251" s="15" t="s">
        <v>15</v>
      </c>
      <c r="I251" s="15" t="s">
        <v>512</v>
      </c>
      <c r="J251" s="15">
        <v>95</v>
      </c>
    </row>
    <row r="252" spans="1:10" x14ac:dyDescent="0.3">
      <c r="A252" s="15" t="s">
        <v>513</v>
      </c>
      <c r="B252" s="15" t="s">
        <v>11</v>
      </c>
      <c r="C252" s="15" t="s">
        <v>19</v>
      </c>
      <c r="D252" s="15" t="s">
        <v>31</v>
      </c>
      <c r="E252" s="15">
        <v>14</v>
      </c>
      <c r="F252" s="15">
        <v>12</v>
      </c>
      <c r="G252" s="15" t="s">
        <v>32</v>
      </c>
      <c r="H252" s="15" t="s">
        <v>15</v>
      </c>
      <c r="I252" s="15" t="s">
        <v>381</v>
      </c>
      <c r="J252" s="15">
        <v>65</v>
      </c>
    </row>
    <row r="253" spans="1:10" x14ac:dyDescent="0.3">
      <c r="A253" s="15" t="s">
        <v>514</v>
      </c>
      <c r="B253" s="15" t="s">
        <v>11</v>
      </c>
      <c r="C253" s="15" t="s">
        <v>12</v>
      </c>
      <c r="D253" s="15" t="s">
        <v>31</v>
      </c>
      <c r="E253" s="15">
        <v>15</v>
      </c>
      <c r="F253" s="15">
        <v>11</v>
      </c>
      <c r="G253" s="15" t="s">
        <v>25</v>
      </c>
      <c r="H253" s="15" t="s">
        <v>20</v>
      </c>
      <c r="I253" s="15" t="s">
        <v>515</v>
      </c>
      <c r="J253" s="15">
        <v>61</v>
      </c>
    </row>
    <row r="254" spans="1:10" x14ac:dyDescent="0.3">
      <c r="A254" s="15" t="s">
        <v>516</v>
      </c>
      <c r="B254" s="15" t="s">
        <v>18</v>
      </c>
      <c r="C254" s="15" t="s">
        <v>96</v>
      </c>
      <c r="D254" s="15" t="s">
        <v>31</v>
      </c>
      <c r="E254" s="15">
        <v>14</v>
      </c>
      <c r="F254" s="15">
        <v>11</v>
      </c>
      <c r="G254" s="15" t="s">
        <v>32</v>
      </c>
      <c r="H254" s="15" t="s">
        <v>46</v>
      </c>
      <c r="I254" s="15" t="s">
        <v>517</v>
      </c>
      <c r="J254" s="15">
        <v>86</v>
      </c>
    </row>
    <row r="255" spans="1:10" x14ac:dyDescent="0.3">
      <c r="A255" s="15" t="s">
        <v>518</v>
      </c>
      <c r="B255" s="15" t="s">
        <v>51</v>
      </c>
      <c r="C255" s="15" t="s">
        <v>96</v>
      </c>
      <c r="D255" s="15" t="s">
        <v>31</v>
      </c>
      <c r="E255" s="15">
        <v>17</v>
      </c>
      <c r="F255" s="15">
        <v>11</v>
      </c>
      <c r="G255" s="15" t="s">
        <v>25</v>
      </c>
      <c r="H255" s="15" t="s">
        <v>61</v>
      </c>
      <c r="I255" s="15" t="s">
        <v>519</v>
      </c>
      <c r="J255" s="15">
        <v>52</v>
      </c>
    </row>
    <row r="256" spans="1:10" x14ac:dyDescent="0.3">
      <c r="A256" s="15" t="s">
        <v>520</v>
      </c>
      <c r="B256" s="15" t="s">
        <v>68</v>
      </c>
      <c r="C256" s="15" t="s">
        <v>12</v>
      </c>
      <c r="D256" s="15" t="s">
        <v>31</v>
      </c>
      <c r="E256" s="15">
        <v>20</v>
      </c>
      <c r="F256" s="15">
        <v>10</v>
      </c>
      <c r="G256" s="15" t="s">
        <v>32</v>
      </c>
      <c r="H256" s="15" t="s">
        <v>26</v>
      </c>
      <c r="I256" s="15" t="s">
        <v>521</v>
      </c>
      <c r="J256" s="15">
        <v>42</v>
      </c>
    </row>
    <row r="257" spans="1:10" x14ac:dyDescent="0.3">
      <c r="A257" s="15" t="s">
        <v>522</v>
      </c>
      <c r="B257" s="15" t="s">
        <v>54</v>
      </c>
      <c r="C257" s="15" t="s">
        <v>79</v>
      </c>
      <c r="D257" s="15" t="s">
        <v>31</v>
      </c>
      <c r="E257" s="15">
        <v>18</v>
      </c>
      <c r="F257" s="15">
        <v>10</v>
      </c>
      <c r="G257" s="15" t="s">
        <v>14</v>
      </c>
      <c r="H257" s="15" t="s">
        <v>61</v>
      </c>
      <c r="I257" s="15" t="s">
        <v>523</v>
      </c>
      <c r="J257" s="15">
        <v>82</v>
      </c>
    </row>
    <row r="258" spans="1:10" x14ac:dyDescent="0.3">
      <c r="A258" s="15" t="s">
        <v>524</v>
      </c>
      <c r="B258" s="15" t="s">
        <v>35</v>
      </c>
      <c r="C258" s="15" t="s">
        <v>85</v>
      </c>
      <c r="D258" s="15" t="s">
        <v>13</v>
      </c>
      <c r="E258" s="15">
        <v>20</v>
      </c>
      <c r="F258" s="15">
        <v>10</v>
      </c>
      <c r="G258" s="15" t="s">
        <v>14</v>
      </c>
      <c r="H258" s="15" t="s">
        <v>40</v>
      </c>
      <c r="I258" s="15" t="s">
        <v>525</v>
      </c>
      <c r="J258" s="15">
        <v>92</v>
      </c>
    </row>
    <row r="259" spans="1:10" x14ac:dyDescent="0.3">
      <c r="A259" s="15" t="s">
        <v>526</v>
      </c>
      <c r="B259" s="15" t="s">
        <v>18</v>
      </c>
      <c r="C259" s="15" t="s">
        <v>12</v>
      </c>
      <c r="D259" s="15" t="s">
        <v>31</v>
      </c>
      <c r="E259" s="15">
        <v>18</v>
      </c>
      <c r="F259" s="15">
        <v>9</v>
      </c>
      <c r="G259" s="15" t="s">
        <v>14</v>
      </c>
      <c r="H259" s="15" t="s">
        <v>15</v>
      </c>
      <c r="I259" s="15" t="s">
        <v>346</v>
      </c>
      <c r="J259" s="15">
        <v>59</v>
      </c>
    </row>
    <row r="260" spans="1:10" x14ac:dyDescent="0.3">
      <c r="A260" s="15" t="s">
        <v>527</v>
      </c>
      <c r="B260" s="15" t="s">
        <v>11</v>
      </c>
      <c r="C260" s="15" t="s">
        <v>85</v>
      </c>
      <c r="D260" s="15" t="s">
        <v>13</v>
      </c>
      <c r="E260" s="15">
        <v>20</v>
      </c>
      <c r="F260" s="15">
        <v>12</v>
      </c>
      <c r="G260" s="15" t="s">
        <v>25</v>
      </c>
      <c r="H260" s="15" t="s">
        <v>46</v>
      </c>
      <c r="I260" s="15" t="s">
        <v>451</v>
      </c>
      <c r="J260" s="15">
        <v>86</v>
      </c>
    </row>
    <row r="261" spans="1:10" x14ac:dyDescent="0.3">
      <c r="A261" s="15" t="s">
        <v>528</v>
      </c>
      <c r="B261" s="15" t="s">
        <v>51</v>
      </c>
      <c r="C261" s="15" t="s">
        <v>19</v>
      </c>
      <c r="D261" s="15" t="s">
        <v>13</v>
      </c>
      <c r="E261" s="15">
        <v>19</v>
      </c>
      <c r="F261" s="15">
        <v>9</v>
      </c>
      <c r="G261" s="15" t="s">
        <v>43</v>
      </c>
      <c r="H261" s="15" t="s">
        <v>46</v>
      </c>
      <c r="I261" s="15" t="s">
        <v>222</v>
      </c>
      <c r="J261" s="15">
        <v>46</v>
      </c>
    </row>
    <row r="262" spans="1:10" x14ac:dyDescent="0.3">
      <c r="A262" s="15" t="s">
        <v>529</v>
      </c>
      <c r="B262" s="15" t="s">
        <v>84</v>
      </c>
      <c r="C262" s="15" t="s">
        <v>24</v>
      </c>
      <c r="D262" s="15" t="s">
        <v>31</v>
      </c>
      <c r="E262" s="15">
        <v>20</v>
      </c>
      <c r="F262" s="15">
        <v>12</v>
      </c>
      <c r="G262" s="15" t="s">
        <v>25</v>
      </c>
      <c r="H262" s="15" t="s">
        <v>76</v>
      </c>
      <c r="I262" s="15" t="s">
        <v>186</v>
      </c>
      <c r="J262" s="15">
        <v>51</v>
      </c>
    </row>
    <row r="263" spans="1:10" x14ac:dyDescent="0.3">
      <c r="A263" s="15" t="s">
        <v>530</v>
      </c>
      <c r="B263" s="15" t="s">
        <v>54</v>
      </c>
      <c r="C263" s="15" t="s">
        <v>58</v>
      </c>
      <c r="D263" s="15" t="s">
        <v>13</v>
      </c>
      <c r="E263" s="15">
        <v>17</v>
      </c>
      <c r="F263" s="15">
        <v>10</v>
      </c>
      <c r="G263" s="15" t="s">
        <v>32</v>
      </c>
      <c r="H263" s="15" t="s">
        <v>15</v>
      </c>
      <c r="I263" s="15" t="s">
        <v>64</v>
      </c>
      <c r="J263" s="15">
        <v>46</v>
      </c>
    </row>
    <row r="264" spans="1:10" x14ac:dyDescent="0.3">
      <c r="A264" s="15" t="s">
        <v>531</v>
      </c>
      <c r="B264" s="15" t="s">
        <v>23</v>
      </c>
      <c r="C264" s="15" t="s">
        <v>36</v>
      </c>
      <c r="D264" s="15" t="s">
        <v>13</v>
      </c>
      <c r="E264" s="15">
        <v>20</v>
      </c>
      <c r="F264" s="15">
        <v>11</v>
      </c>
      <c r="G264" s="15" t="s">
        <v>43</v>
      </c>
      <c r="H264" s="15" t="s">
        <v>20</v>
      </c>
      <c r="I264" s="15" t="s">
        <v>178</v>
      </c>
      <c r="J264" s="15">
        <v>44</v>
      </c>
    </row>
    <row r="265" spans="1:10" x14ac:dyDescent="0.3">
      <c r="A265" s="15" t="s">
        <v>532</v>
      </c>
      <c r="B265" s="15" t="s">
        <v>51</v>
      </c>
      <c r="C265" s="15" t="s">
        <v>19</v>
      </c>
      <c r="D265" s="15" t="s">
        <v>31</v>
      </c>
      <c r="E265" s="15">
        <v>14</v>
      </c>
      <c r="F265" s="15">
        <v>11</v>
      </c>
      <c r="G265" s="15" t="s">
        <v>43</v>
      </c>
      <c r="H265" s="15" t="s">
        <v>20</v>
      </c>
      <c r="I265" s="15" t="s">
        <v>533</v>
      </c>
      <c r="J265" s="15">
        <v>93</v>
      </c>
    </row>
    <row r="266" spans="1:10" x14ac:dyDescent="0.3">
      <c r="A266" s="15" t="s">
        <v>534</v>
      </c>
      <c r="B266" s="15" t="s">
        <v>23</v>
      </c>
      <c r="C266" s="15" t="s">
        <v>19</v>
      </c>
      <c r="D266" s="15" t="s">
        <v>13</v>
      </c>
      <c r="E266" s="15">
        <v>20</v>
      </c>
      <c r="F266" s="15">
        <v>11</v>
      </c>
      <c r="G266" s="15" t="s">
        <v>32</v>
      </c>
      <c r="H266" s="15" t="s">
        <v>76</v>
      </c>
      <c r="I266" s="15" t="s">
        <v>358</v>
      </c>
      <c r="J266" s="15">
        <v>41</v>
      </c>
    </row>
    <row r="267" spans="1:10" x14ac:dyDescent="0.3">
      <c r="A267" s="15" t="s">
        <v>535</v>
      </c>
      <c r="B267" s="15" t="s">
        <v>84</v>
      </c>
      <c r="C267" s="15" t="s">
        <v>58</v>
      </c>
      <c r="D267" s="15" t="s">
        <v>13</v>
      </c>
      <c r="E267" s="15">
        <v>20</v>
      </c>
      <c r="F267" s="15">
        <v>9</v>
      </c>
      <c r="G267" s="15" t="s">
        <v>25</v>
      </c>
      <c r="H267" s="15" t="s">
        <v>46</v>
      </c>
      <c r="I267" s="15" t="s">
        <v>536</v>
      </c>
      <c r="J267" s="15">
        <v>58</v>
      </c>
    </row>
    <row r="268" spans="1:10" x14ac:dyDescent="0.3">
      <c r="A268" s="15" t="s">
        <v>537</v>
      </c>
      <c r="B268" s="15" t="s">
        <v>68</v>
      </c>
      <c r="C268" s="15" t="s">
        <v>36</v>
      </c>
      <c r="D268" s="15" t="s">
        <v>31</v>
      </c>
      <c r="E268" s="15">
        <v>16</v>
      </c>
      <c r="F268" s="15">
        <v>12</v>
      </c>
      <c r="G268" s="15" t="s">
        <v>25</v>
      </c>
      <c r="H268" s="15" t="s">
        <v>26</v>
      </c>
      <c r="I268" s="15" t="s">
        <v>538</v>
      </c>
      <c r="J268" s="15">
        <v>42</v>
      </c>
    </row>
    <row r="269" spans="1:10" x14ac:dyDescent="0.3">
      <c r="A269" s="15" t="s">
        <v>539</v>
      </c>
      <c r="B269" s="15" t="s">
        <v>73</v>
      </c>
      <c r="C269" s="15" t="s">
        <v>36</v>
      </c>
      <c r="D269" s="15" t="s">
        <v>31</v>
      </c>
      <c r="E269" s="15">
        <v>14</v>
      </c>
      <c r="F269" s="15">
        <v>12</v>
      </c>
      <c r="G269" s="15" t="s">
        <v>43</v>
      </c>
      <c r="H269" s="15" t="s">
        <v>61</v>
      </c>
      <c r="I269" s="15" t="s">
        <v>387</v>
      </c>
      <c r="J269" s="15">
        <v>37</v>
      </c>
    </row>
    <row r="270" spans="1:10" x14ac:dyDescent="0.3">
      <c r="A270" s="15" t="s">
        <v>540</v>
      </c>
      <c r="B270" s="15" t="s">
        <v>51</v>
      </c>
      <c r="C270" s="15" t="s">
        <v>85</v>
      </c>
      <c r="D270" s="15" t="s">
        <v>13</v>
      </c>
      <c r="E270" s="15">
        <v>18</v>
      </c>
      <c r="F270" s="15">
        <v>10</v>
      </c>
      <c r="G270" s="15" t="s">
        <v>14</v>
      </c>
      <c r="H270" s="15" t="s">
        <v>46</v>
      </c>
      <c r="I270" s="15" t="s">
        <v>541</v>
      </c>
      <c r="J270" s="15">
        <v>63</v>
      </c>
    </row>
    <row r="271" spans="1:10" x14ac:dyDescent="0.3">
      <c r="A271" s="15" t="s">
        <v>542</v>
      </c>
      <c r="B271" s="15" t="s">
        <v>84</v>
      </c>
      <c r="C271" s="15" t="s">
        <v>55</v>
      </c>
      <c r="D271" s="15" t="s">
        <v>31</v>
      </c>
      <c r="E271" s="15">
        <v>18</v>
      </c>
      <c r="F271" s="15">
        <v>12</v>
      </c>
      <c r="G271" s="15" t="s">
        <v>32</v>
      </c>
      <c r="H271" s="15" t="s">
        <v>40</v>
      </c>
      <c r="I271" s="15" t="s">
        <v>543</v>
      </c>
      <c r="J271" s="15">
        <v>51</v>
      </c>
    </row>
    <row r="272" spans="1:10" x14ac:dyDescent="0.3">
      <c r="A272" s="15" t="s">
        <v>544</v>
      </c>
      <c r="B272" s="15" t="s">
        <v>68</v>
      </c>
      <c r="C272" s="15" t="s">
        <v>19</v>
      </c>
      <c r="D272" s="15" t="s">
        <v>31</v>
      </c>
      <c r="E272" s="15">
        <v>16</v>
      </c>
      <c r="F272" s="15">
        <v>9</v>
      </c>
      <c r="G272" s="15" t="s">
        <v>14</v>
      </c>
      <c r="H272" s="15" t="s">
        <v>40</v>
      </c>
      <c r="I272" s="15" t="s">
        <v>545</v>
      </c>
      <c r="J272" s="15">
        <v>37</v>
      </c>
    </row>
    <row r="273" spans="1:10" x14ac:dyDescent="0.3">
      <c r="A273" s="15" t="s">
        <v>546</v>
      </c>
      <c r="B273" s="15" t="s">
        <v>51</v>
      </c>
      <c r="C273" s="15" t="s">
        <v>36</v>
      </c>
      <c r="D273" s="15" t="s">
        <v>31</v>
      </c>
      <c r="E273" s="15">
        <v>14</v>
      </c>
      <c r="F273" s="15">
        <v>9</v>
      </c>
      <c r="G273" s="15" t="s">
        <v>14</v>
      </c>
      <c r="H273" s="15" t="s">
        <v>46</v>
      </c>
      <c r="I273" s="15" t="s">
        <v>547</v>
      </c>
      <c r="J273" s="15">
        <v>81</v>
      </c>
    </row>
    <row r="274" spans="1:10" x14ac:dyDescent="0.3">
      <c r="A274" s="15" t="s">
        <v>548</v>
      </c>
      <c r="B274" s="15" t="s">
        <v>51</v>
      </c>
      <c r="C274" s="15" t="s">
        <v>24</v>
      </c>
      <c r="D274" s="15" t="s">
        <v>31</v>
      </c>
      <c r="E274" s="15">
        <v>15</v>
      </c>
      <c r="F274" s="15">
        <v>11</v>
      </c>
      <c r="G274" s="15" t="s">
        <v>32</v>
      </c>
      <c r="H274" s="15" t="s">
        <v>40</v>
      </c>
      <c r="I274" s="15" t="s">
        <v>549</v>
      </c>
      <c r="J274" s="15">
        <v>90</v>
      </c>
    </row>
    <row r="275" spans="1:10" x14ac:dyDescent="0.3">
      <c r="A275" s="15" t="s">
        <v>550</v>
      </c>
      <c r="B275" s="15" t="s">
        <v>73</v>
      </c>
      <c r="C275" s="15" t="s">
        <v>19</v>
      </c>
      <c r="D275" s="15" t="s">
        <v>13</v>
      </c>
      <c r="E275" s="15">
        <v>14</v>
      </c>
      <c r="F275" s="15">
        <v>11</v>
      </c>
      <c r="G275" s="15" t="s">
        <v>32</v>
      </c>
      <c r="H275" s="15" t="s">
        <v>26</v>
      </c>
      <c r="I275" s="15" t="s">
        <v>551</v>
      </c>
      <c r="J275" s="15">
        <v>90</v>
      </c>
    </row>
    <row r="276" spans="1:10" x14ac:dyDescent="0.3">
      <c r="A276" s="15" t="s">
        <v>552</v>
      </c>
      <c r="B276" s="15" t="s">
        <v>35</v>
      </c>
      <c r="C276" s="15" t="s">
        <v>30</v>
      </c>
      <c r="D276" s="15" t="s">
        <v>13</v>
      </c>
      <c r="E276" s="15">
        <v>19</v>
      </c>
      <c r="F276" s="15">
        <v>11</v>
      </c>
      <c r="G276" s="15" t="s">
        <v>14</v>
      </c>
      <c r="H276" s="15" t="s">
        <v>76</v>
      </c>
      <c r="I276" s="15" t="s">
        <v>553</v>
      </c>
      <c r="J276" s="15">
        <v>81</v>
      </c>
    </row>
    <row r="277" spans="1:10" x14ac:dyDescent="0.3">
      <c r="A277" s="15" t="s">
        <v>554</v>
      </c>
      <c r="B277" s="15" t="s">
        <v>29</v>
      </c>
      <c r="C277" s="15" t="s">
        <v>79</v>
      </c>
      <c r="D277" s="15" t="s">
        <v>13</v>
      </c>
      <c r="E277" s="15">
        <v>15</v>
      </c>
      <c r="F277" s="15">
        <v>9</v>
      </c>
      <c r="G277" s="15" t="s">
        <v>32</v>
      </c>
      <c r="H277" s="15" t="s">
        <v>76</v>
      </c>
      <c r="I277" s="15" t="s">
        <v>184</v>
      </c>
      <c r="J277" s="15">
        <v>53</v>
      </c>
    </row>
    <row r="278" spans="1:10" x14ac:dyDescent="0.3">
      <c r="A278" s="15" t="s">
        <v>555</v>
      </c>
      <c r="B278" s="15" t="s">
        <v>73</v>
      </c>
      <c r="C278" s="15" t="s">
        <v>55</v>
      </c>
      <c r="D278" s="15" t="s">
        <v>31</v>
      </c>
      <c r="E278" s="15">
        <v>16</v>
      </c>
      <c r="F278" s="15">
        <v>9</v>
      </c>
      <c r="G278" s="15" t="s">
        <v>14</v>
      </c>
      <c r="H278" s="15" t="s">
        <v>76</v>
      </c>
      <c r="I278" s="15" t="s">
        <v>556</v>
      </c>
      <c r="J278" s="15">
        <v>93</v>
      </c>
    </row>
    <row r="279" spans="1:10" x14ac:dyDescent="0.3">
      <c r="A279" s="15" t="s">
        <v>557</v>
      </c>
      <c r="B279" s="15" t="s">
        <v>23</v>
      </c>
      <c r="C279" s="15" t="s">
        <v>96</v>
      </c>
      <c r="D279" s="15" t="s">
        <v>13</v>
      </c>
      <c r="E279" s="15">
        <v>18</v>
      </c>
      <c r="F279" s="15">
        <v>11</v>
      </c>
      <c r="G279" s="15" t="s">
        <v>25</v>
      </c>
      <c r="H279" s="15" t="s">
        <v>76</v>
      </c>
      <c r="I279" s="15" t="s">
        <v>182</v>
      </c>
      <c r="J279" s="15">
        <v>77</v>
      </c>
    </row>
    <row r="280" spans="1:10" x14ac:dyDescent="0.3">
      <c r="A280" s="15" t="s">
        <v>558</v>
      </c>
      <c r="B280" s="15" t="s">
        <v>54</v>
      </c>
      <c r="C280" s="15" t="s">
        <v>30</v>
      </c>
      <c r="D280" s="15" t="s">
        <v>31</v>
      </c>
      <c r="E280" s="15">
        <v>19</v>
      </c>
      <c r="F280" s="15">
        <v>10</v>
      </c>
      <c r="G280" s="15" t="s">
        <v>43</v>
      </c>
      <c r="H280" s="15" t="s">
        <v>76</v>
      </c>
      <c r="I280" s="15" t="s">
        <v>559</v>
      </c>
      <c r="J280" s="15">
        <v>40</v>
      </c>
    </row>
    <row r="281" spans="1:10" x14ac:dyDescent="0.3">
      <c r="A281" s="15" t="s">
        <v>560</v>
      </c>
      <c r="B281" s="15" t="s">
        <v>68</v>
      </c>
      <c r="C281" s="15" t="s">
        <v>85</v>
      </c>
      <c r="D281" s="15" t="s">
        <v>31</v>
      </c>
      <c r="E281" s="15">
        <v>15</v>
      </c>
      <c r="F281" s="15">
        <v>10</v>
      </c>
      <c r="G281" s="15" t="s">
        <v>43</v>
      </c>
      <c r="H281" s="15" t="s">
        <v>26</v>
      </c>
      <c r="I281" s="15" t="s">
        <v>561</v>
      </c>
      <c r="J281" s="15">
        <v>63</v>
      </c>
    </row>
    <row r="282" spans="1:10" x14ac:dyDescent="0.3">
      <c r="A282" s="15" t="s">
        <v>562</v>
      </c>
      <c r="B282" s="15" t="s">
        <v>29</v>
      </c>
      <c r="C282" s="15" t="s">
        <v>79</v>
      </c>
      <c r="D282" s="15" t="s">
        <v>31</v>
      </c>
      <c r="E282" s="15">
        <v>15</v>
      </c>
      <c r="F282" s="15">
        <v>12</v>
      </c>
      <c r="G282" s="15" t="s">
        <v>32</v>
      </c>
      <c r="H282" s="15" t="s">
        <v>46</v>
      </c>
      <c r="I282" s="15" t="s">
        <v>121</v>
      </c>
      <c r="J282" s="15">
        <v>53</v>
      </c>
    </row>
    <row r="283" spans="1:10" x14ac:dyDescent="0.3">
      <c r="A283" s="15" t="s">
        <v>563</v>
      </c>
      <c r="B283" s="15" t="s">
        <v>35</v>
      </c>
      <c r="C283" s="15" t="s">
        <v>55</v>
      </c>
      <c r="D283" s="15" t="s">
        <v>31</v>
      </c>
      <c r="E283" s="15">
        <v>19</v>
      </c>
      <c r="F283" s="15">
        <v>10</v>
      </c>
      <c r="G283" s="15" t="s">
        <v>43</v>
      </c>
      <c r="H283" s="15" t="s">
        <v>46</v>
      </c>
      <c r="I283" s="15" t="s">
        <v>564</v>
      </c>
      <c r="J283" s="15">
        <v>72</v>
      </c>
    </row>
    <row r="284" spans="1:10" x14ac:dyDescent="0.3">
      <c r="A284" s="15" t="s">
        <v>565</v>
      </c>
      <c r="B284" s="15" t="s">
        <v>54</v>
      </c>
      <c r="C284" s="15" t="s">
        <v>79</v>
      </c>
      <c r="D284" s="15" t="s">
        <v>31</v>
      </c>
      <c r="E284" s="15">
        <v>20</v>
      </c>
      <c r="F284" s="15">
        <v>9</v>
      </c>
      <c r="G284" s="15" t="s">
        <v>43</v>
      </c>
      <c r="H284" s="15" t="s">
        <v>20</v>
      </c>
      <c r="I284" s="15" t="s">
        <v>566</v>
      </c>
      <c r="J284" s="15">
        <v>67</v>
      </c>
    </row>
    <row r="285" spans="1:10" x14ac:dyDescent="0.3">
      <c r="A285" s="15" t="s">
        <v>567</v>
      </c>
      <c r="B285" s="15" t="s">
        <v>54</v>
      </c>
      <c r="C285" s="15" t="s">
        <v>12</v>
      </c>
      <c r="D285" s="15" t="s">
        <v>31</v>
      </c>
      <c r="E285" s="15">
        <v>18</v>
      </c>
      <c r="F285" s="15">
        <v>12</v>
      </c>
      <c r="G285" s="15" t="s">
        <v>25</v>
      </c>
      <c r="H285" s="15" t="s">
        <v>26</v>
      </c>
      <c r="I285" s="15" t="s">
        <v>568</v>
      </c>
      <c r="J285" s="15">
        <v>96</v>
      </c>
    </row>
    <row r="286" spans="1:10" x14ac:dyDescent="0.3">
      <c r="A286" s="15" t="s">
        <v>569</v>
      </c>
      <c r="B286" s="15" t="s">
        <v>54</v>
      </c>
      <c r="C286" s="15" t="s">
        <v>12</v>
      </c>
      <c r="D286" s="15" t="s">
        <v>31</v>
      </c>
      <c r="E286" s="15">
        <v>17</v>
      </c>
      <c r="F286" s="15">
        <v>9</v>
      </c>
      <c r="G286" s="15" t="s">
        <v>25</v>
      </c>
      <c r="H286" s="15" t="s">
        <v>37</v>
      </c>
      <c r="I286" s="15" t="s">
        <v>570</v>
      </c>
      <c r="J286" s="15">
        <v>100</v>
      </c>
    </row>
    <row r="287" spans="1:10" x14ac:dyDescent="0.3">
      <c r="A287" s="15" t="s">
        <v>571</v>
      </c>
      <c r="B287" s="15" t="s">
        <v>68</v>
      </c>
      <c r="C287" s="15" t="s">
        <v>12</v>
      </c>
      <c r="D287" s="15" t="s">
        <v>13</v>
      </c>
      <c r="E287" s="15">
        <v>16</v>
      </c>
      <c r="F287" s="15">
        <v>10</v>
      </c>
      <c r="G287" s="15" t="s">
        <v>25</v>
      </c>
      <c r="H287" s="15" t="s">
        <v>26</v>
      </c>
      <c r="I287" s="15" t="s">
        <v>434</v>
      </c>
      <c r="J287" s="15">
        <v>63</v>
      </c>
    </row>
    <row r="288" spans="1:10" x14ac:dyDescent="0.3">
      <c r="A288" s="15" t="s">
        <v>572</v>
      </c>
      <c r="B288" s="15" t="s">
        <v>23</v>
      </c>
      <c r="C288" s="15" t="s">
        <v>19</v>
      </c>
      <c r="D288" s="15" t="s">
        <v>31</v>
      </c>
      <c r="E288" s="15">
        <v>19</v>
      </c>
      <c r="F288" s="15">
        <v>10</v>
      </c>
      <c r="G288" s="15" t="s">
        <v>32</v>
      </c>
      <c r="H288" s="15" t="s">
        <v>20</v>
      </c>
      <c r="I288" s="15" t="s">
        <v>400</v>
      </c>
      <c r="J288" s="15">
        <v>53</v>
      </c>
    </row>
    <row r="289" spans="1:10" x14ac:dyDescent="0.3">
      <c r="A289" s="15" t="s">
        <v>573</v>
      </c>
      <c r="B289" s="15" t="s">
        <v>54</v>
      </c>
      <c r="C289" s="15" t="s">
        <v>24</v>
      </c>
      <c r="D289" s="15" t="s">
        <v>13</v>
      </c>
      <c r="E289" s="15">
        <v>19</v>
      </c>
      <c r="F289" s="15">
        <v>9</v>
      </c>
      <c r="G289" s="15" t="s">
        <v>43</v>
      </c>
      <c r="H289" s="15" t="s">
        <v>46</v>
      </c>
      <c r="I289" s="15" t="s">
        <v>574</v>
      </c>
      <c r="J289" s="15">
        <v>94</v>
      </c>
    </row>
    <row r="290" spans="1:10" x14ac:dyDescent="0.3">
      <c r="A290" s="15" t="s">
        <v>575</v>
      </c>
      <c r="B290" s="15" t="s">
        <v>35</v>
      </c>
      <c r="C290" s="15" t="s">
        <v>30</v>
      </c>
      <c r="D290" s="15" t="s">
        <v>31</v>
      </c>
      <c r="E290" s="15">
        <v>14</v>
      </c>
      <c r="F290" s="15">
        <v>10</v>
      </c>
      <c r="G290" s="15" t="s">
        <v>32</v>
      </c>
      <c r="H290" s="15" t="s">
        <v>40</v>
      </c>
      <c r="I290" s="15" t="s">
        <v>576</v>
      </c>
      <c r="J290" s="15">
        <v>50</v>
      </c>
    </row>
    <row r="291" spans="1:10" x14ac:dyDescent="0.3">
      <c r="A291" s="15" t="s">
        <v>577</v>
      </c>
      <c r="B291" s="15" t="s">
        <v>84</v>
      </c>
      <c r="C291" s="15" t="s">
        <v>79</v>
      </c>
      <c r="D291" s="15" t="s">
        <v>31</v>
      </c>
      <c r="E291" s="15">
        <v>15</v>
      </c>
      <c r="F291" s="15">
        <v>11</v>
      </c>
      <c r="G291" s="15" t="s">
        <v>25</v>
      </c>
      <c r="H291" s="15" t="s">
        <v>40</v>
      </c>
      <c r="I291" s="15" t="s">
        <v>578</v>
      </c>
      <c r="J291" s="15">
        <v>72</v>
      </c>
    </row>
    <row r="292" spans="1:10" x14ac:dyDescent="0.3">
      <c r="A292" s="15" t="s">
        <v>579</v>
      </c>
      <c r="B292" s="15" t="s">
        <v>51</v>
      </c>
      <c r="C292" s="15" t="s">
        <v>55</v>
      </c>
      <c r="D292" s="15" t="s">
        <v>31</v>
      </c>
      <c r="E292" s="15">
        <v>20</v>
      </c>
      <c r="F292" s="15">
        <v>9</v>
      </c>
      <c r="G292" s="15" t="s">
        <v>25</v>
      </c>
      <c r="H292" s="15" t="s">
        <v>26</v>
      </c>
      <c r="I292" s="15" t="s">
        <v>212</v>
      </c>
      <c r="J292" s="15">
        <v>35</v>
      </c>
    </row>
    <row r="293" spans="1:10" x14ac:dyDescent="0.3">
      <c r="A293" s="15" t="s">
        <v>580</v>
      </c>
      <c r="B293" s="15" t="s">
        <v>29</v>
      </c>
      <c r="C293" s="15" t="s">
        <v>36</v>
      </c>
      <c r="D293" s="15" t="s">
        <v>13</v>
      </c>
      <c r="E293" s="15">
        <v>17</v>
      </c>
      <c r="F293" s="15">
        <v>10</v>
      </c>
      <c r="G293" s="15" t="s">
        <v>32</v>
      </c>
      <c r="H293" s="15" t="s">
        <v>15</v>
      </c>
      <c r="I293" s="15" t="s">
        <v>581</v>
      </c>
      <c r="J293" s="15">
        <v>37</v>
      </c>
    </row>
    <row r="294" spans="1:10" x14ac:dyDescent="0.3">
      <c r="A294" s="15" t="s">
        <v>582</v>
      </c>
      <c r="B294" s="15" t="s">
        <v>51</v>
      </c>
      <c r="C294" s="15" t="s">
        <v>55</v>
      </c>
      <c r="D294" s="15" t="s">
        <v>31</v>
      </c>
      <c r="E294" s="15">
        <v>14</v>
      </c>
      <c r="F294" s="15">
        <v>11</v>
      </c>
      <c r="G294" s="15" t="s">
        <v>25</v>
      </c>
      <c r="H294" s="15" t="s">
        <v>37</v>
      </c>
      <c r="I294" s="15" t="s">
        <v>583</v>
      </c>
      <c r="J294" s="15">
        <v>47</v>
      </c>
    </row>
    <row r="295" spans="1:10" x14ac:dyDescent="0.3">
      <c r="A295" s="15" t="s">
        <v>584</v>
      </c>
      <c r="B295" s="15" t="s">
        <v>68</v>
      </c>
      <c r="C295" s="15" t="s">
        <v>55</v>
      </c>
      <c r="D295" s="15" t="s">
        <v>31</v>
      </c>
      <c r="E295" s="15">
        <v>16</v>
      </c>
      <c r="F295" s="15">
        <v>9</v>
      </c>
      <c r="G295" s="15" t="s">
        <v>14</v>
      </c>
      <c r="H295" s="15" t="s">
        <v>61</v>
      </c>
      <c r="I295" s="15" t="s">
        <v>585</v>
      </c>
      <c r="J295" s="15">
        <v>59</v>
      </c>
    </row>
    <row r="296" spans="1:10" x14ac:dyDescent="0.3">
      <c r="A296" s="15" t="s">
        <v>586</v>
      </c>
      <c r="B296" s="15" t="s">
        <v>11</v>
      </c>
      <c r="C296" s="15" t="s">
        <v>24</v>
      </c>
      <c r="D296" s="15" t="s">
        <v>31</v>
      </c>
      <c r="E296" s="15">
        <v>17</v>
      </c>
      <c r="F296" s="15">
        <v>11</v>
      </c>
      <c r="G296" s="15" t="s">
        <v>43</v>
      </c>
      <c r="H296" s="15" t="s">
        <v>61</v>
      </c>
      <c r="I296" s="15" t="s">
        <v>587</v>
      </c>
      <c r="J296" s="15">
        <v>73</v>
      </c>
    </row>
    <row r="297" spans="1:10" x14ac:dyDescent="0.3">
      <c r="A297" s="15" t="s">
        <v>588</v>
      </c>
      <c r="B297" s="15" t="s">
        <v>68</v>
      </c>
      <c r="C297" s="15" t="s">
        <v>85</v>
      </c>
      <c r="D297" s="15" t="s">
        <v>31</v>
      </c>
      <c r="E297" s="15">
        <v>17</v>
      </c>
      <c r="F297" s="15">
        <v>9</v>
      </c>
      <c r="G297" s="15" t="s">
        <v>25</v>
      </c>
      <c r="H297" s="15" t="s">
        <v>61</v>
      </c>
      <c r="I297" s="15" t="s">
        <v>589</v>
      </c>
      <c r="J297" s="15">
        <v>45</v>
      </c>
    </row>
    <row r="298" spans="1:10" x14ac:dyDescent="0.3">
      <c r="A298" s="15" t="s">
        <v>590</v>
      </c>
      <c r="B298" s="15" t="s">
        <v>35</v>
      </c>
      <c r="C298" s="15" t="s">
        <v>12</v>
      </c>
      <c r="D298" s="15" t="s">
        <v>13</v>
      </c>
      <c r="E298" s="15">
        <v>14</v>
      </c>
      <c r="F298" s="15">
        <v>11</v>
      </c>
      <c r="G298" s="15" t="s">
        <v>25</v>
      </c>
      <c r="H298" s="15" t="s">
        <v>20</v>
      </c>
      <c r="I298" s="15" t="s">
        <v>591</v>
      </c>
      <c r="J298" s="15">
        <v>64</v>
      </c>
    </row>
    <row r="299" spans="1:10" x14ac:dyDescent="0.3">
      <c r="A299" s="15" t="s">
        <v>592</v>
      </c>
      <c r="B299" s="15" t="s">
        <v>51</v>
      </c>
      <c r="C299" s="15" t="s">
        <v>19</v>
      </c>
      <c r="D299" s="15" t="s">
        <v>31</v>
      </c>
      <c r="E299" s="15">
        <v>18</v>
      </c>
      <c r="F299" s="15">
        <v>10</v>
      </c>
      <c r="G299" s="15" t="s">
        <v>43</v>
      </c>
      <c r="H299" s="15" t="s">
        <v>76</v>
      </c>
      <c r="I299" s="15" t="s">
        <v>593</v>
      </c>
      <c r="J299" s="15">
        <v>98</v>
      </c>
    </row>
    <row r="300" spans="1:10" x14ac:dyDescent="0.3">
      <c r="A300" s="15" t="s">
        <v>594</v>
      </c>
      <c r="B300" s="15" t="s">
        <v>54</v>
      </c>
      <c r="C300" s="15" t="s">
        <v>55</v>
      </c>
      <c r="D300" s="15" t="s">
        <v>13</v>
      </c>
      <c r="E300" s="15">
        <v>20</v>
      </c>
      <c r="F300" s="15">
        <v>11</v>
      </c>
      <c r="G300" s="15" t="s">
        <v>43</v>
      </c>
      <c r="H300" s="15" t="s">
        <v>40</v>
      </c>
      <c r="I300" s="15" t="s">
        <v>595</v>
      </c>
      <c r="J300" s="15">
        <v>84</v>
      </c>
    </row>
    <row r="301" spans="1:10" x14ac:dyDescent="0.3">
      <c r="A301" s="15" t="s">
        <v>596</v>
      </c>
      <c r="B301" s="15" t="s">
        <v>11</v>
      </c>
      <c r="C301" s="15" t="s">
        <v>30</v>
      </c>
      <c r="D301" s="15" t="s">
        <v>13</v>
      </c>
      <c r="E301" s="15">
        <v>14</v>
      </c>
      <c r="F301" s="15">
        <v>9</v>
      </c>
      <c r="G301" s="15" t="s">
        <v>25</v>
      </c>
      <c r="H301" s="15" t="s">
        <v>76</v>
      </c>
      <c r="I301" s="15" t="s">
        <v>447</v>
      </c>
      <c r="J301" s="15">
        <v>62</v>
      </c>
    </row>
    <row r="302" spans="1:10" x14ac:dyDescent="0.3">
      <c r="A302" s="15" t="s">
        <v>597</v>
      </c>
      <c r="B302" s="15" t="s">
        <v>18</v>
      </c>
      <c r="C302" s="15" t="s">
        <v>85</v>
      </c>
      <c r="D302" s="15" t="s">
        <v>31</v>
      </c>
      <c r="E302" s="15">
        <v>18</v>
      </c>
      <c r="F302" s="15">
        <v>11</v>
      </c>
      <c r="G302" s="15" t="s">
        <v>43</v>
      </c>
      <c r="H302" s="15" t="s">
        <v>40</v>
      </c>
      <c r="I302" s="15" t="s">
        <v>598</v>
      </c>
      <c r="J302" s="15">
        <v>55</v>
      </c>
    </row>
    <row r="303" spans="1:10" x14ac:dyDescent="0.3">
      <c r="A303" s="15" t="s">
        <v>599</v>
      </c>
      <c r="B303" s="15" t="s">
        <v>84</v>
      </c>
      <c r="C303" s="15" t="s">
        <v>30</v>
      </c>
      <c r="D303" s="15" t="s">
        <v>13</v>
      </c>
      <c r="E303" s="15">
        <v>17</v>
      </c>
      <c r="F303" s="15">
        <v>11</v>
      </c>
      <c r="G303" s="15" t="s">
        <v>43</v>
      </c>
      <c r="H303" s="15" t="s">
        <v>15</v>
      </c>
      <c r="I303" s="15" t="s">
        <v>600</v>
      </c>
      <c r="J303" s="15">
        <v>73</v>
      </c>
    </row>
    <row r="304" spans="1:10" x14ac:dyDescent="0.3">
      <c r="A304" s="15" t="s">
        <v>601</v>
      </c>
      <c r="B304" s="15" t="s">
        <v>73</v>
      </c>
      <c r="C304" s="15" t="s">
        <v>55</v>
      </c>
      <c r="D304" s="15" t="s">
        <v>31</v>
      </c>
      <c r="E304" s="15">
        <v>17</v>
      </c>
      <c r="F304" s="15">
        <v>11</v>
      </c>
      <c r="G304" s="15" t="s">
        <v>43</v>
      </c>
      <c r="H304" s="15" t="s">
        <v>61</v>
      </c>
      <c r="I304" s="15" t="s">
        <v>502</v>
      </c>
      <c r="J304" s="15">
        <v>76</v>
      </c>
    </row>
    <row r="305" spans="1:10" x14ac:dyDescent="0.3">
      <c r="A305" s="15" t="s">
        <v>602</v>
      </c>
      <c r="B305" s="15" t="s">
        <v>23</v>
      </c>
      <c r="C305" s="15" t="s">
        <v>19</v>
      </c>
      <c r="D305" s="15" t="s">
        <v>13</v>
      </c>
      <c r="E305" s="15">
        <v>15</v>
      </c>
      <c r="F305" s="15">
        <v>12</v>
      </c>
      <c r="G305" s="15" t="s">
        <v>14</v>
      </c>
      <c r="H305" s="15" t="s">
        <v>61</v>
      </c>
      <c r="I305" s="15" t="s">
        <v>603</v>
      </c>
      <c r="J305" s="15">
        <v>54</v>
      </c>
    </row>
    <row r="306" spans="1:10" x14ac:dyDescent="0.3">
      <c r="A306" s="15" t="s">
        <v>604</v>
      </c>
      <c r="B306" s="15" t="s">
        <v>51</v>
      </c>
      <c r="C306" s="15" t="s">
        <v>85</v>
      </c>
      <c r="D306" s="15" t="s">
        <v>31</v>
      </c>
      <c r="E306" s="15">
        <v>20</v>
      </c>
      <c r="F306" s="15">
        <v>12</v>
      </c>
      <c r="G306" s="15" t="s">
        <v>25</v>
      </c>
      <c r="H306" s="15" t="s">
        <v>26</v>
      </c>
      <c r="I306" s="15" t="s">
        <v>299</v>
      </c>
      <c r="J306" s="15">
        <v>69</v>
      </c>
    </row>
    <row r="307" spans="1:10" x14ac:dyDescent="0.3">
      <c r="A307" s="15" t="s">
        <v>605</v>
      </c>
      <c r="B307" s="15" t="s">
        <v>54</v>
      </c>
      <c r="C307" s="15" t="s">
        <v>19</v>
      </c>
      <c r="D307" s="15" t="s">
        <v>31</v>
      </c>
      <c r="E307" s="15">
        <v>20</v>
      </c>
      <c r="F307" s="15">
        <v>10</v>
      </c>
      <c r="G307" s="15" t="s">
        <v>43</v>
      </c>
      <c r="H307" s="15" t="s">
        <v>37</v>
      </c>
      <c r="I307" s="15" t="s">
        <v>606</v>
      </c>
      <c r="J307" s="15">
        <v>99</v>
      </c>
    </row>
    <row r="308" spans="1:10" x14ac:dyDescent="0.3">
      <c r="A308" s="15" t="s">
        <v>607</v>
      </c>
      <c r="B308" s="15" t="s">
        <v>68</v>
      </c>
      <c r="C308" s="15" t="s">
        <v>55</v>
      </c>
      <c r="D308" s="15" t="s">
        <v>13</v>
      </c>
      <c r="E308" s="15">
        <v>19</v>
      </c>
      <c r="F308" s="15">
        <v>11</v>
      </c>
      <c r="G308" s="15" t="s">
        <v>25</v>
      </c>
      <c r="H308" s="15" t="s">
        <v>20</v>
      </c>
      <c r="I308" s="15" t="s">
        <v>608</v>
      </c>
      <c r="J308" s="15">
        <v>43</v>
      </c>
    </row>
    <row r="309" spans="1:10" x14ac:dyDescent="0.3">
      <c r="A309" s="15" t="s">
        <v>609</v>
      </c>
      <c r="B309" s="15" t="s">
        <v>68</v>
      </c>
      <c r="C309" s="15" t="s">
        <v>58</v>
      </c>
      <c r="D309" s="15" t="s">
        <v>13</v>
      </c>
      <c r="E309" s="15">
        <v>14</v>
      </c>
      <c r="F309" s="15">
        <v>10</v>
      </c>
      <c r="G309" s="15" t="s">
        <v>25</v>
      </c>
      <c r="H309" s="15" t="s">
        <v>37</v>
      </c>
      <c r="I309" s="15" t="s">
        <v>610</v>
      </c>
      <c r="J309" s="15">
        <v>90</v>
      </c>
    </row>
    <row r="310" spans="1:10" x14ac:dyDescent="0.3">
      <c r="A310" s="15" t="s">
        <v>611</v>
      </c>
      <c r="B310" s="15" t="s">
        <v>18</v>
      </c>
      <c r="C310" s="15" t="s">
        <v>24</v>
      </c>
      <c r="D310" s="15" t="s">
        <v>31</v>
      </c>
      <c r="E310" s="15">
        <v>19</v>
      </c>
      <c r="F310" s="15">
        <v>12</v>
      </c>
      <c r="G310" s="15" t="s">
        <v>43</v>
      </c>
      <c r="H310" s="15" t="s">
        <v>26</v>
      </c>
      <c r="I310" s="15" t="s">
        <v>612</v>
      </c>
      <c r="J310" s="15">
        <v>82</v>
      </c>
    </row>
    <row r="311" spans="1:10" x14ac:dyDescent="0.3">
      <c r="A311" s="15" t="s">
        <v>613</v>
      </c>
      <c r="B311" s="15" t="s">
        <v>68</v>
      </c>
      <c r="C311" s="15" t="s">
        <v>85</v>
      </c>
      <c r="D311" s="15" t="s">
        <v>31</v>
      </c>
      <c r="E311" s="15">
        <v>15</v>
      </c>
      <c r="F311" s="15">
        <v>9</v>
      </c>
      <c r="G311" s="15" t="s">
        <v>32</v>
      </c>
      <c r="H311" s="15" t="s">
        <v>37</v>
      </c>
      <c r="I311" s="15" t="s">
        <v>614</v>
      </c>
      <c r="J311" s="15">
        <v>39</v>
      </c>
    </row>
    <row r="312" spans="1:10" x14ac:dyDescent="0.3">
      <c r="A312" s="15" t="s">
        <v>615</v>
      </c>
      <c r="B312" s="15" t="s">
        <v>18</v>
      </c>
      <c r="C312" s="15" t="s">
        <v>12</v>
      </c>
      <c r="D312" s="15" t="s">
        <v>13</v>
      </c>
      <c r="E312" s="15">
        <v>17</v>
      </c>
      <c r="F312" s="15">
        <v>12</v>
      </c>
      <c r="G312" s="15" t="s">
        <v>14</v>
      </c>
      <c r="H312" s="15" t="s">
        <v>61</v>
      </c>
      <c r="I312" s="15" t="s">
        <v>616</v>
      </c>
      <c r="J312" s="15">
        <v>99</v>
      </c>
    </row>
    <row r="313" spans="1:10" x14ac:dyDescent="0.3">
      <c r="A313" s="15" t="s">
        <v>617</v>
      </c>
      <c r="B313" s="15" t="s">
        <v>35</v>
      </c>
      <c r="C313" s="15" t="s">
        <v>12</v>
      </c>
      <c r="D313" s="15" t="s">
        <v>13</v>
      </c>
      <c r="E313" s="15">
        <v>15</v>
      </c>
      <c r="F313" s="15">
        <v>9</v>
      </c>
      <c r="G313" s="15" t="s">
        <v>25</v>
      </c>
      <c r="H313" s="15" t="s">
        <v>46</v>
      </c>
      <c r="I313" s="15" t="s">
        <v>155</v>
      </c>
      <c r="J313" s="15">
        <v>85</v>
      </c>
    </row>
    <row r="314" spans="1:10" x14ac:dyDescent="0.3">
      <c r="A314" s="15" t="s">
        <v>618</v>
      </c>
      <c r="B314" s="15" t="s">
        <v>73</v>
      </c>
      <c r="C314" s="15" t="s">
        <v>85</v>
      </c>
      <c r="D314" s="15" t="s">
        <v>31</v>
      </c>
      <c r="E314" s="15">
        <v>14</v>
      </c>
      <c r="F314" s="15">
        <v>11</v>
      </c>
      <c r="G314" s="15" t="s">
        <v>25</v>
      </c>
      <c r="H314" s="15" t="s">
        <v>20</v>
      </c>
      <c r="I314" s="15" t="s">
        <v>619</v>
      </c>
      <c r="J314" s="15">
        <v>67</v>
      </c>
    </row>
    <row r="315" spans="1:10" x14ac:dyDescent="0.3">
      <c r="A315" s="15" t="s">
        <v>620</v>
      </c>
      <c r="B315" s="15" t="s">
        <v>84</v>
      </c>
      <c r="C315" s="15" t="s">
        <v>24</v>
      </c>
      <c r="D315" s="15" t="s">
        <v>31</v>
      </c>
      <c r="E315" s="15">
        <v>19</v>
      </c>
      <c r="F315" s="15">
        <v>12</v>
      </c>
      <c r="G315" s="15" t="s">
        <v>14</v>
      </c>
      <c r="H315" s="15" t="s">
        <v>61</v>
      </c>
      <c r="I315" s="15" t="s">
        <v>621</v>
      </c>
      <c r="J315" s="15">
        <v>77</v>
      </c>
    </row>
    <row r="316" spans="1:10" x14ac:dyDescent="0.3">
      <c r="A316" s="15" t="s">
        <v>622</v>
      </c>
      <c r="B316" s="15" t="s">
        <v>23</v>
      </c>
      <c r="C316" s="15" t="s">
        <v>96</v>
      </c>
      <c r="D316" s="15" t="s">
        <v>31</v>
      </c>
      <c r="E316" s="15">
        <v>17</v>
      </c>
      <c r="F316" s="15">
        <v>12</v>
      </c>
      <c r="G316" s="15" t="s">
        <v>43</v>
      </c>
      <c r="H316" s="15" t="s">
        <v>46</v>
      </c>
      <c r="I316" s="15" t="s">
        <v>170</v>
      </c>
      <c r="J316" s="15">
        <v>62</v>
      </c>
    </row>
    <row r="317" spans="1:10" x14ac:dyDescent="0.3">
      <c r="A317" s="15" t="s">
        <v>623</v>
      </c>
      <c r="B317" s="15" t="s">
        <v>29</v>
      </c>
      <c r="C317" s="15" t="s">
        <v>12</v>
      </c>
      <c r="D317" s="15" t="s">
        <v>31</v>
      </c>
      <c r="E317" s="15">
        <v>19</v>
      </c>
      <c r="F317" s="15">
        <v>11</v>
      </c>
      <c r="G317" s="15" t="s">
        <v>25</v>
      </c>
      <c r="H317" s="15" t="s">
        <v>76</v>
      </c>
      <c r="I317" s="15" t="s">
        <v>624</v>
      </c>
      <c r="J317" s="15">
        <v>49</v>
      </c>
    </row>
    <row r="318" spans="1:10" x14ac:dyDescent="0.3">
      <c r="A318" s="15" t="s">
        <v>625</v>
      </c>
      <c r="B318" s="15" t="s">
        <v>68</v>
      </c>
      <c r="C318" s="15" t="s">
        <v>96</v>
      </c>
      <c r="D318" s="15" t="s">
        <v>31</v>
      </c>
      <c r="E318" s="15">
        <v>19</v>
      </c>
      <c r="F318" s="15">
        <v>12</v>
      </c>
      <c r="G318" s="15" t="s">
        <v>32</v>
      </c>
      <c r="H318" s="15" t="s">
        <v>15</v>
      </c>
      <c r="I318" s="15" t="s">
        <v>626</v>
      </c>
      <c r="J318" s="15">
        <v>86</v>
      </c>
    </row>
    <row r="319" spans="1:10" x14ac:dyDescent="0.3">
      <c r="A319" s="15" t="s">
        <v>627</v>
      </c>
      <c r="B319" s="15" t="s">
        <v>35</v>
      </c>
      <c r="C319" s="15" t="s">
        <v>85</v>
      </c>
      <c r="D319" s="15" t="s">
        <v>31</v>
      </c>
      <c r="E319" s="15">
        <v>16</v>
      </c>
      <c r="F319" s="15">
        <v>9</v>
      </c>
      <c r="G319" s="15" t="s">
        <v>43</v>
      </c>
      <c r="H319" s="15" t="s">
        <v>20</v>
      </c>
      <c r="I319" s="15" t="s">
        <v>628</v>
      </c>
      <c r="J319" s="15">
        <v>84</v>
      </c>
    </row>
    <row r="320" spans="1:10" x14ac:dyDescent="0.3">
      <c r="A320" s="15" t="s">
        <v>629</v>
      </c>
      <c r="B320" s="15" t="s">
        <v>35</v>
      </c>
      <c r="C320" s="15" t="s">
        <v>58</v>
      </c>
      <c r="D320" s="15" t="s">
        <v>13</v>
      </c>
      <c r="E320" s="15">
        <v>18</v>
      </c>
      <c r="F320" s="15">
        <v>9</v>
      </c>
      <c r="G320" s="15" t="s">
        <v>25</v>
      </c>
      <c r="H320" s="15" t="s">
        <v>76</v>
      </c>
      <c r="I320" s="15" t="s">
        <v>105</v>
      </c>
      <c r="J320" s="15">
        <v>82</v>
      </c>
    </row>
    <row r="321" spans="1:10" x14ac:dyDescent="0.3">
      <c r="A321" s="15" t="s">
        <v>630</v>
      </c>
      <c r="B321" s="15" t="s">
        <v>84</v>
      </c>
      <c r="C321" s="15" t="s">
        <v>96</v>
      </c>
      <c r="D321" s="15" t="s">
        <v>31</v>
      </c>
      <c r="E321" s="15">
        <v>19</v>
      </c>
      <c r="F321" s="15">
        <v>10</v>
      </c>
      <c r="G321" s="15" t="s">
        <v>43</v>
      </c>
      <c r="H321" s="15" t="s">
        <v>20</v>
      </c>
      <c r="I321" s="15" t="s">
        <v>631</v>
      </c>
      <c r="J321" s="15">
        <v>63</v>
      </c>
    </row>
    <row r="322" spans="1:10" x14ac:dyDescent="0.3">
      <c r="A322" s="15" t="s">
        <v>632</v>
      </c>
      <c r="B322" s="15" t="s">
        <v>54</v>
      </c>
      <c r="C322" s="15" t="s">
        <v>55</v>
      </c>
      <c r="D322" s="15" t="s">
        <v>31</v>
      </c>
      <c r="E322" s="15">
        <v>19</v>
      </c>
      <c r="F322" s="15">
        <v>11</v>
      </c>
      <c r="G322" s="15" t="s">
        <v>25</v>
      </c>
      <c r="H322" s="15" t="s">
        <v>61</v>
      </c>
      <c r="I322" s="15" t="s">
        <v>633</v>
      </c>
      <c r="J322" s="15">
        <v>82</v>
      </c>
    </row>
    <row r="323" spans="1:10" x14ac:dyDescent="0.3">
      <c r="A323" s="15" t="s">
        <v>634</v>
      </c>
      <c r="B323" s="15" t="s">
        <v>54</v>
      </c>
      <c r="C323" s="15" t="s">
        <v>30</v>
      </c>
      <c r="D323" s="15" t="s">
        <v>31</v>
      </c>
      <c r="E323" s="15">
        <v>15</v>
      </c>
      <c r="F323" s="15">
        <v>9</v>
      </c>
      <c r="G323" s="15" t="s">
        <v>25</v>
      </c>
      <c r="H323" s="15" t="s">
        <v>40</v>
      </c>
      <c r="I323" s="15" t="s">
        <v>635</v>
      </c>
      <c r="J323" s="15">
        <v>53</v>
      </c>
    </row>
    <row r="324" spans="1:10" x14ac:dyDescent="0.3">
      <c r="A324" s="15" t="s">
        <v>636</v>
      </c>
      <c r="B324" s="15" t="s">
        <v>11</v>
      </c>
      <c r="C324" s="15" t="s">
        <v>79</v>
      </c>
      <c r="D324" s="15" t="s">
        <v>13</v>
      </c>
      <c r="E324" s="15">
        <v>19</v>
      </c>
      <c r="F324" s="15">
        <v>9</v>
      </c>
      <c r="G324" s="15" t="s">
        <v>32</v>
      </c>
      <c r="H324" s="15" t="s">
        <v>76</v>
      </c>
      <c r="I324" s="15" t="s">
        <v>637</v>
      </c>
      <c r="J324" s="15">
        <v>97</v>
      </c>
    </row>
    <row r="325" spans="1:10" x14ac:dyDescent="0.3">
      <c r="A325" s="15" t="s">
        <v>638</v>
      </c>
      <c r="B325" s="15" t="s">
        <v>54</v>
      </c>
      <c r="C325" s="15" t="s">
        <v>12</v>
      </c>
      <c r="D325" s="15" t="s">
        <v>31</v>
      </c>
      <c r="E325" s="15">
        <v>15</v>
      </c>
      <c r="F325" s="15">
        <v>12</v>
      </c>
      <c r="G325" s="15" t="s">
        <v>43</v>
      </c>
      <c r="H325" s="15" t="s">
        <v>76</v>
      </c>
      <c r="I325" s="15" t="s">
        <v>639</v>
      </c>
      <c r="J325" s="15">
        <v>51</v>
      </c>
    </row>
    <row r="326" spans="1:10" x14ac:dyDescent="0.3">
      <c r="A326" s="15" t="s">
        <v>640</v>
      </c>
      <c r="B326" s="15" t="s">
        <v>84</v>
      </c>
      <c r="C326" s="15" t="s">
        <v>79</v>
      </c>
      <c r="D326" s="15" t="s">
        <v>31</v>
      </c>
      <c r="E326" s="15">
        <v>14</v>
      </c>
      <c r="F326" s="15">
        <v>9</v>
      </c>
      <c r="G326" s="15" t="s">
        <v>14</v>
      </c>
      <c r="H326" s="15" t="s">
        <v>37</v>
      </c>
      <c r="I326" s="15" t="s">
        <v>641</v>
      </c>
      <c r="J326" s="15">
        <v>43</v>
      </c>
    </row>
    <row r="327" spans="1:10" x14ac:dyDescent="0.3">
      <c r="A327" s="15" t="s">
        <v>642</v>
      </c>
      <c r="B327" s="15" t="s">
        <v>18</v>
      </c>
      <c r="C327" s="15" t="s">
        <v>19</v>
      </c>
      <c r="D327" s="15" t="s">
        <v>13</v>
      </c>
      <c r="E327" s="15">
        <v>14</v>
      </c>
      <c r="F327" s="15">
        <v>9</v>
      </c>
      <c r="G327" s="15" t="s">
        <v>43</v>
      </c>
      <c r="H327" s="15" t="s">
        <v>20</v>
      </c>
      <c r="I327" s="15" t="s">
        <v>643</v>
      </c>
      <c r="J327" s="15">
        <v>57</v>
      </c>
    </row>
    <row r="328" spans="1:10" x14ac:dyDescent="0.3">
      <c r="A328" s="15" t="s">
        <v>644</v>
      </c>
      <c r="B328" s="15" t="s">
        <v>51</v>
      </c>
      <c r="C328" s="15" t="s">
        <v>36</v>
      </c>
      <c r="D328" s="15" t="s">
        <v>31</v>
      </c>
      <c r="E328" s="15">
        <v>16</v>
      </c>
      <c r="F328" s="15">
        <v>11</v>
      </c>
      <c r="G328" s="15" t="s">
        <v>43</v>
      </c>
      <c r="H328" s="15" t="s">
        <v>20</v>
      </c>
      <c r="I328" s="15" t="s">
        <v>645</v>
      </c>
      <c r="J328" s="15">
        <v>81</v>
      </c>
    </row>
    <row r="329" spans="1:10" x14ac:dyDescent="0.3">
      <c r="A329" s="15" t="s">
        <v>646</v>
      </c>
      <c r="B329" s="15" t="s">
        <v>84</v>
      </c>
      <c r="C329" s="15" t="s">
        <v>12</v>
      </c>
      <c r="D329" s="15" t="s">
        <v>31</v>
      </c>
      <c r="E329" s="15">
        <v>17</v>
      </c>
      <c r="F329" s="15">
        <v>12</v>
      </c>
      <c r="G329" s="15" t="s">
        <v>25</v>
      </c>
      <c r="H329" s="15" t="s">
        <v>76</v>
      </c>
      <c r="I329" s="15" t="s">
        <v>647</v>
      </c>
      <c r="J329" s="15">
        <v>83</v>
      </c>
    </row>
    <row r="330" spans="1:10" x14ac:dyDescent="0.3">
      <c r="A330" s="15" t="s">
        <v>648</v>
      </c>
      <c r="B330" s="15" t="s">
        <v>51</v>
      </c>
      <c r="C330" s="15" t="s">
        <v>79</v>
      </c>
      <c r="D330" s="15" t="s">
        <v>13</v>
      </c>
      <c r="E330" s="15">
        <v>14</v>
      </c>
      <c r="F330" s="15">
        <v>9</v>
      </c>
      <c r="G330" s="15" t="s">
        <v>25</v>
      </c>
      <c r="H330" s="15" t="s">
        <v>15</v>
      </c>
      <c r="I330" s="15" t="s">
        <v>649</v>
      </c>
      <c r="J330" s="15">
        <v>77</v>
      </c>
    </row>
    <row r="331" spans="1:10" x14ac:dyDescent="0.3">
      <c r="A331" s="15" t="s">
        <v>650</v>
      </c>
      <c r="B331" s="15" t="s">
        <v>23</v>
      </c>
      <c r="C331" s="15" t="s">
        <v>24</v>
      </c>
      <c r="D331" s="15" t="s">
        <v>13</v>
      </c>
      <c r="E331" s="15">
        <v>17</v>
      </c>
      <c r="F331" s="15">
        <v>12</v>
      </c>
      <c r="G331" s="15" t="s">
        <v>25</v>
      </c>
      <c r="H331" s="15" t="s">
        <v>46</v>
      </c>
      <c r="I331" s="15" t="s">
        <v>651</v>
      </c>
      <c r="J331" s="15">
        <v>45</v>
      </c>
    </row>
    <row r="332" spans="1:10" x14ac:dyDescent="0.3">
      <c r="A332" s="15" t="s">
        <v>652</v>
      </c>
      <c r="B332" s="15" t="s">
        <v>51</v>
      </c>
      <c r="C332" s="15" t="s">
        <v>55</v>
      </c>
      <c r="D332" s="15" t="s">
        <v>13</v>
      </c>
      <c r="E332" s="15">
        <v>16</v>
      </c>
      <c r="F332" s="15">
        <v>12</v>
      </c>
      <c r="G332" s="15" t="s">
        <v>32</v>
      </c>
      <c r="H332" s="15" t="s">
        <v>61</v>
      </c>
      <c r="I332" s="15" t="s">
        <v>653</v>
      </c>
      <c r="J332" s="15">
        <v>45</v>
      </c>
    </row>
    <row r="333" spans="1:10" x14ac:dyDescent="0.3">
      <c r="A333" s="15" t="s">
        <v>654</v>
      </c>
      <c r="B333" s="15" t="s">
        <v>18</v>
      </c>
      <c r="C333" s="15" t="s">
        <v>24</v>
      </c>
      <c r="D333" s="15" t="s">
        <v>31</v>
      </c>
      <c r="E333" s="15">
        <v>14</v>
      </c>
      <c r="F333" s="15">
        <v>12</v>
      </c>
      <c r="G333" s="15" t="s">
        <v>14</v>
      </c>
      <c r="H333" s="15" t="s">
        <v>46</v>
      </c>
      <c r="I333" s="15" t="s">
        <v>655</v>
      </c>
      <c r="J333" s="15">
        <v>42</v>
      </c>
    </row>
    <row r="334" spans="1:10" x14ac:dyDescent="0.3">
      <c r="A334" s="15" t="s">
        <v>656</v>
      </c>
      <c r="B334" s="15" t="s">
        <v>29</v>
      </c>
      <c r="C334" s="15" t="s">
        <v>30</v>
      </c>
      <c r="D334" s="15" t="s">
        <v>13</v>
      </c>
      <c r="E334" s="15">
        <v>19</v>
      </c>
      <c r="F334" s="15">
        <v>10</v>
      </c>
      <c r="G334" s="15" t="s">
        <v>43</v>
      </c>
      <c r="H334" s="15" t="s">
        <v>15</v>
      </c>
      <c r="I334" s="15" t="s">
        <v>657</v>
      </c>
      <c r="J334" s="15">
        <v>85</v>
      </c>
    </row>
    <row r="335" spans="1:10" x14ac:dyDescent="0.3">
      <c r="A335" s="15" t="s">
        <v>658</v>
      </c>
      <c r="B335" s="15" t="s">
        <v>11</v>
      </c>
      <c r="C335" s="15" t="s">
        <v>96</v>
      </c>
      <c r="D335" s="15" t="s">
        <v>31</v>
      </c>
      <c r="E335" s="15">
        <v>20</v>
      </c>
      <c r="F335" s="15">
        <v>10</v>
      </c>
      <c r="G335" s="15" t="s">
        <v>43</v>
      </c>
      <c r="H335" s="15" t="s">
        <v>37</v>
      </c>
      <c r="I335" s="15" t="s">
        <v>659</v>
      </c>
      <c r="J335" s="15">
        <v>62</v>
      </c>
    </row>
    <row r="336" spans="1:10" x14ac:dyDescent="0.3">
      <c r="A336" s="15" t="s">
        <v>660</v>
      </c>
      <c r="B336" s="15" t="s">
        <v>23</v>
      </c>
      <c r="C336" s="15" t="s">
        <v>12</v>
      </c>
      <c r="D336" s="15" t="s">
        <v>13</v>
      </c>
      <c r="E336" s="15">
        <v>16</v>
      </c>
      <c r="F336" s="15">
        <v>11</v>
      </c>
      <c r="G336" s="15" t="s">
        <v>25</v>
      </c>
      <c r="H336" s="15" t="s">
        <v>40</v>
      </c>
      <c r="I336" s="15" t="s">
        <v>41</v>
      </c>
      <c r="J336" s="15">
        <v>86</v>
      </c>
    </row>
    <row r="337" spans="1:10" x14ac:dyDescent="0.3">
      <c r="A337" s="15" t="s">
        <v>661</v>
      </c>
      <c r="B337" s="15" t="s">
        <v>54</v>
      </c>
      <c r="C337" s="15" t="s">
        <v>12</v>
      </c>
      <c r="D337" s="15" t="s">
        <v>31</v>
      </c>
      <c r="E337" s="15">
        <v>19</v>
      </c>
      <c r="F337" s="15">
        <v>10</v>
      </c>
      <c r="G337" s="15" t="s">
        <v>14</v>
      </c>
      <c r="H337" s="15" t="s">
        <v>76</v>
      </c>
      <c r="I337" s="15" t="s">
        <v>662</v>
      </c>
      <c r="J337" s="15">
        <v>54</v>
      </c>
    </row>
    <row r="338" spans="1:10" x14ac:dyDescent="0.3">
      <c r="A338" s="15" t="s">
        <v>663</v>
      </c>
      <c r="B338" s="15" t="s">
        <v>73</v>
      </c>
      <c r="C338" s="15" t="s">
        <v>36</v>
      </c>
      <c r="D338" s="15" t="s">
        <v>13</v>
      </c>
      <c r="E338" s="15">
        <v>20</v>
      </c>
      <c r="F338" s="15">
        <v>12</v>
      </c>
      <c r="G338" s="15" t="s">
        <v>25</v>
      </c>
      <c r="H338" s="15" t="s">
        <v>40</v>
      </c>
      <c r="I338" s="15" t="s">
        <v>664</v>
      </c>
      <c r="J338" s="15">
        <v>50</v>
      </c>
    </row>
    <row r="339" spans="1:10" x14ac:dyDescent="0.3">
      <c r="A339" s="15" t="s">
        <v>665</v>
      </c>
      <c r="B339" s="15" t="s">
        <v>51</v>
      </c>
      <c r="C339" s="15" t="s">
        <v>96</v>
      </c>
      <c r="D339" s="15" t="s">
        <v>13</v>
      </c>
      <c r="E339" s="15">
        <v>14</v>
      </c>
      <c r="F339" s="15">
        <v>10</v>
      </c>
      <c r="G339" s="15" t="s">
        <v>14</v>
      </c>
      <c r="H339" s="15" t="s">
        <v>37</v>
      </c>
      <c r="I339" s="15" t="s">
        <v>666</v>
      </c>
      <c r="J339" s="15">
        <v>68</v>
      </c>
    </row>
    <row r="340" spans="1:10" x14ac:dyDescent="0.3">
      <c r="A340" s="15" t="s">
        <v>667</v>
      </c>
      <c r="B340" s="15" t="s">
        <v>35</v>
      </c>
      <c r="C340" s="15" t="s">
        <v>12</v>
      </c>
      <c r="D340" s="15" t="s">
        <v>31</v>
      </c>
      <c r="E340" s="15">
        <v>15</v>
      </c>
      <c r="F340" s="15">
        <v>12</v>
      </c>
      <c r="G340" s="15" t="s">
        <v>14</v>
      </c>
      <c r="H340" s="15" t="s">
        <v>46</v>
      </c>
      <c r="I340" s="15" t="s">
        <v>668</v>
      </c>
      <c r="J340" s="15">
        <v>82</v>
      </c>
    </row>
    <row r="341" spans="1:10" x14ac:dyDescent="0.3">
      <c r="A341" s="15" t="s">
        <v>669</v>
      </c>
      <c r="B341" s="15" t="s">
        <v>11</v>
      </c>
      <c r="C341" s="15" t="s">
        <v>24</v>
      </c>
      <c r="D341" s="15" t="s">
        <v>13</v>
      </c>
      <c r="E341" s="15">
        <v>19</v>
      </c>
      <c r="F341" s="15">
        <v>9</v>
      </c>
      <c r="G341" s="15" t="s">
        <v>32</v>
      </c>
      <c r="H341" s="15" t="s">
        <v>40</v>
      </c>
      <c r="I341" s="15" t="s">
        <v>670</v>
      </c>
      <c r="J341" s="15">
        <v>51</v>
      </c>
    </row>
    <row r="342" spans="1:10" x14ac:dyDescent="0.3">
      <c r="A342" s="15" t="s">
        <v>671</v>
      </c>
      <c r="B342" s="15" t="s">
        <v>11</v>
      </c>
      <c r="C342" s="15" t="s">
        <v>36</v>
      </c>
      <c r="D342" s="15" t="s">
        <v>13</v>
      </c>
      <c r="E342" s="15">
        <v>14</v>
      </c>
      <c r="F342" s="15">
        <v>10</v>
      </c>
      <c r="G342" s="15" t="s">
        <v>32</v>
      </c>
      <c r="H342" s="15" t="s">
        <v>40</v>
      </c>
      <c r="I342" s="15" t="s">
        <v>672</v>
      </c>
      <c r="J342" s="15">
        <v>64</v>
      </c>
    </row>
    <row r="343" spans="1:10" x14ac:dyDescent="0.3">
      <c r="A343" s="15" t="s">
        <v>673</v>
      </c>
      <c r="B343" s="15" t="s">
        <v>11</v>
      </c>
      <c r="C343" s="15" t="s">
        <v>19</v>
      </c>
      <c r="D343" s="15" t="s">
        <v>31</v>
      </c>
      <c r="E343" s="15">
        <v>17</v>
      </c>
      <c r="F343" s="15">
        <v>10</v>
      </c>
      <c r="G343" s="15" t="s">
        <v>32</v>
      </c>
      <c r="H343" s="15" t="s">
        <v>46</v>
      </c>
      <c r="I343" s="15" t="s">
        <v>674</v>
      </c>
      <c r="J343" s="15">
        <v>85</v>
      </c>
    </row>
    <row r="344" spans="1:10" x14ac:dyDescent="0.3">
      <c r="A344" s="15" t="s">
        <v>675</v>
      </c>
      <c r="B344" s="15" t="s">
        <v>73</v>
      </c>
      <c r="C344" s="15" t="s">
        <v>24</v>
      </c>
      <c r="D344" s="15" t="s">
        <v>13</v>
      </c>
      <c r="E344" s="15">
        <v>19</v>
      </c>
      <c r="F344" s="15">
        <v>11</v>
      </c>
      <c r="G344" s="15" t="s">
        <v>14</v>
      </c>
      <c r="H344" s="15" t="s">
        <v>37</v>
      </c>
      <c r="I344" s="15" t="s">
        <v>676</v>
      </c>
      <c r="J344" s="15">
        <v>51</v>
      </c>
    </row>
    <row r="345" spans="1:10" x14ac:dyDescent="0.3">
      <c r="A345" s="15" t="s">
        <v>677</v>
      </c>
      <c r="B345" s="15" t="s">
        <v>23</v>
      </c>
      <c r="C345" s="15" t="s">
        <v>85</v>
      </c>
      <c r="D345" s="15" t="s">
        <v>13</v>
      </c>
      <c r="E345" s="15">
        <v>20</v>
      </c>
      <c r="F345" s="15">
        <v>10</v>
      </c>
      <c r="G345" s="15" t="s">
        <v>32</v>
      </c>
      <c r="H345" s="15" t="s">
        <v>40</v>
      </c>
      <c r="I345" s="15" t="s">
        <v>678</v>
      </c>
      <c r="J345" s="15">
        <v>56</v>
      </c>
    </row>
    <row r="346" spans="1:10" x14ac:dyDescent="0.3">
      <c r="A346" s="15" t="s">
        <v>679</v>
      </c>
      <c r="B346" s="15" t="s">
        <v>18</v>
      </c>
      <c r="C346" s="15" t="s">
        <v>96</v>
      </c>
      <c r="D346" s="15" t="s">
        <v>13</v>
      </c>
      <c r="E346" s="15">
        <v>14</v>
      </c>
      <c r="F346" s="15">
        <v>12</v>
      </c>
      <c r="G346" s="15" t="s">
        <v>32</v>
      </c>
      <c r="H346" s="15" t="s">
        <v>46</v>
      </c>
      <c r="I346" s="15" t="s">
        <v>680</v>
      </c>
      <c r="J346" s="15">
        <v>44</v>
      </c>
    </row>
    <row r="347" spans="1:10" x14ac:dyDescent="0.3">
      <c r="A347" s="15" t="s">
        <v>681</v>
      </c>
      <c r="B347" s="15" t="s">
        <v>35</v>
      </c>
      <c r="C347" s="15" t="s">
        <v>36</v>
      </c>
      <c r="D347" s="15" t="s">
        <v>13</v>
      </c>
      <c r="E347" s="15">
        <v>14</v>
      </c>
      <c r="F347" s="15">
        <v>9</v>
      </c>
      <c r="G347" s="15" t="s">
        <v>43</v>
      </c>
      <c r="H347" s="15" t="s">
        <v>46</v>
      </c>
      <c r="I347" s="15" t="s">
        <v>682</v>
      </c>
      <c r="J347" s="15">
        <v>67</v>
      </c>
    </row>
    <row r="348" spans="1:10" x14ac:dyDescent="0.3">
      <c r="A348" s="15" t="s">
        <v>683</v>
      </c>
      <c r="B348" s="15" t="s">
        <v>84</v>
      </c>
      <c r="C348" s="15" t="s">
        <v>55</v>
      </c>
      <c r="D348" s="15" t="s">
        <v>31</v>
      </c>
      <c r="E348" s="15">
        <v>16</v>
      </c>
      <c r="F348" s="15">
        <v>12</v>
      </c>
      <c r="G348" s="15" t="s">
        <v>14</v>
      </c>
      <c r="H348" s="15" t="s">
        <v>76</v>
      </c>
      <c r="I348" s="15" t="s">
        <v>125</v>
      </c>
      <c r="J348" s="15">
        <v>60</v>
      </c>
    </row>
    <row r="349" spans="1:10" x14ac:dyDescent="0.3">
      <c r="A349" s="15" t="s">
        <v>684</v>
      </c>
      <c r="B349" s="15" t="s">
        <v>54</v>
      </c>
      <c r="C349" s="15" t="s">
        <v>24</v>
      </c>
      <c r="D349" s="15" t="s">
        <v>31</v>
      </c>
      <c r="E349" s="15">
        <v>17</v>
      </c>
      <c r="F349" s="15">
        <v>10</v>
      </c>
      <c r="G349" s="15" t="s">
        <v>43</v>
      </c>
      <c r="H349" s="15" t="s">
        <v>46</v>
      </c>
      <c r="I349" s="15" t="s">
        <v>685</v>
      </c>
      <c r="J349" s="15">
        <v>74</v>
      </c>
    </row>
    <row r="350" spans="1:10" x14ac:dyDescent="0.3">
      <c r="A350" s="15" t="s">
        <v>686</v>
      </c>
      <c r="B350" s="15" t="s">
        <v>23</v>
      </c>
      <c r="C350" s="15" t="s">
        <v>96</v>
      </c>
      <c r="D350" s="15" t="s">
        <v>31</v>
      </c>
      <c r="E350" s="15">
        <v>16</v>
      </c>
      <c r="F350" s="15">
        <v>9</v>
      </c>
      <c r="G350" s="15" t="s">
        <v>25</v>
      </c>
      <c r="H350" s="15" t="s">
        <v>20</v>
      </c>
      <c r="I350" s="15" t="s">
        <v>277</v>
      </c>
      <c r="J350" s="15">
        <v>71</v>
      </c>
    </row>
    <row r="351" spans="1:10" x14ac:dyDescent="0.3">
      <c r="A351" s="15" t="s">
        <v>687</v>
      </c>
      <c r="B351" s="15" t="s">
        <v>84</v>
      </c>
      <c r="C351" s="15" t="s">
        <v>19</v>
      </c>
      <c r="D351" s="15" t="s">
        <v>13</v>
      </c>
      <c r="E351" s="15">
        <v>16</v>
      </c>
      <c r="F351" s="15">
        <v>10</v>
      </c>
      <c r="G351" s="15" t="s">
        <v>25</v>
      </c>
      <c r="H351" s="15" t="s">
        <v>46</v>
      </c>
      <c r="I351" s="15" t="s">
        <v>564</v>
      </c>
      <c r="J351" s="15">
        <v>52</v>
      </c>
    </row>
    <row r="352" spans="1:10" x14ac:dyDescent="0.3">
      <c r="A352" s="15" t="s">
        <v>688</v>
      </c>
      <c r="B352" s="15" t="s">
        <v>23</v>
      </c>
      <c r="C352" s="15" t="s">
        <v>96</v>
      </c>
      <c r="D352" s="15" t="s">
        <v>31</v>
      </c>
      <c r="E352" s="15">
        <v>19</v>
      </c>
      <c r="F352" s="15">
        <v>10</v>
      </c>
      <c r="G352" s="15" t="s">
        <v>25</v>
      </c>
      <c r="H352" s="15" t="s">
        <v>40</v>
      </c>
      <c r="I352" s="15" t="s">
        <v>195</v>
      </c>
      <c r="J352" s="15">
        <v>55</v>
      </c>
    </row>
    <row r="353" spans="1:10" x14ac:dyDescent="0.3">
      <c r="A353" s="15" t="s">
        <v>689</v>
      </c>
      <c r="B353" s="15" t="s">
        <v>68</v>
      </c>
      <c r="C353" s="15" t="s">
        <v>96</v>
      </c>
      <c r="D353" s="15" t="s">
        <v>13</v>
      </c>
      <c r="E353" s="15">
        <v>20</v>
      </c>
      <c r="F353" s="15">
        <v>12</v>
      </c>
      <c r="G353" s="15" t="s">
        <v>43</v>
      </c>
      <c r="H353" s="15" t="s">
        <v>20</v>
      </c>
      <c r="I353" s="15" t="s">
        <v>626</v>
      </c>
      <c r="J353" s="15">
        <v>48</v>
      </c>
    </row>
    <row r="354" spans="1:10" x14ac:dyDescent="0.3">
      <c r="A354" s="15" t="s">
        <v>690</v>
      </c>
      <c r="B354" s="15" t="s">
        <v>23</v>
      </c>
      <c r="C354" s="15" t="s">
        <v>85</v>
      </c>
      <c r="D354" s="15" t="s">
        <v>13</v>
      </c>
      <c r="E354" s="15">
        <v>19</v>
      </c>
      <c r="F354" s="15">
        <v>9</v>
      </c>
      <c r="G354" s="15" t="s">
        <v>14</v>
      </c>
      <c r="H354" s="15" t="s">
        <v>76</v>
      </c>
      <c r="I354" s="15" t="s">
        <v>635</v>
      </c>
      <c r="J354" s="15">
        <v>91</v>
      </c>
    </row>
    <row r="355" spans="1:10" x14ac:dyDescent="0.3">
      <c r="A355" s="15" t="s">
        <v>691</v>
      </c>
      <c r="B355" s="15" t="s">
        <v>84</v>
      </c>
      <c r="C355" s="15" t="s">
        <v>55</v>
      </c>
      <c r="D355" s="15" t="s">
        <v>13</v>
      </c>
      <c r="E355" s="15">
        <v>16</v>
      </c>
      <c r="F355" s="15">
        <v>10</v>
      </c>
      <c r="G355" s="15" t="s">
        <v>43</v>
      </c>
      <c r="H355" s="15" t="s">
        <v>46</v>
      </c>
      <c r="I355" s="15" t="s">
        <v>692</v>
      </c>
      <c r="J355" s="15">
        <v>91</v>
      </c>
    </row>
    <row r="356" spans="1:10" x14ac:dyDescent="0.3">
      <c r="A356" s="15" t="s">
        <v>693</v>
      </c>
      <c r="B356" s="15" t="s">
        <v>73</v>
      </c>
      <c r="C356" s="15" t="s">
        <v>58</v>
      </c>
      <c r="D356" s="15" t="s">
        <v>31</v>
      </c>
      <c r="E356" s="15">
        <v>16</v>
      </c>
      <c r="F356" s="15">
        <v>11</v>
      </c>
      <c r="G356" s="15" t="s">
        <v>25</v>
      </c>
      <c r="H356" s="15" t="s">
        <v>37</v>
      </c>
      <c r="I356" s="15" t="s">
        <v>694</v>
      </c>
      <c r="J356" s="15">
        <v>65</v>
      </c>
    </row>
    <row r="357" spans="1:10" x14ac:dyDescent="0.3">
      <c r="A357" s="15" t="s">
        <v>695</v>
      </c>
      <c r="B357" s="15" t="s">
        <v>51</v>
      </c>
      <c r="C357" s="15" t="s">
        <v>24</v>
      </c>
      <c r="D357" s="15" t="s">
        <v>13</v>
      </c>
      <c r="E357" s="15">
        <v>17</v>
      </c>
      <c r="F357" s="15">
        <v>9</v>
      </c>
      <c r="G357" s="15" t="s">
        <v>32</v>
      </c>
      <c r="H357" s="15" t="s">
        <v>15</v>
      </c>
      <c r="I357" s="15" t="s">
        <v>696</v>
      </c>
      <c r="J357" s="15">
        <v>69</v>
      </c>
    </row>
    <row r="358" spans="1:10" x14ac:dyDescent="0.3">
      <c r="A358" s="15" t="s">
        <v>697</v>
      </c>
      <c r="B358" s="15" t="s">
        <v>29</v>
      </c>
      <c r="C358" s="15" t="s">
        <v>30</v>
      </c>
      <c r="D358" s="15" t="s">
        <v>31</v>
      </c>
      <c r="E358" s="15">
        <v>19</v>
      </c>
      <c r="F358" s="15">
        <v>10</v>
      </c>
      <c r="G358" s="15" t="s">
        <v>25</v>
      </c>
      <c r="H358" s="15" t="s">
        <v>61</v>
      </c>
      <c r="I358" s="15" t="s">
        <v>698</v>
      </c>
      <c r="J358" s="15">
        <v>75</v>
      </c>
    </row>
    <row r="359" spans="1:10" x14ac:dyDescent="0.3">
      <c r="A359" s="15" t="s">
        <v>699</v>
      </c>
      <c r="B359" s="15" t="s">
        <v>11</v>
      </c>
      <c r="C359" s="15" t="s">
        <v>30</v>
      </c>
      <c r="D359" s="15" t="s">
        <v>31</v>
      </c>
      <c r="E359" s="15">
        <v>16</v>
      </c>
      <c r="F359" s="15">
        <v>11</v>
      </c>
      <c r="G359" s="15" t="s">
        <v>43</v>
      </c>
      <c r="H359" s="15" t="s">
        <v>40</v>
      </c>
      <c r="I359" s="15" t="s">
        <v>97</v>
      </c>
      <c r="J359" s="15">
        <v>72</v>
      </c>
    </row>
    <row r="360" spans="1:10" x14ac:dyDescent="0.3">
      <c r="A360" s="15" t="s">
        <v>700</v>
      </c>
      <c r="B360" s="15" t="s">
        <v>23</v>
      </c>
      <c r="C360" s="15" t="s">
        <v>55</v>
      </c>
      <c r="D360" s="15" t="s">
        <v>31</v>
      </c>
      <c r="E360" s="15">
        <v>20</v>
      </c>
      <c r="F360" s="15">
        <v>10</v>
      </c>
      <c r="G360" s="15" t="s">
        <v>14</v>
      </c>
      <c r="H360" s="15" t="s">
        <v>15</v>
      </c>
      <c r="I360" s="15" t="s">
        <v>678</v>
      </c>
      <c r="J360" s="15">
        <v>59</v>
      </c>
    </row>
    <row r="361" spans="1:10" x14ac:dyDescent="0.3">
      <c r="A361" s="15" t="s">
        <v>701</v>
      </c>
      <c r="B361" s="15" t="s">
        <v>54</v>
      </c>
      <c r="C361" s="15" t="s">
        <v>30</v>
      </c>
      <c r="D361" s="15" t="s">
        <v>31</v>
      </c>
      <c r="E361" s="15">
        <v>15</v>
      </c>
      <c r="F361" s="15">
        <v>11</v>
      </c>
      <c r="G361" s="15" t="s">
        <v>14</v>
      </c>
      <c r="H361" s="15" t="s">
        <v>76</v>
      </c>
      <c r="I361" s="15" t="s">
        <v>702</v>
      </c>
      <c r="J361" s="15">
        <v>42</v>
      </c>
    </row>
    <row r="362" spans="1:10" x14ac:dyDescent="0.3">
      <c r="A362" s="15" t="s">
        <v>703</v>
      </c>
      <c r="B362" s="15" t="s">
        <v>73</v>
      </c>
      <c r="C362" s="15" t="s">
        <v>30</v>
      </c>
      <c r="D362" s="15" t="s">
        <v>31</v>
      </c>
      <c r="E362" s="15">
        <v>17</v>
      </c>
      <c r="F362" s="15">
        <v>12</v>
      </c>
      <c r="G362" s="15" t="s">
        <v>32</v>
      </c>
      <c r="H362" s="15" t="s">
        <v>40</v>
      </c>
      <c r="I362" s="15" t="s">
        <v>704</v>
      </c>
      <c r="J362" s="15">
        <v>93</v>
      </c>
    </row>
    <row r="363" spans="1:10" x14ac:dyDescent="0.3">
      <c r="A363" s="15" t="s">
        <v>705</v>
      </c>
      <c r="B363" s="15" t="s">
        <v>84</v>
      </c>
      <c r="C363" s="15" t="s">
        <v>55</v>
      </c>
      <c r="D363" s="15" t="s">
        <v>31</v>
      </c>
      <c r="E363" s="15">
        <v>14</v>
      </c>
      <c r="F363" s="15">
        <v>12</v>
      </c>
      <c r="G363" s="15" t="s">
        <v>43</v>
      </c>
      <c r="H363" s="15" t="s">
        <v>76</v>
      </c>
      <c r="I363" s="15" t="s">
        <v>706</v>
      </c>
      <c r="J363" s="15">
        <v>63</v>
      </c>
    </row>
    <row r="364" spans="1:10" x14ac:dyDescent="0.3">
      <c r="A364" s="15" t="s">
        <v>707</v>
      </c>
      <c r="B364" s="15" t="s">
        <v>68</v>
      </c>
      <c r="C364" s="15" t="s">
        <v>96</v>
      </c>
      <c r="D364" s="15" t="s">
        <v>31</v>
      </c>
      <c r="E364" s="15">
        <v>20</v>
      </c>
      <c r="F364" s="15">
        <v>12</v>
      </c>
      <c r="G364" s="15" t="s">
        <v>43</v>
      </c>
      <c r="H364" s="15" t="s">
        <v>37</v>
      </c>
      <c r="I364" s="15" t="s">
        <v>708</v>
      </c>
      <c r="J364" s="15">
        <v>35</v>
      </c>
    </row>
    <row r="365" spans="1:10" x14ac:dyDescent="0.3">
      <c r="A365" s="15" t="s">
        <v>709</v>
      </c>
      <c r="B365" s="15" t="s">
        <v>54</v>
      </c>
      <c r="C365" s="15" t="s">
        <v>19</v>
      </c>
      <c r="D365" s="15" t="s">
        <v>31</v>
      </c>
      <c r="E365" s="15">
        <v>18</v>
      </c>
      <c r="F365" s="15">
        <v>10</v>
      </c>
      <c r="G365" s="15" t="s">
        <v>43</v>
      </c>
      <c r="H365" s="15" t="s">
        <v>37</v>
      </c>
      <c r="I365" s="15" t="s">
        <v>710</v>
      </c>
      <c r="J365" s="15">
        <v>89</v>
      </c>
    </row>
    <row r="366" spans="1:10" x14ac:dyDescent="0.3">
      <c r="A366" s="15" t="s">
        <v>711</v>
      </c>
      <c r="B366" s="15" t="s">
        <v>29</v>
      </c>
      <c r="C366" s="15" t="s">
        <v>79</v>
      </c>
      <c r="D366" s="15" t="s">
        <v>13</v>
      </c>
      <c r="E366" s="15">
        <v>14</v>
      </c>
      <c r="F366" s="15">
        <v>9</v>
      </c>
      <c r="G366" s="15" t="s">
        <v>32</v>
      </c>
      <c r="H366" s="15" t="s">
        <v>15</v>
      </c>
      <c r="I366" s="15" t="s">
        <v>712</v>
      </c>
      <c r="J366" s="15">
        <v>72</v>
      </c>
    </row>
    <row r="367" spans="1:10" x14ac:dyDescent="0.3">
      <c r="A367" s="15" t="s">
        <v>713</v>
      </c>
      <c r="B367" s="15" t="s">
        <v>29</v>
      </c>
      <c r="C367" s="15" t="s">
        <v>24</v>
      </c>
      <c r="D367" s="15" t="s">
        <v>31</v>
      </c>
      <c r="E367" s="15">
        <v>16</v>
      </c>
      <c r="F367" s="15">
        <v>12</v>
      </c>
      <c r="G367" s="15" t="s">
        <v>32</v>
      </c>
      <c r="H367" s="15" t="s">
        <v>26</v>
      </c>
      <c r="I367" s="15" t="s">
        <v>714</v>
      </c>
      <c r="J367" s="15">
        <v>57</v>
      </c>
    </row>
    <row r="368" spans="1:10" x14ac:dyDescent="0.3">
      <c r="A368" s="15" t="s">
        <v>715</v>
      </c>
      <c r="B368" s="15" t="s">
        <v>51</v>
      </c>
      <c r="C368" s="15" t="s">
        <v>79</v>
      </c>
      <c r="D368" s="15" t="s">
        <v>13</v>
      </c>
      <c r="E368" s="15">
        <v>19</v>
      </c>
      <c r="F368" s="15">
        <v>10</v>
      </c>
      <c r="G368" s="15" t="s">
        <v>32</v>
      </c>
      <c r="H368" s="15" t="s">
        <v>40</v>
      </c>
      <c r="I368" s="15" t="s">
        <v>702</v>
      </c>
      <c r="J368" s="15">
        <v>84</v>
      </c>
    </row>
    <row r="369" spans="1:10" x14ac:dyDescent="0.3">
      <c r="A369" s="15" t="s">
        <v>716</v>
      </c>
      <c r="B369" s="15" t="s">
        <v>23</v>
      </c>
      <c r="C369" s="15" t="s">
        <v>58</v>
      </c>
      <c r="D369" s="15" t="s">
        <v>31</v>
      </c>
      <c r="E369" s="15">
        <v>17</v>
      </c>
      <c r="F369" s="15">
        <v>9</v>
      </c>
      <c r="G369" s="15" t="s">
        <v>25</v>
      </c>
      <c r="H369" s="15" t="s">
        <v>15</v>
      </c>
      <c r="I369" s="15" t="s">
        <v>717</v>
      </c>
      <c r="J369" s="15">
        <v>51</v>
      </c>
    </row>
    <row r="370" spans="1:10" x14ac:dyDescent="0.3">
      <c r="A370" s="15" t="s">
        <v>718</v>
      </c>
      <c r="B370" s="15" t="s">
        <v>84</v>
      </c>
      <c r="C370" s="15" t="s">
        <v>12</v>
      </c>
      <c r="D370" s="15" t="s">
        <v>31</v>
      </c>
      <c r="E370" s="15">
        <v>20</v>
      </c>
      <c r="F370" s="15">
        <v>10</v>
      </c>
      <c r="G370" s="15" t="s">
        <v>25</v>
      </c>
      <c r="H370" s="15" t="s">
        <v>61</v>
      </c>
      <c r="I370" s="15" t="s">
        <v>639</v>
      </c>
      <c r="J370" s="15">
        <v>35</v>
      </c>
    </row>
    <row r="371" spans="1:10" x14ac:dyDescent="0.3">
      <c r="A371" s="15" t="s">
        <v>719</v>
      </c>
      <c r="B371" s="15" t="s">
        <v>18</v>
      </c>
      <c r="C371" s="15" t="s">
        <v>24</v>
      </c>
      <c r="D371" s="15" t="s">
        <v>31</v>
      </c>
      <c r="E371" s="15">
        <v>18</v>
      </c>
      <c r="F371" s="15">
        <v>11</v>
      </c>
      <c r="G371" s="15" t="s">
        <v>43</v>
      </c>
      <c r="H371" s="15" t="s">
        <v>40</v>
      </c>
      <c r="I371" s="15" t="s">
        <v>720</v>
      </c>
      <c r="J371" s="15">
        <v>83</v>
      </c>
    </row>
    <row r="372" spans="1:10" x14ac:dyDescent="0.3">
      <c r="A372" s="15" t="s">
        <v>721</v>
      </c>
      <c r="B372" s="15" t="s">
        <v>23</v>
      </c>
      <c r="C372" s="15" t="s">
        <v>19</v>
      </c>
      <c r="D372" s="15" t="s">
        <v>31</v>
      </c>
      <c r="E372" s="15">
        <v>18</v>
      </c>
      <c r="F372" s="15">
        <v>10</v>
      </c>
      <c r="G372" s="15" t="s">
        <v>14</v>
      </c>
      <c r="H372" s="15" t="s">
        <v>26</v>
      </c>
      <c r="I372" s="15" t="s">
        <v>722</v>
      </c>
      <c r="J372" s="15">
        <v>43</v>
      </c>
    </row>
    <row r="373" spans="1:10" x14ac:dyDescent="0.3">
      <c r="A373" s="15" t="s">
        <v>723</v>
      </c>
      <c r="B373" s="15" t="s">
        <v>68</v>
      </c>
      <c r="C373" s="15" t="s">
        <v>79</v>
      </c>
      <c r="D373" s="15" t="s">
        <v>31</v>
      </c>
      <c r="E373" s="15">
        <v>19</v>
      </c>
      <c r="F373" s="15">
        <v>12</v>
      </c>
      <c r="G373" s="15" t="s">
        <v>25</v>
      </c>
      <c r="H373" s="15" t="s">
        <v>40</v>
      </c>
      <c r="I373" s="15" t="s">
        <v>724</v>
      </c>
      <c r="J373" s="15">
        <v>65</v>
      </c>
    </row>
    <row r="374" spans="1:10" x14ac:dyDescent="0.3">
      <c r="A374" s="15" t="s">
        <v>725</v>
      </c>
      <c r="B374" s="15" t="s">
        <v>11</v>
      </c>
      <c r="C374" s="15" t="s">
        <v>55</v>
      </c>
      <c r="D374" s="15" t="s">
        <v>31</v>
      </c>
      <c r="E374" s="15">
        <v>15</v>
      </c>
      <c r="F374" s="15">
        <v>9</v>
      </c>
      <c r="G374" s="15" t="s">
        <v>25</v>
      </c>
      <c r="H374" s="15" t="s">
        <v>37</v>
      </c>
      <c r="I374" s="15" t="s">
        <v>726</v>
      </c>
      <c r="J374" s="15">
        <v>72</v>
      </c>
    </row>
    <row r="375" spans="1:10" x14ac:dyDescent="0.3">
      <c r="A375" s="15" t="s">
        <v>727</v>
      </c>
      <c r="B375" s="15" t="s">
        <v>68</v>
      </c>
      <c r="C375" s="15" t="s">
        <v>12</v>
      </c>
      <c r="D375" s="15" t="s">
        <v>13</v>
      </c>
      <c r="E375" s="15">
        <v>14</v>
      </c>
      <c r="F375" s="15">
        <v>9</v>
      </c>
      <c r="G375" s="15" t="s">
        <v>14</v>
      </c>
      <c r="H375" s="15" t="s">
        <v>20</v>
      </c>
      <c r="I375" s="15" t="s">
        <v>728</v>
      </c>
      <c r="J375" s="15">
        <v>68</v>
      </c>
    </row>
    <row r="376" spans="1:10" x14ac:dyDescent="0.3">
      <c r="A376" s="15" t="s">
        <v>729</v>
      </c>
      <c r="B376" s="15" t="s">
        <v>35</v>
      </c>
      <c r="C376" s="15" t="s">
        <v>79</v>
      </c>
      <c r="D376" s="15" t="s">
        <v>13</v>
      </c>
      <c r="E376" s="15">
        <v>15</v>
      </c>
      <c r="F376" s="15">
        <v>9</v>
      </c>
      <c r="G376" s="15" t="s">
        <v>43</v>
      </c>
      <c r="H376" s="15" t="s">
        <v>76</v>
      </c>
      <c r="I376" s="15" t="s">
        <v>730</v>
      </c>
      <c r="J376" s="15">
        <v>39</v>
      </c>
    </row>
    <row r="377" spans="1:10" x14ac:dyDescent="0.3">
      <c r="A377" s="15" t="s">
        <v>731</v>
      </c>
      <c r="B377" s="15" t="s">
        <v>84</v>
      </c>
      <c r="C377" s="15" t="s">
        <v>85</v>
      </c>
      <c r="D377" s="15" t="s">
        <v>31</v>
      </c>
      <c r="E377" s="15">
        <v>17</v>
      </c>
      <c r="F377" s="15">
        <v>9</v>
      </c>
      <c r="G377" s="15" t="s">
        <v>43</v>
      </c>
      <c r="H377" s="15" t="s">
        <v>76</v>
      </c>
      <c r="I377" s="15" t="s">
        <v>732</v>
      </c>
      <c r="J377" s="15">
        <v>97</v>
      </c>
    </row>
    <row r="378" spans="1:10" x14ac:dyDescent="0.3">
      <c r="A378" s="15" t="s">
        <v>733</v>
      </c>
      <c r="B378" s="15" t="s">
        <v>84</v>
      </c>
      <c r="C378" s="15" t="s">
        <v>85</v>
      </c>
      <c r="D378" s="15" t="s">
        <v>31</v>
      </c>
      <c r="E378" s="15">
        <v>17</v>
      </c>
      <c r="F378" s="15">
        <v>12</v>
      </c>
      <c r="G378" s="15" t="s">
        <v>43</v>
      </c>
      <c r="H378" s="15" t="s">
        <v>15</v>
      </c>
      <c r="I378" s="15" t="s">
        <v>734</v>
      </c>
      <c r="J378" s="15">
        <v>77</v>
      </c>
    </row>
    <row r="379" spans="1:10" x14ac:dyDescent="0.3">
      <c r="A379" s="15" t="s">
        <v>735</v>
      </c>
      <c r="B379" s="15" t="s">
        <v>68</v>
      </c>
      <c r="C379" s="15" t="s">
        <v>24</v>
      </c>
      <c r="D379" s="15" t="s">
        <v>31</v>
      </c>
      <c r="E379" s="15">
        <v>16</v>
      </c>
      <c r="F379" s="15">
        <v>12</v>
      </c>
      <c r="G379" s="15" t="s">
        <v>43</v>
      </c>
      <c r="H379" s="15" t="s">
        <v>26</v>
      </c>
      <c r="I379" s="15" t="s">
        <v>736</v>
      </c>
      <c r="J379" s="15">
        <v>85</v>
      </c>
    </row>
    <row r="380" spans="1:10" x14ac:dyDescent="0.3">
      <c r="A380" s="15" t="s">
        <v>737</v>
      </c>
      <c r="B380" s="15" t="s">
        <v>54</v>
      </c>
      <c r="C380" s="15" t="s">
        <v>96</v>
      </c>
      <c r="D380" s="15" t="s">
        <v>13</v>
      </c>
      <c r="E380" s="15">
        <v>19</v>
      </c>
      <c r="F380" s="15">
        <v>12</v>
      </c>
      <c r="G380" s="15" t="s">
        <v>25</v>
      </c>
      <c r="H380" s="15" t="s">
        <v>20</v>
      </c>
      <c r="I380" s="15" t="s">
        <v>738</v>
      </c>
      <c r="J380" s="15">
        <v>85</v>
      </c>
    </row>
    <row r="381" spans="1:10" x14ac:dyDescent="0.3">
      <c r="A381" s="15" t="s">
        <v>739</v>
      </c>
      <c r="B381" s="15" t="s">
        <v>18</v>
      </c>
      <c r="C381" s="15" t="s">
        <v>79</v>
      </c>
      <c r="D381" s="15" t="s">
        <v>31</v>
      </c>
      <c r="E381" s="15">
        <v>14</v>
      </c>
      <c r="F381" s="15">
        <v>10</v>
      </c>
      <c r="G381" s="15" t="s">
        <v>32</v>
      </c>
      <c r="H381" s="15" t="s">
        <v>20</v>
      </c>
      <c r="I381" s="15" t="s">
        <v>740</v>
      </c>
      <c r="J381" s="15">
        <v>99</v>
      </c>
    </row>
    <row r="382" spans="1:10" x14ac:dyDescent="0.3">
      <c r="A382" s="15" t="s">
        <v>741</v>
      </c>
      <c r="B382" s="15" t="s">
        <v>54</v>
      </c>
      <c r="C382" s="15" t="s">
        <v>24</v>
      </c>
      <c r="D382" s="15" t="s">
        <v>13</v>
      </c>
      <c r="E382" s="15">
        <v>14</v>
      </c>
      <c r="F382" s="15">
        <v>9</v>
      </c>
      <c r="G382" s="15" t="s">
        <v>14</v>
      </c>
      <c r="H382" s="15" t="s">
        <v>76</v>
      </c>
      <c r="I382" s="15" t="s">
        <v>742</v>
      </c>
      <c r="J382" s="15">
        <v>55</v>
      </c>
    </row>
    <row r="383" spans="1:10" x14ac:dyDescent="0.3">
      <c r="A383" s="15" t="s">
        <v>743</v>
      </c>
      <c r="B383" s="15" t="s">
        <v>84</v>
      </c>
      <c r="C383" s="15" t="s">
        <v>19</v>
      </c>
      <c r="D383" s="15" t="s">
        <v>13</v>
      </c>
      <c r="E383" s="15">
        <v>15</v>
      </c>
      <c r="F383" s="15">
        <v>10</v>
      </c>
      <c r="G383" s="15" t="s">
        <v>43</v>
      </c>
      <c r="H383" s="15" t="s">
        <v>26</v>
      </c>
      <c r="I383" s="15" t="s">
        <v>744</v>
      </c>
      <c r="J383" s="15">
        <v>60</v>
      </c>
    </row>
    <row r="384" spans="1:10" x14ac:dyDescent="0.3">
      <c r="A384" s="15" t="s">
        <v>745</v>
      </c>
      <c r="B384" s="15" t="s">
        <v>73</v>
      </c>
      <c r="C384" s="15" t="s">
        <v>36</v>
      </c>
      <c r="D384" s="15" t="s">
        <v>13</v>
      </c>
      <c r="E384" s="15">
        <v>16</v>
      </c>
      <c r="F384" s="15">
        <v>9</v>
      </c>
      <c r="G384" s="15" t="s">
        <v>32</v>
      </c>
      <c r="H384" s="15" t="s">
        <v>76</v>
      </c>
      <c r="I384" s="15" t="s">
        <v>746</v>
      </c>
      <c r="J384" s="15">
        <v>38</v>
      </c>
    </row>
    <row r="385" spans="1:10" x14ac:dyDescent="0.3">
      <c r="A385" s="15" t="s">
        <v>747</v>
      </c>
      <c r="B385" s="15" t="s">
        <v>51</v>
      </c>
      <c r="C385" s="15" t="s">
        <v>96</v>
      </c>
      <c r="D385" s="15" t="s">
        <v>13</v>
      </c>
      <c r="E385" s="15">
        <v>17</v>
      </c>
      <c r="F385" s="15">
        <v>12</v>
      </c>
      <c r="G385" s="15" t="s">
        <v>14</v>
      </c>
      <c r="H385" s="15" t="s">
        <v>26</v>
      </c>
      <c r="I385" s="15" t="s">
        <v>748</v>
      </c>
      <c r="J385" s="15">
        <v>67</v>
      </c>
    </row>
    <row r="386" spans="1:10" x14ac:dyDescent="0.3">
      <c r="A386" s="15" t="s">
        <v>749</v>
      </c>
      <c r="B386" s="15" t="s">
        <v>84</v>
      </c>
      <c r="C386" s="15" t="s">
        <v>30</v>
      </c>
      <c r="D386" s="15" t="s">
        <v>13</v>
      </c>
      <c r="E386" s="15">
        <v>15</v>
      </c>
      <c r="F386" s="15">
        <v>12</v>
      </c>
      <c r="G386" s="15" t="s">
        <v>25</v>
      </c>
      <c r="H386" s="15" t="s">
        <v>61</v>
      </c>
      <c r="I386" s="15" t="s">
        <v>750</v>
      </c>
      <c r="J386" s="15">
        <v>95</v>
      </c>
    </row>
    <row r="387" spans="1:10" x14ac:dyDescent="0.3">
      <c r="A387" s="15" t="s">
        <v>751</v>
      </c>
      <c r="B387" s="15" t="s">
        <v>73</v>
      </c>
      <c r="C387" s="15" t="s">
        <v>79</v>
      </c>
      <c r="D387" s="15" t="s">
        <v>31</v>
      </c>
      <c r="E387" s="15">
        <v>20</v>
      </c>
      <c r="F387" s="15">
        <v>12</v>
      </c>
      <c r="G387" s="15" t="s">
        <v>25</v>
      </c>
      <c r="H387" s="15" t="s">
        <v>76</v>
      </c>
      <c r="I387" s="15" t="s">
        <v>752</v>
      </c>
      <c r="J387" s="15">
        <v>91</v>
      </c>
    </row>
    <row r="388" spans="1:10" x14ac:dyDescent="0.3">
      <c r="A388" s="15" t="s">
        <v>753</v>
      </c>
      <c r="B388" s="15" t="s">
        <v>73</v>
      </c>
      <c r="C388" s="15" t="s">
        <v>24</v>
      </c>
      <c r="D388" s="15" t="s">
        <v>13</v>
      </c>
      <c r="E388" s="15">
        <v>18</v>
      </c>
      <c r="F388" s="15">
        <v>11</v>
      </c>
      <c r="G388" s="15" t="s">
        <v>32</v>
      </c>
      <c r="H388" s="15" t="s">
        <v>40</v>
      </c>
      <c r="I388" s="15" t="s">
        <v>313</v>
      </c>
      <c r="J388" s="15">
        <v>58</v>
      </c>
    </row>
    <row r="389" spans="1:10" x14ac:dyDescent="0.3">
      <c r="A389" s="15" t="s">
        <v>754</v>
      </c>
      <c r="B389" s="15" t="s">
        <v>54</v>
      </c>
      <c r="C389" s="15" t="s">
        <v>12</v>
      </c>
      <c r="D389" s="15" t="s">
        <v>13</v>
      </c>
      <c r="E389" s="15">
        <v>14</v>
      </c>
      <c r="F389" s="15">
        <v>12</v>
      </c>
      <c r="G389" s="15" t="s">
        <v>32</v>
      </c>
      <c r="H389" s="15" t="s">
        <v>20</v>
      </c>
      <c r="I389" s="15" t="s">
        <v>755</v>
      </c>
      <c r="J389" s="15">
        <v>98</v>
      </c>
    </row>
    <row r="390" spans="1:10" x14ac:dyDescent="0.3">
      <c r="A390" s="15" t="s">
        <v>756</v>
      </c>
      <c r="B390" s="15" t="s">
        <v>11</v>
      </c>
      <c r="C390" s="15" t="s">
        <v>30</v>
      </c>
      <c r="D390" s="15" t="s">
        <v>13</v>
      </c>
      <c r="E390" s="15">
        <v>15</v>
      </c>
      <c r="F390" s="15">
        <v>11</v>
      </c>
      <c r="G390" s="15" t="s">
        <v>14</v>
      </c>
      <c r="H390" s="15" t="s">
        <v>76</v>
      </c>
      <c r="I390" s="15" t="s">
        <v>757</v>
      </c>
      <c r="J390" s="15">
        <v>39</v>
      </c>
    </row>
    <row r="391" spans="1:10" x14ac:dyDescent="0.3">
      <c r="A391" s="15" t="s">
        <v>758</v>
      </c>
      <c r="B391" s="15" t="s">
        <v>73</v>
      </c>
      <c r="C391" s="15" t="s">
        <v>12</v>
      </c>
      <c r="D391" s="15" t="s">
        <v>31</v>
      </c>
      <c r="E391" s="15">
        <v>16</v>
      </c>
      <c r="F391" s="15">
        <v>11</v>
      </c>
      <c r="G391" s="15" t="s">
        <v>43</v>
      </c>
      <c r="H391" s="15" t="s">
        <v>40</v>
      </c>
      <c r="I391" s="15" t="s">
        <v>759</v>
      </c>
      <c r="J391" s="15">
        <v>70</v>
      </c>
    </row>
    <row r="392" spans="1:10" x14ac:dyDescent="0.3">
      <c r="A392" s="15" t="s">
        <v>760</v>
      </c>
      <c r="B392" s="15" t="s">
        <v>84</v>
      </c>
      <c r="C392" s="15" t="s">
        <v>96</v>
      </c>
      <c r="D392" s="15" t="s">
        <v>31</v>
      </c>
      <c r="E392" s="15">
        <v>16</v>
      </c>
      <c r="F392" s="15">
        <v>11</v>
      </c>
      <c r="G392" s="15" t="s">
        <v>32</v>
      </c>
      <c r="H392" s="15" t="s">
        <v>76</v>
      </c>
      <c r="I392" s="15" t="s">
        <v>761</v>
      </c>
      <c r="J392" s="15">
        <v>83</v>
      </c>
    </row>
    <row r="393" spans="1:10" x14ac:dyDescent="0.3">
      <c r="A393" s="15" t="s">
        <v>762</v>
      </c>
      <c r="B393" s="15" t="s">
        <v>68</v>
      </c>
      <c r="C393" s="15" t="s">
        <v>85</v>
      </c>
      <c r="D393" s="15" t="s">
        <v>31</v>
      </c>
      <c r="E393" s="15">
        <v>20</v>
      </c>
      <c r="F393" s="15">
        <v>12</v>
      </c>
      <c r="G393" s="15" t="s">
        <v>43</v>
      </c>
      <c r="H393" s="15" t="s">
        <v>20</v>
      </c>
      <c r="I393" s="15" t="s">
        <v>763</v>
      </c>
      <c r="J393" s="15">
        <v>82</v>
      </c>
    </row>
    <row r="394" spans="1:10" x14ac:dyDescent="0.3">
      <c r="A394" s="15" t="s">
        <v>764</v>
      </c>
      <c r="B394" s="15" t="s">
        <v>18</v>
      </c>
      <c r="C394" s="15" t="s">
        <v>55</v>
      </c>
      <c r="D394" s="15" t="s">
        <v>13</v>
      </c>
      <c r="E394" s="15">
        <v>16</v>
      </c>
      <c r="F394" s="15">
        <v>12</v>
      </c>
      <c r="G394" s="15" t="s">
        <v>14</v>
      </c>
      <c r="H394" s="15" t="s">
        <v>40</v>
      </c>
      <c r="I394" s="15" t="s">
        <v>765</v>
      </c>
      <c r="J394" s="15">
        <v>61</v>
      </c>
    </row>
    <row r="395" spans="1:10" x14ac:dyDescent="0.3">
      <c r="A395" s="15" t="s">
        <v>766</v>
      </c>
      <c r="B395" s="15" t="s">
        <v>35</v>
      </c>
      <c r="C395" s="15" t="s">
        <v>58</v>
      </c>
      <c r="D395" s="15" t="s">
        <v>13</v>
      </c>
      <c r="E395" s="15">
        <v>20</v>
      </c>
      <c r="F395" s="15">
        <v>11</v>
      </c>
      <c r="G395" s="15" t="s">
        <v>32</v>
      </c>
      <c r="H395" s="15" t="s">
        <v>46</v>
      </c>
      <c r="I395" s="15" t="s">
        <v>767</v>
      </c>
      <c r="J395" s="15">
        <v>54</v>
      </c>
    </row>
    <row r="396" spans="1:10" x14ac:dyDescent="0.3">
      <c r="A396" s="15" t="s">
        <v>768</v>
      </c>
      <c r="B396" s="15" t="s">
        <v>23</v>
      </c>
      <c r="C396" s="15" t="s">
        <v>24</v>
      </c>
      <c r="D396" s="15" t="s">
        <v>13</v>
      </c>
      <c r="E396" s="15">
        <v>17</v>
      </c>
      <c r="F396" s="15">
        <v>11</v>
      </c>
      <c r="G396" s="15" t="s">
        <v>25</v>
      </c>
      <c r="H396" s="15" t="s">
        <v>40</v>
      </c>
      <c r="I396" s="15" t="s">
        <v>258</v>
      </c>
      <c r="J396" s="15">
        <v>61</v>
      </c>
    </row>
    <row r="397" spans="1:10" x14ac:dyDescent="0.3">
      <c r="A397" s="15" t="s">
        <v>769</v>
      </c>
      <c r="B397" s="15" t="s">
        <v>35</v>
      </c>
      <c r="C397" s="15" t="s">
        <v>30</v>
      </c>
      <c r="D397" s="15" t="s">
        <v>13</v>
      </c>
      <c r="E397" s="15">
        <v>16</v>
      </c>
      <c r="F397" s="15">
        <v>11</v>
      </c>
      <c r="G397" s="15" t="s">
        <v>32</v>
      </c>
      <c r="H397" s="15" t="s">
        <v>46</v>
      </c>
      <c r="I397" s="15" t="s">
        <v>770</v>
      </c>
      <c r="J397" s="15">
        <v>85</v>
      </c>
    </row>
    <row r="398" spans="1:10" x14ac:dyDescent="0.3">
      <c r="A398" s="15" t="s">
        <v>771</v>
      </c>
      <c r="B398" s="15" t="s">
        <v>23</v>
      </c>
      <c r="C398" s="15" t="s">
        <v>24</v>
      </c>
      <c r="D398" s="15" t="s">
        <v>31</v>
      </c>
      <c r="E398" s="15">
        <v>18</v>
      </c>
      <c r="F398" s="15">
        <v>11</v>
      </c>
      <c r="G398" s="15" t="s">
        <v>25</v>
      </c>
      <c r="H398" s="15" t="s">
        <v>46</v>
      </c>
      <c r="I398" s="15" t="s">
        <v>772</v>
      </c>
      <c r="J398" s="15">
        <v>89</v>
      </c>
    </row>
    <row r="399" spans="1:10" x14ac:dyDescent="0.3">
      <c r="A399" s="15" t="s">
        <v>773</v>
      </c>
      <c r="B399" s="15" t="s">
        <v>68</v>
      </c>
      <c r="C399" s="15" t="s">
        <v>19</v>
      </c>
      <c r="D399" s="15" t="s">
        <v>13</v>
      </c>
      <c r="E399" s="15">
        <v>14</v>
      </c>
      <c r="F399" s="15">
        <v>11</v>
      </c>
      <c r="G399" s="15" t="s">
        <v>14</v>
      </c>
      <c r="H399" s="15" t="s">
        <v>20</v>
      </c>
      <c r="I399" s="15" t="s">
        <v>774</v>
      </c>
      <c r="J399" s="15">
        <v>72</v>
      </c>
    </row>
    <row r="400" spans="1:10" x14ac:dyDescent="0.3">
      <c r="A400" s="15" t="s">
        <v>775</v>
      </c>
      <c r="B400" s="15" t="s">
        <v>29</v>
      </c>
      <c r="C400" s="15" t="s">
        <v>85</v>
      </c>
      <c r="D400" s="15" t="s">
        <v>31</v>
      </c>
      <c r="E400" s="15">
        <v>20</v>
      </c>
      <c r="F400" s="15">
        <v>10</v>
      </c>
      <c r="G400" s="15" t="s">
        <v>14</v>
      </c>
      <c r="H400" s="15" t="s">
        <v>46</v>
      </c>
      <c r="I400" s="15" t="s">
        <v>366</v>
      </c>
      <c r="J400" s="15">
        <v>100</v>
      </c>
    </row>
    <row r="401" spans="1:10" x14ac:dyDescent="0.3">
      <c r="A401" s="15" t="s">
        <v>776</v>
      </c>
      <c r="B401" s="15" t="s">
        <v>11</v>
      </c>
      <c r="C401" s="15" t="s">
        <v>12</v>
      </c>
      <c r="D401" s="15" t="s">
        <v>31</v>
      </c>
      <c r="E401" s="15">
        <v>20</v>
      </c>
      <c r="F401" s="15">
        <v>9</v>
      </c>
      <c r="G401" s="15" t="s">
        <v>14</v>
      </c>
      <c r="H401" s="15" t="s">
        <v>76</v>
      </c>
      <c r="I401" s="15" t="s">
        <v>777</v>
      </c>
      <c r="J401" s="15">
        <v>84</v>
      </c>
    </row>
    <row r="402" spans="1:10" x14ac:dyDescent="0.3">
      <c r="A402" s="15" t="s">
        <v>778</v>
      </c>
      <c r="B402" s="15" t="s">
        <v>73</v>
      </c>
      <c r="C402" s="15" t="s">
        <v>19</v>
      </c>
      <c r="D402" s="15" t="s">
        <v>13</v>
      </c>
      <c r="E402" s="15">
        <v>17</v>
      </c>
      <c r="F402" s="15">
        <v>12</v>
      </c>
      <c r="G402" s="15" t="s">
        <v>14</v>
      </c>
      <c r="H402" s="15" t="s">
        <v>37</v>
      </c>
      <c r="I402" s="15" t="s">
        <v>779</v>
      </c>
      <c r="J402" s="15">
        <v>76</v>
      </c>
    </row>
    <row r="403" spans="1:10" x14ac:dyDescent="0.3">
      <c r="A403" s="15" t="s">
        <v>780</v>
      </c>
      <c r="B403" s="15" t="s">
        <v>35</v>
      </c>
      <c r="C403" s="15" t="s">
        <v>36</v>
      </c>
      <c r="D403" s="15" t="s">
        <v>31</v>
      </c>
      <c r="E403" s="15">
        <v>14</v>
      </c>
      <c r="F403" s="15">
        <v>9</v>
      </c>
      <c r="G403" s="15" t="s">
        <v>25</v>
      </c>
      <c r="H403" s="15" t="s">
        <v>40</v>
      </c>
      <c r="I403" s="15" t="s">
        <v>781</v>
      </c>
      <c r="J403" s="15">
        <v>36</v>
      </c>
    </row>
    <row r="404" spans="1:10" x14ac:dyDescent="0.3">
      <c r="A404" s="15" t="s">
        <v>782</v>
      </c>
      <c r="B404" s="15" t="s">
        <v>84</v>
      </c>
      <c r="C404" s="15" t="s">
        <v>12</v>
      </c>
      <c r="D404" s="15" t="s">
        <v>31</v>
      </c>
      <c r="E404" s="15">
        <v>14</v>
      </c>
      <c r="F404" s="15">
        <v>11</v>
      </c>
      <c r="G404" s="15" t="s">
        <v>14</v>
      </c>
      <c r="H404" s="15" t="s">
        <v>37</v>
      </c>
      <c r="I404" s="15" t="s">
        <v>252</v>
      </c>
      <c r="J404" s="15">
        <v>95</v>
      </c>
    </row>
    <row r="405" spans="1:10" x14ac:dyDescent="0.3">
      <c r="A405" s="15" t="s">
        <v>783</v>
      </c>
      <c r="B405" s="15" t="s">
        <v>54</v>
      </c>
      <c r="C405" s="15" t="s">
        <v>79</v>
      </c>
      <c r="D405" s="15" t="s">
        <v>31</v>
      </c>
      <c r="E405" s="15">
        <v>15</v>
      </c>
      <c r="F405" s="15">
        <v>11</v>
      </c>
      <c r="G405" s="15" t="s">
        <v>25</v>
      </c>
      <c r="H405" s="15" t="s">
        <v>61</v>
      </c>
      <c r="I405" s="15" t="s">
        <v>628</v>
      </c>
      <c r="J405" s="15">
        <v>39</v>
      </c>
    </row>
    <row r="406" spans="1:10" x14ac:dyDescent="0.3">
      <c r="A406" s="15" t="s">
        <v>784</v>
      </c>
      <c r="B406" s="15" t="s">
        <v>84</v>
      </c>
      <c r="C406" s="15" t="s">
        <v>12</v>
      </c>
      <c r="D406" s="15" t="s">
        <v>13</v>
      </c>
      <c r="E406" s="15">
        <v>17</v>
      </c>
      <c r="F406" s="15">
        <v>9</v>
      </c>
      <c r="G406" s="15" t="s">
        <v>43</v>
      </c>
      <c r="H406" s="15" t="s">
        <v>76</v>
      </c>
      <c r="I406" s="15" t="s">
        <v>685</v>
      </c>
      <c r="J406" s="15">
        <v>89</v>
      </c>
    </row>
    <row r="407" spans="1:10" x14ac:dyDescent="0.3">
      <c r="A407" s="15" t="s">
        <v>785</v>
      </c>
      <c r="B407" s="15" t="s">
        <v>35</v>
      </c>
      <c r="C407" s="15" t="s">
        <v>58</v>
      </c>
      <c r="D407" s="15" t="s">
        <v>13</v>
      </c>
      <c r="E407" s="15">
        <v>18</v>
      </c>
      <c r="F407" s="15">
        <v>12</v>
      </c>
      <c r="G407" s="15" t="s">
        <v>43</v>
      </c>
      <c r="H407" s="15" t="s">
        <v>20</v>
      </c>
      <c r="I407" s="15" t="s">
        <v>786</v>
      </c>
      <c r="J407" s="15">
        <v>93</v>
      </c>
    </row>
    <row r="408" spans="1:10" x14ac:dyDescent="0.3">
      <c r="A408" s="15" t="s">
        <v>787</v>
      </c>
      <c r="B408" s="15" t="s">
        <v>18</v>
      </c>
      <c r="C408" s="15" t="s">
        <v>36</v>
      </c>
      <c r="D408" s="15" t="s">
        <v>31</v>
      </c>
      <c r="E408" s="15">
        <v>16</v>
      </c>
      <c r="F408" s="15">
        <v>9</v>
      </c>
      <c r="G408" s="15" t="s">
        <v>14</v>
      </c>
      <c r="H408" s="15" t="s">
        <v>76</v>
      </c>
      <c r="I408" s="15" t="s">
        <v>788</v>
      </c>
      <c r="J408" s="15">
        <v>88</v>
      </c>
    </row>
    <row r="409" spans="1:10" x14ac:dyDescent="0.3">
      <c r="A409" s="15" t="s">
        <v>789</v>
      </c>
      <c r="B409" s="15" t="s">
        <v>54</v>
      </c>
      <c r="C409" s="15" t="s">
        <v>12</v>
      </c>
      <c r="D409" s="15" t="s">
        <v>31</v>
      </c>
      <c r="E409" s="15">
        <v>18</v>
      </c>
      <c r="F409" s="15">
        <v>10</v>
      </c>
      <c r="G409" s="15" t="s">
        <v>25</v>
      </c>
      <c r="H409" s="15" t="s">
        <v>15</v>
      </c>
      <c r="I409" s="15" t="s">
        <v>790</v>
      </c>
      <c r="J409" s="15">
        <v>95</v>
      </c>
    </row>
    <row r="410" spans="1:10" x14ac:dyDescent="0.3">
      <c r="A410" s="15" t="s">
        <v>791</v>
      </c>
      <c r="B410" s="15" t="s">
        <v>51</v>
      </c>
      <c r="C410" s="15" t="s">
        <v>85</v>
      </c>
      <c r="D410" s="15" t="s">
        <v>13</v>
      </c>
      <c r="E410" s="15">
        <v>14</v>
      </c>
      <c r="F410" s="15">
        <v>9</v>
      </c>
      <c r="G410" s="15" t="s">
        <v>43</v>
      </c>
      <c r="H410" s="15" t="s">
        <v>61</v>
      </c>
      <c r="I410" s="15" t="s">
        <v>792</v>
      </c>
      <c r="J410" s="15">
        <v>96</v>
      </c>
    </row>
    <row r="411" spans="1:10" x14ac:dyDescent="0.3">
      <c r="A411" s="15" t="s">
        <v>793</v>
      </c>
      <c r="B411" s="15" t="s">
        <v>35</v>
      </c>
      <c r="C411" s="15" t="s">
        <v>19</v>
      </c>
      <c r="D411" s="15" t="s">
        <v>31</v>
      </c>
      <c r="E411" s="15">
        <v>20</v>
      </c>
      <c r="F411" s="15">
        <v>11</v>
      </c>
      <c r="G411" s="15" t="s">
        <v>32</v>
      </c>
      <c r="H411" s="15" t="s">
        <v>20</v>
      </c>
      <c r="I411" s="15" t="s">
        <v>794</v>
      </c>
      <c r="J411" s="15">
        <v>74</v>
      </c>
    </row>
    <row r="412" spans="1:10" x14ac:dyDescent="0.3">
      <c r="A412" s="15" t="s">
        <v>795</v>
      </c>
      <c r="B412" s="15" t="s">
        <v>54</v>
      </c>
      <c r="C412" s="15" t="s">
        <v>30</v>
      </c>
      <c r="D412" s="15" t="s">
        <v>13</v>
      </c>
      <c r="E412" s="15">
        <v>18</v>
      </c>
      <c r="F412" s="15">
        <v>12</v>
      </c>
      <c r="G412" s="15" t="s">
        <v>32</v>
      </c>
      <c r="H412" s="15" t="s">
        <v>20</v>
      </c>
      <c r="I412" s="15" t="s">
        <v>796</v>
      </c>
      <c r="J412" s="15">
        <v>55</v>
      </c>
    </row>
    <row r="413" spans="1:10" x14ac:dyDescent="0.3">
      <c r="A413" s="15" t="s">
        <v>797</v>
      </c>
      <c r="B413" s="15" t="s">
        <v>23</v>
      </c>
      <c r="C413" s="15" t="s">
        <v>85</v>
      </c>
      <c r="D413" s="15" t="s">
        <v>13</v>
      </c>
      <c r="E413" s="15">
        <v>17</v>
      </c>
      <c r="F413" s="15">
        <v>12</v>
      </c>
      <c r="G413" s="15" t="s">
        <v>14</v>
      </c>
      <c r="H413" s="15" t="s">
        <v>76</v>
      </c>
      <c r="I413" s="15" t="s">
        <v>71</v>
      </c>
      <c r="J413" s="15">
        <v>77</v>
      </c>
    </row>
    <row r="414" spans="1:10" x14ac:dyDescent="0.3">
      <c r="A414" s="15" t="s">
        <v>798</v>
      </c>
      <c r="B414" s="15" t="s">
        <v>23</v>
      </c>
      <c r="C414" s="15" t="s">
        <v>19</v>
      </c>
      <c r="D414" s="15" t="s">
        <v>13</v>
      </c>
      <c r="E414" s="15">
        <v>17</v>
      </c>
      <c r="F414" s="15">
        <v>12</v>
      </c>
      <c r="G414" s="15" t="s">
        <v>14</v>
      </c>
      <c r="H414" s="15" t="s">
        <v>40</v>
      </c>
      <c r="I414" s="15" t="s">
        <v>159</v>
      </c>
      <c r="J414" s="15">
        <v>95</v>
      </c>
    </row>
    <row r="415" spans="1:10" x14ac:dyDescent="0.3">
      <c r="A415" s="15" t="s">
        <v>799</v>
      </c>
      <c r="B415" s="15" t="s">
        <v>54</v>
      </c>
      <c r="C415" s="15" t="s">
        <v>36</v>
      </c>
      <c r="D415" s="15" t="s">
        <v>31</v>
      </c>
      <c r="E415" s="15">
        <v>17</v>
      </c>
      <c r="F415" s="15">
        <v>12</v>
      </c>
      <c r="G415" s="15" t="s">
        <v>14</v>
      </c>
      <c r="H415" s="15" t="s">
        <v>46</v>
      </c>
      <c r="I415" s="15" t="s">
        <v>533</v>
      </c>
      <c r="J415" s="15">
        <v>59</v>
      </c>
    </row>
    <row r="416" spans="1:10" x14ac:dyDescent="0.3">
      <c r="A416" s="15" t="s">
        <v>800</v>
      </c>
      <c r="B416" s="15" t="s">
        <v>23</v>
      </c>
      <c r="C416" s="15" t="s">
        <v>79</v>
      </c>
      <c r="D416" s="15" t="s">
        <v>31</v>
      </c>
      <c r="E416" s="15">
        <v>18</v>
      </c>
      <c r="F416" s="15">
        <v>11</v>
      </c>
      <c r="G416" s="15" t="s">
        <v>32</v>
      </c>
      <c r="H416" s="15" t="s">
        <v>76</v>
      </c>
      <c r="I416" s="15" t="s">
        <v>801</v>
      </c>
      <c r="J416" s="15">
        <v>97</v>
      </c>
    </row>
    <row r="417" spans="1:10" x14ac:dyDescent="0.3">
      <c r="A417" s="15" t="s">
        <v>802</v>
      </c>
      <c r="B417" s="15" t="s">
        <v>29</v>
      </c>
      <c r="C417" s="15" t="s">
        <v>96</v>
      </c>
      <c r="D417" s="15" t="s">
        <v>13</v>
      </c>
      <c r="E417" s="15">
        <v>14</v>
      </c>
      <c r="F417" s="15">
        <v>10</v>
      </c>
      <c r="G417" s="15" t="s">
        <v>25</v>
      </c>
      <c r="H417" s="15" t="s">
        <v>61</v>
      </c>
      <c r="I417" s="15" t="s">
        <v>803</v>
      </c>
      <c r="J417" s="15">
        <v>89</v>
      </c>
    </row>
    <row r="418" spans="1:10" x14ac:dyDescent="0.3">
      <c r="A418" s="15" t="s">
        <v>804</v>
      </c>
      <c r="B418" s="15" t="s">
        <v>54</v>
      </c>
      <c r="C418" s="15" t="s">
        <v>79</v>
      </c>
      <c r="D418" s="15" t="s">
        <v>13</v>
      </c>
      <c r="E418" s="15">
        <v>19</v>
      </c>
      <c r="F418" s="15">
        <v>9</v>
      </c>
      <c r="G418" s="15" t="s">
        <v>25</v>
      </c>
      <c r="H418" s="15" t="s">
        <v>61</v>
      </c>
      <c r="I418" s="15" t="s">
        <v>56</v>
      </c>
      <c r="J418" s="15">
        <v>43</v>
      </c>
    </row>
    <row r="419" spans="1:10" x14ac:dyDescent="0.3">
      <c r="A419" s="15" t="s">
        <v>805</v>
      </c>
      <c r="B419" s="15" t="s">
        <v>29</v>
      </c>
      <c r="C419" s="15" t="s">
        <v>36</v>
      </c>
      <c r="D419" s="15" t="s">
        <v>31</v>
      </c>
      <c r="E419" s="15">
        <v>17</v>
      </c>
      <c r="F419" s="15">
        <v>10</v>
      </c>
      <c r="G419" s="15" t="s">
        <v>25</v>
      </c>
      <c r="H419" s="15" t="s">
        <v>15</v>
      </c>
      <c r="I419" s="15" t="s">
        <v>806</v>
      </c>
      <c r="J419" s="15">
        <v>59</v>
      </c>
    </row>
    <row r="420" spans="1:10" x14ac:dyDescent="0.3">
      <c r="A420" s="15" t="s">
        <v>807</v>
      </c>
      <c r="B420" s="15" t="s">
        <v>68</v>
      </c>
      <c r="C420" s="15" t="s">
        <v>79</v>
      </c>
      <c r="D420" s="15" t="s">
        <v>31</v>
      </c>
      <c r="E420" s="15">
        <v>16</v>
      </c>
      <c r="F420" s="15">
        <v>10</v>
      </c>
      <c r="G420" s="15" t="s">
        <v>43</v>
      </c>
      <c r="H420" s="15" t="s">
        <v>76</v>
      </c>
      <c r="I420" s="15" t="s">
        <v>305</v>
      </c>
      <c r="J420" s="15">
        <v>40</v>
      </c>
    </row>
    <row r="421" spans="1:10" x14ac:dyDescent="0.3">
      <c r="A421" s="15" t="s">
        <v>808</v>
      </c>
      <c r="B421" s="15" t="s">
        <v>54</v>
      </c>
      <c r="C421" s="15" t="s">
        <v>24</v>
      </c>
      <c r="D421" s="15" t="s">
        <v>13</v>
      </c>
      <c r="E421" s="15">
        <v>14</v>
      </c>
      <c r="F421" s="15">
        <v>9</v>
      </c>
      <c r="G421" s="15" t="s">
        <v>25</v>
      </c>
      <c r="H421" s="15" t="s">
        <v>46</v>
      </c>
      <c r="I421" s="15" t="s">
        <v>809</v>
      </c>
      <c r="J421" s="15">
        <v>92</v>
      </c>
    </row>
    <row r="422" spans="1:10" x14ac:dyDescent="0.3">
      <c r="A422" s="15" t="s">
        <v>810</v>
      </c>
      <c r="B422" s="15" t="s">
        <v>73</v>
      </c>
      <c r="C422" s="15" t="s">
        <v>12</v>
      </c>
      <c r="D422" s="15" t="s">
        <v>13</v>
      </c>
      <c r="E422" s="15">
        <v>14</v>
      </c>
      <c r="F422" s="15">
        <v>10</v>
      </c>
      <c r="G422" s="15" t="s">
        <v>14</v>
      </c>
      <c r="H422" s="15" t="s">
        <v>46</v>
      </c>
      <c r="I422" s="15" t="s">
        <v>385</v>
      </c>
      <c r="J422" s="15">
        <v>49</v>
      </c>
    </row>
    <row r="423" spans="1:10" x14ac:dyDescent="0.3">
      <c r="A423" s="15" t="s">
        <v>811</v>
      </c>
      <c r="B423" s="15" t="s">
        <v>29</v>
      </c>
      <c r="C423" s="15" t="s">
        <v>58</v>
      </c>
      <c r="D423" s="15" t="s">
        <v>13</v>
      </c>
      <c r="E423" s="15">
        <v>20</v>
      </c>
      <c r="F423" s="15">
        <v>11</v>
      </c>
      <c r="G423" s="15" t="s">
        <v>14</v>
      </c>
      <c r="H423" s="15" t="s">
        <v>61</v>
      </c>
      <c r="I423" s="15" t="s">
        <v>358</v>
      </c>
      <c r="J423" s="15">
        <v>44</v>
      </c>
    </row>
    <row r="424" spans="1:10" x14ac:dyDescent="0.3">
      <c r="A424" s="15" t="s">
        <v>812</v>
      </c>
      <c r="B424" s="15" t="s">
        <v>51</v>
      </c>
      <c r="C424" s="15" t="s">
        <v>55</v>
      </c>
      <c r="D424" s="15" t="s">
        <v>13</v>
      </c>
      <c r="E424" s="15">
        <v>15</v>
      </c>
      <c r="F424" s="15">
        <v>10</v>
      </c>
      <c r="G424" s="15" t="s">
        <v>43</v>
      </c>
      <c r="H424" s="15" t="s">
        <v>46</v>
      </c>
      <c r="I424" s="15" t="s">
        <v>82</v>
      </c>
      <c r="J424" s="15">
        <v>62</v>
      </c>
    </row>
    <row r="425" spans="1:10" x14ac:dyDescent="0.3">
      <c r="A425" s="15" t="s">
        <v>813</v>
      </c>
      <c r="B425" s="15" t="s">
        <v>73</v>
      </c>
      <c r="C425" s="15" t="s">
        <v>58</v>
      </c>
      <c r="D425" s="15" t="s">
        <v>13</v>
      </c>
      <c r="E425" s="15">
        <v>17</v>
      </c>
      <c r="F425" s="15">
        <v>12</v>
      </c>
      <c r="G425" s="15" t="s">
        <v>32</v>
      </c>
      <c r="H425" s="15" t="s">
        <v>46</v>
      </c>
      <c r="I425" s="15" t="s">
        <v>346</v>
      </c>
      <c r="J425" s="15">
        <v>60</v>
      </c>
    </row>
    <row r="426" spans="1:10" x14ac:dyDescent="0.3">
      <c r="A426" s="15" t="s">
        <v>814</v>
      </c>
      <c r="B426" s="15" t="s">
        <v>18</v>
      </c>
      <c r="C426" s="15" t="s">
        <v>24</v>
      </c>
      <c r="D426" s="15" t="s">
        <v>31</v>
      </c>
      <c r="E426" s="15">
        <v>17</v>
      </c>
      <c r="F426" s="15">
        <v>10</v>
      </c>
      <c r="G426" s="15" t="s">
        <v>14</v>
      </c>
      <c r="H426" s="15" t="s">
        <v>76</v>
      </c>
      <c r="I426" s="15" t="s">
        <v>815</v>
      </c>
      <c r="J426" s="15">
        <v>47</v>
      </c>
    </row>
    <row r="427" spans="1:10" x14ac:dyDescent="0.3">
      <c r="A427" s="15" t="s">
        <v>816</v>
      </c>
      <c r="B427" s="15" t="s">
        <v>23</v>
      </c>
      <c r="C427" s="15" t="s">
        <v>79</v>
      </c>
      <c r="D427" s="15" t="s">
        <v>31</v>
      </c>
      <c r="E427" s="15">
        <v>15</v>
      </c>
      <c r="F427" s="15">
        <v>9</v>
      </c>
      <c r="G427" s="15" t="s">
        <v>25</v>
      </c>
      <c r="H427" s="15" t="s">
        <v>76</v>
      </c>
      <c r="I427" s="15" t="s">
        <v>149</v>
      </c>
      <c r="J427" s="15">
        <v>79</v>
      </c>
    </row>
    <row r="428" spans="1:10" x14ac:dyDescent="0.3">
      <c r="A428" s="15" t="s">
        <v>817</v>
      </c>
      <c r="B428" s="15" t="s">
        <v>51</v>
      </c>
      <c r="C428" s="15" t="s">
        <v>55</v>
      </c>
      <c r="D428" s="15" t="s">
        <v>31</v>
      </c>
      <c r="E428" s="15">
        <v>19</v>
      </c>
      <c r="F428" s="15">
        <v>11</v>
      </c>
      <c r="G428" s="15" t="s">
        <v>14</v>
      </c>
      <c r="H428" s="15" t="s">
        <v>26</v>
      </c>
      <c r="I428" s="15" t="s">
        <v>818</v>
      </c>
      <c r="J428" s="15">
        <v>56</v>
      </c>
    </row>
    <row r="429" spans="1:10" x14ac:dyDescent="0.3">
      <c r="A429" s="15" t="s">
        <v>819</v>
      </c>
      <c r="B429" s="15" t="s">
        <v>18</v>
      </c>
      <c r="C429" s="15" t="s">
        <v>36</v>
      </c>
      <c r="D429" s="15" t="s">
        <v>31</v>
      </c>
      <c r="E429" s="15">
        <v>14</v>
      </c>
      <c r="F429" s="15">
        <v>10</v>
      </c>
      <c r="G429" s="15" t="s">
        <v>43</v>
      </c>
      <c r="H429" s="15" t="s">
        <v>76</v>
      </c>
      <c r="I429" s="15" t="s">
        <v>820</v>
      </c>
      <c r="J429" s="15">
        <v>56</v>
      </c>
    </row>
    <row r="430" spans="1:10" x14ac:dyDescent="0.3">
      <c r="A430" s="15" t="s">
        <v>821</v>
      </c>
      <c r="B430" s="15" t="s">
        <v>18</v>
      </c>
      <c r="C430" s="15" t="s">
        <v>79</v>
      </c>
      <c r="D430" s="15" t="s">
        <v>13</v>
      </c>
      <c r="E430" s="15">
        <v>20</v>
      </c>
      <c r="F430" s="15">
        <v>12</v>
      </c>
      <c r="G430" s="15" t="s">
        <v>32</v>
      </c>
      <c r="H430" s="15" t="s">
        <v>26</v>
      </c>
      <c r="I430" s="15" t="s">
        <v>822</v>
      </c>
      <c r="J430" s="15">
        <v>52</v>
      </c>
    </row>
    <row r="431" spans="1:10" x14ac:dyDescent="0.3">
      <c r="A431" s="15" t="s">
        <v>823</v>
      </c>
      <c r="B431" s="15" t="s">
        <v>11</v>
      </c>
      <c r="C431" s="15" t="s">
        <v>79</v>
      </c>
      <c r="D431" s="15" t="s">
        <v>31</v>
      </c>
      <c r="E431" s="15">
        <v>18</v>
      </c>
      <c r="F431" s="15">
        <v>12</v>
      </c>
      <c r="G431" s="15" t="s">
        <v>43</v>
      </c>
      <c r="H431" s="15" t="s">
        <v>37</v>
      </c>
      <c r="I431" s="15" t="s">
        <v>292</v>
      </c>
      <c r="J431" s="15">
        <v>94</v>
      </c>
    </row>
    <row r="432" spans="1:10" x14ac:dyDescent="0.3">
      <c r="A432" s="15" t="s">
        <v>824</v>
      </c>
      <c r="B432" s="15" t="s">
        <v>54</v>
      </c>
      <c r="C432" s="15" t="s">
        <v>19</v>
      </c>
      <c r="D432" s="15" t="s">
        <v>31</v>
      </c>
      <c r="E432" s="15">
        <v>20</v>
      </c>
      <c r="F432" s="15">
        <v>9</v>
      </c>
      <c r="G432" s="15" t="s">
        <v>14</v>
      </c>
      <c r="H432" s="15" t="s">
        <v>37</v>
      </c>
      <c r="I432" s="15" t="s">
        <v>825</v>
      </c>
      <c r="J432" s="15">
        <v>43</v>
      </c>
    </row>
    <row r="433" spans="1:10" x14ac:dyDescent="0.3">
      <c r="A433" s="15" t="s">
        <v>826</v>
      </c>
      <c r="B433" s="15" t="s">
        <v>51</v>
      </c>
      <c r="C433" s="15" t="s">
        <v>55</v>
      </c>
      <c r="D433" s="15" t="s">
        <v>31</v>
      </c>
      <c r="E433" s="15">
        <v>15</v>
      </c>
      <c r="F433" s="15">
        <v>10</v>
      </c>
      <c r="G433" s="15" t="s">
        <v>43</v>
      </c>
      <c r="H433" s="15" t="s">
        <v>37</v>
      </c>
      <c r="I433" s="15" t="s">
        <v>174</v>
      </c>
      <c r="J433" s="15">
        <v>42</v>
      </c>
    </row>
    <row r="434" spans="1:10" x14ac:dyDescent="0.3">
      <c r="A434" s="15" t="s">
        <v>827</v>
      </c>
      <c r="B434" s="15" t="s">
        <v>35</v>
      </c>
      <c r="C434" s="15" t="s">
        <v>12</v>
      </c>
      <c r="D434" s="15" t="s">
        <v>13</v>
      </c>
      <c r="E434" s="15">
        <v>14</v>
      </c>
      <c r="F434" s="15">
        <v>12</v>
      </c>
      <c r="G434" s="15" t="s">
        <v>25</v>
      </c>
      <c r="H434" s="15" t="s">
        <v>61</v>
      </c>
      <c r="I434" s="15" t="s">
        <v>570</v>
      </c>
      <c r="J434" s="15">
        <v>65</v>
      </c>
    </row>
    <row r="435" spans="1:10" x14ac:dyDescent="0.3">
      <c r="A435" s="15" t="s">
        <v>828</v>
      </c>
      <c r="B435" s="15" t="s">
        <v>29</v>
      </c>
      <c r="C435" s="15" t="s">
        <v>55</v>
      </c>
      <c r="D435" s="15" t="s">
        <v>13</v>
      </c>
      <c r="E435" s="15">
        <v>15</v>
      </c>
      <c r="F435" s="15">
        <v>9</v>
      </c>
      <c r="G435" s="15" t="s">
        <v>32</v>
      </c>
      <c r="H435" s="15" t="s">
        <v>40</v>
      </c>
      <c r="I435" s="15" t="s">
        <v>829</v>
      </c>
      <c r="J435" s="15">
        <v>64</v>
      </c>
    </row>
    <row r="436" spans="1:10" x14ac:dyDescent="0.3">
      <c r="A436" s="15" t="s">
        <v>830</v>
      </c>
      <c r="B436" s="15" t="s">
        <v>23</v>
      </c>
      <c r="C436" s="15" t="s">
        <v>58</v>
      </c>
      <c r="D436" s="15" t="s">
        <v>31</v>
      </c>
      <c r="E436" s="15">
        <v>17</v>
      </c>
      <c r="F436" s="15">
        <v>9</v>
      </c>
      <c r="G436" s="15" t="s">
        <v>43</v>
      </c>
      <c r="H436" s="15" t="s">
        <v>61</v>
      </c>
      <c r="I436" s="15" t="s">
        <v>820</v>
      </c>
      <c r="J436" s="15">
        <v>59</v>
      </c>
    </row>
    <row r="437" spans="1:10" x14ac:dyDescent="0.3">
      <c r="A437" s="15" t="s">
        <v>831</v>
      </c>
      <c r="B437" s="15" t="s">
        <v>54</v>
      </c>
      <c r="C437" s="15" t="s">
        <v>36</v>
      </c>
      <c r="D437" s="15" t="s">
        <v>31</v>
      </c>
      <c r="E437" s="15">
        <v>19</v>
      </c>
      <c r="F437" s="15">
        <v>9</v>
      </c>
      <c r="G437" s="15" t="s">
        <v>32</v>
      </c>
      <c r="H437" s="15" t="s">
        <v>15</v>
      </c>
      <c r="I437" s="15" t="s">
        <v>832</v>
      </c>
      <c r="J437" s="15">
        <v>35</v>
      </c>
    </row>
    <row r="438" spans="1:10" x14ac:dyDescent="0.3">
      <c r="A438" s="15" t="s">
        <v>833</v>
      </c>
      <c r="B438" s="15" t="s">
        <v>73</v>
      </c>
      <c r="C438" s="15" t="s">
        <v>96</v>
      </c>
      <c r="D438" s="15" t="s">
        <v>31</v>
      </c>
      <c r="E438" s="15">
        <v>15</v>
      </c>
      <c r="F438" s="15">
        <v>10</v>
      </c>
      <c r="G438" s="15" t="s">
        <v>43</v>
      </c>
      <c r="H438" s="15" t="s">
        <v>76</v>
      </c>
      <c r="I438" s="15" t="s">
        <v>834</v>
      </c>
      <c r="J438" s="15">
        <v>37</v>
      </c>
    </row>
    <row r="439" spans="1:10" x14ac:dyDescent="0.3">
      <c r="A439" s="15" t="s">
        <v>835</v>
      </c>
      <c r="B439" s="15" t="s">
        <v>18</v>
      </c>
      <c r="C439" s="15" t="s">
        <v>55</v>
      </c>
      <c r="D439" s="15" t="s">
        <v>31</v>
      </c>
      <c r="E439" s="15">
        <v>16</v>
      </c>
      <c r="F439" s="15">
        <v>10</v>
      </c>
      <c r="G439" s="15" t="s">
        <v>14</v>
      </c>
      <c r="H439" s="15" t="s">
        <v>61</v>
      </c>
      <c r="I439" s="15" t="s">
        <v>411</v>
      </c>
      <c r="J439" s="15">
        <v>52</v>
      </c>
    </row>
    <row r="440" spans="1:10" x14ac:dyDescent="0.3">
      <c r="A440" s="15" t="s">
        <v>836</v>
      </c>
      <c r="B440" s="15" t="s">
        <v>18</v>
      </c>
      <c r="C440" s="15" t="s">
        <v>58</v>
      </c>
      <c r="D440" s="15" t="s">
        <v>13</v>
      </c>
      <c r="E440" s="15">
        <v>16</v>
      </c>
      <c r="F440" s="15">
        <v>9</v>
      </c>
      <c r="G440" s="15" t="s">
        <v>14</v>
      </c>
      <c r="H440" s="15" t="s">
        <v>37</v>
      </c>
      <c r="I440" s="15" t="s">
        <v>837</v>
      </c>
      <c r="J440" s="15">
        <v>64</v>
      </c>
    </row>
    <row r="441" spans="1:10" x14ac:dyDescent="0.3">
      <c r="A441" s="15" t="s">
        <v>838</v>
      </c>
      <c r="B441" s="15" t="s">
        <v>29</v>
      </c>
      <c r="C441" s="15" t="s">
        <v>36</v>
      </c>
      <c r="D441" s="15" t="s">
        <v>31</v>
      </c>
      <c r="E441" s="15">
        <v>17</v>
      </c>
      <c r="F441" s="15">
        <v>10</v>
      </c>
      <c r="G441" s="15" t="s">
        <v>25</v>
      </c>
      <c r="H441" s="15" t="s">
        <v>15</v>
      </c>
      <c r="I441" s="15" t="s">
        <v>839</v>
      </c>
      <c r="J441" s="15">
        <v>35</v>
      </c>
    </row>
    <row r="442" spans="1:10" x14ac:dyDescent="0.3">
      <c r="A442" s="15" t="s">
        <v>840</v>
      </c>
      <c r="B442" s="15" t="s">
        <v>29</v>
      </c>
      <c r="C442" s="15" t="s">
        <v>12</v>
      </c>
      <c r="D442" s="15" t="s">
        <v>31</v>
      </c>
      <c r="E442" s="15">
        <v>20</v>
      </c>
      <c r="F442" s="15">
        <v>10</v>
      </c>
      <c r="G442" s="15" t="s">
        <v>43</v>
      </c>
      <c r="H442" s="15" t="s">
        <v>15</v>
      </c>
      <c r="I442" s="15" t="s">
        <v>841</v>
      </c>
      <c r="J442" s="15">
        <v>37</v>
      </c>
    </row>
    <row r="443" spans="1:10" x14ac:dyDescent="0.3">
      <c r="A443" s="15" t="s">
        <v>842</v>
      </c>
      <c r="B443" s="15" t="s">
        <v>23</v>
      </c>
      <c r="C443" s="15" t="s">
        <v>30</v>
      </c>
      <c r="D443" s="15" t="s">
        <v>13</v>
      </c>
      <c r="E443" s="15">
        <v>15</v>
      </c>
      <c r="F443" s="15">
        <v>9</v>
      </c>
      <c r="G443" s="15" t="s">
        <v>32</v>
      </c>
      <c r="H443" s="15" t="s">
        <v>37</v>
      </c>
      <c r="I443" s="15" t="s">
        <v>477</v>
      </c>
      <c r="J443" s="15">
        <v>51</v>
      </c>
    </row>
    <row r="444" spans="1:10" x14ac:dyDescent="0.3">
      <c r="A444" s="15" t="s">
        <v>843</v>
      </c>
      <c r="B444" s="15" t="s">
        <v>54</v>
      </c>
      <c r="C444" s="15" t="s">
        <v>12</v>
      </c>
      <c r="D444" s="15" t="s">
        <v>31</v>
      </c>
      <c r="E444" s="15">
        <v>17</v>
      </c>
      <c r="F444" s="15">
        <v>10</v>
      </c>
      <c r="G444" s="15" t="s">
        <v>25</v>
      </c>
      <c r="H444" s="15" t="s">
        <v>40</v>
      </c>
      <c r="I444" s="15" t="s">
        <v>844</v>
      </c>
      <c r="J444" s="15">
        <v>43</v>
      </c>
    </row>
    <row r="445" spans="1:10" x14ac:dyDescent="0.3">
      <c r="A445" s="15" t="s">
        <v>845</v>
      </c>
      <c r="B445" s="15" t="s">
        <v>11</v>
      </c>
      <c r="C445" s="15" t="s">
        <v>19</v>
      </c>
      <c r="D445" s="15" t="s">
        <v>31</v>
      </c>
      <c r="E445" s="15">
        <v>19</v>
      </c>
      <c r="F445" s="15">
        <v>11</v>
      </c>
      <c r="G445" s="15" t="s">
        <v>43</v>
      </c>
      <c r="H445" s="15" t="s">
        <v>76</v>
      </c>
      <c r="I445" s="15" t="s">
        <v>282</v>
      </c>
      <c r="J445" s="15">
        <v>44</v>
      </c>
    </row>
    <row r="446" spans="1:10" x14ac:dyDescent="0.3">
      <c r="A446" s="15" t="s">
        <v>846</v>
      </c>
      <c r="B446" s="15" t="s">
        <v>35</v>
      </c>
      <c r="C446" s="15" t="s">
        <v>79</v>
      </c>
      <c r="D446" s="15" t="s">
        <v>13</v>
      </c>
      <c r="E446" s="15">
        <v>17</v>
      </c>
      <c r="F446" s="15">
        <v>12</v>
      </c>
      <c r="G446" s="15" t="s">
        <v>25</v>
      </c>
      <c r="H446" s="15" t="s">
        <v>46</v>
      </c>
      <c r="I446" s="15" t="s">
        <v>847</v>
      </c>
      <c r="J446" s="15">
        <v>41</v>
      </c>
    </row>
    <row r="447" spans="1:10" x14ac:dyDescent="0.3">
      <c r="A447" s="15" t="s">
        <v>848</v>
      </c>
      <c r="B447" s="15" t="s">
        <v>18</v>
      </c>
      <c r="C447" s="15" t="s">
        <v>24</v>
      </c>
      <c r="D447" s="15" t="s">
        <v>31</v>
      </c>
      <c r="E447" s="15">
        <v>16</v>
      </c>
      <c r="F447" s="15">
        <v>10</v>
      </c>
      <c r="G447" s="15" t="s">
        <v>25</v>
      </c>
      <c r="H447" s="15" t="s">
        <v>61</v>
      </c>
      <c r="I447" s="15" t="s">
        <v>849</v>
      </c>
      <c r="J447" s="15">
        <v>78</v>
      </c>
    </row>
    <row r="448" spans="1:10" x14ac:dyDescent="0.3">
      <c r="A448" s="15" t="s">
        <v>850</v>
      </c>
      <c r="B448" s="15" t="s">
        <v>51</v>
      </c>
      <c r="C448" s="15" t="s">
        <v>96</v>
      </c>
      <c r="D448" s="15" t="s">
        <v>13</v>
      </c>
      <c r="E448" s="15">
        <v>14</v>
      </c>
      <c r="F448" s="15">
        <v>9</v>
      </c>
      <c r="G448" s="15" t="s">
        <v>25</v>
      </c>
      <c r="H448" s="15" t="s">
        <v>26</v>
      </c>
      <c r="I448" s="15" t="s">
        <v>851</v>
      </c>
      <c r="J448" s="15">
        <v>90</v>
      </c>
    </row>
    <row r="449" spans="1:10" x14ac:dyDescent="0.3">
      <c r="A449" s="15" t="s">
        <v>852</v>
      </c>
      <c r="B449" s="15" t="s">
        <v>29</v>
      </c>
      <c r="C449" s="15" t="s">
        <v>55</v>
      </c>
      <c r="D449" s="15" t="s">
        <v>13</v>
      </c>
      <c r="E449" s="15">
        <v>15</v>
      </c>
      <c r="F449" s="15">
        <v>9</v>
      </c>
      <c r="G449" s="15" t="s">
        <v>14</v>
      </c>
      <c r="H449" s="15" t="s">
        <v>20</v>
      </c>
      <c r="I449" s="15" t="s">
        <v>853</v>
      </c>
      <c r="J449" s="15">
        <v>74</v>
      </c>
    </row>
    <row r="450" spans="1:10" x14ac:dyDescent="0.3">
      <c r="A450" s="15" t="s">
        <v>854</v>
      </c>
      <c r="B450" s="15" t="s">
        <v>51</v>
      </c>
      <c r="C450" s="15" t="s">
        <v>55</v>
      </c>
      <c r="D450" s="15" t="s">
        <v>13</v>
      </c>
      <c r="E450" s="15">
        <v>15</v>
      </c>
      <c r="F450" s="15">
        <v>11</v>
      </c>
      <c r="G450" s="15" t="s">
        <v>14</v>
      </c>
      <c r="H450" s="15" t="s">
        <v>61</v>
      </c>
      <c r="I450" s="15" t="s">
        <v>855</v>
      </c>
      <c r="J450" s="15">
        <v>84</v>
      </c>
    </row>
    <row r="451" spans="1:10" x14ac:dyDescent="0.3">
      <c r="A451" s="15" t="s">
        <v>856</v>
      </c>
      <c r="B451" s="15" t="s">
        <v>29</v>
      </c>
      <c r="C451" s="15" t="s">
        <v>85</v>
      </c>
      <c r="D451" s="15" t="s">
        <v>13</v>
      </c>
      <c r="E451" s="15">
        <v>16</v>
      </c>
      <c r="F451" s="15">
        <v>9</v>
      </c>
      <c r="G451" s="15" t="s">
        <v>14</v>
      </c>
      <c r="H451" s="15" t="s">
        <v>61</v>
      </c>
      <c r="I451" s="15" t="s">
        <v>262</v>
      </c>
      <c r="J451" s="15">
        <v>78</v>
      </c>
    </row>
    <row r="452" spans="1:10" x14ac:dyDescent="0.3">
      <c r="A452" s="15" t="s">
        <v>857</v>
      </c>
      <c r="B452" s="15" t="s">
        <v>18</v>
      </c>
      <c r="C452" s="15" t="s">
        <v>96</v>
      </c>
      <c r="D452" s="15" t="s">
        <v>13</v>
      </c>
      <c r="E452" s="15">
        <v>20</v>
      </c>
      <c r="F452" s="15">
        <v>11</v>
      </c>
      <c r="G452" s="15" t="s">
        <v>32</v>
      </c>
      <c r="H452" s="15" t="s">
        <v>61</v>
      </c>
      <c r="I452" s="15" t="s">
        <v>570</v>
      </c>
      <c r="J452" s="15">
        <v>94</v>
      </c>
    </row>
    <row r="453" spans="1:10" x14ac:dyDescent="0.3">
      <c r="A453" s="15" t="s">
        <v>858</v>
      </c>
      <c r="B453" s="15" t="s">
        <v>35</v>
      </c>
      <c r="C453" s="15" t="s">
        <v>12</v>
      </c>
      <c r="D453" s="15" t="s">
        <v>31</v>
      </c>
      <c r="E453" s="15">
        <v>19</v>
      </c>
      <c r="F453" s="15">
        <v>9</v>
      </c>
      <c r="G453" s="15" t="s">
        <v>43</v>
      </c>
      <c r="H453" s="15" t="s">
        <v>26</v>
      </c>
      <c r="I453" s="15" t="s">
        <v>859</v>
      </c>
      <c r="J453" s="15">
        <v>88</v>
      </c>
    </row>
    <row r="454" spans="1:10" x14ac:dyDescent="0.3">
      <c r="A454" s="15" t="s">
        <v>860</v>
      </c>
      <c r="B454" s="15" t="s">
        <v>68</v>
      </c>
      <c r="C454" s="15" t="s">
        <v>12</v>
      </c>
      <c r="D454" s="15" t="s">
        <v>13</v>
      </c>
      <c r="E454" s="15">
        <v>16</v>
      </c>
      <c r="F454" s="15">
        <v>12</v>
      </c>
      <c r="G454" s="15" t="s">
        <v>14</v>
      </c>
      <c r="H454" s="15" t="s">
        <v>37</v>
      </c>
      <c r="I454" s="15" t="s">
        <v>861</v>
      </c>
      <c r="J454" s="15">
        <v>84</v>
      </c>
    </row>
    <row r="455" spans="1:10" x14ac:dyDescent="0.3">
      <c r="A455" s="15" t="s">
        <v>862</v>
      </c>
      <c r="B455" s="15" t="s">
        <v>51</v>
      </c>
      <c r="C455" s="15" t="s">
        <v>24</v>
      </c>
      <c r="D455" s="15" t="s">
        <v>13</v>
      </c>
      <c r="E455" s="15">
        <v>17</v>
      </c>
      <c r="F455" s="15">
        <v>9</v>
      </c>
      <c r="G455" s="15" t="s">
        <v>43</v>
      </c>
      <c r="H455" s="15" t="s">
        <v>15</v>
      </c>
      <c r="I455" s="15" t="s">
        <v>863</v>
      </c>
      <c r="J455" s="15">
        <v>86</v>
      </c>
    </row>
    <row r="456" spans="1:10" x14ac:dyDescent="0.3">
      <c r="A456" s="15" t="s">
        <v>864</v>
      </c>
      <c r="B456" s="15" t="s">
        <v>35</v>
      </c>
      <c r="C456" s="15" t="s">
        <v>58</v>
      </c>
      <c r="D456" s="15" t="s">
        <v>13</v>
      </c>
      <c r="E456" s="15">
        <v>17</v>
      </c>
      <c r="F456" s="15">
        <v>10</v>
      </c>
      <c r="G456" s="15" t="s">
        <v>14</v>
      </c>
      <c r="H456" s="15" t="s">
        <v>20</v>
      </c>
      <c r="I456" s="15" t="s">
        <v>865</v>
      </c>
      <c r="J456" s="15">
        <v>92</v>
      </c>
    </row>
    <row r="457" spans="1:10" x14ac:dyDescent="0.3">
      <c r="A457" s="15" t="s">
        <v>866</v>
      </c>
      <c r="B457" s="15" t="s">
        <v>18</v>
      </c>
      <c r="C457" s="15" t="s">
        <v>24</v>
      </c>
      <c r="D457" s="15" t="s">
        <v>13</v>
      </c>
      <c r="E457" s="15">
        <v>15</v>
      </c>
      <c r="F457" s="15">
        <v>11</v>
      </c>
      <c r="G457" s="15" t="s">
        <v>14</v>
      </c>
      <c r="H457" s="15" t="s">
        <v>61</v>
      </c>
      <c r="I457" s="15" t="s">
        <v>867</v>
      </c>
      <c r="J457" s="15">
        <v>97</v>
      </c>
    </row>
    <row r="458" spans="1:10" x14ac:dyDescent="0.3">
      <c r="A458" s="15" t="s">
        <v>868</v>
      </c>
      <c r="B458" s="15" t="s">
        <v>84</v>
      </c>
      <c r="C458" s="15" t="s">
        <v>30</v>
      </c>
      <c r="D458" s="15" t="s">
        <v>31</v>
      </c>
      <c r="E458" s="15">
        <v>15</v>
      </c>
      <c r="F458" s="15">
        <v>9</v>
      </c>
      <c r="G458" s="15" t="s">
        <v>43</v>
      </c>
      <c r="H458" s="15" t="s">
        <v>61</v>
      </c>
      <c r="I458" s="15" t="s">
        <v>151</v>
      </c>
      <c r="J458" s="15">
        <v>45</v>
      </c>
    </row>
    <row r="459" spans="1:10" x14ac:dyDescent="0.3">
      <c r="A459" s="15" t="s">
        <v>869</v>
      </c>
      <c r="B459" s="15" t="s">
        <v>73</v>
      </c>
      <c r="C459" s="15" t="s">
        <v>96</v>
      </c>
      <c r="D459" s="15" t="s">
        <v>31</v>
      </c>
      <c r="E459" s="15">
        <v>17</v>
      </c>
      <c r="F459" s="15">
        <v>9</v>
      </c>
      <c r="G459" s="15" t="s">
        <v>43</v>
      </c>
      <c r="H459" s="15" t="s">
        <v>26</v>
      </c>
      <c r="I459" s="15" t="s">
        <v>870</v>
      </c>
      <c r="J459" s="15">
        <v>53</v>
      </c>
    </row>
    <row r="460" spans="1:10" x14ac:dyDescent="0.3">
      <c r="A460" s="15" t="s">
        <v>871</v>
      </c>
      <c r="B460" s="15" t="s">
        <v>11</v>
      </c>
      <c r="C460" s="15" t="s">
        <v>12</v>
      </c>
      <c r="D460" s="15" t="s">
        <v>13</v>
      </c>
      <c r="E460" s="15">
        <v>20</v>
      </c>
      <c r="F460" s="15">
        <v>10</v>
      </c>
      <c r="G460" s="15" t="s">
        <v>25</v>
      </c>
      <c r="H460" s="15" t="s">
        <v>76</v>
      </c>
      <c r="I460" s="15" t="s">
        <v>872</v>
      </c>
      <c r="J460" s="15">
        <v>66</v>
      </c>
    </row>
    <row r="461" spans="1:10" x14ac:dyDescent="0.3">
      <c r="A461" s="15" t="s">
        <v>873</v>
      </c>
      <c r="B461" s="15" t="s">
        <v>18</v>
      </c>
      <c r="C461" s="15" t="s">
        <v>79</v>
      </c>
      <c r="D461" s="15" t="s">
        <v>31</v>
      </c>
      <c r="E461" s="15">
        <v>19</v>
      </c>
      <c r="F461" s="15">
        <v>12</v>
      </c>
      <c r="G461" s="15" t="s">
        <v>32</v>
      </c>
      <c r="H461" s="15" t="s">
        <v>76</v>
      </c>
      <c r="I461" s="15" t="s">
        <v>742</v>
      </c>
      <c r="J461" s="15">
        <v>83</v>
      </c>
    </row>
    <row r="462" spans="1:10" x14ac:dyDescent="0.3">
      <c r="A462" s="15" t="s">
        <v>874</v>
      </c>
      <c r="B462" s="15" t="s">
        <v>35</v>
      </c>
      <c r="C462" s="15" t="s">
        <v>36</v>
      </c>
      <c r="D462" s="15" t="s">
        <v>13</v>
      </c>
      <c r="E462" s="15">
        <v>16</v>
      </c>
      <c r="F462" s="15">
        <v>10</v>
      </c>
      <c r="G462" s="15" t="s">
        <v>14</v>
      </c>
      <c r="H462" s="15" t="s">
        <v>61</v>
      </c>
      <c r="I462" s="15" t="s">
        <v>875</v>
      </c>
      <c r="J462" s="15">
        <v>35</v>
      </c>
    </row>
    <row r="463" spans="1:10" x14ac:dyDescent="0.3">
      <c r="A463" s="15" t="s">
        <v>876</v>
      </c>
      <c r="B463" s="15" t="s">
        <v>18</v>
      </c>
      <c r="C463" s="15" t="s">
        <v>24</v>
      </c>
      <c r="D463" s="15" t="s">
        <v>31</v>
      </c>
      <c r="E463" s="15">
        <v>16</v>
      </c>
      <c r="F463" s="15">
        <v>9</v>
      </c>
      <c r="G463" s="15" t="s">
        <v>43</v>
      </c>
      <c r="H463" s="15" t="s">
        <v>26</v>
      </c>
      <c r="I463" s="15" t="s">
        <v>515</v>
      </c>
      <c r="J463" s="15">
        <v>48</v>
      </c>
    </row>
    <row r="464" spans="1:10" x14ac:dyDescent="0.3">
      <c r="A464" s="15" t="s">
        <v>877</v>
      </c>
      <c r="B464" s="15" t="s">
        <v>73</v>
      </c>
      <c r="C464" s="15" t="s">
        <v>85</v>
      </c>
      <c r="D464" s="15" t="s">
        <v>13</v>
      </c>
      <c r="E464" s="15">
        <v>19</v>
      </c>
      <c r="F464" s="15">
        <v>10</v>
      </c>
      <c r="G464" s="15" t="s">
        <v>25</v>
      </c>
      <c r="H464" s="15" t="s">
        <v>26</v>
      </c>
      <c r="I464" s="15" t="s">
        <v>878</v>
      </c>
      <c r="J464" s="15">
        <v>81</v>
      </c>
    </row>
    <row r="465" spans="1:10" x14ac:dyDescent="0.3">
      <c r="A465" s="15" t="s">
        <v>879</v>
      </c>
      <c r="B465" s="15" t="s">
        <v>18</v>
      </c>
      <c r="C465" s="15" t="s">
        <v>85</v>
      </c>
      <c r="D465" s="15" t="s">
        <v>13</v>
      </c>
      <c r="E465" s="15">
        <v>15</v>
      </c>
      <c r="F465" s="15">
        <v>11</v>
      </c>
      <c r="G465" s="15" t="s">
        <v>32</v>
      </c>
      <c r="H465" s="15" t="s">
        <v>37</v>
      </c>
      <c r="I465" s="15" t="s">
        <v>880</v>
      </c>
      <c r="J465" s="15">
        <v>86</v>
      </c>
    </row>
    <row r="466" spans="1:10" x14ac:dyDescent="0.3">
      <c r="A466" s="15" t="s">
        <v>881</v>
      </c>
      <c r="B466" s="15" t="s">
        <v>73</v>
      </c>
      <c r="C466" s="15" t="s">
        <v>24</v>
      </c>
      <c r="D466" s="15" t="s">
        <v>31</v>
      </c>
      <c r="E466" s="15">
        <v>14</v>
      </c>
      <c r="F466" s="15">
        <v>12</v>
      </c>
      <c r="G466" s="15" t="s">
        <v>25</v>
      </c>
      <c r="H466" s="15" t="s">
        <v>46</v>
      </c>
      <c r="I466" s="15" t="s">
        <v>882</v>
      </c>
      <c r="J466" s="15">
        <v>58</v>
      </c>
    </row>
    <row r="467" spans="1:10" x14ac:dyDescent="0.3">
      <c r="A467" s="15" t="s">
        <v>883</v>
      </c>
      <c r="B467" s="15" t="s">
        <v>23</v>
      </c>
      <c r="C467" s="15" t="s">
        <v>85</v>
      </c>
      <c r="D467" s="15" t="s">
        <v>13</v>
      </c>
      <c r="E467" s="15">
        <v>19</v>
      </c>
      <c r="F467" s="15">
        <v>9</v>
      </c>
      <c r="G467" s="15" t="s">
        <v>43</v>
      </c>
      <c r="H467" s="15" t="s">
        <v>20</v>
      </c>
      <c r="I467" s="15" t="s">
        <v>884</v>
      </c>
      <c r="J467" s="15">
        <v>69</v>
      </c>
    </row>
    <row r="468" spans="1:10" x14ac:dyDescent="0.3">
      <c r="A468" s="15" t="s">
        <v>885</v>
      </c>
      <c r="B468" s="15" t="s">
        <v>51</v>
      </c>
      <c r="C468" s="15" t="s">
        <v>55</v>
      </c>
      <c r="D468" s="15" t="s">
        <v>13</v>
      </c>
      <c r="E468" s="15">
        <v>16</v>
      </c>
      <c r="F468" s="15">
        <v>11</v>
      </c>
      <c r="G468" s="15" t="s">
        <v>32</v>
      </c>
      <c r="H468" s="15" t="s">
        <v>76</v>
      </c>
      <c r="I468" s="15" t="s">
        <v>886</v>
      </c>
      <c r="J468" s="15">
        <v>65</v>
      </c>
    </row>
    <row r="469" spans="1:10" x14ac:dyDescent="0.3">
      <c r="A469" s="15" t="s">
        <v>887</v>
      </c>
      <c r="B469" s="15" t="s">
        <v>11</v>
      </c>
      <c r="C469" s="15" t="s">
        <v>30</v>
      </c>
      <c r="D469" s="15" t="s">
        <v>31</v>
      </c>
      <c r="E469" s="15">
        <v>17</v>
      </c>
      <c r="F469" s="15">
        <v>9</v>
      </c>
      <c r="G469" s="15" t="s">
        <v>14</v>
      </c>
      <c r="H469" s="15" t="s">
        <v>76</v>
      </c>
      <c r="I469" s="15" t="s">
        <v>653</v>
      </c>
      <c r="J469" s="15">
        <v>53</v>
      </c>
    </row>
    <row r="470" spans="1:10" x14ac:dyDescent="0.3">
      <c r="A470" s="15" t="s">
        <v>888</v>
      </c>
      <c r="B470" s="15" t="s">
        <v>23</v>
      </c>
      <c r="C470" s="15" t="s">
        <v>58</v>
      </c>
      <c r="D470" s="15" t="s">
        <v>31</v>
      </c>
      <c r="E470" s="15">
        <v>18</v>
      </c>
      <c r="F470" s="15">
        <v>10</v>
      </c>
      <c r="G470" s="15" t="s">
        <v>14</v>
      </c>
      <c r="H470" s="15" t="s">
        <v>20</v>
      </c>
      <c r="I470" s="15" t="s">
        <v>153</v>
      </c>
      <c r="J470" s="15">
        <v>92</v>
      </c>
    </row>
    <row r="471" spans="1:10" x14ac:dyDescent="0.3">
      <c r="A471" s="15" t="s">
        <v>889</v>
      </c>
      <c r="B471" s="15" t="s">
        <v>68</v>
      </c>
      <c r="C471" s="15" t="s">
        <v>19</v>
      </c>
      <c r="D471" s="15" t="s">
        <v>31</v>
      </c>
      <c r="E471" s="15">
        <v>18</v>
      </c>
      <c r="F471" s="15">
        <v>12</v>
      </c>
      <c r="G471" s="15" t="s">
        <v>32</v>
      </c>
      <c r="H471" s="15" t="s">
        <v>46</v>
      </c>
      <c r="I471" s="15" t="s">
        <v>890</v>
      </c>
      <c r="J471" s="15">
        <v>88</v>
      </c>
    </row>
    <row r="472" spans="1:10" x14ac:dyDescent="0.3">
      <c r="A472" s="15" t="s">
        <v>891</v>
      </c>
      <c r="B472" s="15" t="s">
        <v>68</v>
      </c>
      <c r="C472" s="15" t="s">
        <v>79</v>
      </c>
      <c r="D472" s="15" t="s">
        <v>31</v>
      </c>
      <c r="E472" s="15">
        <v>17</v>
      </c>
      <c r="F472" s="15">
        <v>10</v>
      </c>
      <c r="G472" s="15" t="s">
        <v>32</v>
      </c>
      <c r="H472" s="15" t="s">
        <v>61</v>
      </c>
      <c r="I472" s="15" t="s">
        <v>892</v>
      </c>
      <c r="J472" s="15">
        <v>56</v>
      </c>
    </row>
    <row r="473" spans="1:10" x14ac:dyDescent="0.3">
      <c r="A473" s="15" t="s">
        <v>893</v>
      </c>
      <c r="B473" s="15" t="s">
        <v>29</v>
      </c>
      <c r="C473" s="15" t="s">
        <v>30</v>
      </c>
      <c r="D473" s="15" t="s">
        <v>13</v>
      </c>
      <c r="E473" s="15">
        <v>17</v>
      </c>
      <c r="F473" s="15">
        <v>9</v>
      </c>
      <c r="G473" s="15" t="s">
        <v>14</v>
      </c>
      <c r="H473" s="15" t="s">
        <v>46</v>
      </c>
      <c r="I473" s="15" t="s">
        <v>423</v>
      </c>
      <c r="J473" s="15">
        <v>46</v>
      </c>
    </row>
    <row r="474" spans="1:10" x14ac:dyDescent="0.3">
      <c r="A474" s="15" t="s">
        <v>894</v>
      </c>
      <c r="B474" s="15" t="s">
        <v>23</v>
      </c>
      <c r="C474" s="15" t="s">
        <v>79</v>
      </c>
      <c r="D474" s="15" t="s">
        <v>31</v>
      </c>
      <c r="E474" s="15">
        <v>20</v>
      </c>
      <c r="F474" s="15">
        <v>9</v>
      </c>
      <c r="G474" s="15" t="s">
        <v>14</v>
      </c>
      <c r="H474" s="15" t="s">
        <v>26</v>
      </c>
      <c r="I474" s="15" t="s">
        <v>895</v>
      </c>
      <c r="J474" s="15">
        <v>36</v>
      </c>
    </row>
    <row r="475" spans="1:10" x14ac:dyDescent="0.3">
      <c r="A475" s="15" t="s">
        <v>896</v>
      </c>
      <c r="B475" s="15" t="s">
        <v>11</v>
      </c>
      <c r="C475" s="15" t="s">
        <v>36</v>
      </c>
      <c r="D475" s="15" t="s">
        <v>13</v>
      </c>
      <c r="E475" s="15">
        <v>15</v>
      </c>
      <c r="F475" s="15">
        <v>11</v>
      </c>
      <c r="G475" s="15" t="s">
        <v>14</v>
      </c>
      <c r="H475" s="15" t="s">
        <v>26</v>
      </c>
      <c r="I475" s="15" t="s">
        <v>897</v>
      </c>
      <c r="J475" s="15">
        <v>95</v>
      </c>
    </row>
    <row r="476" spans="1:10" x14ac:dyDescent="0.3">
      <c r="A476" s="15" t="s">
        <v>898</v>
      </c>
      <c r="B476" s="15" t="s">
        <v>18</v>
      </c>
      <c r="C476" s="15" t="s">
        <v>19</v>
      </c>
      <c r="D476" s="15" t="s">
        <v>13</v>
      </c>
      <c r="E476" s="15">
        <v>17</v>
      </c>
      <c r="F476" s="15">
        <v>10</v>
      </c>
      <c r="G476" s="15" t="s">
        <v>25</v>
      </c>
      <c r="H476" s="15" t="s">
        <v>61</v>
      </c>
      <c r="I476" s="15" t="s">
        <v>471</v>
      </c>
      <c r="J476" s="15">
        <v>58</v>
      </c>
    </row>
    <row r="477" spans="1:10" x14ac:dyDescent="0.3">
      <c r="A477" s="15" t="s">
        <v>899</v>
      </c>
      <c r="B477" s="15" t="s">
        <v>11</v>
      </c>
      <c r="C477" s="15" t="s">
        <v>79</v>
      </c>
      <c r="D477" s="15" t="s">
        <v>13</v>
      </c>
      <c r="E477" s="15">
        <v>15</v>
      </c>
      <c r="F477" s="15">
        <v>10</v>
      </c>
      <c r="G477" s="15" t="s">
        <v>14</v>
      </c>
      <c r="H477" s="15" t="s">
        <v>37</v>
      </c>
      <c r="I477" s="15" t="s">
        <v>900</v>
      </c>
      <c r="J477" s="15">
        <v>88</v>
      </c>
    </row>
    <row r="478" spans="1:10" x14ac:dyDescent="0.3">
      <c r="A478" s="15" t="s">
        <v>901</v>
      </c>
      <c r="B478" s="15" t="s">
        <v>68</v>
      </c>
      <c r="C478" s="15" t="s">
        <v>19</v>
      </c>
      <c r="D478" s="15" t="s">
        <v>31</v>
      </c>
      <c r="E478" s="15">
        <v>18</v>
      </c>
      <c r="F478" s="15">
        <v>11</v>
      </c>
      <c r="G478" s="15" t="s">
        <v>14</v>
      </c>
      <c r="H478" s="15" t="s">
        <v>40</v>
      </c>
      <c r="I478" s="15" t="s">
        <v>139</v>
      </c>
      <c r="J478" s="15">
        <v>75</v>
      </c>
    </row>
    <row r="479" spans="1:10" x14ac:dyDescent="0.3">
      <c r="A479" s="15" t="s">
        <v>902</v>
      </c>
      <c r="B479" s="15" t="s">
        <v>35</v>
      </c>
      <c r="C479" s="15" t="s">
        <v>12</v>
      </c>
      <c r="D479" s="15" t="s">
        <v>31</v>
      </c>
      <c r="E479" s="15">
        <v>14</v>
      </c>
      <c r="F479" s="15">
        <v>11</v>
      </c>
      <c r="G479" s="15" t="s">
        <v>14</v>
      </c>
      <c r="H479" s="15" t="s">
        <v>37</v>
      </c>
      <c r="I479" s="15" t="s">
        <v>271</v>
      </c>
      <c r="J479" s="15">
        <v>59</v>
      </c>
    </row>
    <row r="480" spans="1:10" x14ac:dyDescent="0.3">
      <c r="A480" s="15" t="s">
        <v>903</v>
      </c>
      <c r="B480" s="15" t="s">
        <v>54</v>
      </c>
      <c r="C480" s="15" t="s">
        <v>30</v>
      </c>
      <c r="D480" s="15" t="s">
        <v>31</v>
      </c>
      <c r="E480" s="15">
        <v>20</v>
      </c>
      <c r="F480" s="15">
        <v>12</v>
      </c>
      <c r="G480" s="15" t="s">
        <v>43</v>
      </c>
      <c r="H480" s="15" t="s">
        <v>40</v>
      </c>
      <c r="I480" s="15" t="s">
        <v>904</v>
      </c>
      <c r="J480" s="15">
        <v>55</v>
      </c>
    </row>
    <row r="481" spans="1:10" x14ac:dyDescent="0.3">
      <c r="A481" s="15" t="s">
        <v>905</v>
      </c>
      <c r="B481" s="15" t="s">
        <v>54</v>
      </c>
      <c r="C481" s="15" t="s">
        <v>30</v>
      </c>
      <c r="D481" s="15" t="s">
        <v>13</v>
      </c>
      <c r="E481" s="15">
        <v>16</v>
      </c>
      <c r="F481" s="15">
        <v>12</v>
      </c>
      <c r="G481" s="15" t="s">
        <v>43</v>
      </c>
      <c r="H481" s="15" t="s">
        <v>40</v>
      </c>
      <c r="I481" s="15" t="s">
        <v>556</v>
      </c>
      <c r="J481" s="15">
        <v>81</v>
      </c>
    </row>
    <row r="482" spans="1:10" x14ac:dyDescent="0.3">
      <c r="A482" s="15" t="s">
        <v>906</v>
      </c>
      <c r="B482" s="15" t="s">
        <v>73</v>
      </c>
      <c r="C482" s="15" t="s">
        <v>36</v>
      </c>
      <c r="D482" s="15" t="s">
        <v>13</v>
      </c>
      <c r="E482" s="15">
        <v>17</v>
      </c>
      <c r="F482" s="15">
        <v>12</v>
      </c>
      <c r="G482" s="15" t="s">
        <v>25</v>
      </c>
      <c r="H482" s="15" t="s">
        <v>76</v>
      </c>
      <c r="I482" s="15" t="s">
        <v>907</v>
      </c>
      <c r="J482" s="15">
        <v>75</v>
      </c>
    </row>
    <row r="483" spans="1:10" x14ac:dyDescent="0.3">
      <c r="A483" s="15" t="s">
        <v>908</v>
      </c>
      <c r="B483" s="15" t="s">
        <v>11</v>
      </c>
      <c r="C483" s="15" t="s">
        <v>79</v>
      </c>
      <c r="D483" s="15" t="s">
        <v>31</v>
      </c>
      <c r="E483" s="15">
        <v>14</v>
      </c>
      <c r="F483" s="15">
        <v>10</v>
      </c>
      <c r="G483" s="15" t="s">
        <v>14</v>
      </c>
      <c r="H483" s="15" t="s">
        <v>46</v>
      </c>
      <c r="I483" s="15" t="s">
        <v>909</v>
      </c>
      <c r="J483" s="15">
        <v>55</v>
      </c>
    </row>
    <row r="484" spans="1:10" x14ac:dyDescent="0.3">
      <c r="A484" s="15" t="s">
        <v>910</v>
      </c>
      <c r="B484" s="15" t="s">
        <v>84</v>
      </c>
      <c r="C484" s="15" t="s">
        <v>12</v>
      </c>
      <c r="D484" s="15" t="s">
        <v>31</v>
      </c>
      <c r="E484" s="15">
        <v>18</v>
      </c>
      <c r="F484" s="15">
        <v>11</v>
      </c>
      <c r="G484" s="15" t="s">
        <v>25</v>
      </c>
      <c r="H484" s="15" t="s">
        <v>15</v>
      </c>
      <c r="I484" s="15" t="s">
        <v>911</v>
      </c>
      <c r="J484" s="15">
        <v>87</v>
      </c>
    </row>
    <row r="485" spans="1:10" x14ac:dyDescent="0.3">
      <c r="A485" s="15" t="s">
        <v>912</v>
      </c>
      <c r="B485" s="15" t="s">
        <v>23</v>
      </c>
      <c r="C485" s="15" t="s">
        <v>79</v>
      </c>
      <c r="D485" s="15" t="s">
        <v>31</v>
      </c>
      <c r="E485" s="15">
        <v>17</v>
      </c>
      <c r="F485" s="15">
        <v>12</v>
      </c>
      <c r="G485" s="15" t="s">
        <v>32</v>
      </c>
      <c r="H485" s="15" t="s">
        <v>46</v>
      </c>
      <c r="I485" s="15" t="s">
        <v>400</v>
      </c>
      <c r="J485" s="15">
        <v>70</v>
      </c>
    </row>
    <row r="486" spans="1:10" x14ac:dyDescent="0.3">
      <c r="A486" s="15" t="s">
        <v>913</v>
      </c>
      <c r="B486" s="15" t="s">
        <v>68</v>
      </c>
      <c r="C486" s="15" t="s">
        <v>58</v>
      </c>
      <c r="D486" s="15" t="s">
        <v>13</v>
      </c>
      <c r="E486" s="15">
        <v>14</v>
      </c>
      <c r="F486" s="15">
        <v>10</v>
      </c>
      <c r="G486" s="15" t="s">
        <v>14</v>
      </c>
      <c r="H486" s="15" t="s">
        <v>15</v>
      </c>
      <c r="I486" s="15" t="s">
        <v>914</v>
      </c>
      <c r="J486" s="15">
        <v>69</v>
      </c>
    </row>
    <row r="487" spans="1:10" x14ac:dyDescent="0.3">
      <c r="A487" s="15" t="s">
        <v>915</v>
      </c>
      <c r="B487" s="15" t="s">
        <v>23</v>
      </c>
      <c r="C487" s="15" t="s">
        <v>58</v>
      </c>
      <c r="D487" s="15" t="s">
        <v>31</v>
      </c>
      <c r="E487" s="15">
        <v>17</v>
      </c>
      <c r="F487" s="15">
        <v>9</v>
      </c>
      <c r="G487" s="15" t="s">
        <v>25</v>
      </c>
      <c r="H487" s="15" t="s">
        <v>46</v>
      </c>
      <c r="I487" s="15" t="s">
        <v>916</v>
      </c>
      <c r="J487" s="15">
        <v>85</v>
      </c>
    </row>
    <row r="488" spans="1:10" x14ac:dyDescent="0.3">
      <c r="A488" s="15" t="s">
        <v>917</v>
      </c>
      <c r="B488" s="15" t="s">
        <v>11</v>
      </c>
      <c r="C488" s="15" t="s">
        <v>96</v>
      </c>
      <c r="D488" s="15" t="s">
        <v>31</v>
      </c>
      <c r="E488" s="15">
        <v>19</v>
      </c>
      <c r="F488" s="15">
        <v>11</v>
      </c>
      <c r="G488" s="15" t="s">
        <v>43</v>
      </c>
      <c r="H488" s="15" t="s">
        <v>26</v>
      </c>
      <c r="I488" s="15" t="s">
        <v>918</v>
      </c>
      <c r="J488" s="15">
        <v>87</v>
      </c>
    </row>
    <row r="489" spans="1:10" x14ac:dyDescent="0.3">
      <c r="A489" s="15" t="s">
        <v>919</v>
      </c>
      <c r="B489" s="15" t="s">
        <v>23</v>
      </c>
      <c r="C489" s="15" t="s">
        <v>19</v>
      </c>
      <c r="D489" s="15" t="s">
        <v>13</v>
      </c>
      <c r="E489" s="15">
        <v>14</v>
      </c>
      <c r="F489" s="15">
        <v>12</v>
      </c>
      <c r="G489" s="15" t="s">
        <v>14</v>
      </c>
      <c r="H489" s="15" t="s">
        <v>15</v>
      </c>
      <c r="I489" s="15" t="s">
        <v>920</v>
      </c>
      <c r="J489" s="15">
        <v>92</v>
      </c>
    </row>
    <row r="490" spans="1:10" x14ac:dyDescent="0.3">
      <c r="A490" s="15" t="s">
        <v>921</v>
      </c>
      <c r="B490" s="15" t="s">
        <v>18</v>
      </c>
      <c r="C490" s="15" t="s">
        <v>24</v>
      </c>
      <c r="D490" s="15" t="s">
        <v>13</v>
      </c>
      <c r="E490" s="15">
        <v>19</v>
      </c>
      <c r="F490" s="15">
        <v>10</v>
      </c>
      <c r="G490" s="15" t="s">
        <v>14</v>
      </c>
      <c r="H490" s="15" t="s">
        <v>20</v>
      </c>
      <c r="I490" s="15" t="s">
        <v>922</v>
      </c>
      <c r="J490" s="15">
        <v>58</v>
      </c>
    </row>
    <row r="491" spans="1:10" x14ac:dyDescent="0.3">
      <c r="A491" s="15" t="s">
        <v>923</v>
      </c>
      <c r="B491" s="15" t="s">
        <v>68</v>
      </c>
      <c r="C491" s="15" t="s">
        <v>55</v>
      </c>
      <c r="D491" s="15" t="s">
        <v>31</v>
      </c>
      <c r="E491" s="15">
        <v>16</v>
      </c>
      <c r="F491" s="15">
        <v>12</v>
      </c>
      <c r="G491" s="15" t="s">
        <v>43</v>
      </c>
      <c r="H491" s="15" t="s">
        <v>37</v>
      </c>
      <c r="I491" s="15" t="s">
        <v>924</v>
      </c>
      <c r="J491" s="15">
        <v>77</v>
      </c>
    </row>
    <row r="492" spans="1:10" x14ac:dyDescent="0.3">
      <c r="A492" s="15" t="s">
        <v>925</v>
      </c>
      <c r="B492" s="15" t="s">
        <v>68</v>
      </c>
      <c r="C492" s="15" t="s">
        <v>30</v>
      </c>
      <c r="D492" s="15" t="s">
        <v>31</v>
      </c>
      <c r="E492" s="15">
        <v>18</v>
      </c>
      <c r="F492" s="15">
        <v>9</v>
      </c>
      <c r="G492" s="15" t="s">
        <v>32</v>
      </c>
      <c r="H492" s="15" t="s">
        <v>20</v>
      </c>
      <c r="I492" s="15" t="s">
        <v>732</v>
      </c>
      <c r="J492" s="15">
        <v>86</v>
      </c>
    </row>
    <row r="493" spans="1:10" x14ac:dyDescent="0.3">
      <c r="A493" s="15" t="s">
        <v>926</v>
      </c>
      <c r="B493" s="15" t="s">
        <v>73</v>
      </c>
      <c r="C493" s="15" t="s">
        <v>85</v>
      </c>
      <c r="D493" s="15" t="s">
        <v>13</v>
      </c>
      <c r="E493" s="15">
        <v>14</v>
      </c>
      <c r="F493" s="15">
        <v>9</v>
      </c>
      <c r="G493" s="15" t="s">
        <v>32</v>
      </c>
      <c r="H493" s="15" t="s">
        <v>20</v>
      </c>
      <c r="I493" s="15" t="s">
        <v>927</v>
      </c>
      <c r="J493" s="15">
        <v>94</v>
      </c>
    </row>
    <row r="494" spans="1:10" x14ac:dyDescent="0.3">
      <c r="A494" s="15" t="s">
        <v>928</v>
      </c>
      <c r="B494" s="15" t="s">
        <v>23</v>
      </c>
      <c r="C494" s="15" t="s">
        <v>55</v>
      </c>
      <c r="D494" s="15" t="s">
        <v>13</v>
      </c>
      <c r="E494" s="15">
        <v>20</v>
      </c>
      <c r="F494" s="15">
        <v>11</v>
      </c>
      <c r="G494" s="15" t="s">
        <v>14</v>
      </c>
      <c r="H494" s="15" t="s">
        <v>15</v>
      </c>
      <c r="I494" s="15" t="s">
        <v>608</v>
      </c>
      <c r="J494" s="15">
        <v>49</v>
      </c>
    </row>
    <row r="495" spans="1:10" x14ac:dyDescent="0.3">
      <c r="A495" s="15" t="s">
        <v>929</v>
      </c>
      <c r="B495" s="15" t="s">
        <v>35</v>
      </c>
      <c r="C495" s="15" t="s">
        <v>30</v>
      </c>
      <c r="D495" s="15" t="s">
        <v>13</v>
      </c>
      <c r="E495" s="15">
        <v>15</v>
      </c>
      <c r="F495" s="15">
        <v>12</v>
      </c>
      <c r="G495" s="15" t="s">
        <v>32</v>
      </c>
      <c r="H495" s="15" t="s">
        <v>26</v>
      </c>
      <c r="I495" s="15" t="s">
        <v>262</v>
      </c>
      <c r="J495" s="15">
        <v>55</v>
      </c>
    </row>
    <row r="496" spans="1:10" x14ac:dyDescent="0.3">
      <c r="A496" s="15" t="s">
        <v>930</v>
      </c>
      <c r="B496" s="15" t="s">
        <v>35</v>
      </c>
      <c r="C496" s="15" t="s">
        <v>96</v>
      </c>
      <c r="D496" s="15" t="s">
        <v>31</v>
      </c>
      <c r="E496" s="15">
        <v>20</v>
      </c>
      <c r="F496" s="15">
        <v>9</v>
      </c>
      <c r="G496" s="15" t="s">
        <v>25</v>
      </c>
      <c r="H496" s="15" t="s">
        <v>61</v>
      </c>
      <c r="I496" s="15" t="s">
        <v>342</v>
      </c>
      <c r="J496" s="15">
        <v>62</v>
      </c>
    </row>
    <row r="497" spans="1:10" x14ac:dyDescent="0.3">
      <c r="A497" s="15" t="s">
        <v>931</v>
      </c>
      <c r="B497" s="15" t="s">
        <v>23</v>
      </c>
      <c r="C497" s="15" t="s">
        <v>36</v>
      </c>
      <c r="D497" s="15" t="s">
        <v>13</v>
      </c>
      <c r="E497" s="15">
        <v>20</v>
      </c>
      <c r="F497" s="15">
        <v>9</v>
      </c>
      <c r="G497" s="15" t="s">
        <v>43</v>
      </c>
      <c r="H497" s="15" t="s">
        <v>40</v>
      </c>
      <c r="I497" s="15" t="s">
        <v>932</v>
      </c>
      <c r="J497" s="15">
        <v>85</v>
      </c>
    </row>
    <row r="498" spans="1:10" x14ac:dyDescent="0.3">
      <c r="A498" s="15" t="s">
        <v>933</v>
      </c>
      <c r="B498" s="15" t="s">
        <v>51</v>
      </c>
      <c r="C498" s="15" t="s">
        <v>96</v>
      </c>
      <c r="D498" s="15" t="s">
        <v>13</v>
      </c>
      <c r="E498" s="15">
        <v>20</v>
      </c>
      <c r="F498" s="15">
        <v>11</v>
      </c>
      <c r="G498" s="15" t="s">
        <v>25</v>
      </c>
      <c r="H498" s="15" t="s">
        <v>15</v>
      </c>
      <c r="I498" s="15" t="s">
        <v>494</v>
      </c>
      <c r="J498" s="15">
        <v>42</v>
      </c>
    </row>
    <row r="499" spans="1:10" x14ac:dyDescent="0.3">
      <c r="A499" s="15" t="s">
        <v>934</v>
      </c>
      <c r="B499" s="15" t="s">
        <v>51</v>
      </c>
      <c r="C499" s="15" t="s">
        <v>58</v>
      </c>
      <c r="D499" s="15" t="s">
        <v>31</v>
      </c>
      <c r="E499" s="15">
        <v>18</v>
      </c>
      <c r="F499" s="15">
        <v>11</v>
      </c>
      <c r="G499" s="15" t="s">
        <v>14</v>
      </c>
      <c r="H499" s="15" t="s">
        <v>37</v>
      </c>
      <c r="I499" s="15" t="s">
        <v>806</v>
      </c>
      <c r="J499" s="15">
        <v>88</v>
      </c>
    </row>
    <row r="500" spans="1:10" x14ac:dyDescent="0.3">
      <c r="A500" s="15" t="s">
        <v>935</v>
      </c>
      <c r="B500" s="15" t="s">
        <v>18</v>
      </c>
      <c r="C500" s="15" t="s">
        <v>12</v>
      </c>
      <c r="D500" s="15" t="s">
        <v>13</v>
      </c>
      <c r="E500" s="15">
        <v>20</v>
      </c>
      <c r="F500" s="15">
        <v>11</v>
      </c>
      <c r="G500" s="15" t="s">
        <v>43</v>
      </c>
      <c r="H500" s="15" t="s">
        <v>46</v>
      </c>
      <c r="I500" s="15" t="s">
        <v>936</v>
      </c>
      <c r="J500" s="15">
        <v>94</v>
      </c>
    </row>
    <row r="501" spans="1:10" x14ac:dyDescent="0.3">
      <c r="A501" s="15" t="s">
        <v>937</v>
      </c>
      <c r="B501" s="15" t="s">
        <v>73</v>
      </c>
      <c r="C501" s="15" t="s">
        <v>85</v>
      </c>
      <c r="D501" s="15" t="s">
        <v>31</v>
      </c>
      <c r="E501" s="15">
        <v>16</v>
      </c>
      <c r="F501" s="15">
        <v>10</v>
      </c>
      <c r="G501" s="15" t="s">
        <v>25</v>
      </c>
      <c r="H501" s="15" t="s">
        <v>76</v>
      </c>
      <c r="I501" s="15" t="s">
        <v>305</v>
      </c>
      <c r="J501" s="15">
        <v>90</v>
      </c>
    </row>
    <row r="502" spans="1:10" x14ac:dyDescent="0.3">
      <c r="A502" s="15" t="s">
        <v>938</v>
      </c>
      <c r="B502" s="15" t="s">
        <v>18</v>
      </c>
      <c r="C502" s="15" t="s">
        <v>58</v>
      </c>
      <c r="D502" s="15" t="s">
        <v>13</v>
      </c>
      <c r="E502" s="15">
        <v>16</v>
      </c>
      <c r="F502" s="15">
        <v>12</v>
      </c>
      <c r="G502" s="15" t="s">
        <v>25</v>
      </c>
      <c r="H502" s="15" t="s">
        <v>26</v>
      </c>
      <c r="I502" s="15" t="s">
        <v>939</v>
      </c>
      <c r="J502" s="15">
        <v>41</v>
      </c>
    </row>
    <row r="503" spans="1:10" x14ac:dyDescent="0.3">
      <c r="A503" s="15" t="s">
        <v>940</v>
      </c>
      <c r="B503" s="15" t="s">
        <v>51</v>
      </c>
      <c r="C503" s="15" t="s">
        <v>96</v>
      </c>
      <c r="D503" s="15" t="s">
        <v>31</v>
      </c>
      <c r="E503" s="15">
        <v>18</v>
      </c>
      <c r="F503" s="15">
        <v>9</v>
      </c>
      <c r="G503" s="15" t="s">
        <v>43</v>
      </c>
      <c r="H503" s="15" t="s">
        <v>76</v>
      </c>
      <c r="I503" s="15" t="s">
        <v>506</v>
      </c>
      <c r="J503" s="15">
        <v>36</v>
      </c>
    </row>
  </sheetData>
  <mergeCells count="1">
    <mergeCell ref="B1:J1"/>
  </mergeCells>
  <conditionalFormatting sqref="B4:B503">
    <cfRule type="duplicateValues" dxfId="6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D29C7-4CC0-48D8-B47D-F65FB2272AD5}">
  <dimension ref="A1:J503"/>
  <sheetViews>
    <sheetView workbookViewId="0">
      <selection activeCell="I10" sqref="I10"/>
    </sheetView>
  </sheetViews>
  <sheetFormatPr defaultRowHeight="14.4" x14ac:dyDescent="0.3"/>
  <cols>
    <col min="1" max="2" width="10.44140625" bestFit="1" customWidth="1"/>
    <col min="3" max="3" width="10.33203125" bestFit="1" customWidth="1"/>
    <col min="4" max="4" width="7.109375" bestFit="1" customWidth="1"/>
    <col min="5" max="5" width="4.21875" bestFit="1" customWidth="1"/>
    <col min="6" max="6" width="5.109375" bestFit="1" customWidth="1"/>
    <col min="7" max="7" width="7.21875" bestFit="1" customWidth="1"/>
    <col min="8" max="8" width="9.77734375" bestFit="1" customWidth="1"/>
    <col min="9" max="9" width="14.6640625" bestFit="1" customWidth="1"/>
    <col min="10" max="10" width="6.21875" bestFit="1" customWidth="1"/>
  </cols>
  <sheetData>
    <row r="1" spans="1:10" ht="18" x14ac:dyDescent="0.35">
      <c r="A1" s="16">
        <v>16</v>
      </c>
      <c r="B1" s="29" t="s">
        <v>972</v>
      </c>
      <c r="C1" s="29"/>
      <c r="D1" s="29"/>
      <c r="E1" s="29"/>
      <c r="F1" s="29"/>
      <c r="G1" s="29"/>
      <c r="H1" s="29"/>
      <c r="I1" s="29"/>
      <c r="J1" s="29"/>
    </row>
    <row r="3" spans="1:10" x14ac:dyDescent="0.3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</row>
    <row r="4" spans="1:10" x14ac:dyDescent="0.3">
      <c r="A4" s="15" t="s">
        <v>10</v>
      </c>
      <c r="B4" s="15" t="s">
        <v>11</v>
      </c>
      <c r="C4" s="15" t="s">
        <v>12</v>
      </c>
      <c r="D4" s="15" t="s">
        <v>13</v>
      </c>
      <c r="E4" s="15">
        <v>16</v>
      </c>
      <c r="F4" s="15">
        <v>10</v>
      </c>
      <c r="G4" s="15" t="s">
        <v>14</v>
      </c>
      <c r="H4" s="15" t="s">
        <v>15</v>
      </c>
      <c r="I4" s="15" t="s">
        <v>16</v>
      </c>
      <c r="J4" s="15">
        <v>37</v>
      </c>
    </row>
    <row r="5" spans="1:10" x14ac:dyDescent="0.3">
      <c r="A5" s="15" t="s">
        <v>17</v>
      </c>
      <c r="B5" s="15" t="s">
        <v>18</v>
      </c>
      <c r="C5" s="15" t="s">
        <v>19</v>
      </c>
      <c r="D5" s="15" t="s">
        <v>13</v>
      </c>
      <c r="E5" s="15">
        <v>15</v>
      </c>
      <c r="F5" s="15">
        <v>12</v>
      </c>
      <c r="G5" s="15" t="s">
        <v>14</v>
      </c>
      <c r="H5" s="15" t="s">
        <v>20</v>
      </c>
      <c r="I5" s="15" t="s">
        <v>21</v>
      </c>
      <c r="J5" s="15">
        <v>98</v>
      </c>
    </row>
    <row r="6" spans="1:10" x14ac:dyDescent="0.3">
      <c r="A6" s="15" t="s">
        <v>22</v>
      </c>
      <c r="B6" s="15" t="s">
        <v>23</v>
      </c>
      <c r="C6" s="15" t="s">
        <v>24</v>
      </c>
      <c r="D6" s="15" t="s">
        <v>13</v>
      </c>
      <c r="E6" s="15">
        <v>14</v>
      </c>
      <c r="F6" s="15">
        <v>12</v>
      </c>
      <c r="G6" s="15" t="s">
        <v>25</v>
      </c>
      <c r="H6" s="15" t="s">
        <v>26</v>
      </c>
      <c r="I6" s="15" t="s">
        <v>27</v>
      </c>
      <c r="J6" s="15">
        <v>38</v>
      </c>
    </row>
    <row r="7" spans="1:10" x14ac:dyDescent="0.3">
      <c r="A7" s="15" t="s">
        <v>28</v>
      </c>
      <c r="B7" s="15" t="s">
        <v>29</v>
      </c>
      <c r="C7" s="15" t="s">
        <v>30</v>
      </c>
      <c r="D7" s="15" t="s">
        <v>31</v>
      </c>
      <c r="E7" s="15">
        <v>20</v>
      </c>
      <c r="F7" s="15">
        <v>9</v>
      </c>
      <c r="G7" s="15" t="s">
        <v>32</v>
      </c>
      <c r="H7" s="15" t="s">
        <v>26</v>
      </c>
      <c r="I7" s="15" t="s">
        <v>33</v>
      </c>
      <c r="J7" s="15">
        <v>84</v>
      </c>
    </row>
    <row r="8" spans="1:10" x14ac:dyDescent="0.3">
      <c r="A8" s="15" t="s">
        <v>34</v>
      </c>
      <c r="B8" s="15" t="s">
        <v>35</v>
      </c>
      <c r="C8" s="15" t="s">
        <v>36</v>
      </c>
      <c r="D8" s="15" t="s">
        <v>31</v>
      </c>
      <c r="E8" s="15">
        <v>17</v>
      </c>
      <c r="F8" s="15">
        <v>10</v>
      </c>
      <c r="G8" s="15" t="s">
        <v>32</v>
      </c>
      <c r="H8" s="15" t="s">
        <v>37</v>
      </c>
      <c r="I8" s="15" t="s">
        <v>38</v>
      </c>
      <c r="J8" s="15">
        <v>45</v>
      </c>
    </row>
    <row r="9" spans="1:10" x14ac:dyDescent="0.3">
      <c r="A9" s="15" t="s">
        <v>39</v>
      </c>
      <c r="B9" s="15" t="s">
        <v>11</v>
      </c>
      <c r="C9" s="15" t="s">
        <v>12</v>
      </c>
      <c r="D9" s="15" t="s">
        <v>31</v>
      </c>
      <c r="E9" s="15">
        <v>19</v>
      </c>
      <c r="F9" s="15">
        <v>10</v>
      </c>
      <c r="G9" s="15" t="s">
        <v>14</v>
      </c>
      <c r="H9" s="15" t="s">
        <v>40</v>
      </c>
      <c r="I9" s="15" t="s">
        <v>41</v>
      </c>
      <c r="J9" s="15">
        <v>36</v>
      </c>
    </row>
    <row r="10" spans="1:10" x14ac:dyDescent="0.3">
      <c r="A10" s="15" t="s">
        <v>42</v>
      </c>
      <c r="B10" s="15" t="s">
        <v>29</v>
      </c>
      <c r="C10" s="15" t="s">
        <v>24</v>
      </c>
      <c r="D10" s="15" t="s">
        <v>31</v>
      </c>
      <c r="E10" s="15">
        <v>20</v>
      </c>
      <c r="F10" s="15">
        <v>9</v>
      </c>
      <c r="G10" s="15" t="s">
        <v>43</v>
      </c>
      <c r="H10" s="15" t="s">
        <v>40</v>
      </c>
      <c r="I10" s="15" t="s">
        <v>44</v>
      </c>
      <c r="J10" s="15">
        <v>88</v>
      </c>
    </row>
    <row r="11" spans="1:10" x14ac:dyDescent="0.3">
      <c r="A11" s="15" t="s">
        <v>45</v>
      </c>
      <c r="B11" s="15" t="s">
        <v>35</v>
      </c>
      <c r="C11" s="15" t="s">
        <v>12</v>
      </c>
      <c r="D11" s="15" t="s">
        <v>13</v>
      </c>
      <c r="E11" s="15">
        <v>19</v>
      </c>
      <c r="F11" s="15">
        <v>12</v>
      </c>
      <c r="G11" s="15" t="s">
        <v>32</v>
      </c>
      <c r="H11" s="15" t="s">
        <v>46</v>
      </c>
      <c r="I11" s="15" t="s">
        <v>47</v>
      </c>
      <c r="J11" s="15">
        <v>60</v>
      </c>
    </row>
    <row r="12" spans="1:10" x14ac:dyDescent="0.3">
      <c r="A12" s="15" t="s">
        <v>48</v>
      </c>
      <c r="B12" s="15" t="s">
        <v>18</v>
      </c>
      <c r="C12" s="15" t="s">
        <v>30</v>
      </c>
      <c r="D12" s="15" t="s">
        <v>31</v>
      </c>
      <c r="E12" s="15">
        <v>19</v>
      </c>
      <c r="F12" s="15">
        <v>12</v>
      </c>
      <c r="G12" s="15" t="s">
        <v>14</v>
      </c>
      <c r="H12" s="15" t="s">
        <v>46</v>
      </c>
      <c r="I12" s="15" t="s">
        <v>49</v>
      </c>
      <c r="J12" s="15">
        <v>92</v>
      </c>
    </row>
    <row r="13" spans="1:10" x14ac:dyDescent="0.3">
      <c r="A13" s="15" t="s">
        <v>50</v>
      </c>
      <c r="B13" s="15" t="s">
        <v>51</v>
      </c>
      <c r="C13" s="15" t="s">
        <v>24</v>
      </c>
      <c r="D13" s="15" t="s">
        <v>31</v>
      </c>
      <c r="E13" s="15">
        <v>15</v>
      </c>
      <c r="F13" s="15">
        <v>9</v>
      </c>
      <c r="G13" s="15" t="s">
        <v>43</v>
      </c>
      <c r="H13" s="15" t="s">
        <v>15</v>
      </c>
      <c r="I13" s="15" t="s">
        <v>52</v>
      </c>
      <c r="J13" s="15">
        <v>90</v>
      </c>
    </row>
    <row r="14" spans="1:10" x14ac:dyDescent="0.3">
      <c r="A14" s="15" t="s">
        <v>53</v>
      </c>
      <c r="B14" s="15" t="s">
        <v>54</v>
      </c>
      <c r="C14" s="15" t="s">
        <v>55</v>
      </c>
      <c r="D14" s="15" t="s">
        <v>31</v>
      </c>
      <c r="E14" s="15">
        <v>20</v>
      </c>
      <c r="F14" s="15">
        <v>10</v>
      </c>
      <c r="G14" s="15" t="s">
        <v>25</v>
      </c>
      <c r="H14" s="15" t="s">
        <v>40</v>
      </c>
      <c r="I14" s="15" t="s">
        <v>56</v>
      </c>
      <c r="J14" s="15">
        <v>59</v>
      </c>
    </row>
    <row r="15" spans="1:10" x14ac:dyDescent="0.3">
      <c r="A15" s="15" t="s">
        <v>57</v>
      </c>
      <c r="B15" s="15" t="s">
        <v>51</v>
      </c>
      <c r="C15" s="15" t="s">
        <v>58</v>
      </c>
      <c r="D15" s="15" t="s">
        <v>13</v>
      </c>
      <c r="E15" s="15">
        <v>14</v>
      </c>
      <c r="F15" s="15">
        <v>12</v>
      </c>
      <c r="G15" s="15" t="s">
        <v>32</v>
      </c>
      <c r="H15" s="15" t="s">
        <v>40</v>
      </c>
      <c r="I15" s="15" t="s">
        <v>59</v>
      </c>
      <c r="J15" s="15">
        <v>43</v>
      </c>
    </row>
    <row r="16" spans="1:10" x14ac:dyDescent="0.3">
      <c r="A16" s="15" t="s">
        <v>60</v>
      </c>
      <c r="B16" s="15" t="s">
        <v>35</v>
      </c>
      <c r="C16" s="15" t="s">
        <v>55</v>
      </c>
      <c r="D16" s="15" t="s">
        <v>13</v>
      </c>
      <c r="E16" s="15">
        <v>15</v>
      </c>
      <c r="F16" s="15">
        <v>12</v>
      </c>
      <c r="G16" s="15" t="s">
        <v>14</v>
      </c>
      <c r="H16" s="15" t="s">
        <v>61</v>
      </c>
      <c r="I16" s="15" t="s">
        <v>62</v>
      </c>
      <c r="J16" s="15">
        <v>51</v>
      </c>
    </row>
    <row r="17" spans="1:10" x14ac:dyDescent="0.3">
      <c r="A17" s="15" t="s">
        <v>63</v>
      </c>
      <c r="B17" s="15" t="s">
        <v>11</v>
      </c>
      <c r="C17" s="15" t="s">
        <v>55</v>
      </c>
      <c r="D17" s="15" t="s">
        <v>13</v>
      </c>
      <c r="E17" s="15">
        <v>16</v>
      </c>
      <c r="F17" s="15">
        <v>10</v>
      </c>
      <c r="G17" s="15" t="s">
        <v>25</v>
      </c>
      <c r="H17" s="15" t="s">
        <v>26</v>
      </c>
      <c r="I17" s="15" t="s">
        <v>64</v>
      </c>
      <c r="J17" s="15">
        <v>42</v>
      </c>
    </row>
    <row r="18" spans="1:10" x14ac:dyDescent="0.3">
      <c r="A18" s="15" t="s">
        <v>65</v>
      </c>
      <c r="B18" s="15" t="s">
        <v>23</v>
      </c>
      <c r="C18" s="15" t="s">
        <v>30</v>
      </c>
      <c r="D18" s="15" t="s">
        <v>13</v>
      </c>
      <c r="E18" s="15">
        <v>20</v>
      </c>
      <c r="F18" s="15">
        <v>12</v>
      </c>
      <c r="G18" s="15" t="s">
        <v>14</v>
      </c>
      <c r="H18" s="15" t="s">
        <v>40</v>
      </c>
      <c r="I18" s="15" t="s">
        <v>66</v>
      </c>
      <c r="J18" s="15">
        <v>62</v>
      </c>
    </row>
    <row r="19" spans="1:10" x14ac:dyDescent="0.3">
      <c r="A19" s="15" t="s">
        <v>67</v>
      </c>
      <c r="B19" s="15" t="s">
        <v>68</v>
      </c>
      <c r="C19" s="15" t="s">
        <v>19</v>
      </c>
      <c r="D19" s="15" t="s">
        <v>13</v>
      </c>
      <c r="E19" s="15">
        <v>20</v>
      </c>
      <c r="F19" s="15">
        <v>9</v>
      </c>
      <c r="G19" s="15" t="s">
        <v>14</v>
      </c>
      <c r="H19" s="15" t="s">
        <v>20</v>
      </c>
      <c r="I19" s="15" t="s">
        <v>69</v>
      </c>
      <c r="J19" s="15">
        <v>55</v>
      </c>
    </row>
    <row r="20" spans="1:10" x14ac:dyDescent="0.3">
      <c r="A20" s="15" t="s">
        <v>70</v>
      </c>
      <c r="B20" s="15" t="s">
        <v>51</v>
      </c>
      <c r="C20" s="15" t="s">
        <v>36</v>
      </c>
      <c r="D20" s="15" t="s">
        <v>13</v>
      </c>
      <c r="E20" s="15">
        <v>14</v>
      </c>
      <c r="F20" s="15">
        <v>12</v>
      </c>
      <c r="G20" s="15" t="s">
        <v>25</v>
      </c>
      <c r="H20" s="15" t="s">
        <v>37</v>
      </c>
      <c r="I20" s="15" t="s">
        <v>71</v>
      </c>
      <c r="J20" s="15">
        <v>42</v>
      </c>
    </row>
    <row r="21" spans="1:10" x14ac:dyDescent="0.3">
      <c r="A21" s="15" t="s">
        <v>72</v>
      </c>
      <c r="B21" s="15" t="s">
        <v>73</v>
      </c>
      <c r="C21" s="15" t="s">
        <v>58</v>
      </c>
      <c r="D21" s="15" t="s">
        <v>31</v>
      </c>
      <c r="E21" s="15">
        <v>19</v>
      </c>
      <c r="F21" s="15">
        <v>9</v>
      </c>
      <c r="G21" s="15" t="s">
        <v>32</v>
      </c>
      <c r="H21" s="15" t="s">
        <v>46</v>
      </c>
      <c r="I21" s="15" t="s">
        <v>74</v>
      </c>
      <c r="J21" s="15">
        <v>76</v>
      </c>
    </row>
    <row r="22" spans="1:10" x14ac:dyDescent="0.3">
      <c r="A22" s="15" t="s">
        <v>75</v>
      </c>
      <c r="B22" s="15" t="s">
        <v>29</v>
      </c>
      <c r="C22" s="15" t="s">
        <v>58</v>
      </c>
      <c r="D22" s="15" t="s">
        <v>31</v>
      </c>
      <c r="E22" s="15">
        <v>17</v>
      </c>
      <c r="F22" s="15">
        <v>12</v>
      </c>
      <c r="G22" s="15" t="s">
        <v>32</v>
      </c>
      <c r="H22" s="15" t="s">
        <v>76</v>
      </c>
      <c r="I22" s="15" t="s">
        <v>77</v>
      </c>
      <c r="J22" s="15">
        <v>66</v>
      </c>
    </row>
    <row r="23" spans="1:10" x14ac:dyDescent="0.3">
      <c r="A23" s="15" t="s">
        <v>78</v>
      </c>
      <c r="B23" s="15" t="s">
        <v>68</v>
      </c>
      <c r="C23" s="15" t="s">
        <v>79</v>
      </c>
      <c r="D23" s="15" t="s">
        <v>31</v>
      </c>
      <c r="E23" s="15">
        <v>15</v>
      </c>
      <c r="F23" s="15">
        <v>10</v>
      </c>
      <c r="G23" s="15" t="s">
        <v>14</v>
      </c>
      <c r="H23" s="15" t="s">
        <v>20</v>
      </c>
      <c r="I23" s="15" t="s">
        <v>80</v>
      </c>
      <c r="J23" s="15">
        <v>59</v>
      </c>
    </row>
    <row r="24" spans="1:10" x14ac:dyDescent="0.3">
      <c r="A24" s="15" t="s">
        <v>81</v>
      </c>
      <c r="B24" s="15" t="s">
        <v>29</v>
      </c>
      <c r="C24" s="15" t="s">
        <v>58</v>
      </c>
      <c r="D24" s="15" t="s">
        <v>31</v>
      </c>
      <c r="E24" s="15">
        <v>19</v>
      </c>
      <c r="F24" s="15">
        <v>9</v>
      </c>
      <c r="G24" s="15" t="s">
        <v>14</v>
      </c>
      <c r="H24" s="15" t="s">
        <v>61</v>
      </c>
      <c r="I24" s="15" t="s">
        <v>82</v>
      </c>
      <c r="J24" s="15">
        <v>50</v>
      </c>
    </row>
    <row r="25" spans="1:10" x14ac:dyDescent="0.3">
      <c r="A25" s="15" t="s">
        <v>83</v>
      </c>
      <c r="B25" s="15" t="s">
        <v>84</v>
      </c>
      <c r="C25" s="15" t="s">
        <v>85</v>
      </c>
      <c r="D25" s="15" t="s">
        <v>31</v>
      </c>
      <c r="E25" s="15">
        <v>16</v>
      </c>
      <c r="F25" s="15">
        <v>9</v>
      </c>
      <c r="G25" s="15" t="s">
        <v>43</v>
      </c>
      <c r="H25" s="15" t="s">
        <v>37</v>
      </c>
      <c r="I25" s="15" t="s">
        <v>86</v>
      </c>
      <c r="J25" s="15">
        <v>52</v>
      </c>
    </row>
    <row r="26" spans="1:10" x14ac:dyDescent="0.3">
      <c r="A26" s="15" t="s">
        <v>87</v>
      </c>
      <c r="B26" s="15" t="s">
        <v>18</v>
      </c>
      <c r="C26" s="15" t="s">
        <v>12</v>
      </c>
      <c r="D26" s="15" t="s">
        <v>13</v>
      </c>
      <c r="E26" s="15">
        <v>20</v>
      </c>
      <c r="F26" s="15">
        <v>12</v>
      </c>
      <c r="G26" s="15" t="s">
        <v>32</v>
      </c>
      <c r="H26" s="15" t="s">
        <v>26</v>
      </c>
      <c r="I26" s="15" t="s">
        <v>88</v>
      </c>
      <c r="J26" s="15">
        <v>86</v>
      </c>
    </row>
    <row r="27" spans="1:10" x14ac:dyDescent="0.3">
      <c r="A27" s="15" t="s">
        <v>89</v>
      </c>
      <c r="B27" s="15" t="s">
        <v>68</v>
      </c>
      <c r="C27" s="15" t="s">
        <v>85</v>
      </c>
      <c r="D27" s="15" t="s">
        <v>31</v>
      </c>
      <c r="E27" s="15">
        <v>16</v>
      </c>
      <c r="F27" s="15">
        <v>9</v>
      </c>
      <c r="G27" s="15" t="s">
        <v>43</v>
      </c>
      <c r="H27" s="15" t="s">
        <v>20</v>
      </c>
      <c r="I27" s="15" t="s">
        <v>90</v>
      </c>
      <c r="J27" s="15">
        <v>52</v>
      </c>
    </row>
    <row r="28" spans="1:10" x14ac:dyDescent="0.3">
      <c r="A28" s="15" t="s">
        <v>91</v>
      </c>
      <c r="B28" s="15" t="s">
        <v>73</v>
      </c>
      <c r="C28" s="15" t="s">
        <v>12</v>
      </c>
      <c r="D28" s="15" t="s">
        <v>13</v>
      </c>
      <c r="E28" s="15">
        <v>20</v>
      </c>
      <c r="F28" s="15">
        <v>10</v>
      </c>
      <c r="G28" s="15" t="s">
        <v>43</v>
      </c>
      <c r="H28" s="15" t="s">
        <v>46</v>
      </c>
      <c r="I28" s="15" t="s">
        <v>92</v>
      </c>
      <c r="J28" s="15">
        <v>82</v>
      </c>
    </row>
    <row r="29" spans="1:10" x14ac:dyDescent="0.3">
      <c r="A29" s="15" t="s">
        <v>93</v>
      </c>
      <c r="B29" s="15" t="s">
        <v>29</v>
      </c>
      <c r="C29" s="15" t="s">
        <v>24</v>
      </c>
      <c r="D29" s="15" t="s">
        <v>31</v>
      </c>
      <c r="E29" s="15">
        <v>14</v>
      </c>
      <c r="F29" s="15">
        <v>12</v>
      </c>
      <c r="G29" s="15" t="s">
        <v>32</v>
      </c>
      <c r="H29" s="15" t="s">
        <v>61</v>
      </c>
      <c r="I29" s="15" t="s">
        <v>94</v>
      </c>
      <c r="J29" s="15">
        <v>72</v>
      </c>
    </row>
    <row r="30" spans="1:10" x14ac:dyDescent="0.3">
      <c r="A30" s="15" t="s">
        <v>95</v>
      </c>
      <c r="B30" s="15" t="s">
        <v>18</v>
      </c>
      <c r="C30" s="15" t="s">
        <v>96</v>
      </c>
      <c r="D30" s="15" t="s">
        <v>13</v>
      </c>
      <c r="E30" s="15">
        <v>19</v>
      </c>
      <c r="F30" s="15">
        <v>12</v>
      </c>
      <c r="G30" s="15" t="s">
        <v>14</v>
      </c>
      <c r="H30" s="15" t="s">
        <v>15</v>
      </c>
      <c r="I30" s="15" t="s">
        <v>97</v>
      </c>
      <c r="J30" s="15">
        <v>56</v>
      </c>
    </row>
    <row r="31" spans="1:10" x14ac:dyDescent="0.3">
      <c r="A31" s="15" t="s">
        <v>98</v>
      </c>
      <c r="B31" s="15" t="s">
        <v>68</v>
      </c>
      <c r="C31" s="15" t="s">
        <v>55</v>
      </c>
      <c r="D31" s="15" t="s">
        <v>13</v>
      </c>
      <c r="E31" s="15">
        <v>19</v>
      </c>
      <c r="F31" s="15">
        <v>11</v>
      </c>
      <c r="G31" s="15" t="s">
        <v>43</v>
      </c>
      <c r="H31" s="15" t="s">
        <v>15</v>
      </c>
      <c r="I31" s="15" t="s">
        <v>99</v>
      </c>
      <c r="J31" s="15">
        <v>56</v>
      </c>
    </row>
    <row r="32" spans="1:10" x14ac:dyDescent="0.3">
      <c r="A32" s="15" t="s">
        <v>100</v>
      </c>
      <c r="B32" s="15" t="s">
        <v>35</v>
      </c>
      <c r="C32" s="15" t="s">
        <v>12</v>
      </c>
      <c r="D32" s="15" t="s">
        <v>31</v>
      </c>
      <c r="E32" s="15">
        <v>19</v>
      </c>
      <c r="F32" s="15">
        <v>12</v>
      </c>
      <c r="G32" s="15" t="s">
        <v>25</v>
      </c>
      <c r="H32" s="15" t="s">
        <v>76</v>
      </c>
      <c r="I32" s="15" t="s">
        <v>101</v>
      </c>
      <c r="J32" s="15">
        <v>54</v>
      </c>
    </row>
    <row r="33" spans="1:10" x14ac:dyDescent="0.3">
      <c r="A33" s="15" t="s">
        <v>102</v>
      </c>
      <c r="B33" s="15" t="s">
        <v>35</v>
      </c>
      <c r="C33" s="15" t="s">
        <v>12</v>
      </c>
      <c r="D33" s="15" t="s">
        <v>13</v>
      </c>
      <c r="E33" s="15">
        <v>20</v>
      </c>
      <c r="F33" s="15">
        <v>11</v>
      </c>
      <c r="G33" s="15" t="s">
        <v>14</v>
      </c>
      <c r="H33" s="15" t="s">
        <v>26</v>
      </c>
      <c r="I33" s="15" t="s">
        <v>103</v>
      </c>
      <c r="J33" s="15">
        <v>70</v>
      </c>
    </row>
    <row r="34" spans="1:10" x14ac:dyDescent="0.3">
      <c r="A34" s="15" t="s">
        <v>104</v>
      </c>
      <c r="B34" s="15" t="s">
        <v>29</v>
      </c>
      <c r="C34" s="15" t="s">
        <v>79</v>
      </c>
      <c r="D34" s="15" t="s">
        <v>31</v>
      </c>
      <c r="E34" s="15">
        <v>18</v>
      </c>
      <c r="F34" s="15">
        <v>10</v>
      </c>
      <c r="G34" s="15" t="s">
        <v>25</v>
      </c>
      <c r="H34" s="15" t="s">
        <v>61</v>
      </c>
      <c r="I34" s="15" t="s">
        <v>105</v>
      </c>
      <c r="J34" s="15">
        <v>57</v>
      </c>
    </row>
    <row r="35" spans="1:10" x14ac:dyDescent="0.3">
      <c r="A35" s="15" t="s">
        <v>106</v>
      </c>
      <c r="B35" s="15" t="s">
        <v>51</v>
      </c>
      <c r="C35" s="15" t="s">
        <v>55</v>
      </c>
      <c r="D35" s="15" t="s">
        <v>13</v>
      </c>
      <c r="E35" s="15">
        <v>20</v>
      </c>
      <c r="F35" s="15">
        <v>9</v>
      </c>
      <c r="G35" s="15" t="s">
        <v>32</v>
      </c>
      <c r="H35" s="15" t="s">
        <v>26</v>
      </c>
      <c r="I35" s="15" t="s">
        <v>107</v>
      </c>
      <c r="J35" s="15">
        <v>91</v>
      </c>
    </row>
    <row r="36" spans="1:10" x14ac:dyDescent="0.3">
      <c r="A36" s="15" t="s">
        <v>108</v>
      </c>
      <c r="B36" s="15" t="s">
        <v>29</v>
      </c>
      <c r="C36" s="15" t="s">
        <v>96</v>
      </c>
      <c r="D36" s="15" t="s">
        <v>31</v>
      </c>
      <c r="E36" s="15">
        <v>15</v>
      </c>
      <c r="F36" s="15">
        <v>11</v>
      </c>
      <c r="G36" s="15" t="s">
        <v>43</v>
      </c>
      <c r="H36" s="15" t="s">
        <v>26</v>
      </c>
      <c r="I36" s="15" t="s">
        <v>109</v>
      </c>
      <c r="J36" s="15">
        <v>77</v>
      </c>
    </row>
    <row r="37" spans="1:10" x14ac:dyDescent="0.3">
      <c r="A37" s="15" t="s">
        <v>110</v>
      </c>
      <c r="B37" s="15" t="s">
        <v>51</v>
      </c>
      <c r="C37" s="15" t="s">
        <v>58</v>
      </c>
      <c r="D37" s="15" t="s">
        <v>31</v>
      </c>
      <c r="E37" s="15">
        <v>14</v>
      </c>
      <c r="F37" s="15">
        <v>10</v>
      </c>
      <c r="G37" s="15" t="s">
        <v>32</v>
      </c>
      <c r="H37" s="15" t="s">
        <v>76</v>
      </c>
      <c r="I37" s="15" t="s">
        <v>111</v>
      </c>
      <c r="J37" s="15">
        <v>60</v>
      </c>
    </row>
    <row r="38" spans="1:10" x14ac:dyDescent="0.3">
      <c r="A38" s="15" t="s">
        <v>112</v>
      </c>
      <c r="B38" s="15" t="s">
        <v>73</v>
      </c>
      <c r="C38" s="15" t="s">
        <v>30</v>
      </c>
      <c r="D38" s="15" t="s">
        <v>13</v>
      </c>
      <c r="E38" s="15">
        <v>15</v>
      </c>
      <c r="F38" s="15">
        <v>9</v>
      </c>
      <c r="G38" s="15" t="s">
        <v>14</v>
      </c>
      <c r="H38" s="15" t="s">
        <v>26</v>
      </c>
      <c r="I38" s="15" t="s">
        <v>113</v>
      </c>
      <c r="J38" s="15">
        <v>58</v>
      </c>
    </row>
    <row r="39" spans="1:10" x14ac:dyDescent="0.3">
      <c r="A39" s="15" t="s">
        <v>114</v>
      </c>
      <c r="B39" s="15" t="s">
        <v>73</v>
      </c>
      <c r="C39" s="15" t="s">
        <v>58</v>
      </c>
      <c r="D39" s="15" t="s">
        <v>13</v>
      </c>
      <c r="E39" s="15">
        <v>20</v>
      </c>
      <c r="F39" s="15">
        <v>9</v>
      </c>
      <c r="G39" s="15" t="s">
        <v>25</v>
      </c>
      <c r="H39" s="15" t="s">
        <v>46</v>
      </c>
      <c r="I39" s="15" t="s">
        <v>115</v>
      </c>
      <c r="J39" s="15">
        <v>40</v>
      </c>
    </row>
    <row r="40" spans="1:10" x14ac:dyDescent="0.3">
      <c r="A40" s="15" t="s">
        <v>116</v>
      </c>
      <c r="B40" s="15" t="s">
        <v>84</v>
      </c>
      <c r="C40" s="15" t="s">
        <v>19</v>
      </c>
      <c r="D40" s="15" t="s">
        <v>13</v>
      </c>
      <c r="E40" s="15">
        <v>19</v>
      </c>
      <c r="F40" s="15">
        <v>12</v>
      </c>
      <c r="G40" s="15" t="s">
        <v>14</v>
      </c>
      <c r="H40" s="15" t="s">
        <v>20</v>
      </c>
      <c r="I40" s="15" t="s">
        <v>117</v>
      </c>
      <c r="J40" s="15">
        <v>56</v>
      </c>
    </row>
    <row r="41" spans="1:10" x14ac:dyDescent="0.3">
      <c r="A41" s="15" t="s">
        <v>118</v>
      </c>
      <c r="B41" s="15" t="s">
        <v>84</v>
      </c>
      <c r="C41" s="15" t="s">
        <v>58</v>
      </c>
      <c r="D41" s="15" t="s">
        <v>31</v>
      </c>
      <c r="E41" s="15">
        <v>20</v>
      </c>
      <c r="F41" s="15">
        <v>10</v>
      </c>
      <c r="G41" s="15" t="s">
        <v>32</v>
      </c>
      <c r="H41" s="15" t="s">
        <v>26</v>
      </c>
      <c r="I41" s="15" t="s">
        <v>119</v>
      </c>
      <c r="J41" s="15">
        <v>52</v>
      </c>
    </row>
    <row r="42" spans="1:10" x14ac:dyDescent="0.3">
      <c r="A42" s="15" t="s">
        <v>120</v>
      </c>
      <c r="B42" s="15" t="s">
        <v>35</v>
      </c>
      <c r="C42" s="15" t="s">
        <v>36</v>
      </c>
      <c r="D42" s="15" t="s">
        <v>31</v>
      </c>
      <c r="E42" s="15">
        <v>20</v>
      </c>
      <c r="F42" s="15">
        <v>10</v>
      </c>
      <c r="G42" s="15" t="s">
        <v>43</v>
      </c>
      <c r="H42" s="15" t="s">
        <v>61</v>
      </c>
      <c r="I42" s="15" t="s">
        <v>121</v>
      </c>
      <c r="J42" s="15">
        <v>37</v>
      </c>
    </row>
    <row r="43" spans="1:10" x14ac:dyDescent="0.3">
      <c r="A43" s="15" t="s">
        <v>122</v>
      </c>
      <c r="B43" s="15" t="s">
        <v>18</v>
      </c>
      <c r="C43" s="15" t="s">
        <v>19</v>
      </c>
      <c r="D43" s="15" t="s">
        <v>13</v>
      </c>
      <c r="E43" s="15">
        <v>15</v>
      </c>
      <c r="F43" s="15">
        <v>10</v>
      </c>
      <c r="G43" s="15" t="s">
        <v>32</v>
      </c>
      <c r="H43" s="15" t="s">
        <v>20</v>
      </c>
      <c r="I43" s="15" t="s">
        <v>123</v>
      </c>
      <c r="J43" s="15">
        <v>51</v>
      </c>
    </row>
    <row r="44" spans="1:10" x14ac:dyDescent="0.3">
      <c r="A44" s="15" t="s">
        <v>124</v>
      </c>
      <c r="B44" s="15" t="s">
        <v>68</v>
      </c>
      <c r="C44" s="15" t="s">
        <v>36</v>
      </c>
      <c r="D44" s="15" t="s">
        <v>13</v>
      </c>
      <c r="E44" s="15">
        <v>18</v>
      </c>
      <c r="F44" s="15">
        <v>10</v>
      </c>
      <c r="G44" s="15" t="s">
        <v>43</v>
      </c>
      <c r="H44" s="15" t="s">
        <v>20</v>
      </c>
      <c r="I44" s="15" t="s">
        <v>125</v>
      </c>
      <c r="J44" s="15">
        <v>66</v>
      </c>
    </row>
    <row r="45" spans="1:10" x14ac:dyDescent="0.3">
      <c r="A45" s="15" t="s">
        <v>126</v>
      </c>
      <c r="B45" s="15" t="s">
        <v>18</v>
      </c>
      <c r="C45" s="15" t="s">
        <v>24</v>
      </c>
      <c r="D45" s="15" t="s">
        <v>13</v>
      </c>
      <c r="E45" s="15">
        <v>15</v>
      </c>
      <c r="F45" s="15">
        <v>9</v>
      </c>
      <c r="G45" s="15" t="s">
        <v>25</v>
      </c>
      <c r="H45" s="15" t="s">
        <v>76</v>
      </c>
      <c r="I45" s="15" t="s">
        <v>127</v>
      </c>
      <c r="J45" s="15">
        <v>59</v>
      </c>
    </row>
    <row r="46" spans="1:10" x14ac:dyDescent="0.3">
      <c r="A46" s="15" t="s">
        <v>128</v>
      </c>
      <c r="B46" s="15" t="s">
        <v>11</v>
      </c>
      <c r="C46" s="15" t="s">
        <v>24</v>
      </c>
      <c r="D46" s="15" t="s">
        <v>31</v>
      </c>
      <c r="E46" s="15">
        <v>17</v>
      </c>
      <c r="F46" s="15">
        <v>12</v>
      </c>
      <c r="G46" s="15" t="s">
        <v>32</v>
      </c>
      <c r="H46" s="15" t="s">
        <v>15</v>
      </c>
      <c r="I46" s="15" t="s">
        <v>129</v>
      </c>
      <c r="J46" s="15">
        <v>68</v>
      </c>
    </row>
    <row r="47" spans="1:10" x14ac:dyDescent="0.3">
      <c r="A47" s="15" t="s">
        <v>130</v>
      </c>
      <c r="B47" s="15" t="s">
        <v>73</v>
      </c>
      <c r="C47" s="15" t="s">
        <v>30</v>
      </c>
      <c r="D47" s="15" t="s">
        <v>13</v>
      </c>
      <c r="E47" s="15">
        <v>17</v>
      </c>
      <c r="F47" s="15">
        <v>12</v>
      </c>
      <c r="G47" s="15" t="s">
        <v>25</v>
      </c>
      <c r="H47" s="15" t="s">
        <v>40</v>
      </c>
      <c r="I47" s="15" t="s">
        <v>131</v>
      </c>
      <c r="J47" s="15">
        <v>82</v>
      </c>
    </row>
    <row r="48" spans="1:10" x14ac:dyDescent="0.3">
      <c r="A48" s="15" t="s">
        <v>132</v>
      </c>
      <c r="B48" s="15" t="s">
        <v>29</v>
      </c>
      <c r="C48" s="15" t="s">
        <v>12</v>
      </c>
      <c r="D48" s="15" t="s">
        <v>13</v>
      </c>
      <c r="E48" s="15">
        <v>17</v>
      </c>
      <c r="F48" s="15">
        <v>10</v>
      </c>
      <c r="G48" s="15" t="s">
        <v>25</v>
      </c>
      <c r="H48" s="15" t="s">
        <v>37</v>
      </c>
      <c r="I48" s="15" t="s">
        <v>133</v>
      </c>
      <c r="J48" s="15">
        <v>88</v>
      </c>
    </row>
    <row r="49" spans="1:10" x14ac:dyDescent="0.3">
      <c r="A49" s="15" t="s">
        <v>134</v>
      </c>
      <c r="B49" s="15" t="s">
        <v>23</v>
      </c>
      <c r="C49" s="15" t="s">
        <v>30</v>
      </c>
      <c r="D49" s="15" t="s">
        <v>31</v>
      </c>
      <c r="E49" s="15">
        <v>20</v>
      </c>
      <c r="F49" s="15">
        <v>9</v>
      </c>
      <c r="G49" s="15" t="s">
        <v>14</v>
      </c>
      <c r="H49" s="15" t="s">
        <v>15</v>
      </c>
      <c r="I49" s="15" t="s">
        <v>135</v>
      </c>
      <c r="J49" s="15">
        <v>50</v>
      </c>
    </row>
    <row r="50" spans="1:10" x14ac:dyDescent="0.3">
      <c r="A50" s="15" t="s">
        <v>136</v>
      </c>
      <c r="B50" s="15" t="s">
        <v>11</v>
      </c>
      <c r="C50" s="15" t="s">
        <v>79</v>
      </c>
      <c r="D50" s="15" t="s">
        <v>13</v>
      </c>
      <c r="E50" s="15">
        <v>14</v>
      </c>
      <c r="F50" s="15">
        <v>10</v>
      </c>
      <c r="G50" s="15" t="s">
        <v>43</v>
      </c>
      <c r="H50" s="15" t="s">
        <v>61</v>
      </c>
      <c r="I50" s="15" t="s">
        <v>137</v>
      </c>
      <c r="J50" s="15">
        <v>65</v>
      </c>
    </row>
    <row r="51" spans="1:10" x14ac:dyDescent="0.3">
      <c r="A51" s="15" t="s">
        <v>138</v>
      </c>
      <c r="B51" s="15" t="s">
        <v>51</v>
      </c>
      <c r="C51" s="15" t="s">
        <v>85</v>
      </c>
      <c r="D51" s="15" t="s">
        <v>13</v>
      </c>
      <c r="E51" s="15">
        <v>18</v>
      </c>
      <c r="F51" s="15">
        <v>11</v>
      </c>
      <c r="G51" s="15" t="s">
        <v>43</v>
      </c>
      <c r="H51" s="15" t="s">
        <v>61</v>
      </c>
      <c r="I51" s="15" t="s">
        <v>139</v>
      </c>
      <c r="J51" s="15">
        <v>100</v>
      </c>
    </row>
    <row r="52" spans="1:10" x14ac:dyDescent="0.3">
      <c r="A52" s="15" t="s">
        <v>140</v>
      </c>
      <c r="B52" s="15" t="s">
        <v>35</v>
      </c>
      <c r="C52" s="15" t="s">
        <v>30</v>
      </c>
      <c r="D52" s="15" t="s">
        <v>31</v>
      </c>
      <c r="E52" s="15">
        <v>19</v>
      </c>
      <c r="F52" s="15">
        <v>10</v>
      </c>
      <c r="G52" s="15" t="s">
        <v>32</v>
      </c>
      <c r="H52" s="15" t="s">
        <v>76</v>
      </c>
      <c r="I52" s="15" t="s">
        <v>141</v>
      </c>
      <c r="J52" s="15">
        <v>93</v>
      </c>
    </row>
    <row r="53" spans="1:10" x14ac:dyDescent="0.3">
      <c r="A53" s="15" t="s">
        <v>142</v>
      </c>
      <c r="B53" s="15" t="s">
        <v>29</v>
      </c>
      <c r="C53" s="15" t="s">
        <v>96</v>
      </c>
      <c r="D53" s="15" t="s">
        <v>31</v>
      </c>
      <c r="E53" s="15">
        <v>16</v>
      </c>
      <c r="F53" s="15">
        <v>12</v>
      </c>
      <c r="G53" s="15" t="s">
        <v>14</v>
      </c>
      <c r="H53" s="15" t="s">
        <v>37</v>
      </c>
      <c r="I53" s="15" t="s">
        <v>143</v>
      </c>
      <c r="J53" s="15">
        <v>85</v>
      </c>
    </row>
    <row r="54" spans="1:10" x14ac:dyDescent="0.3">
      <c r="A54" s="15" t="s">
        <v>144</v>
      </c>
      <c r="B54" s="15" t="s">
        <v>73</v>
      </c>
      <c r="C54" s="15" t="s">
        <v>12</v>
      </c>
      <c r="D54" s="15" t="s">
        <v>31</v>
      </c>
      <c r="E54" s="15">
        <v>20</v>
      </c>
      <c r="F54" s="15">
        <v>10</v>
      </c>
      <c r="G54" s="15" t="s">
        <v>14</v>
      </c>
      <c r="H54" s="15" t="s">
        <v>26</v>
      </c>
      <c r="I54" s="15" t="s">
        <v>145</v>
      </c>
      <c r="J54" s="15">
        <v>71</v>
      </c>
    </row>
    <row r="55" spans="1:10" x14ac:dyDescent="0.3">
      <c r="A55" s="15" t="s">
        <v>146</v>
      </c>
      <c r="B55" s="15" t="s">
        <v>35</v>
      </c>
      <c r="C55" s="15" t="s">
        <v>30</v>
      </c>
      <c r="D55" s="15" t="s">
        <v>31</v>
      </c>
      <c r="E55" s="15">
        <v>20</v>
      </c>
      <c r="F55" s="15">
        <v>9</v>
      </c>
      <c r="G55" s="15" t="s">
        <v>43</v>
      </c>
      <c r="H55" s="15" t="s">
        <v>15</v>
      </c>
      <c r="I55" s="15" t="s">
        <v>147</v>
      </c>
      <c r="J55" s="15">
        <v>40</v>
      </c>
    </row>
    <row r="56" spans="1:10" x14ac:dyDescent="0.3">
      <c r="A56" s="15" t="s">
        <v>148</v>
      </c>
      <c r="B56" s="15" t="s">
        <v>51</v>
      </c>
      <c r="C56" s="15" t="s">
        <v>96</v>
      </c>
      <c r="D56" s="15" t="s">
        <v>13</v>
      </c>
      <c r="E56" s="15">
        <v>19</v>
      </c>
      <c r="F56" s="15">
        <v>11</v>
      </c>
      <c r="G56" s="15" t="s">
        <v>14</v>
      </c>
      <c r="H56" s="15" t="s">
        <v>76</v>
      </c>
      <c r="I56" s="15" t="s">
        <v>149</v>
      </c>
      <c r="J56" s="15">
        <v>83</v>
      </c>
    </row>
    <row r="57" spans="1:10" x14ac:dyDescent="0.3">
      <c r="A57" s="15" t="s">
        <v>150</v>
      </c>
      <c r="B57" s="15" t="s">
        <v>23</v>
      </c>
      <c r="C57" s="15" t="s">
        <v>55</v>
      </c>
      <c r="D57" s="15" t="s">
        <v>31</v>
      </c>
      <c r="E57" s="15">
        <v>17</v>
      </c>
      <c r="F57" s="15">
        <v>9</v>
      </c>
      <c r="G57" s="15" t="s">
        <v>25</v>
      </c>
      <c r="H57" s="15" t="s">
        <v>20</v>
      </c>
      <c r="I57" s="15" t="s">
        <v>151</v>
      </c>
      <c r="J57" s="15">
        <v>55</v>
      </c>
    </row>
    <row r="58" spans="1:10" x14ac:dyDescent="0.3">
      <c r="A58" s="15" t="s">
        <v>152</v>
      </c>
      <c r="B58" s="15" t="s">
        <v>23</v>
      </c>
      <c r="C58" s="15" t="s">
        <v>55</v>
      </c>
      <c r="D58" s="15" t="s">
        <v>13</v>
      </c>
      <c r="E58" s="15">
        <v>17</v>
      </c>
      <c r="F58" s="15">
        <v>12</v>
      </c>
      <c r="G58" s="15" t="s">
        <v>32</v>
      </c>
      <c r="H58" s="15" t="s">
        <v>46</v>
      </c>
      <c r="I58" s="15" t="s">
        <v>153</v>
      </c>
      <c r="J58" s="15">
        <v>39</v>
      </c>
    </row>
    <row r="59" spans="1:10" x14ac:dyDescent="0.3">
      <c r="A59" s="15" t="s">
        <v>154</v>
      </c>
      <c r="B59" s="15" t="s">
        <v>51</v>
      </c>
      <c r="C59" s="15" t="s">
        <v>36</v>
      </c>
      <c r="D59" s="15" t="s">
        <v>31</v>
      </c>
      <c r="E59" s="15">
        <v>18</v>
      </c>
      <c r="F59" s="15">
        <v>12</v>
      </c>
      <c r="G59" s="15" t="s">
        <v>43</v>
      </c>
      <c r="H59" s="15" t="s">
        <v>76</v>
      </c>
      <c r="I59" s="15" t="s">
        <v>155</v>
      </c>
      <c r="J59" s="15">
        <v>77</v>
      </c>
    </row>
    <row r="60" spans="1:10" x14ac:dyDescent="0.3">
      <c r="A60" s="15" t="s">
        <v>156</v>
      </c>
      <c r="B60" s="15" t="s">
        <v>35</v>
      </c>
      <c r="C60" s="15" t="s">
        <v>55</v>
      </c>
      <c r="D60" s="15" t="s">
        <v>13</v>
      </c>
      <c r="E60" s="15">
        <v>19</v>
      </c>
      <c r="F60" s="15">
        <v>11</v>
      </c>
      <c r="G60" s="15" t="s">
        <v>14</v>
      </c>
      <c r="H60" s="15" t="s">
        <v>40</v>
      </c>
      <c r="I60" s="15" t="s">
        <v>157</v>
      </c>
      <c r="J60" s="15">
        <v>63</v>
      </c>
    </row>
    <row r="61" spans="1:10" x14ac:dyDescent="0.3">
      <c r="A61" s="15" t="s">
        <v>158</v>
      </c>
      <c r="B61" s="15" t="s">
        <v>18</v>
      </c>
      <c r="C61" s="15" t="s">
        <v>19</v>
      </c>
      <c r="D61" s="15" t="s">
        <v>13</v>
      </c>
      <c r="E61" s="15">
        <v>16</v>
      </c>
      <c r="F61" s="15">
        <v>12</v>
      </c>
      <c r="G61" s="15" t="s">
        <v>43</v>
      </c>
      <c r="H61" s="15" t="s">
        <v>40</v>
      </c>
      <c r="I61" s="15" t="s">
        <v>159</v>
      </c>
      <c r="J61" s="15">
        <v>36</v>
      </c>
    </row>
    <row r="62" spans="1:10" x14ac:dyDescent="0.3">
      <c r="A62" s="15" t="s">
        <v>160</v>
      </c>
      <c r="B62" s="15" t="s">
        <v>51</v>
      </c>
      <c r="C62" s="15" t="s">
        <v>85</v>
      </c>
      <c r="D62" s="15" t="s">
        <v>31</v>
      </c>
      <c r="E62" s="15">
        <v>17</v>
      </c>
      <c r="F62" s="15">
        <v>11</v>
      </c>
      <c r="G62" s="15" t="s">
        <v>43</v>
      </c>
      <c r="H62" s="15" t="s">
        <v>37</v>
      </c>
      <c r="I62" s="15" t="s">
        <v>161</v>
      </c>
      <c r="J62" s="15">
        <v>99</v>
      </c>
    </row>
    <row r="63" spans="1:10" x14ac:dyDescent="0.3">
      <c r="A63" s="15" t="s">
        <v>162</v>
      </c>
      <c r="B63" s="15" t="s">
        <v>73</v>
      </c>
      <c r="C63" s="15" t="s">
        <v>36</v>
      </c>
      <c r="D63" s="15" t="s">
        <v>31</v>
      </c>
      <c r="E63" s="15">
        <v>20</v>
      </c>
      <c r="F63" s="15">
        <v>9</v>
      </c>
      <c r="G63" s="15" t="s">
        <v>32</v>
      </c>
      <c r="H63" s="15" t="s">
        <v>20</v>
      </c>
      <c r="I63" s="15" t="s">
        <v>163</v>
      </c>
      <c r="J63" s="15">
        <v>49</v>
      </c>
    </row>
    <row r="64" spans="1:10" x14ac:dyDescent="0.3">
      <c r="A64" s="15" t="s">
        <v>164</v>
      </c>
      <c r="B64" s="15" t="s">
        <v>23</v>
      </c>
      <c r="C64" s="15" t="s">
        <v>19</v>
      </c>
      <c r="D64" s="15" t="s">
        <v>31</v>
      </c>
      <c r="E64" s="15">
        <v>17</v>
      </c>
      <c r="F64" s="15">
        <v>9</v>
      </c>
      <c r="G64" s="15" t="s">
        <v>25</v>
      </c>
      <c r="H64" s="15" t="s">
        <v>15</v>
      </c>
      <c r="I64" s="15" t="s">
        <v>165</v>
      </c>
      <c r="J64" s="15">
        <v>64</v>
      </c>
    </row>
    <row r="65" spans="1:10" x14ac:dyDescent="0.3">
      <c r="A65" s="15" t="s">
        <v>166</v>
      </c>
      <c r="B65" s="15" t="s">
        <v>84</v>
      </c>
      <c r="C65" s="15" t="s">
        <v>24</v>
      </c>
      <c r="D65" s="15" t="s">
        <v>13</v>
      </c>
      <c r="E65" s="15">
        <v>14</v>
      </c>
      <c r="F65" s="15">
        <v>10</v>
      </c>
      <c r="G65" s="15" t="s">
        <v>43</v>
      </c>
      <c r="H65" s="15" t="s">
        <v>15</v>
      </c>
      <c r="I65" s="15" t="s">
        <v>167</v>
      </c>
      <c r="J65" s="15">
        <v>45</v>
      </c>
    </row>
    <row r="66" spans="1:10" x14ac:dyDescent="0.3">
      <c r="A66" s="15" t="s">
        <v>168</v>
      </c>
      <c r="B66" s="15" t="s">
        <v>18</v>
      </c>
      <c r="C66" s="15" t="s">
        <v>79</v>
      </c>
      <c r="D66" s="15" t="s">
        <v>13</v>
      </c>
      <c r="E66" s="15">
        <v>17</v>
      </c>
      <c r="F66" s="15">
        <v>12</v>
      </c>
      <c r="G66" s="15" t="s">
        <v>25</v>
      </c>
      <c r="H66" s="15" t="s">
        <v>26</v>
      </c>
      <c r="I66" s="15" t="s">
        <v>137</v>
      </c>
      <c r="J66" s="15">
        <v>82</v>
      </c>
    </row>
    <row r="67" spans="1:10" x14ac:dyDescent="0.3">
      <c r="A67" s="15" t="s">
        <v>169</v>
      </c>
      <c r="B67" s="15" t="s">
        <v>11</v>
      </c>
      <c r="C67" s="15" t="s">
        <v>30</v>
      </c>
      <c r="D67" s="15" t="s">
        <v>31</v>
      </c>
      <c r="E67" s="15">
        <v>18</v>
      </c>
      <c r="F67" s="15">
        <v>9</v>
      </c>
      <c r="G67" s="15" t="s">
        <v>25</v>
      </c>
      <c r="H67" s="15" t="s">
        <v>46</v>
      </c>
      <c r="I67" s="15" t="s">
        <v>170</v>
      </c>
      <c r="J67" s="15">
        <v>60</v>
      </c>
    </row>
    <row r="68" spans="1:10" x14ac:dyDescent="0.3">
      <c r="A68" s="15" t="s">
        <v>171</v>
      </c>
      <c r="B68" s="15" t="s">
        <v>29</v>
      </c>
      <c r="C68" s="15" t="s">
        <v>85</v>
      </c>
      <c r="D68" s="15" t="s">
        <v>13</v>
      </c>
      <c r="E68" s="15">
        <v>14</v>
      </c>
      <c r="F68" s="15">
        <v>10</v>
      </c>
      <c r="G68" s="15" t="s">
        <v>32</v>
      </c>
      <c r="H68" s="15" t="s">
        <v>61</v>
      </c>
      <c r="I68" s="15" t="s">
        <v>172</v>
      </c>
      <c r="J68" s="15">
        <v>51</v>
      </c>
    </row>
    <row r="69" spans="1:10" x14ac:dyDescent="0.3">
      <c r="A69" s="15" t="s">
        <v>173</v>
      </c>
      <c r="B69" s="15" t="s">
        <v>54</v>
      </c>
      <c r="C69" s="15" t="s">
        <v>30</v>
      </c>
      <c r="D69" s="15" t="s">
        <v>31</v>
      </c>
      <c r="E69" s="15">
        <v>18</v>
      </c>
      <c r="F69" s="15">
        <v>9</v>
      </c>
      <c r="G69" s="15" t="s">
        <v>32</v>
      </c>
      <c r="H69" s="15" t="s">
        <v>40</v>
      </c>
      <c r="I69" s="15" t="s">
        <v>174</v>
      </c>
      <c r="J69" s="15">
        <v>54</v>
      </c>
    </row>
    <row r="70" spans="1:10" x14ac:dyDescent="0.3">
      <c r="A70" s="15" t="s">
        <v>175</v>
      </c>
      <c r="B70" s="15" t="s">
        <v>35</v>
      </c>
      <c r="C70" s="15" t="s">
        <v>30</v>
      </c>
      <c r="D70" s="15" t="s">
        <v>31</v>
      </c>
      <c r="E70" s="15">
        <v>20</v>
      </c>
      <c r="F70" s="15">
        <v>9</v>
      </c>
      <c r="G70" s="15" t="s">
        <v>14</v>
      </c>
      <c r="H70" s="15" t="s">
        <v>61</v>
      </c>
      <c r="I70" s="15" t="s">
        <v>176</v>
      </c>
      <c r="J70" s="15">
        <v>76</v>
      </c>
    </row>
    <row r="71" spans="1:10" x14ac:dyDescent="0.3">
      <c r="A71" s="15" t="s">
        <v>177</v>
      </c>
      <c r="B71" s="15" t="s">
        <v>29</v>
      </c>
      <c r="C71" s="15" t="s">
        <v>58</v>
      </c>
      <c r="D71" s="15" t="s">
        <v>31</v>
      </c>
      <c r="E71" s="15">
        <v>19</v>
      </c>
      <c r="F71" s="15">
        <v>12</v>
      </c>
      <c r="G71" s="15" t="s">
        <v>43</v>
      </c>
      <c r="H71" s="15" t="s">
        <v>61</v>
      </c>
      <c r="I71" s="15" t="s">
        <v>178</v>
      </c>
      <c r="J71" s="15">
        <v>99</v>
      </c>
    </row>
    <row r="72" spans="1:10" x14ac:dyDescent="0.3">
      <c r="A72" s="15" t="s">
        <v>179</v>
      </c>
      <c r="B72" s="15" t="s">
        <v>29</v>
      </c>
      <c r="C72" s="15" t="s">
        <v>58</v>
      </c>
      <c r="D72" s="15" t="s">
        <v>31</v>
      </c>
      <c r="E72" s="15">
        <v>16</v>
      </c>
      <c r="F72" s="15">
        <v>11</v>
      </c>
      <c r="G72" s="15" t="s">
        <v>25</v>
      </c>
      <c r="H72" s="15" t="s">
        <v>26</v>
      </c>
      <c r="I72" s="15" t="s">
        <v>180</v>
      </c>
      <c r="J72" s="15">
        <v>75</v>
      </c>
    </row>
    <row r="73" spans="1:10" x14ac:dyDescent="0.3">
      <c r="A73" s="15" t="s">
        <v>181</v>
      </c>
      <c r="B73" s="15" t="s">
        <v>11</v>
      </c>
      <c r="C73" s="15" t="s">
        <v>55</v>
      </c>
      <c r="D73" s="15" t="s">
        <v>31</v>
      </c>
      <c r="E73" s="15">
        <v>18</v>
      </c>
      <c r="F73" s="15">
        <v>10</v>
      </c>
      <c r="G73" s="15" t="s">
        <v>25</v>
      </c>
      <c r="H73" s="15" t="s">
        <v>46</v>
      </c>
      <c r="I73" s="15" t="s">
        <v>182</v>
      </c>
      <c r="J73" s="15">
        <v>98</v>
      </c>
    </row>
    <row r="74" spans="1:10" x14ac:dyDescent="0.3">
      <c r="A74" s="15" t="s">
        <v>183</v>
      </c>
      <c r="B74" s="15" t="s">
        <v>11</v>
      </c>
      <c r="C74" s="15" t="s">
        <v>30</v>
      </c>
      <c r="D74" s="15" t="s">
        <v>31</v>
      </c>
      <c r="E74" s="15">
        <v>17</v>
      </c>
      <c r="F74" s="15">
        <v>12</v>
      </c>
      <c r="G74" s="15" t="s">
        <v>14</v>
      </c>
      <c r="H74" s="15" t="s">
        <v>37</v>
      </c>
      <c r="I74" s="15" t="s">
        <v>184</v>
      </c>
      <c r="J74" s="15">
        <v>49</v>
      </c>
    </row>
    <row r="75" spans="1:10" x14ac:dyDescent="0.3">
      <c r="A75" s="15" t="s">
        <v>185</v>
      </c>
      <c r="B75" s="15" t="s">
        <v>35</v>
      </c>
      <c r="C75" s="15" t="s">
        <v>30</v>
      </c>
      <c r="D75" s="15" t="s">
        <v>31</v>
      </c>
      <c r="E75" s="15">
        <v>14</v>
      </c>
      <c r="F75" s="15">
        <v>12</v>
      </c>
      <c r="G75" s="15" t="s">
        <v>43</v>
      </c>
      <c r="H75" s="15" t="s">
        <v>61</v>
      </c>
      <c r="I75" s="15" t="s">
        <v>186</v>
      </c>
      <c r="J75" s="15">
        <v>45</v>
      </c>
    </row>
    <row r="76" spans="1:10" x14ac:dyDescent="0.3">
      <c r="A76" s="15" t="s">
        <v>187</v>
      </c>
      <c r="B76" s="15" t="s">
        <v>51</v>
      </c>
      <c r="C76" s="15" t="s">
        <v>12</v>
      </c>
      <c r="D76" s="15" t="s">
        <v>31</v>
      </c>
      <c r="E76" s="15">
        <v>17</v>
      </c>
      <c r="F76" s="15">
        <v>10</v>
      </c>
      <c r="G76" s="15" t="s">
        <v>43</v>
      </c>
      <c r="H76" s="15" t="s">
        <v>46</v>
      </c>
      <c r="I76" s="15" t="s">
        <v>101</v>
      </c>
      <c r="J76" s="15">
        <v>66</v>
      </c>
    </row>
    <row r="77" spans="1:10" x14ac:dyDescent="0.3">
      <c r="A77" s="15" t="s">
        <v>188</v>
      </c>
      <c r="B77" s="15" t="s">
        <v>23</v>
      </c>
      <c r="C77" s="15" t="s">
        <v>55</v>
      </c>
      <c r="D77" s="15" t="s">
        <v>31</v>
      </c>
      <c r="E77" s="15">
        <v>15</v>
      </c>
      <c r="F77" s="15">
        <v>9</v>
      </c>
      <c r="G77" s="15" t="s">
        <v>43</v>
      </c>
      <c r="H77" s="15" t="s">
        <v>20</v>
      </c>
      <c r="I77" s="15" t="s">
        <v>189</v>
      </c>
      <c r="J77" s="15">
        <v>88</v>
      </c>
    </row>
    <row r="78" spans="1:10" x14ac:dyDescent="0.3">
      <c r="A78" s="15" t="s">
        <v>190</v>
      </c>
      <c r="B78" s="15" t="s">
        <v>18</v>
      </c>
      <c r="C78" s="15" t="s">
        <v>19</v>
      </c>
      <c r="D78" s="15" t="s">
        <v>31</v>
      </c>
      <c r="E78" s="15">
        <v>14</v>
      </c>
      <c r="F78" s="15">
        <v>12</v>
      </c>
      <c r="G78" s="15" t="s">
        <v>32</v>
      </c>
      <c r="H78" s="15" t="s">
        <v>37</v>
      </c>
      <c r="I78" s="15" t="s">
        <v>191</v>
      </c>
      <c r="J78" s="15">
        <v>63</v>
      </c>
    </row>
    <row r="79" spans="1:10" x14ac:dyDescent="0.3">
      <c r="A79" s="15" t="s">
        <v>192</v>
      </c>
      <c r="B79" s="15" t="s">
        <v>68</v>
      </c>
      <c r="C79" s="15" t="s">
        <v>85</v>
      </c>
      <c r="D79" s="15" t="s">
        <v>13</v>
      </c>
      <c r="E79" s="15">
        <v>19</v>
      </c>
      <c r="F79" s="15">
        <v>11</v>
      </c>
      <c r="G79" s="15" t="s">
        <v>43</v>
      </c>
      <c r="H79" s="15" t="s">
        <v>61</v>
      </c>
      <c r="I79" s="15" t="s">
        <v>193</v>
      </c>
      <c r="J79" s="15">
        <v>78</v>
      </c>
    </row>
    <row r="80" spans="1:10" x14ac:dyDescent="0.3">
      <c r="A80" s="15" t="s">
        <v>194</v>
      </c>
      <c r="B80" s="15" t="s">
        <v>23</v>
      </c>
      <c r="C80" s="15" t="s">
        <v>19</v>
      </c>
      <c r="D80" s="15" t="s">
        <v>31</v>
      </c>
      <c r="E80" s="15">
        <v>20</v>
      </c>
      <c r="F80" s="15">
        <v>9</v>
      </c>
      <c r="G80" s="15" t="s">
        <v>25</v>
      </c>
      <c r="H80" s="15" t="s">
        <v>76</v>
      </c>
      <c r="I80" s="15" t="s">
        <v>195</v>
      </c>
      <c r="J80" s="15">
        <v>76</v>
      </c>
    </row>
    <row r="81" spans="1:10" x14ac:dyDescent="0.3">
      <c r="A81" s="15" t="s">
        <v>196</v>
      </c>
      <c r="B81" s="15" t="s">
        <v>23</v>
      </c>
      <c r="C81" s="15" t="s">
        <v>79</v>
      </c>
      <c r="D81" s="15" t="s">
        <v>13</v>
      </c>
      <c r="E81" s="15">
        <v>18</v>
      </c>
      <c r="F81" s="15">
        <v>12</v>
      </c>
      <c r="G81" s="15" t="s">
        <v>43</v>
      </c>
      <c r="H81" s="15" t="s">
        <v>76</v>
      </c>
      <c r="I81" s="15" t="s">
        <v>197</v>
      </c>
      <c r="J81" s="15">
        <v>67</v>
      </c>
    </row>
    <row r="82" spans="1:10" x14ac:dyDescent="0.3">
      <c r="A82" s="15" t="s">
        <v>198</v>
      </c>
      <c r="B82" s="15" t="s">
        <v>11</v>
      </c>
      <c r="C82" s="15" t="s">
        <v>85</v>
      </c>
      <c r="D82" s="15" t="s">
        <v>31</v>
      </c>
      <c r="E82" s="15">
        <v>14</v>
      </c>
      <c r="F82" s="15">
        <v>10</v>
      </c>
      <c r="G82" s="15" t="s">
        <v>25</v>
      </c>
      <c r="H82" s="15" t="s">
        <v>61</v>
      </c>
      <c r="I82" s="15" t="s">
        <v>199</v>
      </c>
      <c r="J82" s="15">
        <v>97</v>
      </c>
    </row>
    <row r="83" spans="1:10" x14ac:dyDescent="0.3">
      <c r="A83" s="15" t="s">
        <v>200</v>
      </c>
      <c r="B83" s="15" t="s">
        <v>29</v>
      </c>
      <c r="C83" s="15" t="s">
        <v>12</v>
      </c>
      <c r="D83" s="15" t="s">
        <v>13</v>
      </c>
      <c r="E83" s="15">
        <v>18</v>
      </c>
      <c r="F83" s="15">
        <v>12</v>
      </c>
      <c r="G83" s="15" t="s">
        <v>25</v>
      </c>
      <c r="H83" s="15" t="s">
        <v>26</v>
      </c>
      <c r="I83" s="15" t="s">
        <v>201</v>
      </c>
      <c r="J83" s="15">
        <v>89</v>
      </c>
    </row>
    <row r="84" spans="1:10" x14ac:dyDescent="0.3">
      <c r="A84" s="15" t="s">
        <v>202</v>
      </c>
      <c r="B84" s="15" t="s">
        <v>51</v>
      </c>
      <c r="C84" s="15" t="s">
        <v>55</v>
      </c>
      <c r="D84" s="15" t="s">
        <v>31</v>
      </c>
      <c r="E84" s="15">
        <v>15</v>
      </c>
      <c r="F84" s="15">
        <v>9</v>
      </c>
      <c r="G84" s="15" t="s">
        <v>14</v>
      </c>
      <c r="H84" s="15" t="s">
        <v>40</v>
      </c>
      <c r="I84" s="15" t="s">
        <v>111</v>
      </c>
      <c r="J84" s="15">
        <v>70</v>
      </c>
    </row>
    <row r="85" spans="1:10" x14ac:dyDescent="0.3">
      <c r="A85" s="15" t="s">
        <v>203</v>
      </c>
      <c r="B85" s="15" t="s">
        <v>35</v>
      </c>
      <c r="C85" s="15" t="s">
        <v>96</v>
      </c>
      <c r="D85" s="15" t="s">
        <v>13</v>
      </c>
      <c r="E85" s="15">
        <v>17</v>
      </c>
      <c r="F85" s="15">
        <v>12</v>
      </c>
      <c r="G85" s="15" t="s">
        <v>25</v>
      </c>
      <c r="H85" s="15" t="s">
        <v>20</v>
      </c>
      <c r="I85" s="15" t="s">
        <v>204</v>
      </c>
      <c r="J85" s="15">
        <v>90</v>
      </c>
    </row>
    <row r="86" spans="1:10" x14ac:dyDescent="0.3">
      <c r="A86" s="15" t="s">
        <v>205</v>
      </c>
      <c r="B86" s="15" t="s">
        <v>73</v>
      </c>
      <c r="C86" s="15" t="s">
        <v>24</v>
      </c>
      <c r="D86" s="15" t="s">
        <v>13</v>
      </c>
      <c r="E86" s="15">
        <v>17</v>
      </c>
      <c r="F86" s="15">
        <v>9</v>
      </c>
      <c r="G86" s="15" t="s">
        <v>14</v>
      </c>
      <c r="H86" s="15" t="s">
        <v>46</v>
      </c>
      <c r="I86" s="15" t="s">
        <v>206</v>
      </c>
      <c r="J86" s="15">
        <v>59</v>
      </c>
    </row>
    <row r="87" spans="1:10" x14ac:dyDescent="0.3">
      <c r="A87" s="15" t="s">
        <v>207</v>
      </c>
      <c r="B87" s="15" t="s">
        <v>54</v>
      </c>
      <c r="C87" s="15" t="s">
        <v>19</v>
      </c>
      <c r="D87" s="15" t="s">
        <v>31</v>
      </c>
      <c r="E87" s="15">
        <v>19</v>
      </c>
      <c r="F87" s="15">
        <v>9</v>
      </c>
      <c r="G87" s="15" t="s">
        <v>14</v>
      </c>
      <c r="H87" s="15" t="s">
        <v>61</v>
      </c>
      <c r="I87" s="15" t="s">
        <v>208</v>
      </c>
      <c r="J87" s="15">
        <v>76</v>
      </c>
    </row>
    <row r="88" spans="1:10" x14ac:dyDescent="0.3">
      <c r="A88" s="15" t="s">
        <v>209</v>
      </c>
      <c r="B88" s="15" t="s">
        <v>29</v>
      </c>
      <c r="C88" s="15" t="s">
        <v>30</v>
      </c>
      <c r="D88" s="15" t="s">
        <v>31</v>
      </c>
      <c r="E88" s="15">
        <v>18</v>
      </c>
      <c r="F88" s="15">
        <v>11</v>
      </c>
      <c r="G88" s="15" t="s">
        <v>43</v>
      </c>
      <c r="H88" s="15" t="s">
        <v>20</v>
      </c>
      <c r="I88" s="15" t="s">
        <v>210</v>
      </c>
      <c r="J88" s="15">
        <v>78</v>
      </c>
    </row>
    <row r="89" spans="1:10" x14ac:dyDescent="0.3">
      <c r="A89" s="15" t="s">
        <v>211</v>
      </c>
      <c r="B89" s="15" t="s">
        <v>35</v>
      </c>
      <c r="C89" s="15" t="s">
        <v>19</v>
      </c>
      <c r="D89" s="15" t="s">
        <v>31</v>
      </c>
      <c r="E89" s="15">
        <v>16</v>
      </c>
      <c r="F89" s="15">
        <v>9</v>
      </c>
      <c r="G89" s="15" t="s">
        <v>14</v>
      </c>
      <c r="H89" s="15" t="s">
        <v>37</v>
      </c>
      <c r="I89" s="15" t="s">
        <v>212</v>
      </c>
      <c r="J89" s="15">
        <v>57</v>
      </c>
    </row>
    <row r="90" spans="1:10" x14ac:dyDescent="0.3">
      <c r="A90" s="15" t="s">
        <v>213</v>
      </c>
      <c r="B90" s="15" t="s">
        <v>29</v>
      </c>
      <c r="C90" s="15" t="s">
        <v>24</v>
      </c>
      <c r="D90" s="15" t="s">
        <v>31</v>
      </c>
      <c r="E90" s="15">
        <v>17</v>
      </c>
      <c r="F90" s="15">
        <v>11</v>
      </c>
      <c r="G90" s="15" t="s">
        <v>14</v>
      </c>
      <c r="H90" s="15" t="s">
        <v>76</v>
      </c>
      <c r="I90" s="15" t="s">
        <v>214</v>
      </c>
      <c r="J90" s="15">
        <v>74</v>
      </c>
    </row>
    <row r="91" spans="1:10" x14ac:dyDescent="0.3">
      <c r="A91" s="15" t="s">
        <v>215</v>
      </c>
      <c r="B91" s="15" t="s">
        <v>84</v>
      </c>
      <c r="C91" s="15" t="s">
        <v>36</v>
      </c>
      <c r="D91" s="15" t="s">
        <v>31</v>
      </c>
      <c r="E91" s="15">
        <v>19</v>
      </c>
      <c r="F91" s="15">
        <v>12</v>
      </c>
      <c r="G91" s="15" t="s">
        <v>14</v>
      </c>
      <c r="H91" s="15" t="s">
        <v>37</v>
      </c>
      <c r="I91" s="15" t="s">
        <v>216</v>
      </c>
      <c r="J91" s="15">
        <v>84</v>
      </c>
    </row>
    <row r="92" spans="1:10" x14ac:dyDescent="0.3">
      <c r="A92" s="15" t="s">
        <v>217</v>
      </c>
      <c r="B92" s="15" t="s">
        <v>84</v>
      </c>
      <c r="C92" s="15" t="s">
        <v>96</v>
      </c>
      <c r="D92" s="15" t="s">
        <v>31</v>
      </c>
      <c r="E92" s="15">
        <v>17</v>
      </c>
      <c r="F92" s="15">
        <v>10</v>
      </c>
      <c r="G92" s="15" t="s">
        <v>43</v>
      </c>
      <c r="H92" s="15" t="s">
        <v>46</v>
      </c>
      <c r="I92" s="15" t="s">
        <v>218</v>
      </c>
      <c r="J92" s="15">
        <v>46</v>
      </c>
    </row>
    <row r="93" spans="1:10" x14ac:dyDescent="0.3">
      <c r="A93" s="15" t="s">
        <v>219</v>
      </c>
      <c r="B93" s="15" t="s">
        <v>68</v>
      </c>
      <c r="C93" s="15" t="s">
        <v>19</v>
      </c>
      <c r="D93" s="15" t="s">
        <v>13</v>
      </c>
      <c r="E93" s="15">
        <v>19</v>
      </c>
      <c r="F93" s="15">
        <v>9</v>
      </c>
      <c r="G93" s="15" t="s">
        <v>14</v>
      </c>
      <c r="H93" s="15" t="s">
        <v>40</v>
      </c>
      <c r="I93" s="15" t="s">
        <v>220</v>
      </c>
      <c r="J93" s="15">
        <v>63</v>
      </c>
    </row>
    <row r="94" spans="1:10" x14ac:dyDescent="0.3">
      <c r="A94" s="15" t="s">
        <v>221</v>
      </c>
      <c r="B94" s="15" t="s">
        <v>51</v>
      </c>
      <c r="C94" s="15" t="s">
        <v>55</v>
      </c>
      <c r="D94" s="15" t="s">
        <v>13</v>
      </c>
      <c r="E94" s="15">
        <v>14</v>
      </c>
      <c r="F94" s="15">
        <v>10</v>
      </c>
      <c r="G94" s="15" t="s">
        <v>43</v>
      </c>
      <c r="H94" s="15" t="s">
        <v>61</v>
      </c>
      <c r="I94" s="15" t="s">
        <v>222</v>
      </c>
      <c r="J94" s="15">
        <v>72</v>
      </c>
    </row>
    <row r="95" spans="1:10" x14ac:dyDescent="0.3">
      <c r="A95" s="15" t="s">
        <v>223</v>
      </c>
      <c r="B95" s="15" t="s">
        <v>68</v>
      </c>
      <c r="C95" s="15" t="s">
        <v>24</v>
      </c>
      <c r="D95" s="15" t="s">
        <v>13</v>
      </c>
      <c r="E95" s="15">
        <v>18</v>
      </c>
      <c r="F95" s="15">
        <v>11</v>
      </c>
      <c r="G95" s="15" t="s">
        <v>32</v>
      </c>
      <c r="H95" s="15" t="s">
        <v>40</v>
      </c>
      <c r="I95" s="15" t="s">
        <v>224</v>
      </c>
      <c r="J95" s="15">
        <v>87</v>
      </c>
    </row>
    <row r="96" spans="1:10" x14ac:dyDescent="0.3">
      <c r="A96" s="15" t="s">
        <v>225</v>
      </c>
      <c r="B96" s="15" t="s">
        <v>35</v>
      </c>
      <c r="C96" s="15" t="s">
        <v>85</v>
      </c>
      <c r="D96" s="15" t="s">
        <v>13</v>
      </c>
      <c r="E96" s="15">
        <v>20</v>
      </c>
      <c r="F96" s="15">
        <v>9</v>
      </c>
      <c r="G96" s="15" t="s">
        <v>14</v>
      </c>
      <c r="H96" s="15" t="s">
        <v>40</v>
      </c>
      <c r="I96" s="15" t="s">
        <v>226</v>
      </c>
      <c r="J96" s="15">
        <v>55</v>
      </c>
    </row>
    <row r="97" spans="1:10" x14ac:dyDescent="0.3">
      <c r="A97" s="15" t="s">
        <v>227</v>
      </c>
      <c r="B97" s="15" t="s">
        <v>68</v>
      </c>
      <c r="C97" s="15" t="s">
        <v>58</v>
      </c>
      <c r="D97" s="15" t="s">
        <v>13</v>
      </c>
      <c r="E97" s="15">
        <v>17</v>
      </c>
      <c r="F97" s="15">
        <v>12</v>
      </c>
      <c r="G97" s="15" t="s">
        <v>32</v>
      </c>
      <c r="H97" s="15" t="s">
        <v>26</v>
      </c>
      <c r="I97" s="15" t="s">
        <v>228</v>
      </c>
      <c r="J97" s="15">
        <v>37</v>
      </c>
    </row>
    <row r="98" spans="1:10" x14ac:dyDescent="0.3">
      <c r="A98" s="15" t="s">
        <v>229</v>
      </c>
      <c r="B98" s="15" t="s">
        <v>68</v>
      </c>
      <c r="C98" s="15" t="s">
        <v>24</v>
      </c>
      <c r="D98" s="15" t="s">
        <v>13</v>
      </c>
      <c r="E98" s="15">
        <v>17</v>
      </c>
      <c r="F98" s="15">
        <v>11</v>
      </c>
      <c r="G98" s="15" t="s">
        <v>43</v>
      </c>
      <c r="H98" s="15" t="s">
        <v>26</v>
      </c>
      <c r="I98" s="15" t="s">
        <v>230</v>
      </c>
      <c r="J98" s="15">
        <v>53</v>
      </c>
    </row>
    <row r="99" spans="1:10" x14ac:dyDescent="0.3">
      <c r="A99" s="15" t="s">
        <v>231</v>
      </c>
      <c r="B99" s="15" t="s">
        <v>23</v>
      </c>
      <c r="C99" s="15" t="s">
        <v>24</v>
      </c>
      <c r="D99" s="15" t="s">
        <v>31</v>
      </c>
      <c r="E99" s="15">
        <v>18</v>
      </c>
      <c r="F99" s="15">
        <v>9</v>
      </c>
      <c r="G99" s="15" t="s">
        <v>25</v>
      </c>
      <c r="H99" s="15" t="s">
        <v>61</v>
      </c>
      <c r="I99" s="15" t="s">
        <v>232</v>
      </c>
      <c r="J99" s="15">
        <v>88</v>
      </c>
    </row>
    <row r="100" spans="1:10" x14ac:dyDescent="0.3">
      <c r="A100" s="15" t="s">
        <v>233</v>
      </c>
      <c r="B100" s="15" t="s">
        <v>11</v>
      </c>
      <c r="C100" s="15" t="s">
        <v>55</v>
      </c>
      <c r="D100" s="15" t="s">
        <v>13</v>
      </c>
      <c r="E100" s="15">
        <v>14</v>
      </c>
      <c r="F100" s="15">
        <v>9</v>
      </c>
      <c r="G100" s="15" t="s">
        <v>25</v>
      </c>
      <c r="H100" s="15" t="s">
        <v>37</v>
      </c>
      <c r="I100" s="15" t="s">
        <v>234</v>
      </c>
      <c r="J100" s="15">
        <v>66</v>
      </c>
    </row>
    <row r="101" spans="1:10" x14ac:dyDescent="0.3">
      <c r="A101" s="15" t="s">
        <v>235</v>
      </c>
      <c r="B101" s="15" t="s">
        <v>11</v>
      </c>
      <c r="C101" s="15" t="s">
        <v>36</v>
      </c>
      <c r="D101" s="15" t="s">
        <v>31</v>
      </c>
      <c r="E101" s="15">
        <v>14</v>
      </c>
      <c r="F101" s="15">
        <v>12</v>
      </c>
      <c r="G101" s="15" t="s">
        <v>43</v>
      </c>
      <c r="H101" s="15" t="s">
        <v>40</v>
      </c>
      <c r="I101" s="15" t="s">
        <v>236</v>
      </c>
      <c r="J101" s="15">
        <v>65</v>
      </c>
    </row>
    <row r="102" spans="1:10" x14ac:dyDescent="0.3">
      <c r="A102" s="15" t="s">
        <v>237</v>
      </c>
      <c r="B102" s="15" t="s">
        <v>23</v>
      </c>
      <c r="C102" s="15" t="s">
        <v>24</v>
      </c>
      <c r="D102" s="15" t="s">
        <v>31</v>
      </c>
      <c r="E102" s="15">
        <v>16</v>
      </c>
      <c r="F102" s="15">
        <v>10</v>
      </c>
      <c r="G102" s="15" t="s">
        <v>43</v>
      </c>
      <c r="H102" s="15" t="s">
        <v>20</v>
      </c>
      <c r="I102" s="15" t="s">
        <v>238</v>
      </c>
      <c r="J102" s="15">
        <v>71</v>
      </c>
    </row>
    <row r="103" spans="1:10" x14ac:dyDescent="0.3">
      <c r="A103" s="15" t="s">
        <v>239</v>
      </c>
      <c r="B103" s="15" t="s">
        <v>68</v>
      </c>
      <c r="C103" s="15" t="s">
        <v>58</v>
      </c>
      <c r="D103" s="15" t="s">
        <v>13</v>
      </c>
      <c r="E103" s="15">
        <v>18</v>
      </c>
      <c r="F103" s="15">
        <v>11</v>
      </c>
      <c r="G103" s="15" t="s">
        <v>25</v>
      </c>
      <c r="H103" s="15" t="s">
        <v>15</v>
      </c>
      <c r="I103" s="15" t="s">
        <v>240</v>
      </c>
      <c r="J103" s="15">
        <v>48</v>
      </c>
    </row>
    <row r="104" spans="1:10" x14ac:dyDescent="0.3">
      <c r="A104" s="15" t="s">
        <v>241</v>
      </c>
      <c r="B104" s="15" t="s">
        <v>54</v>
      </c>
      <c r="C104" s="15" t="s">
        <v>85</v>
      </c>
      <c r="D104" s="15" t="s">
        <v>31</v>
      </c>
      <c r="E104" s="15">
        <v>15</v>
      </c>
      <c r="F104" s="15">
        <v>12</v>
      </c>
      <c r="G104" s="15" t="s">
        <v>14</v>
      </c>
      <c r="H104" s="15" t="s">
        <v>40</v>
      </c>
      <c r="I104" s="15" t="s">
        <v>242</v>
      </c>
      <c r="J104" s="15">
        <v>100</v>
      </c>
    </row>
    <row r="105" spans="1:10" x14ac:dyDescent="0.3">
      <c r="A105" s="15" t="s">
        <v>243</v>
      </c>
      <c r="B105" s="15" t="s">
        <v>23</v>
      </c>
      <c r="C105" s="15" t="s">
        <v>96</v>
      </c>
      <c r="D105" s="15" t="s">
        <v>31</v>
      </c>
      <c r="E105" s="15">
        <v>15</v>
      </c>
      <c r="F105" s="15">
        <v>11</v>
      </c>
      <c r="G105" s="15" t="s">
        <v>25</v>
      </c>
      <c r="H105" s="15" t="s">
        <v>61</v>
      </c>
      <c r="I105" s="15" t="s">
        <v>244</v>
      </c>
      <c r="J105" s="15">
        <v>72</v>
      </c>
    </row>
    <row r="106" spans="1:10" x14ac:dyDescent="0.3">
      <c r="A106" s="15" t="s">
        <v>245</v>
      </c>
      <c r="B106" s="15" t="s">
        <v>54</v>
      </c>
      <c r="C106" s="15" t="s">
        <v>19</v>
      </c>
      <c r="D106" s="15" t="s">
        <v>31</v>
      </c>
      <c r="E106" s="15">
        <v>18</v>
      </c>
      <c r="F106" s="15">
        <v>12</v>
      </c>
      <c r="G106" s="15" t="s">
        <v>32</v>
      </c>
      <c r="H106" s="15" t="s">
        <v>26</v>
      </c>
      <c r="I106" s="15" t="s">
        <v>246</v>
      </c>
      <c r="J106" s="15">
        <v>74</v>
      </c>
    </row>
    <row r="107" spans="1:10" x14ac:dyDescent="0.3">
      <c r="A107" s="15" t="s">
        <v>247</v>
      </c>
      <c r="B107" s="15" t="s">
        <v>29</v>
      </c>
      <c r="C107" s="15" t="s">
        <v>58</v>
      </c>
      <c r="D107" s="15" t="s">
        <v>31</v>
      </c>
      <c r="E107" s="15">
        <v>14</v>
      </c>
      <c r="F107" s="15">
        <v>12</v>
      </c>
      <c r="G107" s="15" t="s">
        <v>14</v>
      </c>
      <c r="H107" s="15" t="s">
        <v>40</v>
      </c>
      <c r="I107" s="15" t="s">
        <v>248</v>
      </c>
      <c r="J107" s="15">
        <v>66</v>
      </c>
    </row>
    <row r="108" spans="1:10" x14ac:dyDescent="0.3">
      <c r="A108" s="15" t="s">
        <v>249</v>
      </c>
      <c r="B108" s="15" t="s">
        <v>68</v>
      </c>
      <c r="C108" s="15" t="s">
        <v>30</v>
      </c>
      <c r="D108" s="15" t="s">
        <v>31</v>
      </c>
      <c r="E108" s="15">
        <v>16</v>
      </c>
      <c r="F108" s="15">
        <v>11</v>
      </c>
      <c r="G108" s="15" t="s">
        <v>32</v>
      </c>
      <c r="H108" s="15" t="s">
        <v>20</v>
      </c>
      <c r="I108" s="15" t="s">
        <v>250</v>
      </c>
      <c r="J108" s="15">
        <v>90</v>
      </c>
    </row>
    <row r="109" spans="1:10" x14ac:dyDescent="0.3">
      <c r="A109" s="15" t="s">
        <v>251</v>
      </c>
      <c r="B109" s="15" t="s">
        <v>23</v>
      </c>
      <c r="C109" s="15" t="s">
        <v>24</v>
      </c>
      <c r="D109" s="15" t="s">
        <v>13</v>
      </c>
      <c r="E109" s="15">
        <v>16</v>
      </c>
      <c r="F109" s="15">
        <v>12</v>
      </c>
      <c r="G109" s="15" t="s">
        <v>43</v>
      </c>
      <c r="H109" s="15" t="s">
        <v>40</v>
      </c>
      <c r="I109" s="15" t="s">
        <v>252</v>
      </c>
      <c r="J109" s="15">
        <v>50</v>
      </c>
    </row>
    <row r="110" spans="1:10" x14ac:dyDescent="0.3">
      <c r="A110" s="15" t="s">
        <v>253</v>
      </c>
      <c r="B110" s="15" t="s">
        <v>18</v>
      </c>
      <c r="C110" s="15" t="s">
        <v>24</v>
      </c>
      <c r="D110" s="15" t="s">
        <v>13</v>
      </c>
      <c r="E110" s="15">
        <v>15</v>
      </c>
      <c r="F110" s="15">
        <v>9</v>
      </c>
      <c r="G110" s="15" t="s">
        <v>25</v>
      </c>
      <c r="H110" s="15" t="s">
        <v>20</v>
      </c>
      <c r="I110" s="15" t="s">
        <v>254</v>
      </c>
      <c r="J110" s="15">
        <v>36</v>
      </c>
    </row>
    <row r="111" spans="1:10" x14ac:dyDescent="0.3">
      <c r="A111" s="15" t="s">
        <v>255</v>
      </c>
      <c r="B111" s="15" t="s">
        <v>51</v>
      </c>
      <c r="C111" s="15" t="s">
        <v>79</v>
      </c>
      <c r="D111" s="15" t="s">
        <v>31</v>
      </c>
      <c r="E111" s="15">
        <v>20</v>
      </c>
      <c r="F111" s="15">
        <v>12</v>
      </c>
      <c r="G111" s="15" t="s">
        <v>43</v>
      </c>
      <c r="H111" s="15" t="s">
        <v>40</v>
      </c>
      <c r="I111" s="15" t="s">
        <v>256</v>
      </c>
      <c r="J111" s="15">
        <v>48</v>
      </c>
    </row>
    <row r="112" spans="1:10" x14ac:dyDescent="0.3">
      <c r="A112" s="15" t="s">
        <v>257</v>
      </c>
      <c r="B112" s="15" t="s">
        <v>68</v>
      </c>
      <c r="C112" s="15" t="s">
        <v>79</v>
      </c>
      <c r="D112" s="15" t="s">
        <v>31</v>
      </c>
      <c r="E112" s="15">
        <v>20</v>
      </c>
      <c r="F112" s="15">
        <v>11</v>
      </c>
      <c r="G112" s="15" t="s">
        <v>43</v>
      </c>
      <c r="H112" s="15" t="s">
        <v>46</v>
      </c>
      <c r="I112" s="15" t="s">
        <v>258</v>
      </c>
      <c r="J112" s="15">
        <v>52</v>
      </c>
    </row>
    <row r="113" spans="1:10" x14ac:dyDescent="0.3">
      <c r="A113" s="15" t="s">
        <v>259</v>
      </c>
      <c r="B113" s="15" t="s">
        <v>54</v>
      </c>
      <c r="C113" s="15" t="s">
        <v>85</v>
      </c>
      <c r="D113" s="15" t="s">
        <v>13</v>
      </c>
      <c r="E113" s="15">
        <v>14</v>
      </c>
      <c r="F113" s="15">
        <v>11</v>
      </c>
      <c r="G113" s="15" t="s">
        <v>43</v>
      </c>
      <c r="H113" s="15" t="s">
        <v>46</v>
      </c>
      <c r="I113" s="15" t="s">
        <v>260</v>
      </c>
      <c r="J113" s="15">
        <v>62</v>
      </c>
    </row>
    <row r="114" spans="1:10" x14ac:dyDescent="0.3">
      <c r="A114" s="15" t="s">
        <v>261</v>
      </c>
      <c r="B114" s="15" t="s">
        <v>23</v>
      </c>
      <c r="C114" s="15" t="s">
        <v>36</v>
      </c>
      <c r="D114" s="15" t="s">
        <v>13</v>
      </c>
      <c r="E114" s="15">
        <v>15</v>
      </c>
      <c r="F114" s="15">
        <v>11</v>
      </c>
      <c r="G114" s="15" t="s">
        <v>25</v>
      </c>
      <c r="H114" s="15" t="s">
        <v>26</v>
      </c>
      <c r="I114" s="15" t="s">
        <v>262</v>
      </c>
      <c r="J114" s="15">
        <v>63</v>
      </c>
    </row>
    <row r="115" spans="1:10" x14ac:dyDescent="0.3">
      <c r="A115" s="15" t="s">
        <v>263</v>
      </c>
      <c r="B115" s="15" t="s">
        <v>29</v>
      </c>
      <c r="C115" s="15" t="s">
        <v>19</v>
      </c>
      <c r="D115" s="15" t="s">
        <v>13</v>
      </c>
      <c r="E115" s="15">
        <v>15</v>
      </c>
      <c r="F115" s="15">
        <v>11</v>
      </c>
      <c r="G115" s="15" t="s">
        <v>25</v>
      </c>
      <c r="H115" s="15" t="s">
        <v>46</v>
      </c>
      <c r="I115" s="15" t="s">
        <v>264</v>
      </c>
      <c r="J115" s="15">
        <v>58</v>
      </c>
    </row>
    <row r="116" spans="1:10" x14ac:dyDescent="0.3">
      <c r="A116" s="15" t="s">
        <v>265</v>
      </c>
      <c r="B116" s="15" t="s">
        <v>11</v>
      </c>
      <c r="C116" s="15" t="s">
        <v>85</v>
      </c>
      <c r="D116" s="15" t="s">
        <v>31</v>
      </c>
      <c r="E116" s="15">
        <v>14</v>
      </c>
      <c r="F116" s="15">
        <v>9</v>
      </c>
      <c r="G116" s="15" t="s">
        <v>43</v>
      </c>
      <c r="H116" s="15" t="s">
        <v>61</v>
      </c>
      <c r="I116" s="15" t="s">
        <v>56</v>
      </c>
      <c r="J116" s="15">
        <v>41</v>
      </c>
    </row>
    <row r="117" spans="1:10" x14ac:dyDescent="0.3">
      <c r="A117" s="15" t="s">
        <v>266</v>
      </c>
      <c r="B117" s="15" t="s">
        <v>54</v>
      </c>
      <c r="C117" s="15" t="s">
        <v>58</v>
      </c>
      <c r="D117" s="15" t="s">
        <v>13</v>
      </c>
      <c r="E117" s="15">
        <v>19</v>
      </c>
      <c r="F117" s="15">
        <v>11</v>
      </c>
      <c r="G117" s="15" t="s">
        <v>14</v>
      </c>
      <c r="H117" s="15" t="s">
        <v>40</v>
      </c>
      <c r="I117" s="15" t="s">
        <v>267</v>
      </c>
      <c r="J117" s="15">
        <v>41</v>
      </c>
    </row>
    <row r="118" spans="1:10" x14ac:dyDescent="0.3">
      <c r="A118" s="15" t="s">
        <v>268</v>
      </c>
      <c r="B118" s="15" t="s">
        <v>68</v>
      </c>
      <c r="C118" s="15" t="s">
        <v>24</v>
      </c>
      <c r="D118" s="15" t="s">
        <v>31</v>
      </c>
      <c r="E118" s="15">
        <v>16</v>
      </c>
      <c r="F118" s="15">
        <v>12</v>
      </c>
      <c r="G118" s="15" t="s">
        <v>43</v>
      </c>
      <c r="H118" s="15" t="s">
        <v>26</v>
      </c>
      <c r="I118" s="15" t="s">
        <v>269</v>
      </c>
      <c r="J118" s="15">
        <v>47</v>
      </c>
    </row>
    <row r="119" spans="1:10" x14ac:dyDescent="0.3">
      <c r="A119" s="15" t="s">
        <v>270</v>
      </c>
      <c r="B119" s="15" t="s">
        <v>73</v>
      </c>
      <c r="C119" s="15" t="s">
        <v>30</v>
      </c>
      <c r="D119" s="15" t="s">
        <v>31</v>
      </c>
      <c r="E119" s="15">
        <v>15</v>
      </c>
      <c r="F119" s="15">
        <v>9</v>
      </c>
      <c r="G119" s="15" t="s">
        <v>43</v>
      </c>
      <c r="H119" s="15" t="s">
        <v>26</v>
      </c>
      <c r="I119" s="15" t="s">
        <v>271</v>
      </c>
      <c r="J119" s="15">
        <v>76</v>
      </c>
    </row>
    <row r="120" spans="1:10" x14ac:dyDescent="0.3">
      <c r="A120" s="15" t="s">
        <v>272</v>
      </c>
      <c r="B120" s="15" t="s">
        <v>54</v>
      </c>
      <c r="C120" s="15" t="s">
        <v>24</v>
      </c>
      <c r="D120" s="15" t="s">
        <v>13</v>
      </c>
      <c r="E120" s="15">
        <v>15</v>
      </c>
      <c r="F120" s="15">
        <v>9</v>
      </c>
      <c r="G120" s="15" t="s">
        <v>43</v>
      </c>
      <c r="H120" s="15" t="s">
        <v>20</v>
      </c>
      <c r="I120" s="15" t="s">
        <v>273</v>
      </c>
      <c r="J120" s="15">
        <v>50</v>
      </c>
    </row>
    <row r="121" spans="1:10" x14ac:dyDescent="0.3">
      <c r="A121" s="15" t="s">
        <v>274</v>
      </c>
      <c r="B121" s="15" t="s">
        <v>35</v>
      </c>
      <c r="C121" s="15" t="s">
        <v>36</v>
      </c>
      <c r="D121" s="15" t="s">
        <v>13</v>
      </c>
      <c r="E121" s="15">
        <v>19</v>
      </c>
      <c r="F121" s="15">
        <v>9</v>
      </c>
      <c r="G121" s="15" t="s">
        <v>32</v>
      </c>
      <c r="H121" s="15" t="s">
        <v>61</v>
      </c>
      <c r="I121" s="15" t="s">
        <v>275</v>
      </c>
      <c r="J121" s="15">
        <v>63</v>
      </c>
    </row>
    <row r="122" spans="1:10" x14ac:dyDescent="0.3">
      <c r="A122" s="15" t="s">
        <v>276</v>
      </c>
      <c r="B122" s="15" t="s">
        <v>84</v>
      </c>
      <c r="C122" s="15" t="s">
        <v>30</v>
      </c>
      <c r="D122" s="15" t="s">
        <v>31</v>
      </c>
      <c r="E122" s="15">
        <v>14</v>
      </c>
      <c r="F122" s="15">
        <v>12</v>
      </c>
      <c r="G122" s="15" t="s">
        <v>14</v>
      </c>
      <c r="H122" s="15" t="s">
        <v>26</v>
      </c>
      <c r="I122" s="15" t="s">
        <v>277</v>
      </c>
      <c r="J122" s="15">
        <v>62</v>
      </c>
    </row>
    <row r="123" spans="1:10" x14ac:dyDescent="0.3">
      <c r="A123" s="15" t="s">
        <v>278</v>
      </c>
      <c r="B123" s="15" t="s">
        <v>73</v>
      </c>
      <c r="C123" s="15" t="s">
        <v>36</v>
      </c>
      <c r="D123" s="15" t="s">
        <v>13</v>
      </c>
      <c r="E123" s="15">
        <v>14</v>
      </c>
      <c r="F123" s="15">
        <v>11</v>
      </c>
      <c r="G123" s="15" t="s">
        <v>32</v>
      </c>
      <c r="H123" s="15" t="s">
        <v>37</v>
      </c>
      <c r="I123" s="15" t="s">
        <v>279</v>
      </c>
      <c r="J123" s="15">
        <v>51</v>
      </c>
    </row>
    <row r="124" spans="1:10" x14ac:dyDescent="0.3">
      <c r="A124" s="15" t="s">
        <v>280</v>
      </c>
      <c r="B124" s="15" t="s">
        <v>84</v>
      </c>
      <c r="C124" s="15" t="s">
        <v>58</v>
      </c>
      <c r="D124" s="15" t="s">
        <v>13</v>
      </c>
      <c r="E124" s="15">
        <v>18</v>
      </c>
      <c r="F124" s="15">
        <v>12</v>
      </c>
      <c r="G124" s="15" t="s">
        <v>32</v>
      </c>
      <c r="H124" s="15" t="s">
        <v>76</v>
      </c>
      <c r="I124" s="15" t="s">
        <v>159</v>
      </c>
      <c r="J124" s="15">
        <v>98</v>
      </c>
    </row>
    <row r="125" spans="1:10" x14ac:dyDescent="0.3">
      <c r="A125" s="15" t="s">
        <v>281</v>
      </c>
      <c r="B125" s="15" t="s">
        <v>51</v>
      </c>
      <c r="C125" s="15" t="s">
        <v>36</v>
      </c>
      <c r="D125" s="15" t="s">
        <v>31</v>
      </c>
      <c r="E125" s="15">
        <v>15</v>
      </c>
      <c r="F125" s="15">
        <v>11</v>
      </c>
      <c r="G125" s="15" t="s">
        <v>43</v>
      </c>
      <c r="H125" s="15" t="s">
        <v>37</v>
      </c>
      <c r="I125" s="15" t="s">
        <v>282</v>
      </c>
      <c r="J125" s="15">
        <v>66</v>
      </c>
    </row>
    <row r="126" spans="1:10" x14ac:dyDescent="0.3">
      <c r="A126" s="15" t="s">
        <v>283</v>
      </c>
      <c r="B126" s="15" t="s">
        <v>68</v>
      </c>
      <c r="C126" s="15" t="s">
        <v>79</v>
      </c>
      <c r="D126" s="15" t="s">
        <v>31</v>
      </c>
      <c r="E126" s="15">
        <v>16</v>
      </c>
      <c r="F126" s="15">
        <v>11</v>
      </c>
      <c r="G126" s="15" t="s">
        <v>32</v>
      </c>
      <c r="H126" s="15" t="s">
        <v>40</v>
      </c>
      <c r="I126" s="15" t="s">
        <v>284</v>
      </c>
      <c r="J126" s="15">
        <v>95</v>
      </c>
    </row>
    <row r="127" spans="1:10" x14ac:dyDescent="0.3">
      <c r="A127" s="15" t="s">
        <v>285</v>
      </c>
      <c r="B127" s="15" t="s">
        <v>18</v>
      </c>
      <c r="C127" s="15" t="s">
        <v>36</v>
      </c>
      <c r="D127" s="15" t="s">
        <v>31</v>
      </c>
      <c r="E127" s="15">
        <v>14</v>
      </c>
      <c r="F127" s="15">
        <v>11</v>
      </c>
      <c r="G127" s="15" t="s">
        <v>25</v>
      </c>
      <c r="H127" s="15" t="s">
        <v>46</v>
      </c>
      <c r="I127" s="15" t="s">
        <v>286</v>
      </c>
      <c r="J127" s="15">
        <v>64</v>
      </c>
    </row>
    <row r="128" spans="1:10" x14ac:dyDescent="0.3">
      <c r="A128" s="15" t="s">
        <v>287</v>
      </c>
      <c r="B128" s="15" t="s">
        <v>54</v>
      </c>
      <c r="C128" s="15" t="s">
        <v>24</v>
      </c>
      <c r="D128" s="15" t="s">
        <v>31</v>
      </c>
      <c r="E128" s="15">
        <v>14</v>
      </c>
      <c r="F128" s="15">
        <v>12</v>
      </c>
      <c r="G128" s="15" t="s">
        <v>32</v>
      </c>
      <c r="H128" s="15" t="s">
        <v>76</v>
      </c>
      <c r="I128" s="15" t="s">
        <v>288</v>
      </c>
      <c r="J128" s="15">
        <v>48</v>
      </c>
    </row>
    <row r="129" spans="1:10" x14ac:dyDescent="0.3">
      <c r="A129" s="15" t="s">
        <v>289</v>
      </c>
      <c r="B129" s="15" t="s">
        <v>23</v>
      </c>
      <c r="C129" s="15" t="s">
        <v>79</v>
      </c>
      <c r="D129" s="15" t="s">
        <v>31</v>
      </c>
      <c r="E129" s="15">
        <v>17</v>
      </c>
      <c r="F129" s="15">
        <v>9</v>
      </c>
      <c r="G129" s="15" t="s">
        <v>25</v>
      </c>
      <c r="H129" s="15" t="s">
        <v>37</v>
      </c>
      <c r="I129" s="15" t="s">
        <v>290</v>
      </c>
      <c r="J129" s="15">
        <v>62</v>
      </c>
    </row>
    <row r="130" spans="1:10" x14ac:dyDescent="0.3">
      <c r="A130" s="15" t="s">
        <v>291</v>
      </c>
      <c r="B130" s="15" t="s">
        <v>11</v>
      </c>
      <c r="C130" s="15" t="s">
        <v>30</v>
      </c>
      <c r="D130" s="15" t="s">
        <v>31</v>
      </c>
      <c r="E130" s="15">
        <v>16</v>
      </c>
      <c r="F130" s="15">
        <v>9</v>
      </c>
      <c r="G130" s="15" t="s">
        <v>25</v>
      </c>
      <c r="H130" s="15" t="s">
        <v>61</v>
      </c>
      <c r="I130" s="15" t="s">
        <v>292</v>
      </c>
      <c r="J130" s="15">
        <v>97</v>
      </c>
    </row>
    <row r="131" spans="1:10" x14ac:dyDescent="0.3">
      <c r="A131" s="15" t="s">
        <v>293</v>
      </c>
      <c r="B131" s="15" t="s">
        <v>73</v>
      </c>
      <c r="C131" s="15" t="s">
        <v>96</v>
      </c>
      <c r="D131" s="15" t="s">
        <v>31</v>
      </c>
      <c r="E131" s="15">
        <v>20</v>
      </c>
      <c r="F131" s="15">
        <v>9</v>
      </c>
      <c r="G131" s="15" t="s">
        <v>43</v>
      </c>
      <c r="H131" s="15" t="s">
        <v>26</v>
      </c>
      <c r="I131" s="15" t="s">
        <v>74</v>
      </c>
      <c r="J131" s="15">
        <v>100</v>
      </c>
    </row>
    <row r="132" spans="1:10" x14ac:dyDescent="0.3">
      <c r="A132" s="15" t="s">
        <v>294</v>
      </c>
      <c r="B132" s="15" t="s">
        <v>35</v>
      </c>
      <c r="C132" s="15" t="s">
        <v>55</v>
      </c>
      <c r="D132" s="15" t="s">
        <v>13</v>
      </c>
      <c r="E132" s="15">
        <v>20</v>
      </c>
      <c r="F132" s="15">
        <v>9</v>
      </c>
      <c r="G132" s="15" t="s">
        <v>25</v>
      </c>
      <c r="H132" s="15" t="s">
        <v>46</v>
      </c>
      <c r="I132" s="15" t="s">
        <v>295</v>
      </c>
      <c r="J132" s="15">
        <v>99</v>
      </c>
    </row>
    <row r="133" spans="1:10" x14ac:dyDescent="0.3">
      <c r="A133" s="15" t="s">
        <v>296</v>
      </c>
      <c r="B133" s="15" t="s">
        <v>84</v>
      </c>
      <c r="C133" s="15" t="s">
        <v>19</v>
      </c>
      <c r="D133" s="15" t="s">
        <v>31</v>
      </c>
      <c r="E133" s="15">
        <v>20</v>
      </c>
      <c r="F133" s="15">
        <v>10</v>
      </c>
      <c r="G133" s="15" t="s">
        <v>43</v>
      </c>
      <c r="H133" s="15" t="s">
        <v>20</v>
      </c>
      <c r="I133" s="15" t="s">
        <v>297</v>
      </c>
      <c r="J133" s="15">
        <v>100</v>
      </c>
    </row>
    <row r="134" spans="1:10" x14ac:dyDescent="0.3">
      <c r="A134" s="15" t="s">
        <v>298</v>
      </c>
      <c r="B134" s="15" t="s">
        <v>29</v>
      </c>
      <c r="C134" s="15" t="s">
        <v>96</v>
      </c>
      <c r="D134" s="15" t="s">
        <v>31</v>
      </c>
      <c r="E134" s="15">
        <v>20</v>
      </c>
      <c r="F134" s="15">
        <v>10</v>
      </c>
      <c r="G134" s="15" t="s">
        <v>32</v>
      </c>
      <c r="H134" s="15" t="s">
        <v>26</v>
      </c>
      <c r="I134" s="15" t="s">
        <v>299</v>
      </c>
      <c r="J134" s="15">
        <v>56</v>
      </c>
    </row>
    <row r="135" spans="1:10" x14ac:dyDescent="0.3">
      <c r="A135" s="15" t="s">
        <v>300</v>
      </c>
      <c r="B135" s="15" t="s">
        <v>11</v>
      </c>
      <c r="C135" s="15" t="s">
        <v>79</v>
      </c>
      <c r="D135" s="15" t="s">
        <v>31</v>
      </c>
      <c r="E135" s="15">
        <v>18</v>
      </c>
      <c r="F135" s="15">
        <v>9</v>
      </c>
      <c r="G135" s="15" t="s">
        <v>14</v>
      </c>
      <c r="H135" s="15" t="s">
        <v>20</v>
      </c>
      <c r="I135" s="15" t="s">
        <v>301</v>
      </c>
      <c r="J135" s="15">
        <v>66</v>
      </c>
    </row>
    <row r="136" spans="1:10" x14ac:dyDescent="0.3">
      <c r="A136" s="15" t="s">
        <v>302</v>
      </c>
      <c r="B136" s="15" t="s">
        <v>29</v>
      </c>
      <c r="C136" s="15" t="s">
        <v>79</v>
      </c>
      <c r="D136" s="15" t="s">
        <v>13</v>
      </c>
      <c r="E136" s="15">
        <v>14</v>
      </c>
      <c r="F136" s="15">
        <v>12</v>
      </c>
      <c r="G136" s="15" t="s">
        <v>14</v>
      </c>
      <c r="H136" s="15" t="s">
        <v>20</v>
      </c>
      <c r="I136" s="15" t="s">
        <v>303</v>
      </c>
      <c r="J136" s="15">
        <v>66</v>
      </c>
    </row>
    <row r="137" spans="1:10" x14ac:dyDescent="0.3">
      <c r="A137" s="15" t="s">
        <v>304</v>
      </c>
      <c r="B137" s="15" t="s">
        <v>51</v>
      </c>
      <c r="C137" s="15" t="s">
        <v>36</v>
      </c>
      <c r="D137" s="15" t="s">
        <v>31</v>
      </c>
      <c r="E137" s="15">
        <v>15</v>
      </c>
      <c r="F137" s="15">
        <v>12</v>
      </c>
      <c r="G137" s="15" t="s">
        <v>32</v>
      </c>
      <c r="H137" s="15" t="s">
        <v>46</v>
      </c>
      <c r="I137" s="15" t="s">
        <v>305</v>
      </c>
      <c r="J137" s="15">
        <v>77</v>
      </c>
    </row>
    <row r="138" spans="1:10" x14ac:dyDescent="0.3">
      <c r="A138" s="15" t="s">
        <v>306</v>
      </c>
      <c r="B138" s="15" t="s">
        <v>23</v>
      </c>
      <c r="C138" s="15" t="s">
        <v>19</v>
      </c>
      <c r="D138" s="15" t="s">
        <v>31</v>
      </c>
      <c r="E138" s="15">
        <v>16</v>
      </c>
      <c r="F138" s="15">
        <v>10</v>
      </c>
      <c r="G138" s="15" t="s">
        <v>43</v>
      </c>
      <c r="H138" s="15" t="s">
        <v>61</v>
      </c>
      <c r="I138" s="15" t="s">
        <v>307</v>
      </c>
      <c r="J138" s="15">
        <v>47</v>
      </c>
    </row>
    <row r="139" spans="1:10" x14ac:dyDescent="0.3">
      <c r="A139" s="15" t="s">
        <v>308</v>
      </c>
      <c r="B139" s="15" t="s">
        <v>23</v>
      </c>
      <c r="C139" s="15" t="s">
        <v>36</v>
      </c>
      <c r="D139" s="15" t="s">
        <v>13</v>
      </c>
      <c r="E139" s="15">
        <v>18</v>
      </c>
      <c r="F139" s="15">
        <v>10</v>
      </c>
      <c r="G139" s="15" t="s">
        <v>43</v>
      </c>
      <c r="H139" s="15" t="s">
        <v>40</v>
      </c>
      <c r="I139" s="15" t="s">
        <v>309</v>
      </c>
      <c r="J139" s="15">
        <v>57</v>
      </c>
    </row>
    <row r="140" spans="1:10" x14ac:dyDescent="0.3">
      <c r="A140" s="15" t="s">
        <v>310</v>
      </c>
      <c r="B140" s="15" t="s">
        <v>29</v>
      </c>
      <c r="C140" s="15" t="s">
        <v>96</v>
      </c>
      <c r="D140" s="15" t="s">
        <v>31</v>
      </c>
      <c r="E140" s="15">
        <v>16</v>
      </c>
      <c r="F140" s="15">
        <v>9</v>
      </c>
      <c r="G140" s="15" t="s">
        <v>32</v>
      </c>
      <c r="H140" s="15" t="s">
        <v>46</v>
      </c>
      <c r="I140" s="15" t="s">
        <v>311</v>
      </c>
      <c r="J140" s="15">
        <v>67</v>
      </c>
    </row>
    <row r="141" spans="1:10" x14ac:dyDescent="0.3">
      <c r="A141" s="15" t="s">
        <v>312</v>
      </c>
      <c r="B141" s="15" t="s">
        <v>29</v>
      </c>
      <c r="C141" s="15" t="s">
        <v>12</v>
      </c>
      <c r="D141" s="15" t="s">
        <v>31</v>
      </c>
      <c r="E141" s="15">
        <v>14</v>
      </c>
      <c r="F141" s="15">
        <v>12</v>
      </c>
      <c r="G141" s="15" t="s">
        <v>43</v>
      </c>
      <c r="H141" s="15" t="s">
        <v>61</v>
      </c>
      <c r="I141" s="15" t="s">
        <v>313</v>
      </c>
      <c r="J141" s="15">
        <v>44</v>
      </c>
    </row>
    <row r="142" spans="1:10" x14ac:dyDescent="0.3">
      <c r="A142" s="15" t="s">
        <v>314</v>
      </c>
      <c r="B142" s="15" t="s">
        <v>68</v>
      </c>
      <c r="C142" s="15" t="s">
        <v>79</v>
      </c>
      <c r="D142" s="15" t="s">
        <v>13</v>
      </c>
      <c r="E142" s="15">
        <v>15</v>
      </c>
      <c r="F142" s="15">
        <v>11</v>
      </c>
      <c r="G142" s="15" t="s">
        <v>14</v>
      </c>
      <c r="H142" s="15" t="s">
        <v>46</v>
      </c>
      <c r="I142" s="15" t="s">
        <v>315</v>
      </c>
      <c r="J142" s="15">
        <v>35</v>
      </c>
    </row>
    <row r="143" spans="1:10" x14ac:dyDescent="0.3">
      <c r="A143" s="15" t="s">
        <v>316</v>
      </c>
      <c r="B143" s="15" t="s">
        <v>23</v>
      </c>
      <c r="C143" s="15" t="s">
        <v>36</v>
      </c>
      <c r="D143" s="15" t="s">
        <v>31</v>
      </c>
      <c r="E143" s="15">
        <v>20</v>
      </c>
      <c r="F143" s="15">
        <v>11</v>
      </c>
      <c r="G143" s="15" t="s">
        <v>14</v>
      </c>
      <c r="H143" s="15" t="s">
        <v>37</v>
      </c>
      <c r="I143" s="15" t="s">
        <v>317</v>
      </c>
      <c r="J143" s="15">
        <v>52</v>
      </c>
    </row>
    <row r="144" spans="1:10" x14ac:dyDescent="0.3">
      <c r="A144" s="15" t="s">
        <v>318</v>
      </c>
      <c r="B144" s="15" t="s">
        <v>54</v>
      </c>
      <c r="C144" s="15" t="s">
        <v>96</v>
      </c>
      <c r="D144" s="15" t="s">
        <v>13</v>
      </c>
      <c r="E144" s="15">
        <v>18</v>
      </c>
      <c r="F144" s="15">
        <v>9</v>
      </c>
      <c r="G144" s="15" t="s">
        <v>32</v>
      </c>
      <c r="H144" s="15" t="s">
        <v>76</v>
      </c>
      <c r="I144" s="15" t="s">
        <v>319</v>
      </c>
      <c r="J144" s="15">
        <v>86</v>
      </c>
    </row>
    <row r="145" spans="1:10" x14ac:dyDescent="0.3">
      <c r="A145" s="15" t="s">
        <v>320</v>
      </c>
      <c r="B145" s="15" t="s">
        <v>84</v>
      </c>
      <c r="C145" s="15" t="s">
        <v>55</v>
      </c>
      <c r="D145" s="15" t="s">
        <v>31</v>
      </c>
      <c r="E145" s="15">
        <v>16</v>
      </c>
      <c r="F145" s="15">
        <v>12</v>
      </c>
      <c r="G145" s="15" t="s">
        <v>32</v>
      </c>
      <c r="H145" s="15" t="s">
        <v>76</v>
      </c>
      <c r="I145" s="15" t="s">
        <v>321</v>
      </c>
      <c r="J145" s="15">
        <v>66</v>
      </c>
    </row>
    <row r="146" spans="1:10" x14ac:dyDescent="0.3">
      <c r="A146" s="15" t="s">
        <v>322</v>
      </c>
      <c r="B146" s="15" t="s">
        <v>35</v>
      </c>
      <c r="C146" s="15" t="s">
        <v>12</v>
      </c>
      <c r="D146" s="15" t="s">
        <v>13</v>
      </c>
      <c r="E146" s="15">
        <v>14</v>
      </c>
      <c r="F146" s="15">
        <v>11</v>
      </c>
      <c r="G146" s="15" t="s">
        <v>14</v>
      </c>
      <c r="H146" s="15" t="s">
        <v>26</v>
      </c>
      <c r="I146" s="15" t="s">
        <v>323</v>
      </c>
      <c r="J146" s="15">
        <v>93</v>
      </c>
    </row>
    <row r="147" spans="1:10" x14ac:dyDescent="0.3">
      <c r="A147" s="15" t="s">
        <v>324</v>
      </c>
      <c r="B147" s="15" t="s">
        <v>23</v>
      </c>
      <c r="C147" s="15" t="s">
        <v>85</v>
      </c>
      <c r="D147" s="15" t="s">
        <v>31</v>
      </c>
      <c r="E147" s="15">
        <v>16</v>
      </c>
      <c r="F147" s="15">
        <v>9</v>
      </c>
      <c r="G147" s="15" t="s">
        <v>32</v>
      </c>
      <c r="H147" s="15" t="s">
        <v>61</v>
      </c>
      <c r="I147" s="15" t="s">
        <v>325</v>
      </c>
      <c r="J147" s="15">
        <v>54</v>
      </c>
    </row>
    <row r="148" spans="1:10" x14ac:dyDescent="0.3">
      <c r="A148" s="15" t="s">
        <v>326</v>
      </c>
      <c r="B148" s="15" t="s">
        <v>54</v>
      </c>
      <c r="C148" s="15" t="s">
        <v>55</v>
      </c>
      <c r="D148" s="15" t="s">
        <v>13</v>
      </c>
      <c r="E148" s="15">
        <v>20</v>
      </c>
      <c r="F148" s="15">
        <v>9</v>
      </c>
      <c r="G148" s="15" t="s">
        <v>32</v>
      </c>
      <c r="H148" s="15" t="s">
        <v>15</v>
      </c>
      <c r="I148" s="15" t="s">
        <v>77</v>
      </c>
      <c r="J148" s="15">
        <v>75</v>
      </c>
    </row>
    <row r="149" spans="1:10" x14ac:dyDescent="0.3">
      <c r="A149" s="15" t="s">
        <v>327</v>
      </c>
      <c r="B149" s="15" t="s">
        <v>73</v>
      </c>
      <c r="C149" s="15" t="s">
        <v>96</v>
      </c>
      <c r="D149" s="15" t="s">
        <v>13</v>
      </c>
      <c r="E149" s="15">
        <v>20</v>
      </c>
      <c r="F149" s="15">
        <v>9</v>
      </c>
      <c r="G149" s="15" t="s">
        <v>32</v>
      </c>
      <c r="H149" s="15" t="s">
        <v>61</v>
      </c>
      <c r="I149" s="15" t="s">
        <v>328</v>
      </c>
      <c r="J149" s="15">
        <v>40</v>
      </c>
    </row>
    <row r="150" spans="1:10" x14ac:dyDescent="0.3">
      <c r="A150" s="15" t="s">
        <v>329</v>
      </c>
      <c r="B150" s="15" t="s">
        <v>11</v>
      </c>
      <c r="C150" s="15" t="s">
        <v>24</v>
      </c>
      <c r="D150" s="15" t="s">
        <v>31</v>
      </c>
      <c r="E150" s="15">
        <v>15</v>
      </c>
      <c r="F150" s="15">
        <v>9</v>
      </c>
      <c r="G150" s="15" t="s">
        <v>43</v>
      </c>
      <c r="H150" s="15" t="s">
        <v>61</v>
      </c>
      <c r="I150" s="15" t="s">
        <v>330</v>
      </c>
      <c r="J150" s="15">
        <v>83</v>
      </c>
    </row>
    <row r="151" spans="1:10" x14ac:dyDescent="0.3">
      <c r="A151" s="15" t="s">
        <v>331</v>
      </c>
      <c r="B151" s="15" t="s">
        <v>73</v>
      </c>
      <c r="C151" s="15" t="s">
        <v>30</v>
      </c>
      <c r="D151" s="15" t="s">
        <v>31</v>
      </c>
      <c r="E151" s="15">
        <v>19</v>
      </c>
      <c r="F151" s="15">
        <v>10</v>
      </c>
      <c r="G151" s="15" t="s">
        <v>43</v>
      </c>
      <c r="H151" s="15" t="s">
        <v>20</v>
      </c>
      <c r="I151" s="15" t="s">
        <v>191</v>
      </c>
      <c r="J151" s="15">
        <v>93</v>
      </c>
    </row>
    <row r="152" spans="1:10" x14ac:dyDescent="0.3">
      <c r="A152" s="15" t="s">
        <v>332</v>
      </c>
      <c r="B152" s="15" t="s">
        <v>29</v>
      </c>
      <c r="C152" s="15" t="s">
        <v>12</v>
      </c>
      <c r="D152" s="15" t="s">
        <v>31</v>
      </c>
      <c r="E152" s="15">
        <v>16</v>
      </c>
      <c r="F152" s="15">
        <v>11</v>
      </c>
      <c r="G152" s="15" t="s">
        <v>32</v>
      </c>
      <c r="H152" s="15" t="s">
        <v>76</v>
      </c>
      <c r="I152" s="15" t="s">
        <v>333</v>
      </c>
      <c r="J152" s="15">
        <v>42</v>
      </c>
    </row>
    <row r="153" spans="1:10" x14ac:dyDescent="0.3">
      <c r="A153" s="15" t="s">
        <v>334</v>
      </c>
      <c r="B153" s="15" t="s">
        <v>73</v>
      </c>
      <c r="C153" s="15" t="s">
        <v>12</v>
      </c>
      <c r="D153" s="15" t="s">
        <v>31</v>
      </c>
      <c r="E153" s="15">
        <v>18</v>
      </c>
      <c r="F153" s="15">
        <v>11</v>
      </c>
      <c r="G153" s="15" t="s">
        <v>32</v>
      </c>
      <c r="H153" s="15" t="s">
        <v>76</v>
      </c>
      <c r="I153" s="15" t="s">
        <v>335</v>
      </c>
      <c r="J153" s="15">
        <v>97</v>
      </c>
    </row>
    <row r="154" spans="1:10" x14ac:dyDescent="0.3">
      <c r="A154" s="15" t="s">
        <v>336</v>
      </c>
      <c r="B154" s="15" t="s">
        <v>11</v>
      </c>
      <c r="C154" s="15" t="s">
        <v>58</v>
      </c>
      <c r="D154" s="15" t="s">
        <v>31</v>
      </c>
      <c r="E154" s="15">
        <v>19</v>
      </c>
      <c r="F154" s="15">
        <v>12</v>
      </c>
      <c r="G154" s="15" t="s">
        <v>25</v>
      </c>
      <c r="H154" s="15" t="s">
        <v>61</v>
      </c>
      <c r="I154" s="15" t="s">
        <v>218</v>
      </c>
      <c r="J154" s="15">
        <v>68</v>
      </c>
    </row>
    <row r="155" spans="1:10" x14ac:dyDescent="0.3">
      <c r="A155" s="15" t="s">
        <v>337</v>
      </c>
      <c r="B155" s="15" t="s">
        <v>23</v>
      </c>
      <c r="C155" s="15" t="s">
        <v>30</v>
      </c>
      <c r="D155" s="15" t="s">
        <v>31</v>
      </c>
      <c r="E155" s="15">
        <v>19</v>
      </c>
      <c r="F155" s="15">
        <v>9</v>
      </c>
      <c r="G155" s="15" t="s">
        <v>32</v>
      </c>
      <c r="H155" s="15" t="s">
        <v>61</v>
      </c>
      <c r="I155" s="15" t="s">
        <v>338</v>
      </c>
      <c r="J155" s="15">
        <v>51</v>
      </c>
    </row>
    <row r="156" spans="1:10" x14ac:dyDescent="0.3">
      <c r="A156" s="15" t="s">
        <v>339</v>
      </c>
      <c r="B156" s="15" t="s">
        <v>23</v>
      </c>
      <c r="C156" s="15" t="s">
        <v>36</v>
      </c>
      <c r="D156" s="15" t="s">
        <v>13</v>
      </c>
      <c r="E156" s="15">
        <v>18</v>
      </c>
      <c r="F156" s="15">
        <v>9</v>
      </c>
      <c r="G156" s="15" t="s">
        <v>32</v>
      </c>
      <c r="H156" s="15" t="s">
        <v>37</v>
      </c>
      <c r="I156" s="15" t="s">
        <v>340</v>
      </c>
      <c r="J156" s="15">
        <v>64</v>
      </c>
    </row>
    <row r="157" spans="1:10" x14ac:dyDescent="0.3">
      <c r="A157" s="15" t="s">
        <v>341</v>
      </c>
      <c r="B157" s="15" t="s">
        <v>54</v>
      </c>
      <c r="C157" s="15" t="s">
        <v>55</v>
      </c>
      <c r="D157" s="15" t="s">
        <v>13</v>
      </c>
      <c r="E157" s="15">
        <v>14</v>
      </c>
      <c r="F157" s="15">
        <v>9</v>
      </c>
      <c r="G157" s="15" t="s">
        <v>25</v>
      </c>
      <c r="H157" s="15" t="s">
        <v>37</v>
      </c>
      <c r="I157" s="15" t="s">
        <v>342</v>
      </c>
      <c r="J157" s="15">
        <v>82</v>
      </c>
    </row>
    <row r="158" spans="1:10" x14ac:dyDescent="0.3">
      <c r="A158" s="15" t="s">
        <v>343</v>
      </c>
      <c r="B158" s="15" t="s">
        <v>68</v>
      </c>
      <c r="C158" s="15" t="s">
        <v>79</v>
      </c>
      <c r="D158" s="15" t="s">
        <v>13</v>
      </c>
      <c r="E158" s="15">
        <v>19</v>
      </c>
      <c r="F158" s="15">
        <v>11</v>
      </c>
      <c r="G158" s="15" t="s">
        <v>14</v>
      </c>
      <c r="H158" s="15" t="s">
        <v>40</v>
      </c>
      <c r="I158" s="15" t="s">
        <v>344</v>
      </c>
      <c r="J158" s="15">
        <v>35</v>
      </c>
    </row>
    <row r="159" spans="1:10" x14ac:dyDescent="0.3">
      <c r="A159" s="15" t="s">
        <v>345</v>
      </c>
      <c r="B159" s="15" t="s">
        <v>29</v>
      </c>
      <c r="C159" s="15" t="s">
        <v>24</v>
      </c>
      <c r="D159" s="15" t="s">
        <v>31</v>
      </c>
      <c r="E159" s="15">
        <v>15</v>
      </c>
      <c r="F159" s="15">
        <v>9</v>
      </c>
      <c r="G159" s="15" t="s">
        <v>14</v>
      </c>
      <c r="H159" s="15" t="s">
        <v>26</v>
      </c>
      <c r="I159" s="15" t="s">
        <v>346</v>
      </c>
      <c r="J159" s="15">
        <v>49</v>
      </c>
    </row>
    <row r="160" spans="1:10" x14ac:dyDescent="0.3">
      <c r="A160" s="15" t="s">
        <v>347</v>
      </c>
      <c r="B160" s="15" t="s">
        <v>23</v>
      </c>
      <c r="C160" s="15" t="s">
        <v>85</v>
      </c>
      <c r="D160" s="15" t="s">
        <v>31</v>
      </c>
      <c r="E160" s="15">
        <v>15</v>
      </c>
      <c r="F160" s="15">
        <v>11</v>
      </c>
      <c r="G160" s="15" t="s">
        <v>32</v>
      </c>
      <c r="H160" s="15" t="s">
        <v>26</v>
      </c>
      <c r="I160" s="15" t="s">
        <v>348</v>
      </c>
      <c r="J160" s="15">
        <v>37</v>
      </c>
    </row>
    <row r="161" spans="1:10" x14ac:dyDescent="0.3">
      <c r="A161" s="15" t="s">
        <v>349</v>
      </c>
      <c r="B161" s="15" t="s">
        <v>35</v>
      </c>
      <c r="C161" s="15" t="s">
        <v>30</v>
      </c>
      <c r="D161" s="15" t="s">
        <v>31</v>
      </c>
      <c r="E161" s="15">
        <v>18</v>
      </c>
      <c r="F161" s="15">
        <v>12</v>
      </c>
      <c r="G161" s="15" t="s">
        <v>43</v>
      </c>
      <c r="H161" s="15" t="s">
        <v>37</v>
      </c>
      <c r="I161" s="15" t="s">
        <v>350</v>
      </c>
      <c r="J161" s="15">
        <v>53</v>
      </c>
    </row>
    <row r="162" spans="1:10" x14ac:dyDescent="0.3">
      <c r="A162" s="15" t="s">
        <v>351</v>
      </c>
      <c r="B162" s="15" t="s">
        <v>68</v>
      </c>
      <c r="C162" s="15" t="s">
        <v>96</v>
      </c>
      <c r="D162" s="15" t="s">
        <v>13</v>
      </c>
      <c r="E162" s="15">
        <v>15</v>
      </c>
      <c r="F162" s="15">
        <v>10</v>
      </c>
      <c r="G162" s="15" t="s">
        <v>25</v>
      </c>
      <c r="H162" s="15" t="s">
        <v>20</v>
      </c>
      <c r="I162" s="15" t="s">
        <v>352</v>
      </c>
      <c r="J162" s="15">
        <v>50</v>
      </c>
    </row>
    <row r="163" spans="1:10" x14ac:dyDescent="0.3">
      <c r="A163" s="15" t="s">
        <v>353</v>
      </c>
      <c r="B163" s="15" t="s">
        <v>51</v>
      </c>
      <c r="C163" s="15" t="s">
        <v>55</v>
      </c>
      <c r="D163" s="15" t="s">
        <v>31</v>
      </c>
      <c r="E163" s="15">
        <v>20</v>
      </c>
      <c r="F163" s="15">
        <v>9</v>
      </c>
      <c r="G163" s="15" t="s">
        <v>25</v>
      </c>
      <c r="H163" s="15" t="s">
        <v>46</v>
      </c>
      <c r="I163" s="15" t="s">
        <v>354</v>
      </c>
      <c r="J163" s="15">
        <v>53</v>
      </c>
    </row>
    <row r="164" spans="1:10" x14ac:dyDescent="0.3">
      <c r="A164" s="15" t="s">
        <v>355</v>
      </c>
      <c r="B164" s="15" t="s">
        <v>68</v>
      </c>
      <c r="C164" s="15" t="s">
        <v>79</v>
      </c>
      <c r="D164" s="15" t="s">
        <v>13</v>
      </c>
      <c r="E164" s="15">
        <v>15</v>
      </c>
      <c r="F164" s="15">
        <v>12</v>
      </c>
      <c r="G164" s="15" t="s">
        <v>14</v>
      </c>
      <c r="H164" s="15" t="s">
        <v>20</v>
      </c>
      <c r="I164" s="15" t="s">
        <v>356</v>
      </c>
      <c r="J164" s="15">
        <v>37</v>
      </c>
    </row>
    <row r="165" spans="1:10" x14ac:dyDescent="0.3">
      <c r="A165" s="15" t="s">
        <v>357</v>
      </c>
      <c r="B165" s="15" t="s">
        <v>23</v>
      </c>
      <c r="C165" s="15" t="s">
        <v>24</v>
      </c>
      <c r="D165" s="15" t="s">
        <v>13</v>
      </c>
      <c r="E165" s="15">
        <v>16</v>
      </c>
      <c r="F165" s="15">
        <v>9</v>
      </c>
      <c r="G165" s="15" t="s">
        <v>25</v>
      </c>
      <c r="H165" s="15" t="s">
        <v>20</v>
      </c>
      <c r="I165" s="15" t="s">
        <v>358</v>
      </c>
      <c r="J165" s="15">
        <v>66</v>
      </c>
    </row>
    <row r="166" spans="1:10" x14ac:dyDescent="0.3">
      <c r="A166" s="15" t="s">
        <v>359</v>
      </c>
      <c r="B166" s="15" t="s">
        <v>68</v>
      </c>
      <c r="C166" s="15" t="s">
        <v>85</v>
      </c>
      <c r="D166" s="15" t="s">
        <v>13</v>
      </c>
      <c r="E166" s="15">
        <v>19</v>
      </c>
      <c r="F166" s="15">
        <v>11</v>
      </c>
      <c r="G166" s="15" t="s">
        <v>43</v>
      </c>
      <c r="H166" s="15" t="s">
        <v>76</v>
      </c>
      <c r="I166" s="15" t="s">
        <v>360</v>
      </c>
      <c r="J166" s="15">
        <v>64</v>
      </c>
    </row>
    <row r="167" spans="1:10" x14ac:dyDescent="0.3">
      <c r="A167" s="15" t="s">
        <v>361</v>
      </c>
      <c r="B167" s="15" t="s">
        <v>11</v>
      </c>
      <c r="C167" s="15" t="s">
        <v>30</v>
      </c>
      <c r="D167" s="15" t="s">
        <v>13</v>
      </c>
      <c r="E167" s="15">
        <v>20</v>
      </c>
      <c r="F167" s="15">
        <v>10</v>
      </c>
      <c r="G167" s="15" t="s">
        <v>32</v>
      </c>
      <c r="H167" s="15" t="s">
        <v>15</v>
      </c>
      <c r="I167" s="15" t="s">
        <v>362</v>
      </c>
      <c r="J167" s="15">
        <v>49</v>
      </c>
    </row>
    <row r="168" spans="1:10" x14ac:dyDescent="0.3">
      <c r="A168" s="15" t="s">
        <v>363</v>
      </c>
      <c r="B168" s="15" t="s">
        <v>11</v>
      </c>
      <c r="C168" s="15" t="s">
        <v>85</v>
      </c>
      <c r="D168" s="15" t="s">
        <v>31</v>
      </c>
      <c r="E168" s="15">
        <v>15</v>
      </c>
      <c r="F168" s="15">
        <v>10</v>
      </c>
      <c r="G168" s="15" t="s">
        <v>14</v>
      </c>
      <c r="H168" s="15" t="s">
        <v>37</v>
      </c>
      <c r="I168" s="15" t="s">
        <v>364</v>
      </c>
      <c r="J168" s="15">
        <v>71</v>
      </c>
    </row>
    <row r="169" spans="1:10" x14ac:dyDescent="0.3">
      <c r="A169" s="15" t="s">
        <v>365</v>
      </c>
      <c r="B169" s="15" t="s">
        <v>11</v>
      </c>
      <c r="C169" s="15" t="s">
        <v>55</v>
      </c>
      <c r="D169" s="15" t="s">
        <v>13</v>
      </c>
      <c r="E169" s="15">
        <v>16</v>
      </c>
      <c r="F169" s="15">
        <v>10</v>
      </c>
      <c r="G169" s="15" t="s">
        <v>32</v>
      </c>
      <c r="H169" s="15" t="s">
        <v>15</v>
      </c>
      <c r="I169" s="15" t="s">
        <v>366</v>
      </c>
      <c r="J169" s="15">
        <v>72</v>
      </c>
    </row>
    <row r="170" spans="1:10" x14ac:dyDescent="0.3">
      <c r="A170" s="15" t="s">
        <v>367</v>
      </c>
      <c r="B170" s="15" t="s">
        <v>35</v>
      </c>
      <c r="C170" s="15" t="s">
        <v>12</v>
      </c>
      <c r="D170" s="15" t="s">
        <v>31</v>
      </c>
      <c r="E170" s="15">
        <v>15</v>
      </c>
      <c r="F170" s="15">
        <v>10</v>
      </c>
      <c r="G170" s="15" t="s">
        <v>32</v>
      </c>
      <c r="H170" s="15" t="s">
        <v>20</v>
      </c>
      <c r="I170" s="15" t="s">
        <v>368</v>
      </c>
      <c r="J170" s="15">
        <v>99</v>
      </c>
    </row>
    <row r="171" spans="1:10" x14ac:dyDescent="0.3">
      <c r="A171" s="15" t="s">
        <v>369</v>
      </c>
      <c r="B171" s="15" t="s">
        <v>23</v>
      </c>
      <c r="C171" s="15" t="s">
        <v>24</v>
      </c>
      <c r="D171" s="15" t="s">
        <v>31</v>
      </c>
      <c r="E171" s="15">
        <v>17</v>
      </c>
      <c r="F171" s="15">
        <v>12</v>
      </c>
      <c r="G171" s="15" t="s">
        <v>43</v>
      </c>
      <c r="H171" s="15" t="s">
        <v>61</v>
      </c>
      <c r="I171" s="15" t="s">
        <v>370</v>
      </c>
      <c r="J171" s="15">
        <v>96</v>
      </c>
    </row>
    <row r="172" spans="1:10" x14ac:dyDescent="0.3">
      <c r="A172" s="15" t="s">
        <v>371</v>
      </c>
      <c r="B172" s="15" t="s">
        <v>35</v>
      </c>
      <c r="C172" s="15" t="s">
        <v>58</v>
      </c>
      <c r="D172" s="15" t="s">
        <v>31</v>
      </c>
      <c r="E172" s="15">
        <v>19</v>
      </c>
      <c r="F172" s="15">
        <v>9</v>
      </c>
      <c r="G172" s="15" t="s">
        <v>14</v>
      </c>
      <c r="H172" s="15" t="s">
        <v>20</v>
      </c>
      <c r="I172" s="15" t="s">
        <v>372</v>
      </c>
      <c r="J172" s="15">
        <v>87</v>
      </c>
    </row>
    <row r="173" spans="1:10" x14ac:dyDescent="0.3">
      <c r="A173" s="15" t="s">
        <v>373</v>
      </c>
      <c r="B173" s="15" t="s">
        <v>51</v>
      </c>
      <c r="C173" s="15" t="s">
        <v>19</v>
      </c>
      <c r="D173" s="15" t="s">
        <v>13</v>
      </c>
      <c r="E173" s="15">
        <v>15</v>
      </c>
      <c r="F173" s="15">
        <v>11</v>
      </c>
      <c r="G173" s="15" t="s">
        <v>14</v>
      </c>
      <c r="H173" s="15" t="s">
        <v>61</v>
      </c>
      <c r="I173" s="15" t="s">
        <v>374</v>
      </c>
      <c r="J173" s="15">
        <v>78</v>
      </c>
    </row>
    <row r="174" spans="1:10" x14ac:dyDescent="0.3">
      <c r="A174" s="15" t="s">
        <v>375</v>
      </c>
      <c r="B174" s="15" t="s">
        <v>35</v>
      </c>
      <c r="C174" s="15" t="s">
        <v>36</v>
      </c>
      <c r="D174" s="15" t="s">
        <v>13</v>
      </c>
      <c r="E174" s="15">
        <v>18</v>
      </c>
      <c r="F174" s="15">
        <v>11</v>
      </c>
      <c r="G174" s="15" t="s">
        <v>25</v>
      </c>
      <c r="H174" s="15" t="s">
        <v>40</v>
      </c>
      <c r="I174" s="15" t="s">
        <v>376</v>
      </c>
      <c r="J174" s="15">
        <v>62</v>
      </c>
    </row>
    <row r="175" spans="1:10" x14ac:dyDescent="0.3">
      <c r="A175" s="15" t="s">
        <v>377</v>
      </c>
      <c r="B175" s="15" t="s">
        <v>35</v>
      </c>
      <c r="C175" s="15" t="s">
        <v>30</v>
      </c>
      <c r="D175" s="15" t="s">
        <v>13</v>
      </c>
      <c r="E175" s="15">
        <v>20</v>
      </c>
      <c r="F175" s="15">
        <v>11</v>
      </c>
      <c r="G175" s="15" t="s">
        <v>32</v>
      </c>
      <c r="H175" s="15" t="s">
        <v>37</v>
      </c>
      <c r="I175" s="15" t="s">
        <v>189</v>
      </c>
      <c r="J175" s="15">
        <v>79</v>
      </c>
    </row>
    <row r="176" spans="1:10" x14ac:dyDescent="0.3">
      <c r="A176" s="15" t="s">
        <v>378</v>
      </c>
      <c r="B176" s="15" t="s">
        <v>18</v>
      </c>
      <c r="C176" s="15" t="s">
        <v>55</v>
      </c>
      <c r="D176" s="15" t="s">
        <v>31</v>
      </c>
      <c r="E176" s="15">
        <v>17</v>
      </c>
      <c r="F176" s="15">
        <v>9</v>
      </c>
      <c r="G176" s="15" t="s">
        <v>32</v>
      </c>
      <c r="H176" s="15" t="s">
        <v>26</v>
      </c>
      <c r="I176" s="15" t="s">
        <v>379</v>
      </c>
      <c r="J176" s="15">
        <v>66</v>
      </c>
    </row>
    <row r="177" spans="1:10" x14ac:dyDescent="0.3">
      <c r="A177" s="15" t="s">
        <v>380</v>
      </c>
      <c r="B177" s="15" t="s">
        <v>11</v>
      </c>
      <c r="C177" s="15" t="s">
        <v>24</v>
      </c>
      <c r="D177" s="15" t="s">
        <v>31</v>
      </c>
      <c r="E177" s="15">
        <v>18</v>
      </c>
      <c r="F177" s="15">
        <v>11</v>
      </c>
      <c r="G177" s="15" t="s">
        <v>32</v>
      </c>
      <c r="H177" s="15" t="s">
        <v>61</v>
      </c>
      <c r="I177" s="15" t="s">
        <v>381</v>
      </c>
      <c r="J177" s="15">
        <v>67</v>
      </c>
    </row>
    <row r="178" spans="1:10" x14ac:dyDescent="0.3">
      <c r="A178" s="15" t="s">
        <v>382</v>
      </c>
      <c r="B178" s="15" t="s">
        <v>51</v>
      </c>
      <c r="C178" s="15" t="s">
        <v>85</v>
      </c>
      <c r="D178" s="15" t="s">
        <v>13</v>
      </c>
      <c r="E178" s="15">
        <v>16</v>
      </c>
      <c r="F178" s="15">
        <v>10</v>
      </c>
      <c r="G178" s="15" t="s">
        <v>43</v>
      </c>
      <c r="H178" s="15" t="s">
        <v>61</v>
      </c>
      <c r="I178" s="15" t="s">
        <v>383</v>
      </c>
      <c r="J178" s="15">
        <v>72</v>
      </c>
    </row>
    <row r="179" spans="1:10" x14ac:dyDescent="0.3">
      <c r="A179" s="15" t="s">
        <v>384</v>
      </c>
      <c r="B179" s="15" t="s">
        <v>54</v>
      </c>
      <c r="C179" s="15" t="s">
        <v>19</v>
      </c>
      <c r="D179" s="15" t="s">
        <v>31</v>
      </c>
      <c r="E179" s="15">
        <v>16</v>
      </c>
      <c r="F179" s="15">
        <v>12</v>
      </c>
      <c r="G179" s="15" t="s">
        <v>25</v>
      </c>
      <c r="H179" s="15" t="s">
        <v>20</v>
      </c>
      <c r="I179" s="15" t="s">
        <v>385</v>
      </c>
      <c r="J179" s="15">
        <v>39</v>
      </c>
    </row>
    <row r="180" spans="1:10" x14ac:dyDescent="0.3">
      <c r="A180" s="15" t="s">
        <v>386</v>
      </c>
      <c r="B180" s="15" t="s">
        <v>68</v>
      </c>
      <c r="C180" s="15" t="s">
        <v>96</v>
      </c>
      <c r="D180" s="15" t="s">
        <v>13</v>
      </c>
      <c r="E180" s="15">
        <v>18</v>
      </c>
      <c r="F180" s="15">
        <v>9</v>
      </c>
      <c r="G180" s="15" t="s">
        <v>25</v>
      </c>
      <c r="H180" s="15" t="s">
        <v>46</v>
      </c>
      <c r="I180" s="15" t="s">
        <v>387</v>
      </c>
      <c r="J180" s="15">
        <v>74</v>
      </c>
    </row>
    <row r="181" spans="1:10" x14ac:dyDescent="0.3">
      <c r="A181" s="15" t="s">
        <v>388</v>
      </c>
      <c r="B181" s="15" t="s">
        <v>73</v>
      </c>
      <c r="C181" s="15" t="s">
        <v>12</v>
      </c>
      <c r="D181" s="15" t="s">
        <v>31</v>
      </c>
      <c r="E181" s="15">
        <v>19</v>
      </c>
      <c r="F181" s="15">
        <v>11</v>
      </c>
      <c r="G181" s="15" t="s">
        <v>43</v>
      </c>
      <c r="H181" s="15" t="s">
        <v>61</v>
      </c>
      <c r="I181" s="15" t="s">
        <v>214</v>
      </c>
      <c r="J181" s="15">
        <v>88</v>
      </c>
    </row>
    <row r="182" spans="1:10" x14ac:dyDescent="0.3">
      <c r="A182" s="15" t="s">
        <v>389</v>
      </c>
      <c r="B182" s="15" t="s">
        <v>54</v>
      </c>
      <c r="C182" s="15" t="s">
        <v>58</v>
      </c>
      <c r="D182" s="15" t="s">
        <v>31</v>
      </c>
      <c r="E182" s="15">
        <v>14</v>
      </c>
      <c r="F182" s="15">
        <v>11</v>
      </c>
      <c r="G182" s="15" t="s">
        <v>32</v>
      </c>
      <c r="H182" s="15" t="s">
        <v>76</v>
      </c>
      <c r="I182" s="15" t="s">
        <v>390</v>
      </c>
      <c r="J182" s="15">
        <v>54</v>
      </c>
    </row>
    <row r="183" spans="1:10" x14ac:dyDescent="0.3">
      <c r="A183" s="15" t="s">
        <v>391</v>
      </c>
      <c r="B183" s="15" t="s">
        <v>68</v>
      </c>
      <c r="C183" s="15" t="s">
        <v>19</v>
      </c>
      <c r="D183" s="15" t="s">
        <v>13</v>
      </c>
      <c r="E183" s="15">
        <v>19</v>
      </c>
      <c r="F183" s="15">
        <v>12</v>
      </c>
      <c r="G183" s="15" t="s">
        <v>25</v>
      </c>
      <c r="H183" s="15" t="s">
        <v>46</v>
      </c>
      <c r="I183" s="15" t="s">
        <v>392</v>
      </c>
      <c r="J183" s="15">
        <v>46</v>
      </c>
    </row>
    <row r="184" spans="1:10" x14ac:dyDescent="0.3">
      <c r="A184" s="15" t="s">
        <v>393</v>
      </c>
      <c r="B184" s="15" t="s">
        <v>68</v>
      </c>
      <c r="C184" s="15" t="s">
        <v>85</v>
      </c>
      <c r="D184" s="15" t="s">
        <v>13</v>
      </c>
      <c r="E184" s="15">
        <v>15</v>
      </c>
      <c r="F184" s="15">
        <v>10</v>
      </c>
      <c r="G184" s="15" t="s">
        <v>32</v>
      </c>
      <c r="H184" s="15" t="s">
        <v>37</v>
      </c>
      <c r="I184" s="15" t="s">
        <v>394</v>
      </c>
      <c r="J184" s="15">
        <v>89</v>
      </c>
    </row>
    <row r="185" spans="1:10" x14ac:dyDescent="0.3">
      <c r="A185" s="15" t="s">
        <v>395</v>
      </c>
      <c r="B185" s="15" t="s">
        <v>11</v>
      </c>
      <c r="C185" s="15" t="s">
        <v>96</v>
      </c>
      <c r="D185" s="15" t="s">
        <v>13</v>
      </c>
      <c r="E185" s="15">
        <v>18</v>
      </c>
      <c r="F185" s="15">
        <v>11</v>
      </c>
      <c r="G185" s="15" t="s">
        <v>25</v>
      </c>
      <c r="H185" s="15" t="s">
        <v>37</v>
      </c>
      <c r="I185" s="15" t="s">
        <v>396</v>
      </c>
      <c r="J185" s="15">
        <v>65</v>
      </c>
    </row>
    <row r="186" spans="1:10" x14ac:dyDescent="0.3">
      <c r="A186" s="15" t="s">
        <v>397</v>
      </c>
      <c r="B186" s="15" t="s">
        <v>23</v>
      </c>
      <c r="C186" s="15" t="s">
        <v>12</v>
      </c>
      <c r="D186" s="15" t="s">
        <v>13</v>
      </c>
      <c r="E186" s="15">
        <v>20</v>
      </c>
      <c r="F186" s="15">
        <v>9</v>
      </c>
      <c r="G186" s="15" t="s">
        <v>25</v>
      </c>
      <c r="H186" s="15" t="s">
        <v>46</v>
      </c>
      <c r="I186" s="15" t="s">
        <v>398</v>
      </c>
      <c r="J186" s="15">
        <v>91</v>
      </c>
    </row>
    <row r="187" spans="1:10" x14ac:dyDescent="0.3">
      <c r="A187" s="15" t="s">
        <v>399</v>
      </c>
      <c r="B187" s="15" t="s">
        <v>35</v>
      </c>
      <c r="C187" s="15" t="s">
        <v>79</v>
      </c>
      <c r="D187" s="15" t="s">
        <v>13</v>
      </c>
      <c r="E187" s="15">
        <v>17</v>
      </c>
      <c r="F187" s="15">
        <v>10</v>
      </c>
      <c r="G187" s="15" t="s">
        <v>43</v>
      </c>
      <c r="H187" s="15" t="s">
        <v>37</v>
      </c>
      <c r="I187" s="15" t="s">
        <v>400</v>
      </c>
      <c r="J187" s="15">
        <v>78</v>
      </c>
    </row>
    <row r="188" spans="1:10" x14ac:dyDescent="0.3">
      <c r="A188" s="15" t="s">
        <v>401</v>
      </c>
      <c r="B188" s="15" t="s">
        <v>11</v>
      </c>
      <c r="C188" s="15" t="s">
        <v>79</v>
      </c>
      <c r="D188" s="15" t="s">
        <v>31</v>
      </c>
      <c r="E188" s="15">
        <v>15</v>
      </c>
      <c r="F188" s="15">
        <v>11</v>
      </c>
      <c r="G188" s="15" t="s">
        <v>43</v>
      </c>
      <c r="H188" s="15" t="s">
        <v>40</v>
      </c>
      <c r="I188" s="15" t="s">
        <v>402</v>
      </c>
      <c r="J188" s="15">
        <v>84</v>
      </c>
    </row>
    <row r="189" spans="1:10" x14ac:dyDescent="0.3">
      <c r="A189" s="15" t="s">
        <v>403</v>
      </c>
      <c r="B189" s="15" t="s">
        <v>11</v>
      </c>
      <c r="C189" s="15" t="s">
        <v>12</v>
      </c>
      <c r="D189" s="15" t="s">
        <v>31</v>
      </c>
      <c r="E189" s="15">
        <v>19</v>
      </c>
      <c r="F189" s="15">
        <v>9</v>
      </c>
      <c r="G189" s="15" t="s">
        <v>43</v>
      </c>
      <c r="H189" s="15" t="s">
        <v>46</v>
      </c>
      <c r="I189" s="15" t="s">
        <v>404</v>
      </c>
      <c r="J189" s="15">
        <v>37</v>
      </c>
    </row>
    <row r="190" spans="1:10" x14ac:dyDescent="0.3">
      <c r="A190" s="15" t="s">
        <v>405</v>
      </c>
      <c r="B190" s="15" t="s">
        <v>18</v>
      </c>
      <c r="C190" s="15" t="s">
        <v>19</v>
      </c>
      <c r="D190" s="15" t="s">
        <v>31</v>
      </c>
      <c r="E190" s="15">
        <v>18</v>
      </c>
      <c r="F190" s="15">
        <v>12</v>
      </c>
      <c r="G190" s="15" t="s">
        <v>25</v>
      </c>
      <c r="H190" s="15" t="s">
        <v>37</v>
      </c>
      <c r="I190" s="15" t="s">
        <v>406</v>
      </c>
      <c r="J190" s="15">
        <v>70</v>
      </c>
    </row>
    <row r="191" spans="1:10" x14ac:dyDescent="0.3">
      <c r="A191" s="15" t="s">
        <v>407</v>
      </c>
      <c r="B191" s="15" t="s">
        <v>29</v>
      </c>
      <c r="C191" s="15" t="s">
        <v>12</v>
      </c>
      <c r="D191" s="15" t="s">
        <v>31</v>
      </c>
      <c r="E191" s="15">
        <v>16</v>
      </c>
      <c r="F191" s="15">
        <v>10</v>
      </c>
      <c r="G191" s="15" t="s">
        <v>14</v>
      </c>
      <c r="H191" s="15" t="s">
        <v>40</v>
      </c>
      <c r="I191" s="15" t="s">
        <v>71</v>
      </c>
      <c r="J191" s="15">
        <v>100</v>
      </c>
    </row>
    <row r="192" spans="1:10" x14ac:dyDescent="0.3">
      <c r="A192" s="15" t="s">
        <v>408</v>
      </c>
      <c r="B192" s="15" t="s">
        <v>51</v>
      </c>
      <c r="C192" s="15" t="s">
        <v>85</v>
      </c>
      <c r="D192" s="15" t="s">
        <v>13</v>
      </c>
      <c r="E192" s="15">
        <v>17</v>
      </c>
      <c r="F192" s="15">
        <v>11</v>
      </c>
      <c r="G192" s="15" t="s">
        <v>25</v>
      </c>
      <c r="H192" s="15" t="s">
        <v>46</v>
      </c>
      <c r="I192" s="15" t="s">
        <v>52</v>
      </c>
      <c r="J192" s="15">
        <v>42</v>
      </c>
    </row>
    <row r="193" spans="1:10" x14ac:dyDescent="0.3">
      <c r="A193" s="15" t="s">
        <v>409</v>
      </c>
      <c r="B193" s="15" t="s">
        <v>84</v>
      </c>
      <c r="C193" s="15" t="s">
        <v>24</v>
      </c>
      <c r="D193" s="15" t="s">
        <v>13</v>
      </c>
      <c r="E193" s="15">
        <v>20</v>
      </c>
      <c r="F193" s="15">
        <v>9</v>
      </c>
      <c r="G193" s="15" t="s">
        <v>25</v>
      </c>
      <c r="H193" s="15" t="s">
        <v>46</v>
      </c>
      <c r="I193" s="15" t="s">
        <v>290</v>
      </c>
      <c r="J193" s="15">
        <v>68</v>
      </c>
    </row>
    <row r="194" spans="1:10" x14ac:dyDescent="0.3">
      <c r="A194" s="15" t="s">
        <v>410</v>
      </c>
      <c r="B194" s="15" t="s">
        <v>18</v>
      </c>
      <c r="C194" s="15" t="s">
        <v>55</v>
      </c>
      <c r="D194" s="15" t="s">
        <v>31</v>
      </c>
      <c r="E194" s="15">
        <v>20</v>
      </c>
      <c r="F194" s="15">
        <v>10</v>
      </c>
      <c r="G194" s="15" t="s">
        <v>43</v>
      </c>
      <c r="H194" s="15" t="s">
        <v>40</v>
      </c>
      <c r="I194" s="15" t="s">
        <v>411</v>
      </c>
      <c r="J194" s="15">
        <v>59</v>
      </c>
    </row>
    <row r="195" spans="1:10" x14ac:dyDescent="0.3">
      <c r="A195" s="15" t="s">
        <v>412</v>
      </c>
      <c r="B195" s="15" t="s">
        <v>73</v>
      </c>
      <c r="C195" s="15" t="s">
        <v>55</v>
      </c>
      <c r="D195" s="15" t="s">
        <v>13</v>
      </c>
      <c r="E195" s="15">
        <v>16</v>
      </c>
      <c r="F195" s="15">
        <v>12</v>
      </c>
      <c r="G195" s="15" t="s">
        <v>32</v>
      </c>
      <c r="H195" s="15" t="s">
        <v>46</v>
      </c>
      <c r="I195" s="15" t="s">
        <v>413</v>
      </c>
      <c r="J195" s="15">
        <v>85</v>
      </c>
    </row>
    <row r="196" spans="1:10" x14ac:dyDescent="0.3">
      <c r="A196" s="15" t="s">
        <v>414</v>
      </c>
      <c r="B196" s="15" t="s">
        <v>11</v>
      </c>
      <c r="C196" s="15" t="s">
        <v>55</v>
      </c>
      <c r="D196" s="15" t="s">
        <v>13</v>
      </c>
      <c r="E196" s="15">
        <v>16</v>
      </c>
      <c r="F196" s="15">
        <v>12</v>
      </c>
      <c r="G196" s="15" t="s">
        <v>32</v>
      </c>
      <c r="H196" s="15" t="s">
        <v>37</v>
      </c>
      <c r="I196" s="15" t="s">
        <v>415</v>
      </c>
      <c r="J196" s="15">
        <v>47</v>
      </c>
    </row>
    <row r="197" spans="1:10" x14ac:dyDescent="0.3">
      <c r="A197" s="15" t="s">
        <v>416</v>
      </c>
      <c r="B197" s="15" t="s">
        <v>18</v>
      </c>
      <c r="C197" s="15" t="s">
        <v>79</v>
      </c>
      <c r="D197" s="15" t="s">
        <v>31</v>
      </c>
      <c r="E197" s="15">
        <v>20</v>
      </c>
      <c r="F197" s="15">
        <v>9</v>
      </c>
      <c r="G197" s="15" t="s">
        <v>25</v>
      </c>
      <c r="H197" s="15" t="s">
        <v>37</v>
      </c>
      <c r="I197" s="15" t="s">
        <v>417</v>
      </c>
      <c r="J197" s="15">
        <v>53</v>
      </c>
    </row>
    <row r="198" spans="1:10" x14ac:dyDescent="0.3">
      <c r="A198" s="15" t="s">
        <v>418</v>
      </c>
      <c r="B198" s="15" t="s">
        <v>84</v>
      </c>
      <c r="C198" s="15" t="s">
        <v>24</v>
      </c>
      <c r="D198" s="15" t="s">
        <v>13</v>
      </c>
      <c r="E198" s="15">
        <v>15</v>
      </c>
      <c r="F198" s="15">
        <v>9</v>
      </c>
      <c r="G198" s="15" t="s">
        <v>25</v>
      </c>
      <c r="H198" s="15" t="s">
        <v>20</v>
      </c>
      <c r="I198" s="15" t="s">
        <v>419</v>
      </c>
      <c r="J198" s="15">
        <v>63</v>
      </c>
    </row>
    <row r="199" spans="1:10" x14ac:dyDescent="0.3">
      <c r="A199" s="15" t="s">
        <v>420</v>
      </c>
      <c r="B199" s="15" t="s">
        <v>73</v>
      </c>
      <c r="C199" s="15" t="s">
        <v>85</v>
      </c>
      <c r="D199" s="15" t="s">
        <v>13</v>
      </c>
      <c r="E199" s="15">
        <v>16</v>
      </c>
      <c r="F199" s="15">
        <v>11</v>
      </c>
      <c r="G199" s="15" t="s">
        <v>43</v>
      </c>
      <c r="H199" s="15" t="s">
        <v>46</v>
      </c>
      <c r="I199" s="15" t="s">
        <v>421</v>
      </c>
      <c r="J199" s="15">
        <v>55</v>
      </c>
    </row>
    <row r="200" spans="1:10" x14ac:dyDescent="0.3">
      <c r="A200" s="15" t="s">
        <v>422</v>
      </c>
      <c r="B200" s="15" t="s">
        <v>73</v>
      </c>
      <c r="C200" s="15" t="s">
        <v>96</v>
      </c>
      <c r="D200" s="15" t="s">
        <v>13</v>
      </c>
      <c r="E200" s="15">
        <v>14</v>
      </c>
      <c r="F200" s="15">
        <v>10</v>
      </c>
      <c r="G200" s="15" t="s">
        <v>25</v>
      </c>
      <c r="H200" s="15" t="s">
        <v>15</v>
      </c>
      <c r="I200" s="15" t="s">
        <v>423</v>
      </c>
      <c r="J200" s="15">
        <v>99</v>
      </c>
    </row>
    <row r="201" spans="1:10" x14ac:dyDescent="0.3">
      <c r="A201" s="15" t="s">
        <v>424</v>
      </c>
      <c r="B201" s="15" t="s">
        <v>29</v>
      </c>
      <c r="C201" s="15" t="s">
        <v>36</v>
      </c>
      <c r="D201" s="15" t="s">
        <v>31</v>
      </c>
      <c r="E201" s="15">
        <v>16</v>
      </c>
      <c r="F201" s="15">
        <v>12</v>
      </c>
      <c r="G201" s="15" t="s">
        <v>32</v>
      </c>
      <c r="H201" s="15" t="s">
        <v>37</v>
      </c>
      <c r="I201" s="15" t="s">
        <v>180</v>
      </c>
      <c r="J201" s="15">
        <v>89</v>
      </c>
    </row>
    <row r="202" spans="1:10" x14ac:dyDescent="0.3">
      <c r="A202" s="15" t="s">
        <v>425</v>
      </c>
      <c r="B202" s="15" t="s">
        <v>73</v>
      </c>
      <c r="C202" s="15" t="s">
        <v>30</v>
      </c>
      <c r="D202" s="15" t="s">
        <v>31</v>
      </c>
      <c r="E202" s="15">
        <v>15</v>
      </c>
      <c r="F202" s="15">
        <v>9</v>
      </c>
      <c r="G202" s="15" t="s">
        <v>14</v>
      </c>
      <c r="H202" s="15" t="s">
        <v>76</v>
      </c>
      <c r="I202" s="15" t="s">
        <v>149</v>
      </c>
      <c r="J202" s="15">
        <v>54</v>
      </c>
    </row>
    <row r="203" spans="1:10" x14ac:dyDescent="0.3">
      <c r="A203" s="15" t="s">
        <v>426</v>
      </c>
      <c r="B203" s="15" t="s">
        <v>54</v>
      </c>
      <c r="C203" s="15" t="s">
        <v>96</v>
      </c>
      <c r="D203" s="15" t="s">
        <v>31</v>
      </c>
      <c r="E203" s="15">
        <v>16</v>
      </c>
      <c r="F203" s="15">
        <v>12</v>
      </c>
      <c r="G203" s="15" t="s">
        <v>25</v>
      </c>
      <c r="H203" s="15" t="s">
        <v>20</v>
      </c>
      <c r="I203" s="15" t="s">
        <v>427</v>
      </c>
      <c r="J203" s="15">
        <v>82</v>
      </c>
    </row>
    <row r="204" spans="1:10" x14ac:dyDescent="0.3">
      <c r="A204" s="15" t="s">
        <v>428</v>
      </c>
      <c r="B204" s="15" t="s">
        <v>54</v>
      </c>
      <c r="C204" s="15" t="s">
        <v>55</v>
      </c>
      <c r="D204" s="15" t="s">
        <v>13</v>
      </c>
      <c r="E204" s="15">
        <v>16</v>
      </c>
      <c r="F204" s="15">
        <v>11</v>
      </c>
      <c r="G204" s="15" t="s">
        <v>25</v>
      </c>
      <c r="H204" s="15" t="s">
        <v>15</v>
      </c>
      <c r="I204" s="15" t="s">
        <v>429</v>
      </c>
      <c r="J204" s="15">
        <v>86</v>
      </c>
    </row>
    <row r="205" spans="1:10" x14ac:dyDescent="0.3">
      <c r="A205" s="15" t="s">
        <v>430</v>
      </c>
      <c r="B205" s="15" t="s">
        <v>54</v>
      </c>
      <c r="C205" s="15" t="s">
        <v>30</v>
      </c>
      <c r="D205" s="15" t="s">
        <v>13</v>
      </c>
      <c r="E205" s="15">
        <v>18</v>
      </c>
      <c r="F205" s="15">
        <v>11</v>
      </c>
      <c r="G205" s="15" t="s">
        <v>25</v>
      </c>
      <c r="H205" s="15" t="s">
        <v>26</v>
      </c>
      <c r="I205" s="15" t="s">
        <v>431</v>
      </c>
      <c r="J205" s="15">
        <v>91</v>
      </c>
    </row>
    <row r="206" spans="1:10" x14ac:dyDescent="0.3">
      <c r="A206" s="15" t="s">
        <v>432</v>
      </c>
      <c r="B206" s="15" t="s">
        <v>51</v>
      </c>
      <c r="C206" s="15" t="s">
        <v>24</v>
      </c>
      <c r="D206" s="15" t="s">
        <v>31</v>
      </c>
      <c r="E206" s="15">
        <v>17</v>
      </c>
      <c r="F206" s="15">
        <v>11</v>
      </c>
      <c r="G206" s="15" t="s">
        <v>43</v>
      </c>
      <c r="H206" s="15" t="s">
        <v>15</v>
      </c>
      <c r="I206" s="15" t="s">
        <v>400</v>
      </c>
      <c r="J206" s="15">
        <v>53</v>
      </c>
    </row>
    <row r="207" spans="1:10" x14ac:dyDescent="0.3">
      <c r="A207" s="15" t="s">
        <v>433</v>
      </c>
      <c r="B207" s="15" t="s">
        <v>84</v>
      </c>
      <c r="C207" s="15" t="s">
        <v>36</v>
      </c>
      <c r="D207" s="15" t="s">
        <v>13</v>
      </c>
      <c r="E207" s="15">
        <v>14</v>
      </c>
      <c r="F207" s="15">
        <v>9</v>
      </c>
      <c r="G207" s="15" t="s">
        <v>32</v>
      </c>
      <c r="H207" s="15" t="s">
        <v>15</v>
      </c>
      <c r="I207" s="15" t="s">
        <v>434</v>
      </c>
      <c r="J207" s="15">
        <v>47</v>
      </c>
    </row>
    <row r="208" spans="1:10" x14ac:dyDescent="0.3">
      <c r="A208" s="15" t="s">
        <v>435</v>
      </c>
      <c r="B208" s="15" t="s">
        <v>29</v>
      </c>
      <c r="C208" s="15" t="s">
        <v>30</v>
      </c>
      <c r="D208" s="15" t="s">
        <v>31</v>
      </c>
      <c r="E208" s="15">
        <v>20</v>
      </c>
      <c r="F208" s="15">
        <v>12</v>
      </c>
      <c r="G208" s="15" t="s">
        <v>43</v>
      </c>
      <c r="H208" s="15" t="s">
        <v>26</v>
      </c>
      <c r="I208" s="15" t="s">
        <v>436</v>
      </c>
      <c r="J208" s="15">
        <v>36</v>
      </c>
    </row>
    <row r="209" spans="1:10" x14ac:dyDescent="0.3">
      <c r="A209" s="15" t="s">
        <v>437</v>
      </c>
      <c r="B209" s="15" t="s">
        <v>73</v>
      </c>
      <c r="C209" s="15" t="s">
        <v>30</v>
      </c>
      <c r="D209" s="15" t="s">
        <v>13</v>
      </c>
      <c r="E209" s="15">
        <v>14</v>
      </c>
      <c r="F209" s="15">
        <v>11</v>
      </c>
      <c r="G209" s="15" t="s">
        <v>32</v>
      </c>
      <c r="H209" s="15" t="s">
        <v>76</v>
      </c>
      <c r="I209" s="15" t="s">
        <v>438</v>
      </c>
      <c r="J209" s="15">
        <v>62</v>
      </c>
    </row>
    <row r="210" spans="1:10" x14ac:dyDescent="0.3">
      <c r="A210" s="15" t="s">
        <v>439</v>
      </c>
      <c r="B210" s="15" t="s">
        <v>11</v>
      </c>
      <c r="C210" s="15" t="s">
        <v>12</v>
      </c>
      <c r="D210" s="15" t="s">
        <v>13</v>
      </c>
      <c r="E210" s="15">
        <v>15</v>
      </c>
      <c r="F210" s="15">
        <v>9</v>
      </c>
      <c r="G210" s="15" t="s">
        <v>25</v>
      </c>
      <c r="H210" s="15" t="s">
        <v>15</v>
      </c>
      <c r="I210" s="15" t="s">
        <v>440</v>
      </c>
      <c r="J210" s="15">
        <v>90</v>
      </c>
    </row>
    <row r="211" spans="1:10" x14ac:dyDescent="0.3">
      <c r="A211" s="15" t="s">
        <v>441</v>
      </c>
      <c r="B211" s="15" t="s">
        <v>35</v>
      </c>
      <c r="C211" s="15" t="s">
        <v>12</v>
      </c>
      <c r="D211" s="15" t="s">
        <v>13</v>
      </c>
      <c r="E211" s="15">
        <v>17</v>
      </c>
      <c r="F211" s="15">
        <v>10</v>
      </c>
      <c r="G211" s="15" t="s">
        <v>32</v>
      </c>
      <c r="H211" s="15" t="s">
        <v>15</v>
      </c>
      <c r="I211" s="15" t="s">
        <v>442</v>
      </c>
      <c r="J211" s="15">
        <v>91</v>
      </c>
    </row>
    <row r="212" spans="1:10" x14ac:dyDescent="0.3">
      <c r="A212" s="15" t="s">
        <v>443</v>
      </c>
      <c r="B212" s="15" t="s">
        <v>18</v>
      </c>
      <c r="C212" s="15" t="s">
        <v>96</v>
      </c>
      <c r="D212" s="15" t="s">
        <v>13</v>
      </c>
      <c r="E212" s="15">
        <v>17</v>
      </c>
      <c r="F212" s="15">
        <v>9</v>
      </c>
      <c r="G212" s="15" t="s">
        <v>43</v>
      </c>
      <c r="H212" s="15" t="s">
        <v>37</v>
      </c>
      <c r="I212" s="15" t="s">
        <v>444</v>
      </c>
      <c r="J212" s="15">
        <v>60</v>
      </c>
    </row>
    <row r="213" spans="1:10" x14ac:dyDescent="0.3">
      <c r="A213" s="15" t="s">
        <v>445</v>
      </c>
      <c r="B213" s="15" t="s">
        <v>54</v>
      </c>
      <c r="C213" s="15" t="s">
        <v>96</v>
      </c>
      <c r="D213" s="15" t="s">
        <v>13</v>
      </c>
      <c r="E213" s="15">
        <v>20</v>
      </c>
      <c r="F213" s="15">
        <v>10</v>
      </c>
      <c r="G213" s="15" t="s">
        <v>32</v>
      </c>
      <c r="H213" s="15" t="s">
        <v>46</v>
      </c>
      <c r="I213" s="15" t="s">
        <v>182</v>
      </c>
      <c r="J213" s="15">
        <v>85</v>
      </c>
    </row>
    <row r="214" spans="1:10" x14ac:dyDescent="0.3">
      <c r="A214" s="15" t="s">
        <v>446</v>
      </c>
      <c r="B214" s="15" t="s">
        <v>73</v>
      </c>
      <c r="C214" s="15" t="s">
        <v>24</v>
      </c>
      <c r="D214" s="15" t="s">
        <v>13</v>
      </c>
      <c r="E214" s="15">
        <v>17</v>
      </c>
      <c r="F214" s="15">
        <v>10</v>
      </c>
      <c r="G214" s="15" t="s">
        <v>14</v>
      </c>
      <c r="H214" s="15" t="s">
        <v>20</v>
      </c>
      <c r="I214" s="15" t="s">
        <v>447</v>
      </c>
      <c r="J214" s="15">
        <v>58</v>
      </c>
    </row>
    <row r="215" spans="1:10" x14ac:dyDescent="0.3">
      <c r="A215" s="15" t="s">
        <v>448</v>
      </c>
      <c r="B215" s="15" t="s">
        <v>73</v>
      </c>
      <c r="C215" s="15" t="s">
        <v>36</v>
      </c>
      <c r="D215" s="15" t="s">
        <v>31</v>
      </c>
      <c r="E215" s="15">
        <v>19</v>
      </c>
      <c r="F215" s="15">
        <v>12</v>
      </c>
      <c r="G215" s="15" t="s">
        <v>14</v>
      </c>
      <c r="H215" s="15" t="s">
        <v>37</v>
      </c>
      <c r="I215" s="15" t="s">
        <v>449</v>
      </c>
      <c r="J215" s="15">
        <v>65</v>
      </c>
    </row>
    <row r="216" spans="1:10" x14ac:dyDescent="0.3">
      <c r="A216" s="15" t="s">
        <v>450</v>
      </c>
      <c r="B216" s="15" t="s">
        <v>54</v>
      </c>
      <c r="C216" s="15" t="s">
        <v>55</v>
      </c>
      <c r="D216" s="15" t="s">
        <v>31</v>
      </c>
      <c r="E216" s="15">
        <v>19</v>
      </c>
      <c r="F216" s="15">
        <v>12</v>
      </c>
      <c r="G216" s="15" t="s">
        <v>43</v>
      </c>
      <c r="H216" s="15" t="s">
        <v>20</v>
      </c>
      <c r="I216" s="15" t="s">
        <v>451</v>
      </c>
      <c r="J216" s="15">
        <v>58</v>
      </c>
    </row>
    <row r="217" spans="1:10" x14ac:dyDescent="0.3">
      <c r="A217" s="15" t="s">
        <v>452</v>
      </c>
      <c r="B217" s="15" t="s">
        <v>51</v>
      </c>
      <c r="C217" s="15" t="s">
        <v>12</v>
      </c>
      <c r="D217" s="15" t="s">
        <v>13</v>
      </c>
      <c r="E217" s="15">
        <v>18</v>
      </c>
      <c r="F217" s="15">
        <v>9</v>
      </c>
      <c r="G217" s="15" t="s">
        <v>32</v>
      </c>
      <c r="H217" s="15" t="s">
        <v>76</v>
      </c>
      <c r="I217" s="15" t="s">
        <v>453</v>
      </c>
      <c r="J217" s="15">
        <v>35</v>
      </c>
    </row>
    <row r="218" spans="1:10" x14ac:dyDescent="0.3">
      <c r="A218" s="15" t="s">
        <v>454</v>
      </c>
      <c r="B218" s="15" t="s">
        <v>29</v>
      </c>
      <c r="C218" s="15" t="s">
        <v>12</v>
      </c>
      <c r="D218" s="15" t="s">
        <v>31</v>
      </c>
      <c r="E218" s="15">
        <v>16</v>
      </c>
      <c r="F218" s="15">
        <v>11</v>
      </c>
      <c r="G218" s="15" t="s">
        <v>43</v>
      </c>
      <c r="H218" s="15" t="s">
        <v>61</v>
      </c>
      <c r="I218" s="15" t="s">
        <v>385</v>
      </c>
      <c r="J218" s="15">
        <v>40</v>
      </c>
    </row>
    <row r="219" spans="1:10" x14ac:dyDescent="0.3">
      <c r="A219" s="15" t="s">
        <v>455</v>
      </c>
      <c r="B219" s="15" t="s">
        <v>29</v>
      </c>
      <c r="C219" s="15" t="s">
        <v>30</v>
      </c>
      <c r="D219" s="15" t="s">
        <v>13</v>
      </c>
      <c r="E219" s="15">
        <v>16</v>
      </c>
      <c r="F219" s="15">
        <v>9</v>
      </c>
      <c r="G219" s="15" t="s">
        <v>14</v>
      </c>
      <c r="H219" s="15" t="s">
        <v>61</v>
      </c>
      <c r="I219" s="15" t="s">
        <v>447</v>
      </c>
      <c r="J219" s="15">
        <v>60</v>
      </c>
    </row>
    <row r="220" spans="1:10" x14ac:dyDescent="0.3">
      <c r="A220" s="15" t="s">
        <v>456</v>
      </c>
      <c r="B220" s="15" t="s">
        <v>11</v>
      </c>
      <c r="C220" s="15" t="s">
        <v>55</v>
      </c>
      <c r="D220" s="15" t="s">
        <v>13</v>
      </c>
      <c r="E220" s="15">
        <v>15</v>
      </c>
      <c r="F220" s="15">
        <v>9</v>
      </c>
      <c r="G220" s="15" t="s">
        <v>32</v>
      </c>
      <c r="H220" s="15" t="s">
        <v>61</v>
      </c>
      <c r="I220" s="15" t="s">
        <v>457</v>
      </c>
      <c r="J220" s="15">
        <v>97</v>
      </c>
    </row>
    <row r="221" spans="1:10" x14ac:dyDescent="0.3">
      <c r="A221" s="15" t="s">
        <v>458</v>
      </c>
      <c r="B221" s="15" t="s">
        <v>11</v>
      </c>
      <c r="C221" s="15" t="s">
        <v>55</v>
      </c>
      <c r="D221" s="15" t="s">
        <v>13</v>
      </c>
      <c r="E221" s="15">
        <v>19</v>
      </c>
      <c r="F221" s="15">
        <v>11</v>
      </c>
      <c r="G221" s="15" t="s">
        <v>14</v>
      </c>
      <c r="H221" s="15" t="s">
        <v>46</v>
      </c>
      <c r="I221" s="15" t="s">
        <v>459</v>
      </c>
      <c r="J221" s="15">
        <v>81</v>
      </c>
    </row>
    <row r="222" spans="1:10" x14ac:dyDescent="0.3">
      <c r="A222" s="15" t="s">
        <v>460</v>
      </c>
      <c r="B222" s="15" t="s">
        <v>51</v>
      </c>
      <c r="C222" s="15" t="s">
        <v>96</v>
      </c>
      <c r="D222" s="15" t="s">
        <v>31</v>
      </c>
      <c r="E222" s="15">
        <v>16</v>
      </c>
      <c r="F222" s="15">
        <v>12</v>
      </c>
      <c r="G222" s="15" t="s">
        <v>43</v>
      </c>
      <c r="H222" s="15" t="s">
        <v>15</v>
      </c>
      <c r="I222" s="15" t="s">
        <v>461</v>
      </c>
      <c r="J222" s="15">
        <v>65</v>
      </c>
    </row>
    <row r="223" spans="1:10" x14ac:dyDescent="0.3">
      <c r="A223" s="15" t="s">
        <v>462</v>
      </c>
      <c r="B223" s="15" t="s">
        <v>11</v>
      </c>
      <c r="C223" s="15" t="s">
        <v>24</v>
      </c>
      <c r="D223" s="15" t="s">
        <v>31</v>
      </c>
      <c r="E223" s="15">
        <v>19</v>
      </c>
      <c r="F223" s="15">
        <v>12</v>
      </c>
      <c r="G223" s="15" t="s">
        <v>43</v>
      </c>
      <c r="H223" s="15" t="s">
        <v>37</v>
      </c>
      <c r="I223" s="15" t="s">
        <v>463</v>
      </c>
      <c r="J223" s="15">
        <v>45</v>
      </c>
    </row>
    <row r="224" spans="1:10" x14ac:dyDescent="0.3">
      <c r="A224" s="15" t="s">
        <v>464</v>
      </c>
      <c r="B224" s="15" t="s">
        <v>11</v>
      </c>
      <c r="C224" s="15" t="s">
        <v>36</v>
      </c>
      <c r="D224" s="15" t="s">
        <v>13</v>
      </c>
      <c r="E224" s="15">
        <v>16</v>
      </c>
      <c r="F224" s="15">
        <v>11</v>
      </c>
      <c r="G224" s="15" t="s">
        <v>25</v>
      </c>
      <c r="H224" s="15" t="s">
        <v>40</v>
      </c>
      <c r="I224" s="15" t="s">
        <v>465</v>
      </c>
      <c r="J224" s="15">
        <v>79</v>
      </c>
    </row>
    <row r="225" spans="1:10" x14ac:dyDescent="0.3">
      <c r="A225" s="15" t="s">
        <v>466</v>
      </c>
      <c r="B225" s="15" t="s">
        <v>11</v>
      </c>
      <c r="C225" s="15" t="s">
        <v>55</v>
      </c>
      <c r="D225" s="15" t="s">
        <v>31</v>
      </c>
      <c r="E225" s="15">
        <v>20</v>
      </c>
      <c r="F225" s="15">
        <v>11</v>
      </c>
      <c r="G225" s="15" t="s">
        <v>32</v>
      </c>
      <c r="H225" s="15" t="s">
        <v>40</v>
      </c>
      <c r="I225" s="15" t="s">
        <v>467</v>
      </c>
      <c r="J225" s="15">
        <v>46</v>
      </c>
    </row>
    <row r="226" spans="1:10" x14ac:dyDescent="0.3">
      <c r="A226" s="15" t="s">
        <v>468</v>
      </c>
      <c r="B226" s="15" t="s">
        <v>73</v>
      </c>
      <c r="C226" s="15" t="s">
        <v>12</v>
      </c>
      <c r="D226" s="15" t="s">
        <v>13</v>
      </c>
      <c r="E226" s="15">
        <v>17</v>
      </c>
      <c r="F226" s="15">
        <v>10</v>
      </c>
      <c r="G226" s="15" t="s">
        <v>43</v>
      </c>
      <c r="H226" s="15" t="s">
        <v>15</v>
      </c>
      <c r="I226" s="15" t="s">
        <v>469</v>
      </c>
      <c r="J226" s="15">
        <v>75</v>
      </c>
    </row>
    <row r="227" spans="1:10" x14ac:dyDescent="0.3">
      <c r="A227" s="15" t="s">
        <v>470</v>
      </c>
      <c r="B227" s="15" t="s">
        <v>35</v>
      </c>
      <c r="C227" s="15" t="s">
        <v>96</v>
      </c>
      <c r="D227" s="15" t="s">
        <v>31</v>
      </c>
      <c r="E227" s="15">
        <v>16</v>
      </c>
      <c r="F227" s="15">
        <v>11</v>
      </c>
      <c r="G227" s="15" t="s">
        <v>32</v>
      </c>
      <c r="H227" s="15" t="s">
        <v>61</v>
      </c>
      <c r="I227" s="15" t="s">
        <v>471</v>
      </c>
      <c r="J227" s="15">
        <v>65</v>
      </c>
    </row>
    <row r="228" spans="1:10" x14ac:dyDescent="0.3">
      <c r="A228" s="15" t="s">
        <v>472</v>
      </c>
      <c r="B228" s="15" t="s">
        <v>84</v>
      </c>
      <c r="C228" s="15" t="s">
        <v>79</v>
      </c>
      <c r="D228" s="15" t="s">
        <v>31</v>
      </c>
      <c r="E228" s="15">
        <v>15</v>
      </c>
      <c r="F228" s="15">
        <v>11</v>
      </c>
      <c r="G228" s="15" t="s">
        <v>14</v>
      </c>
      <c r="H228" s="15" t="s">
        <v>40</v>
      </c>
      <c r="I228" s="15" t="s">
        <v>317</v>
      </c>
      <c r="J228" s="15">
        <v>72</v>
      </c>
    </row>
    <row r="229" spans="1:10" x14ac:dyDescent="0.3">
      <c r="A229" s="15" t="s">
        <v>473</v>
      </c>
      <c r="B229" s="15" t="s">
        <v>18</v>
      </c>
      <c r="C229" s="15" t="s">
        <v>19</v>
      </c>
      <c r="D229" s="15" t="s">
        <v>31</v>
      </c>
      <c r="E229" s="15">
        <v>16</v>
      </c>
      <c r="F229" s="15">
        <v>11</v>
      </c>
      <c r="G229" s="15" t="s">
        <v>14</v>
      </c>
      <c r="H229" s="15" t="s">
        <v>61</v>
      </c>
      <c r="I229" s="15" t="s">
        <v>474</v>
      </c>
      <c r="J229" s="15">
        <v>75</v>
      </c>
    </row>
    <row r="230" spans="1:10" x14ac:dyDescent="0.3">
      <c r="A230" s="15" t="s">
        <v>475</v>
      </c>
      <c r="B230" s="15" t="s">
        <v>35</v>
      </c>
      <c r="C230" s="15" t="s">
        <v>79</v>
      </c>
      <c r="D230" s="15" t="s">
        <v>13</v>
      </c>
      <c r="E230" s="15">
        <v>17</v>
      </c>
      <c r="F230" s="15">
        <v>9</v>
      </c>
      <c r="G230" s="15" t="s">
        <v>32</v>
      </c>
      <c r="H230" s="15" t="s">
        <v>15</v>
      </c>
      <c r="I230" s="15" t="s">
        <v>248</v>
      </c>
      <c r="J230" s="15">
        <v>50</v>
      </c>
    </row>
    <row r="231" spans="1:10" x14ac:dyDescent="0.3">
      <c r="A231" s="15" t="s">
        <v>476</v>
      </c>
      <c r="B231" s="15" t="s">
        <v>29</v>
      </c>
      <c r="C231" s="15" t="s">
        <v>55</v>
      </c>
      <c r="D231" s="15" t="s">
        <v>13</v>
      </c>
      <c r="E231" s="15">
        <v>19</v>
      </c>
      <c r="F231" s="15">
        <v>10</v>
      </c>
      <c r="G231" s="15" t="s">
        <v>43</v>
      </c>
      <c r="H231" s="15" t="s">
        <v>26</v>
      </c>
      <c r="I231" s="15" t="s">
        <v>477</v>
      </c>
      <c r="J231" s="15">
        <v>88</v>
      </c>
    </row>
    <row r="232" spans="1:10" x14ac:dyDescent="0.3">
      <c r="A232" s="15" t="s">
        <v>478</v>
      </c>
      <c r="B232" s="15" t="s">
        <v>11</v>
      </c>
      <c r="C232" s="15" t="s">
        <v>36</v>
      </c>
      <c r="D232" s="15" t="s">
        <v>13</v>
      </c>
      <c r="E232" s="15">
        <v>17</v>
      </c>
      <c r="F232" s="15">
        <v>12</v>
      </c>
      <c r="G232" s="15" t="s">
        <v>14</v>
      </c>
      <c r="H232" s="15" t="s">
        <v>37</v>
      </c>
      <c r="I232" s="15" t="s">
        <v>479</v>
      </c>
      <c r="J232" s="15">
        <v>63</v>
      </c>
    </row>
    <row r="233" spans="1:10" x14ac:dyDescent="0.3">
      <c r="A233" s="15" t="s">
        <v>480</v>
      </c>
      <c r="B233" s="15" t="s">
        <v>35</v>
      </c>
      <c r="C233" s="15" t="s">
        <v>12</v>
      </c>
      <c r="D233" s="15" t="s">
        <v>31</v>
      </c>
      <c r="E233" s="15">
        <v>18</v>
      </c>
      <c r="F233" s="15">
        <v>10</v>
      </c>
      <c r="G233" s="15" t="s">
        <v>14</v>
      </c>
      <c r="H233" s="15" t="s">
        <v>37</v>
      </c>
      <c r="I233" s="15" t="s">
        <v>481</v>
      </c>
      <c r="J233" s="15">
        <v>36</v>
      </c>
    </row>
    <row r="234" spans="1:10" x14ac:dyDescent="0.3">
      <c r="A234" s="15" t="s">
        <v>482</v>
      </c>
      <c r="B234" s="15" t="s">
        <v>35</v>
      </c>
      <c r="C234" s="15" t="s">
        <v>24</v>
      </c>
      <c r="D234" s="15" t="s">
        <v>13</v>
      </c>
      <c r="E234" s="15">
        <v>18</v>
      </c>
      <c r="F234" s="15">
        <v>11</v>
      </c>
      <c r="G234" s="15" t="s">
        <v>14</v>
      </c>
      <c r="H234" s="15" t="s">
        <v>61</v>
      </c>
      <c r="I234" s="15" t="s">
        <v>483</v>
      </c>
      <c r="J234" s="15">
        <v>86</v>
      </c>
    </row>
    <row r="235" spans="1:10" x14ac:dyDescent="0.3">
      <c r="A235" s="15" t="s">
        <v>484</v>
      </c>
      <c r="B235" s="15" t="s">
        <v>29</v>
      </c>
      <c r="C235" s="15" t="s">
        <v>79</v>
      </c>
      <c r="D235" s="15" t="s">
        <v>31</v>
      </c>
      <c r="E235" s="15">
        <v>14</v>
      </c>
      <c r="F235" s="15">
        <v>11</v>
      </c>
      <c r="G235" s="15" t="s">
        <v>32</v>
      </c>
      <c r="H235" s="15" t="s">
        <v>40</v>
      </c>
      <c r="I235" s="15" t="s">
        <v>184</v>
      </c>
      <c r="J235" s="15">
        <v>42</v>
      </c>
    </row>
    <row r="236" spans="1:10" x14ac:dyDescent="0.3">
      <c r="A236" s="15" t="s">
        <v>485</v>
      </c>
      <c r="B236" s="15" t="s">
        <v>18</v>
      </c>
      <c r="C236" s="15" t="s">
        <v>12</v>
      </c>
      <c r="D236" s="15" t="s">
        <v>31</v>
      </c>
      <c r="E236" s="15">
        <v>16</v>
      </c>
      <c r="F236" s="15">
        <v>12</v>
      </c>
      <c r="G236" s="15" t="s">
        <v>14</v>
      </c>
      <c r="H236" s="15" t="s">
        <v>76</v>
      </c>
      <c r="I236" s="15" t="s">
        <v>486</v>
      </c>
      <c r="J236" s="15">
        <v>70</v>
      </c>
    </row>
    <row r="237" spans="1:10" x14ac:dyDescent="0.3">
      <c r="A237" s="15" t="s">
        <v>487</v>
      </c>
      <c r="B237" s="15" t="s">
        <v>18</v>
      </c>
      <c r="C237" s="15" t="s">
        <v>79</v>
      </c>
      <c r="D237" s="15" t="s">
        <v>13</v>
      </c>
      <c r="E237" s="15">
        <v>16</v>
      </c>
      <c r="F237" s="15">
        <v>11</v>
      </c>
      <c r="G237" s="15" t="s">
        <v>43</v>
      </c>
      <c r="H237" s="15" t="s">
        <v>61</v>
      </c>
      <c r="I237" s="15" t="s">
        <v>488</v>
      </c>
      <c r="J237" s="15">
        <v>86</v>
      </c>
    </row>
    <row r="238" spans="1:10" x14ac:dyDescent="0.3">
      <c r="A238" s="15" t="s">
        <v>489</v>
      </c>
      <c r="B238" s="15" t="s">
        <v>68</v>
      </c>
      <c r="C238" s="15" t="s">
        <v>58</v>
      </c>
      <c r="D238" s="15" t="s">
        <v>31</v>
      </c>
      <c r="E238" s="15">
        <v>20</v>
      </c>
      <c r="F238" s="15">
        <v>10</v>
      </c>
      <c r="G238" s="15" t="s">
        <v>32</v>
      </c>
      <c r="H238" s="15" t="s">
        <v>20</v>
      </c>
      <c r="I238" s="15" t="s">
        <v>370</v>
      </c>
      <c r="J238" s="15">
        <v>93</v>
      </c>
    </row>
    <row r="239" spans="1:10" x14ac:dyDescent="0.3">
      <c r="A239" s="15" t="s">
        <v>490</v>
      </c>
      <c r="B239" s="15" t="s">
        <v>73</v>
      </c>
      <c r="C239" s="15" t="s">
        <v>96</v>
      </c>
      <c r="D239" s="15" t="s">
        <v>13</v>
      </c>
      <c r="E239" s="15">
        <v>17</v>
      </c>
      <c r="F239" s="15">
        <v>10</v>
      </c>
      <c r="G239" s="15" t="s">
        <v>32</v>
      </c>
      <c r="H239" s="15" t="s">
        <v>61</v>
      </c>
      <c r="I239" s="15" t="s">
        <v>491</v>
      </c>
      <c r="J239" s="15">
        <v>60</v>
      </c>
    </row>
    <row r="240" spans="1:10" x14ac:dyDescent="0.3">
      <c r="A240" s="15" t="s">
        <v>492</v>
      </c>
      <c r="B240" s="15" t="s">
        <v>18</v>
      </c>
      <c r="C240" s="15" t="s">
        <v>85</v>
      </c>
      <c r="D240" s="15" t="s">
        <v>31</v>
      </c>
      <c r="E240" s="15">
        <v>19</v>
      </c>
      <c r="F240" s="15">
        <v>11</v>
      </c>
      <c r="G240" s="15" t="s">
        <v>43</v>
      </c>
      <c r="H240" s="15" t="s">
        <v>15</v>
      </c>
      <c r="I240" s="15" t="s">
        <v>394</v>
      </c>
      <c r="J240" s="15">
        <v>50</v>
      </c>
    </row>
    <row r="241" spans="1:10" x14ac:dyDescent="0.3">
      <c r="A241" s="15" t="s">
        <v>493</v>
      </c>
      <c r="B241" s="15" t="s">
        <v>51</v>
      </c>
      <c r="C241" s="15" t="s">
        <v>96</v>
      </c>
      <c r="D241" s="15" t="s">
        <v>31</v>
      </c>
      <c r="E241" s="15">
        <v>14</v>
      </c>
      <c r="F241" s="15">
        <v>12</v>
      </c>
      <c r="G241" s="15" t="s">
        <v>14</v>
      </c>
      <c r="H241" s="15" t="s">
        <v>26</v>
      </c>
      <c r="I241" s="15" t="s">
        <v>494</v>
      </c>
      <c r="J241" s="15">
        <v>47</v>
      </c>
    </row>
    <row r="242" spans="1:10" x14ac:dyDescent="0.3">
      <c r="A242" s="15" t="s">
        <v>495</v>
      </c>
      <c r="B242" s="15" t="s">
        <v>35</v>
      </c>
      <c r="C242" s="15" t="s">
        <v>12</v>
      </c>
      <c r="D242" s="15" t="s">
        <v>13</v>
      </c>
      <c r="E242" s="15">
        <v>15</v>
      </c>
      <c r="F242" s="15">
        <v>12</v>
      </c>
      <c r="G242" s="15" t="s">
        <v>43</v>
      </c>
      <c r="H242" s="15" t="s">
        <v>20</v>
      </c>
      <c r="I242" s="15" t="s">
        <v>496</v>
      </c>
      <c r="J242" s="15">
        <v>49</v>
      </c>
    </row>
    <row r="243" spans="1:10" x14ac:dyDescent="0.3">
      <c r="A243" s="15" t="s">
        <v>497</v>
      </c>
      <c r="B243" s="15" t="s">
        <v>51</v>
      </c>
      <c r="C243" s="15" t="s">
        <v>96</v>
      </c>
      <c r="D243" s="15" t="s">
        <v>13</v>
      </c>
      <c r="E243" s="15">
        <v>16</v>
      </c>
      <c r="F243" s="15">
        <v>9</v>
      </c>
      <c r="G243" s="15" t="s">
        <v>25</v>
      </c>
      <c r="H243" s="15" t="s">
        <v>26</v>
      </c>
      <c r="I243" s="15" t="s">
        <v>498</v>
      </c>
      <c r="J243" s="15">
        <v>42</v>
      </c>
    </row>
    <row r="244" spans="1:10" x14ac:dyDescent="0.3">
      <c r="A244" s="15" t="s">
        <v>499</v>
      </c>
      <c r="B244" s="15" t="s">
        <v>54</v>
      </c>
      <c r="C244" s="15" t="s">
        <v>19</v>
      </c>
      <c r="D244" s="15" t="s">
        <v>31</v>
      </c>
      <c r="E244" s="15">
        <v>20</v>
      </c>
      <c r="F244" s="15">
        <v>9</v>
      </c>
      <c r="G244" s="15" t="s">
        <v>32</v>
      </c>
      <c r="H244" s="15" t="s">
        <v>46</v>
      </c>
      <c r="I244" s="15" t="s">
        <v>500</v>
      </c>
      <c r="J244" s="15">
        <v>42</v>
      </c>
    </row>
    <row r="245" spans="1:10" x14ac:dyDescent="0.3">
      <c r="A245" s="15" t="s">
        <v>501</v>
      </c>
      <c r="B245" s="15" t="s">
        <v>84</v>
      </c>
      <c r="C245" s="15" t="s">
        <v>19</v>
      </c>
      <c r="D245" s="15" t="s">
        <v>13</v>
      </c>
      <c r="E245" s="15">
        <v>18</v>
      </c>
      <c r="F245" s="15">
        <v>10</v>
      </c>
      <c r="G245" s="15" t="s">
        <v>14</v>
      </c>
      <c r="H245" s="15" t="s">
        <v>61</v>
      </c>
      <c r="I245" s="15" t="s">
        <v>502</v>
      </c>
      <c r="J245" s="15">
        <v>76</v>
      </c>
    </row>
    <row r="246" spans="1:10" x14ac:dyDescent="0.3">
      <c r="A246" s="15" t="s">
        <v>503</v>
      </c>
      <c r="B246" s="15" t="s">
        <v>84</v>
      </c>
      <c r="C246" s="15" t="s">
        <v>19</v>
      </c>
      <c r="D246" s="15" t="s">
        <v>31</v>
      </c>
      <c r="E246" s="15">
        <v>15</v>
      </c>
      <c r="F246" s="15">
        <v>10</v>
      </c>
      <c r="G246" s="15" t="s">
        <v>43</v>
      </c>
      <c r="H246" s="15" t="s">
        <v>61</v>
      </c>
      <c r="I246" s="15" t="s">
        <v>504</v>
      </c>
      <c r="J246" s="15">
        <v>44</v>
      </c>
    </row>
    <row r="247" spans="1:10" x14ac:dyDescent="0.3">
      <c r="A247" s="15" t="s">
        <v>505</v>
      </c>
      <c r="B247" s="15" t="s">
        <v>11</v>
      </c>
      <c r="C247" s="15" t="s">
        <v>12</v>
      </c>
      <c r="D247" s="15" t="s">
        <v>31</v>
      </c>
      <c r="E247" s="15">
        <v>19</v>
      </c>
      <c r="F247" s="15">
        <v>10</v>
      </c>
      <c r="G247" s="15" t="s">
        <v>14</v>
      </c>
      <c r="H247" s="15" t="s">
        <v>40</v>
      </c>
      <c r="I247" s="15" t="s">
        <v>506</v>
      </c>
      <c r="J247" s="15">
        <v>77</v>
      </c>
    </row>
    <row r="248" spans="1:10" x14ac:dyDescent="0.3">
      <c r="A248" s="15" t="s">
        <v>507</v>
      </c>
      <c r="B248" s="15" t="s">
        <v>54</v>
      </c>
      <c r="C248" s="15" t="s">
        <v>12</v>
      </c>
      <c r="D248" s="15" t="s">
        <v>31</v>
      </c>
      <c r="E248" s="15">
        <v>16</v>
      </c>
      <c r="F248" s="15">
        <v>12</v>
      </c>
      <c r="G248" s="15" t="s">
        <v>43</v>
      </c>
      <c r="H248" s="15" t="s">
        <v>61</v>
      </c>
      <c r="I248" s="15" t="s">
        <v>483</v>
      </c>
      <c r="J248" s="15">
        <v>45</v>
      </c>
    </row>
    <row r="249" spans="1:10" x14ac:dyDescent="0.3">
      <c r="A249" s="15" t="s">
        <v>508</v>
      </c>
      <c r="B249" s="15" t="s">
        <v>73</v>
      </c>
      <c r="C249" s="15" t="s">
        <v>55</v>
      </c>
      <c r="D249" s="15" t="s">
        <v>13</v>
      </c>
      <c r="E249" s="15">
        <v>15</v>
      </c>
      <c r="F249" s="15">
        <v>11</v>
      </c>
      <c r="G249" s="15" t="s">
        <v>43</v>
      </c>
      <c r="H249" s="15" t="s">
        <v>46</v>
      </c>
      <c r="I249" s="15" t="s">
        <v>509</v>
      </c>
      <c r="J249" s="15">
        <v>54</v>
      </c>
    </row>
    <row r="250" spans="1:10" x14ac:dyDescent="0.3">
      <c r="A250" s="15" t="s">
        <v>510</v>
      </c>
      <c r="B250" s="15" t="s">
        <v>54</v>
      </c>
      <c r="C250" s="15" t="s">
        <v>79</v>
      </c>
      <c r="D250" s="15" t="s">
        <v>31</v>
      </c>
      <c r="E250" s="15">
        <v>15</v>
      </c>
      <c r="F250" s="15">
        <v>9</v>
      </c>
      <c r="G250" s="15" t="s">
        <v>14</v>
      </c>
      <c r="H250" s="15" t="s">
        <v>40</v>
      </c>
      <c r="I250" s="15" t="s">
        <v>479</v>
      </c>
      <c r="J250" s="15">
        <v>66</v>
      </c>
    </row>
    <row r="251" spans="1:10" x14ac:dyDescent="0.3">
      <c r="A251" s="15" t="s">
        <v>511</v>
      </c>
      <c r="B251" s="15" t="s">
        <v>35</v>
      </c>
      <c r="C251" s="15" t="s">
        <v>19</v>
      </c>
      <c r="D251" s="15" t="s">
        <v>31</v>
      </c>
      <c r="E251" s="15">
        <v>15</v>
      </c>
      <c r="F251" s="15">
        <v>9</v>
      </c>
      <c r="G251" s="15" t="s">
        <v>25</v>
      </c>
      <c r="H251" s="15" t="s">
        <v>15</v>
      </c>
      <c r="I251" s="15" t="s">
        <v>512</v>
      </c>
      <c r="J251" s="15">
        <v>95</v>
      </c>
    </row>
    <row r="252" spans="1:10" x14ac:dyDescent="0.3">
      <c r="A252" s="15" t="s">
        <v>513</v>
      </c>
      <c r="B252" s="15" t="s">
        <v>11</v>
      </c>
      <c r="C252" s="15" t="s">
        <v>19</v>
      </c>
      <c r="D252" s="15" t="s">
        <v>31</v>
      </c>
      <c r="E252" s="15">
        <v>14</v>
      </c>
      <c r="F252" s="15">
        <v>12</v>
      </c>
      <c r="G252" s="15" t="s">
        <v>32</v>
      </c>
      <c r="H252" s="15" t="s">
        <v>15</v>
      </c>
      <c r="I252" s="15" t="s">
        <v>381</v>
      </c>
      <c r="J252" s="15">
        <v>65</v>
      </c>
    </row>
    <row r="253" spans="1:10" x14ac:dyDescent="0.3">
      <c r="A253" s="15" t="s">
        <v>514</v>
      </c>
      <c r="B253" s="15" t="s">
        <v>11</v>
      </c>
      <c r="C253" s="15" t="s">
        <v>12</v>
      </c>
      <c r="D253" s="15" t="s">
        <v>31</v>
      </c>
      <c r="E253" s="15">
        <v>15</v>
      </c>
      <c r="F253" s="15">
        <v>11</v>
      </c>
      <c r="G253" s="15" t="s">
        <v>25</v>
      </c>
      <c r="H253" s="15" t="s">
        <v>20</v>
      </c>
      <c r="I253" s="15" t="s">
        <v>515</v>
      </c>
      <c r="J253" s="15">
        <v>61</v>
      </c>
    </row>
    <row r="254" spans="1:10" x14ac:dyDescent="0.3">
      <c r="A254" s="15" t="s">
        <v>516</v>
      </c>
      <c r="B254" s="15" t="s">
        <v>18</v>
      </c>
      <c r="C254" s="15" t="s">
        <v>96</v>
      </c>
      <c r="D254" s="15" t="s">
        <v>31</v>
      </c>
      <c r="E254" s="15">
        <v>14</v>
      </c>
      <c r="F254" s="15">
        <v>11</v>
      </c>
      <c r="G254" s="15" t="s">
        <v>32</v>
      </c>
      <c r="H254" s="15" t="s">
        <v>46</v>
      </c>
      <c r="I254" s="15" t="s">
        <v>517</v>
      </c>
      <c r="J254" s="15">
        <v>86</v>
      </c>
    </row>
    <row r="255" spans="1:10" x14ac:dyDescent="0.3">
      <c r="A255" s="15" t="s">
        <v>518</v>
      </c>
      <c r="B255" s="15" t="s">
        <v>51</v>
      </c>
      <c r="C255" s="15" t="s">
        <v>96</v>
      </c>
      <c r="D255" s="15" t="s">
        <v>31</v>
      </c>
      <c r="E255" s="15">
        <v>17</v>
      </c>
      <c r="F255" s="15">
        <v>11</v>
      </c>
      <c r="G255" s="15" t="s">
        <v>25</v>
      </c>
      <c r="H255" s="15" t="s">
        <v>61</v>
      </c>
      <c r="I255" s="15" t="s">
        <v>519</v>
      </c>
      <c r="J255" s="15">
        <v>52</v>
      </c>
    </row>
    <row r="256" spans="1:10" x14ac:dyDescent="0.3">
      <c r="A256" s="15" t="s">
        <v>520</v>
      </c>
      <c r="B256" s="15" t="s">
        <v>68</v>
      </c>
      <c r="C256" s="15" t="s">
        <v>12</v>
      </c>
      <c r="D256" s="15" t="s">
        <v>31</v>
      </c>
      <c r="E256" s="15">
        <v>20</v>
      </c>
      <c r="F256" s="15">
        <v>10</v>
      </c>
      <c r="G256" s="15" t="s">
        <v>32</v>
      </c>
      <c r="H256" s="15" t="s">
        <v>26</v>
      </c>
      <c r="I256" s="15" t="s">
        <v>521</v>
      </c>
      <c r="J256" s="15">
        <v>42</v>
      </c>
    </row>
    <row r="257" spans="1:10" x14ac:dyDescent="0.3">
      <c r="A257" s="15" t="s">
        <v>522</v>
      </c>
      <c r="B257" s="15" t="s">
        <v>54</v>
      </c>
      <c r="C257" s="15" t="s">
        <v>79</v>
      </c>
      <c r="D257" s="15" t="s">
        <v>31</v>
      </c>
      <c r="E257" s="15">
        <v>18</v>
      </c>
      <c r="F257" s="15">
        <v>10</v>
      </c>
      <c r="G257" s="15" t="s">
        <v>14</v>
      </c>
      <c r="H257" s="15" t="s">
        <v>61</v>
      </c>
      <c r="I257" s="15" t="s">
        <v>523</v>
      </c>
      <c r="J257" s="15">
        <v>82</v>
      </c>
    </row>
    <row r="258" spans="1:10" x14ac:dyDescent="0.3">
      <c r="A258" s="15" t="s">
        <v>524</v>
      </c>
      <c r="B258" s="15" t="s">
        <v>35</v>
      </c>
      <c r="C258" s="15" t="s">
        <v>85</v>
      </c>
      <c r="D258" s="15" t="s">
        <v>13</v>
      </c>
      <c r="E258" s="15">
        <v>20</v>
      </c>
      <c r="F258" s="15">
        <v>10</v>
      </c>
      <c r="G258" s="15" t="s">
        <v>14</v>
      </c>
      <c r="H258" s="15" t="s">
        <v>40</v>
      </c>
      <c r="I258" s="15" t="s">
        <v>525</v>
      </c>
      <c r="J258" s="15">
        <v>92</v>
      </c>
    </row>
    <row r="259" spans="1:10" x14ac:dyDescent="0.3">
      <c r="A259" s="15" t="s">
        <v>526</v>
      </c>
      <c r="B259" s="15" t="s">
        <v>18</v>
      </c>
      <c r="C259" s="15" t="s">
        <v>12</v>
      </c>
      <c r="D259" s="15" t="s">
        <v>31</v>
      </c>
      <c r="E259" s="15">
        <v>18</v>
      </c>
      <c r="F259" s="15">
        <v>9</v>
      </c>
      <c r="G259" s="15" t="s">
        <v>14</v>
      </c>
      <c r="H259" s="15" t="s">
        <v>15</v>
      </c>
      <c r="I259" s="15" t="s">
        <v>346</v>
      </c>
      <c r="J259" s="15">
        <v>59</v>
      </c>
    </row>
    <row r="260" spans="1:10" x14ac:dyDescent="0.3">
      <c r="A260" s="15" t="s">
        <v>527</v>
      </c>
      <c r="B260" s="15" t="s">
        <v>11</v>
      </c>
      <c r="C260" s="15" t="s">
        <v>85</v>
      </c>
      <c r="D260" s="15" t="s">
        <v>13</v>
      </c>
      <c r="E260" s="15">
        <v>20</v>
      </c>
      <c r="F260" s="15">
        <v>12</v>
      </c>
      <c r="G260" s="15" t="s">
        <v>25</v>
      </c>
      <c r="H260" s="15" t="s">
        <v>46</v>
      </c>
      <c r="I260" s="15" t="s">
        <v>451</v>
      </c>
      <c r="J260" s="15">
        <v>86</v>
      </c>
    </row>
    <row r="261" spans="1:10" x14ac:dyDescent="0.3">
      <c r="A261" s="15" t="s">
        <v>528</v>
      </c>
      <c r="B261" s="15" t="s">
        <v>51</v>
      </c>
      <c r="C261" s="15" t="s">
        <v>19</v>
      </c>
      <c r="D261" s="15" t="s">
        <v>13</v>
      </c>
      <c r="E261" s="15">
        <v>19</v>
      </c>
      <c r="F261" s="15">
        <v>9</v>
      </c>
      <c r="G261" s="15" t="s">
        <v>43</v>
      </c>
      <c r="H261" s="15" t="s">
        <v>46</v>
      </c>
      <c r="I261" s="15" t="s">
        <v>222</v>
      </c>
      <c r="J261" s="15">
        <v>46</v>
      </c>
    </row>
    <row r="262" spans="1:10" x14ac:dyDescent="0.3">
      <c r="A262" s="15" t="s">
        <v>529</v>
      </c>
      <c r="B262" s="15" t="s">
        <v>84</v>
      </c>
      <c r="C262" s="15" t="s">
        <v>24</v>
      </c>
      <c r="D262" s="15" t="s">
        <v>31</v>
      </c>
      <c r="E262" s="15">
        <v>20</v>
      </c>
      <c r="F262" s="15">
        <v>12</v>
      </c>
      <c r="G262" s="15" t="s">
        <v>25</v>
      </c>
      <c r="H262" s="15" t="s">
        <v>76</v>
      </c>
      <c r="I262" s="15" t="s">
        <v>186</v>
      </c>
      <c r="J262" s="15">
        <v>51</v>
      </c>
    </row>
    <row r="263" spans="1:10" x14ac:dyDescent="0.3">
      <c r="A263" s="15" t="s">
        <v>530</v>
      </c>
      <c r="B263" s="15" t="s">
        <v>54</v>
      </c>
      <c r="C263" s="15" t="s">
        <v>58</v>
      </c>
      <c r="D263" s="15" t="s">
        <v>13</v>
      </c>
      <c r="E263" s="15">
        <v>17</v>
      </c>
      <c r="F263" s="15">
        <v>10</v>
      </c>
      <c r="G263" s="15" t="s">
        <v>32</v>
      </c>
      <c r="H263" s="15" t="s">
        <v>15</v>
      </c>
      <c r="I263" s="15" t="s">
        <v>64</v>
      </c>
      <c r="J263" s="15">
        <v>46</v>
      </c>
    </row>
    <row r="264" spans="1:10" x14ac:dyDescent="0.3">
      <c r="A264" s="15" t="s">
        <v>531</v>
      </c>
      <c r="B264" s="15" t="s">
        <v>23</v>
      </c>
      <c r="C264" s="15" t="s">
        <v>36</v>
      </c>
      <c r="D264" s="15" t="s">
        <v>13</v>
      </c>
      <c r="E264" s="15">
        <v>20</v>
      </c>
      <c r="F264" s="15">
        <v>11</v>
      </c>
      <c r="G264" s="15" t="s">
        <v>43</v>
      </c>
      <c r="H264" s="15" t="s">
        <v>20</v>
      </c>
      <c r="I264" s="15" t="s">
        <v>178</v>
      </c>
      <c r="J264" s="15">
        <v>44</v>
      </c>
    </row>
    <row r="265" spans="1:10" x14ac:dyDescent="0.3">
      <c r="A265" s="15" t="s">
        <v>532</v>
      </c>
      <c r="B265" s="15" t="s">
        <v>51</v>
      </c>
      <c r="C265" s="15" t="s">
        <v>19</v>
      </c>
      <c r="D265" s="15" t="s">
        <v>31</v>
      </c>
      <c r="E265" s="15">
        <v>14</v>
      </c>
      <c r="F265" s="15">
        <v>11</v>
      </c>
      <c r="G265" s="15" t="s">
        <v>43</v>
      </c>
      <c r="H265" s="15" t="s">
        <v>20</v>
      </c>
      <c r="I265" s="15" t="s">
        <v>533</v>
      </c>
      <c r="J265" s="15">
        <v>93</v>
      </c>
    </row>
    <row r="266" spans="1:10" x14ac:dyDescent="0.3">
      <c r="A266" s="15" t="s">
        <v>534</v>
      </c>
      <c r="B266" s="15" t="s">
        <v>23</v>
      </c>
      <c r="C266" s="15" t="s">
        <v>19</v>
      </c>
      <c r="D266" s="15" t="s">
        <v>13</v>
      </c>
      <c r="E266" s="15">
        <v>20</v>
      </c>
      <c r="F266" s="15">
        <v>11</v>
      </c>
      <c r="G266" s="15" t="s">
        <v>32</v>
      </c>
      <c r="H266" s="15" t="s">
        <v>76</v>
      </c>
      <c r="I266" s="15" t="s">
        <v>358</v>
      </c>
      <c r="J266" s="15">
        <v>41</v>
      </c>
    </row>
    <row r="267" spans="1:10" x14ac:dyDescent="0.3">
      <c r="A267" s="15" t="s">
        <v>535</v>
      </c>
      <c r="B267" s="15" t="s">
        <v>84</v>
      </c>
      <c r="C267" s="15" t="s">
        <v>58</v>
      </c>
      <c r="D267" s="15" t="s">
        <v>13</v>
      </c>
      <c r="E267" s="15">
        <v>20</v>
      </c>
      <c r="F267" s="15">
        <v>9</v>
      </c>
      <c r="G267" s="15" t="s">
        <v>25</v>
      </c>
      <c r="H267" s="15" t="s">
        <v>46</v>
      </c>
      <c r="I267" s="15" t="s">
        <v>536</v>
      </c>
      <c r="J267" s="15">
        <v>58</v>
      </c>
    </row>
    <row r="268" spans="1:10" x14ac:dyDescent="0.3">
      <c r="A268" s="15" t="s">
        <v>537</v>
      </c>
      <c r="B268" s="15" t="s">
        <v>68</v>
      </c>
      <c r="C268" s="15" t="s">
        <v>36</v>
      </c>
      <c r="D268" s="15" t="s">
        <v>31</v>
      </c>
      <c r="E268" s="15">
        <v>16</v>
      </c>
      <c r="F268" s="15">
        <v>12</v>
      </c>
      <c r="G268" s="15" t="s">
        <v>25</v>
      </c>
      <c r="H268" s="15" t="s">
        <v>26</v>
      </c>
      <c r="I268" s="15" t="s">
        <v>538</v>
      </c>
      <c r="J268" s="15">
        <v>42</v>
      </c>
    </row>
    <row r="269" spans="1:10" x14ac:dyDescent="0.3">
      <c r="A269" s="15" t="s">
        <v>539</v>
      </c>
      <c r="B269" s="15" t="s">
        <v>73</v>
      </c>
      <c r="C269" s="15" t="s">
        <v>36</v>
      </c>
      <c r="D269" s="15" t="s">
        <v>31</v>
      </c>
      <c r="E269" s="15">
        <v>14</v>
      </c>
      <c r="F269" s="15">
        <v>12</v>
      </c>
      <c r="G269" s="15" t="s">
        <v>43</v>
      </c>
      <c r="H269" s="15" t="s">
        <v>61</v>
      </c>
      <c r="I269" s="15" t="s">
        <v>387</v>
      </c>
      <c r="J269" s="15">
        <v>37</v>
      </c>
    </row>
    <row r="270" spans="1:10" x14ac:dyDescent="0.3">
      <c r="A270" s="15" t="s">
        <v>540</v>
      </c>
      <c r="B270" s="15" t="s">
        <v>51</v>
      </c>
      <c r="C270" s="15" t="s">
        <v>85</v>
      </c>
      <c r="D270" s="15" t="s">
        <v>13</v>
      </c>
      <c r="E270" s="15">
        <v>18</v>
      </c>
      <c r="F270" s="15">
        <v>10</v>
      </c>
      <c r="G270" s="15" t="s">
        <v>14</v>
      </c>
      <c r="H270" s="15" t="s">
        <v>46</v>
      </c>
      <c r="I270" s="15" t="s">
        <v>541</v>
      </c>
      <c r="J270" s="15">
        <v>63</v>
      </c>
    </row>
    <row r="271" spans="1:10" x14ac:dyDescent="0.3">
      <c r="A271" s="15" t="s">
        <v>542</v>
      </c>
      <c r="B271" s="15" t="s">
        <v>84</v>
      </c>
      <c r="C271" s="15" t="s">
        <v>55</v>
      </c>
      <c r="D271" s="15" t="s">
        <v>31</v>
      </c>
      <c r="E271" s="15">
        <v>18</v>
      </c>
      <c r="F271" s="15">
        <v>12</v>
      </c>
      <c r="G271" s="15" t="s">
        <v>32</v>
      </c>
      <c r="H271" s="15" t="s">
        <v>40</v>
      </c>
      <c r="I271" s="15" t="s">
        <v>543</v>
      </c>
      <c r="J271" s="15">
        <v>51</v>
      </c>
    </row>
    <row r="272" spans="1:10" x14ac:dyDescent="0.3">
      <c r="A272" s="15" t="s">
        <v>544</v>
      </c>
      <c r="B272" s="15" t="s">
        <v>68</v>
      </c>
      <c r="C272" s="15" t="s">
        <v>19</v>
      </c>
      <c r="D272" s="15" t="s">
        <v>31</v>
      </c>
      <c r="E272" s="15">
        <v>16</v>
      </c>
      <c r="F272" s="15">
        <v>9</v>
      </c>
      <c r="G272" s="15" t="s">
        <v>14</v>
      </c>
      <c r="H272" s="15" t="s">
        <v>40</v>
      </c>
      <c r="I272" s="15" t="s">
        <v>545</v>
      </c>
      <c r="J272" s="15">
        <v>37</v>
      </c>
    </row>
    <row r="273" spans="1:10" x14ac:dyDescent="0.3">
      <c r="A273" s="15" t="s">
        <v>546</v>
      </c>
      <c r="B273" s="15" t="s">
        <v>51</v>
      </c>
      <c r="C273" s="15" t="s">
        <v>36</v>
      </c>
      <c r="D273" s="15" t="s">
        <v>31</v>
      </c>
      <c r="E273" s="15">
        <v>14</v>
      </c>
      <c r="F273" s="15">
        <v>9</v>
      </c>
      <c r="G273" s="15" t="s">
        <v>14</v>
      </c>
      <c r="H273" s="15" t="s">
        <v>46</v>
      </c>
      <c r="I273" s="15" t="s">
        <v>547</v>
      </c>
      <c r="J273" s="15">
        <v>81</v>
      </c>
    </row>
    <row r="274" spans="1:10" x14ac:dyDescent="0.3">
      <c r="A274" s="15" t="s">
        <v>548</v>
      </c>
      <c r="B274" s="15" t="s">
        <v>51</v>
      </c>
      <c r="C274" s="15" t="s">
        <v>24</v>
      </c>
      <c r="D274" s="15" t="s">
        <v>31</v>
      </c>
      <c r="E274" s="15">
        <v>15</v>
      </c>
      <c r="F274" s="15">
        <v>11</v>
      </c>
      <c r="G274" s="15" t="s">
        <v>32</v>
      </c>
      <c r="H274" s="15" t="s">
        <v>40</v>
      </c>
      <c r="I274" s="15" t="s">
        <v>549</v>
      </c>
      <c r="J274" s="15">
        <v>90</v>
      </c>
    </row>
    <row r="275" spans="1:10" x14ac:dyDescent="0.3">
      <c r="A275" s="15" t="s">
        <v>550</v>
      </c>
      <c r="B275" s="15" t="s">
        <v>73</v>
      </c>
      <c r="C275" s="15" t="s">
        <v>19</v>
      </c>
      <c r="D275" s="15" t="s">
        <v>13</v>
      </c>
      <c r="E275" s="15">
        <v>14</v>
      </c>
      <c r="F275" s="15">
        <v>11</v>
      </c>
      <c r="G275" s="15" t="s">
        <v>32</v>
      </c>
      <c r="H275" s="15" t="s">
        <v>26</v>
      </c>
      <c r="I275" s="15" t="s">
        <v>551</v>
      </c>
      <c r="J275" s="15">
        <v>90</v>
      </c>
    </row>
    <row r="276" spans="1:10" x14ac:dyDescent="0.3">
      <c r="A276" s="15" t="s">
        <v>552</v>
      </c>
      <c r="B276" s="15" t="s">
        <v>35</v>
      </c>
      <c r="C276" s="15" t="s">
        <v>30</v>
      </c>
      <c r="D276" s="15" t="s">
        <v>13</v>
      </c>
      <c r="E276" s="15">
        <v>19</v>
      </c>
      <c r="F276" s="15">
        <v>11</v>
      </c>
      <c r="G276" s="15" t="s">
        <v>14</v>
      </c>
      <c r="H276" s="15" t="s">
        <v>76</v>
      </c>
      <c r="I276" s="15" t="s">
        <v>553</v>
      </c>
      <c r="J276" s="15">
        <v>81</v>
      </c>
    </row>
    <row r="277" spans="1:10" x14ac:dyDescent="0.3">
      <c r="A277" s="15" t="s">
        <v>554</v>
      </c>
      <c r="B277" s="15" t="s">
        <v>29</v>
      </c>
      <c r="C277" s="15" t="s">
        <v>79</v>
      </c>
      <c r="D277" s="15" t="s">
        <v>13</v>
      </c>
      <c r="E277" s="15">
        <v>15</v>
      </c>
      <c r="F277" s="15">
        <v>9</v>
      </c>
      <c r="G277" s="15" t="s">
        <v>32</v>
      </c>
      <c r="H277" s="15" t="s">
        <v>76</v>
      </c>
      <c r="I277" s="15" t="s">
        <v>184</v>
      </c>
      <c r="J277" s="15">
        <v>53</v>
      </c>
    </row>
    <row r="278" spans="1:10" x14ac:dyDescent="0.3">
      <c r="A278" s="15" t="s">
        <v>555</v>
      </c>
      <c r="B278" s="15" t="s">
        <v>73</v>
      </c>
      <c r="C278" s="15" t="s">
        <v>55</v>
      </c>
      <c r="D278" s="15" t="s">
        <v>31</v>
      </c>
      <c r="E278" s="15">
        <v>16</v>
      </c>
      <c r="F278" s="15">
        <v>9</v>
      </c>
      <c r="G278" s="15" t="s">
        <v>14</v>
      </c>
      <c r="H278" s="15" t="s">
        <v>76</v>
      </c>
      <c r="I278" s="15" t="s">
        <v>556</v>
      </c>
      <c r="J278" s="15">
        <v>93</v>
      </c>
    </row>
    <row r="279" spans="1:10" x14ac:dyDescent="0.3">
      <c r="A279" s="15" t="s">
        <v>557</v>
      </c>
      <c r="B279" s="15" t="s">
        <v>23</v>
      </c>
      <c r="C279" s="15" t="s">
        <v>96</v>
      </c>
      <c r="D279" s="15" t="s">
        <v>13</v>
      </c>
      <c r="E279" s="15">
        <v>18</v>
      </c>
      <c r="F279" s="15">
        <v>11</v>
      </c>
      <c r="G279" s="15" t="s">
        <v>25</v>
      </c>
      <c r="H279" s="15" t="s">
        <v>76</v>
      </c>
      <c r="I279" s="15" t="s">
        <v>182</v>
      </c>
      <c r="J279" s="15">
        <v>77</v>
      </c>
    </row>
    <row r="280" spans="1:10" x14ac:dyDescent="0.3">
      <c r="A280" s="15" t="s">
        <v>558</v>
      </c>
      <c r="B280" s="15" t="s">
        <v>54</v>
      </c>
      <c r="C280" s="15" t="s">
        <v>30</v>
      </c>
      <c r="D280" s="15" t="s">
        <v>31</v>
      </c>
      <c r="E280" s="15">
        <v>19</v>
      </c>
      <c r="F280" s="15">
        <v>10</v>
      </c>
      <c r="G280" s="15" t="s">
        <v>43</v>
      </c>
      <c r="H280" s="15" t="s">
        <v>76</v>
      </c>
      <c r="I280" s="15" t="s">
        <v>559</v>
      </c>
      <c r="J280" s="15">
        <v>40</v>
      </c>
    </row>
    <row r="281" spans="1:10" x14ac:dyDescent="0.3">
      <c r="A281" s="15" t="s">
        <v>560</v>
      </c>
      <c r="B281" s="15" t="s">
        <v>68</v>
      </c>
      <c r="C281" s="15" t="s">
        <v>85</v>
      </c>
      <c r="D281" s="15" t="s">
        <v>31</v>
      </c>
      <c r="E281" s="15">
        <v>15</v>
      </c>
      <c r="F281" s="15">
        <v>10</v>
      </c>
      <c r="G281" s="15" t="s">
        <v>43</v>
      </c>
      <c r="H281" s="15" t="s">
        <v>26</v>
      </c>
      <c r="I281" s="15" t="s">
        <v>561</v>
      </c>
      <c r="J281" s="15">
        <v>63</v>
      </c>
    </row>
    <row r="282" spans="1:10" x14ac:dyDescent="0.3">
      <c r="A282" s="15" t="s">
        <v>562</v>
      </c>
      <c r="B282" s="15" t="s">
        <v>29</v>
      </c>
      <c r="C282" s="15" t="s">
        <v>79</v>
      </c>
      <c r="D282" s="15" t="s">
        <v>31</v>
      </c>
      <c r="E282" s="15">
        <v>15</v>
      </c>
      <c r="F282" s="15">
        <v>12</v>
      </c>
      <c r="G282" s="15" t="s">
        <v>32</v>
      </c>
      <c r="H282" s="15" t="s">
        <v>46</v>
      </c>
      <c r="I282" s="15" t="s">
        <v>121</v>
      </c>
      <c r="J282" s="15">
        <v>53</v>
      </c>
    </row>
    <row r="283" spans="1:10" x14ac:dyDescent="0.3">
      <c r="A283" s="15" t="s">
        <v>563</v>
      </c>
      <c r="B283" s="15" t="s">
        <v>35</v>
      </c>
      <c r="C283" s="15" t="s">
        <v>55</v>
      </c>
      <c r="D283" s="15" t="s">
        <v>31</v>
      </c>
      <c r="E283" s="15">
        <v>19</v>
      </c>
      <c r="F283" s="15">
        <v>10</v>
      </c>
      <c r="G283" s="15" t="s">
        <v>43</v>
      </c>
      <c r="H283" s="15" t="s">
        <v>46</v>
      </c>
      <c r="I283" s="15" t="s">
        <v>564</v>
      </c>
      <c r="J283" s="15">
        <v>72</v>
      </c>
    </row>
    <row r="284" spans="1:10" x14ac:dyDescent="0.3">
      <c r="A284" s="15" t="s">
        <v>565</v>
      </c>
      <c r="B284" s="15" t="s">
        <v>54</v>
      </c>
      <c r="C284" s="15" t="s">
        <v>79</v>
      </c>
      <c r="D284" s="15" t="s">
        <v>31</v>
      </c>
      <c r="E284" s="15">
        <v>20</v>
      </c>
      <c r="F284" s="15">
        <v>9</v>
      </c>
      <c r="G284" s="15" t="s">
        <v>43</v>
      </c>
      <c r="H284" s="15" t="s">
        <v>20</v>
      </c>
      <c r="I284" s="15" t="s">
        <v>566</v>
      </c>
      <c r="J284" s="15">
        <v>67</v>
      </c>
    </row>
    <row r="285" spans="1:10" x14ac:dyDescent="0.3">
      <c r="A285" s="15" t="s">
        <v>567</v>
      </c>
      <c r="B285" s="15" t="s">
        <v>54</v>
      </c>
      <c r="C285" s="15" t="s">
        <v>12</v>
      </c>
      <c r="D285" s="15" t="s">
        <v>31</v>
      </c>
      <c r="E285" s="15">
        <v>18</v>
      </c>
      <c r="F285" s="15">
        <v>12</v>
      </c>
      <c r="G285" s="15" t="s">
        <v>25</v>
      </c>
      <c r="H285" s="15" t="s">
        <v>26</v>
      </c>
      <c r="I285" s="15" t="s">
        <v>568</v>
      </c>
      <c r="J285" s="15">
        <v>96</v>
      </c>
    </row>
    <row r="286" spans="1:10" x14ac:dyDescent="0.3">
      <c r="A286" s="15" t="s">
        <v>569</v>
      </c>
      <c r="B286" s="15" t="s">
        <v>54</v>
      </c>
      <c r="C286" s="15" t="s">
        <v>12</v>
      </c>
      <c r="D286" s="15" t="s">
        <v>31</v>
      </c>
      <c r="E286" s="15">
        <v>17</v>
      </c>
      <c r="F286" s="15">
        <v>9</v>
      </c>
      <c r="G286" s="15" t="s">
        <v>25</v>
      </c>
      <c r="H286" s="15" t="s">
        <v>37</v>
      </c>
      <c r="I286" s="15" t="s">
        <v>570</v>
      </c>
      <c r="J286" s="15">
        <v>100</v>
      </c>
    </row>
    <row r="287" spans="1:10" x14ac:dyDescent="0.3">
      <c r="A287" s="15" t="s">
        <v>571</v>
      </c>
      <c r="B287" s="15" t="s">
        <v>68</v>
      </c>
      <c r="C287" s="15" t="s">
        <v>12</v>
      </c>
      <c r="D287" s="15" t="s">
        <v>13</v>
      </c>
      <c r="E287" s="15">
        <v>16</v>
      </c>
      <c r="F287" s="15">
        <v>10</v>
      </c>
      <c r="G287" s="15" t="s">
        <v>25</v>
      </c>
      <c r="H287" s="15" t="s">
        <v>26</v>
      </c>
      <c r="I287" s="15" t="s">
        <v>434</v>
      </c>
      <c r="J287" s="15">
        <v>63</v>
      </c>
    </row>
    <row r="288" spans="1:10" x14ac:dyDescent="0.3">
      <c r="A288" s="15" t="s">
        <v>572</v>
      </c>
      <c r="B288" s="15" t="s">
        <v>23</v>
      </c>
      <c r="C288" s="15" t="s">
        <v>19</v>
      </c>
      <c r="D288" s="15" t="s">
        <v>31</v>
      </c>
      <c r="E288" s="15">
        <v>19</v>
      </c>
      <c r="F288" s="15">
        <v>10</v>
      </c>
      <c r="G288" s="15" t="s">
        <v>32</v>
      </c>
      <c r="H288" s="15" t="s">
        <v>20</v>
      </c>
      <c r="I288" s="15" t="s">
        <v>400</v>
      </c>
      <c r="J288" s="15">
        <v>53</v>
      </c>
    </row>
    <row r="289" spans="1:10" x14ac:dyDescent="0.3">
      <c r="A289" s="15" t="s">
        <v>573</v>
      </c>
      <c r="B289" s="15" t="s">
        <v>54</v>
      </c>
      <c r="C289" s="15" t="s">
        <v>24</v>
      </c>
      <c r="D289" s="15" t="s">
        <v>13</v>
      </c>
      <c r="E289" s="15">
        <v>19</v>
      </c>
      <c r="F289" s="15">
        <v>9</v>
      </c>
      <c r="G289" s="15" t="s">
        <v>43</v>
      </c>
      <c r="H289" s="15" t="s">
        <v>46</v>
      </c>
      <c r="I289" s="15" t="s">
        <v>574</v>
      </c>
      <c r="J289" s="15">
        <v>94</v>
      </c>
    </row>
    <row r="290" spans="1:10" x14ac:dyDescent="0.3">
      <c r="A290" s="15" t="s">
        <v>575</v>
      </c>
      <c r="B290" s="15" t="s">
        <v>35</v>
      </c>
      <c r="C290" s="15" t="s">
        <v>30</v>
      </c>
      <c r="D290" s="15" t="s">
        <v>31</v>
      </c>
      <c r="E290" s="15">
        <v>14</v>
      </c>
      <c r="F290" s="15">
        <v>10</v>
      </c>
      <c r="G290" s="15" t="s">
        <v>32</v>
      </c>
      <c r="H290" s="15" t="s">
        <v>40</v>
      </c>
      <c r="I290" s="15" t="s">
        <v>576</v>
      </c>
      <c r="J290" s="15">
        <v>50</v>
      </c>
    </row>
    <row r="291" spans="1:10" x14ac:dyDescent="0.3">
      <c r="A291" s="15" t="s">
        <v>577</v>
      </c>
      <c r="B291" s="15" t="s">
        <v>84</v>
      </c>
      <c r="C291" s="15" t="s">
        <v>79</v>
      </c>
      <c r="D291" s="15" t="s">
        <v>31</v>
      </c>
      <c r="E291" s="15">
        <v>15</v>
      </c>
      <c r="F291" s="15">
        <v>11</v>
      </c>
      <c r="G291" s="15" t="s">
        <v>25</v>
      </c>
      <c r="H291" s="15" t="s">
        <v>40</v>
      </c>
      <c r="I291" s="15" t="s">
        <v>578</v>
      </c>
      <c r="J291" s="15">
        <v>72</v>
      </c>
    </row>
    <row r="292" spans="1:10" x14ac:dyDescent="0.3">
      <c r="A292" s="15" t="s">
        <v>579</v>
      </c>
      <c r="B292" s="15" t="s">
        <v>51</v>
      </c>
      <c r="C292" s="15" t="s">
        <v>55</v>
      </c>
      <c r="D292" s="15" t="s">
        <v>31</v>
      </c>
      <c r="E292" s="15">
        <v>20</v>
      </c>
      <c r="F292" s="15">
        <v>9</v>
      </c>
      <c r="G292" s="15" t="s">
        <v>25</v>
      </c>
      <c r="H292" s="15" t="s">
        <v>26</v>
      </c>
      <c r="I292" s="15" t="s">
        <v>212</v>
      </c>
      <c r="J292" s="15">
        <v>35</v>
      </c>
    </row>
    <row r="293" spans="1:10" x14ac:dyDescent="0.3">
      <c r="A293" s="15" t="s">
        <v>580</v>
      </c>
      <c r="B293" s="15" t="s">
        <v>29</v>
      </c>
      <c r="C293" s="15" t="s">
        <v>36</v>
      </c>
      <c r="D293" s="15" t="s">
        <v>13</v>
      </c>
      <c r="E293" s="15">
        <v>17</v>
      </c>
      <c r="F293" s="15">
        <v>10</v>
      </c>
      <c r="G293" s="15" t="s">
        <v>32</v>
      </c>
      <c r="H293" s="15" t="s">
        <v>15</v>
      </c>
      <c r="I293" s="15" t="s">
        <v>581</v>
      </c>
      <c r="J293" s="15">
        <v>37</v>
      </c>
    </row>
    <row r="294" spans="1:10" x14ac:dyDescent="0.3">
      <c r="A294" s="15" t="s">
        <v>582</v>
      </c>
      <c r="B294" s="15" t="s">
        <v>51</v>
      </c>
      <c r="C294" s="15" t="s">
        <v>55</v>
      </c>
      <c r="D294" s="15" t="s">
        <v>31</v>
      </c>
      <c r="E294" s="15">
        <v>14</v>
      </c>
      <c r="F294" s="15">
        <v>11</v>
      </c>
      <c r="G294" s="15" t="s">
        <v>25</v>
      </c>
      <c r="H294" s="15" t="s">
        <v>37</v>
      </c>
      <c r="I294" s="15" t="s">
        <v>583</v>
      </c>
      <c r="J294" s="15">
        <v>47</v>
      </c>
    </row>
    <row r="295" spans="1:10" x14ac:dyDescent="0.3">
      <c r="A295" s="15" t="s">
        <v>584</v>
      </c>
      <c r="B295" s="15" t="s">
        <v>68</v>
      </c>
      <c r="C295" s="15" t="s">
        <v>55</v>
      </c>
      <c r="D295" s="15" t="s">
        <v>31</v>
      </c>
      <c r="E295" s="15">
        <v>16</v>
      </c>
      <c r="F295" s="15">
        <v>9</v>
      </c>
      <c r="G295" s="15" t="s">
        <v>14</v>
      </c>
      <c r="H295" s="15" t="s">
        <v>61</v>
      </c>
      <c r="I295" s="15" t="s">
        <v>585</v>
      </c>
      <c r="J295" s="15">
        <v>59</v>
      </c>
    </row>
    <row r="296" spans="1:10" x14ac:dyDescent="0.3">
      <c r="A296" s="15" t="s">
        <v>586</v>
      </c>
      <c r="B296" s="15" t="s">
        <v>11</v>
      </c>
      <c r="C296" s="15" t="s">
        <v>24</v>
      </c>
      <c r="D296" s="15" t="s">
        <v>31</v>
      </c>
      <c r="E296" s="15">
        <v>17</v>
      </c>
      <c r="F296" s="15">
        <v>11</v>
      </c>
      <c r="G296" s="15" t="s">
        <v>43</v>
      </c>
      <c r="H296" s="15" t="s">
        <v>61</v>
      </c>
      <c r="I296" s="15" t="s">
        <v>587</v>
      </c>
      <c r="J296" s="15">
        <v>73</v>
      </c>
    </row>
    <row r="297" spans="1:10" x14ac:dyDescent="0.3">
      <c r="A297" s="15" t="s">
        <v>588</v>
      </c>
      <c r="B297" s="15" t="s">
        <v>68</v>
      </c>
      <c r="C297" s="15" t="s">
        <v>85</v>
      </c>
      <c r="D297" s="15" t="s">
        <v>31</v>
      </c>
      <c r="E297" s="15">
        <v>17</v>
      </c>
      <c r="F297" s="15">
        <v>9</v>
      </c>
      <c r="G297" s="15" t="s">
        <v>25</v>
      </c>
      <c r="H297" s="15" t="s">
        <v>61</v>
      </c>
      <c r="I297" s="15" t="s">
        <v>589</v>
      </c>
      <c r="J297" s="15">
        <v>45</v>
      </c>
    </row>
    <row r="298" spans="1:10" x14ac:dyDescent="0.3">
      <c r="A298" s="15" t="s">
        <v>590</v>
      </c>
      <c r="B298" s="15" t="s">
        <v>35</v>
      </c>
      <c r="C298" s="15" t="s">
        <v>12</v>
      </c>
      <c r="D298" s="15" t="s">
        <v>13</v>
      </c>
      <c r="E298" s="15">
        <v>14</v>
      </c>
      <c r="F298" s="15">
        <v>11</v>
      </c>
      <c r="G298" s="15" t="s">
        <v>25</v>
      </c>
      <c r="H298" s="15" t="s">
        <v>20</v>
      </c>
      <c r="I298" s="15" t="s">
        <v>591</v>
      </c>
      <c r="J298" s="15">
        <v>64</v>
      </c>
    </row>
    <row r="299" spans="1:10" x14ac:dyDescent="0.3">
      <c r="A299" s="15" t="s">
        <v>592</v>
      </c>
      <c r="B299" s="15" t="s">
        <v>51</v>
      </c>
      <c r="C299" s="15" t="s">
        <v>19</v>
      </c>
      <c r="D299" s="15" t="s">
        <v>31</v>
      </c>
      <c r="E299" s="15">
        <v>18</v>
      </c>
      <c r="F299" s="15">
        <v>10</v>
      </c>
      <c r="G299" s="15" t="s">
        <v>43</v>
      </c>
      <c r="H299" s="15" t="s">
        <v>76</v>
      </c>
      <c r="I299" s="15" t="s">
        <v>593</v>
      </c>
      <c r="J299" s="15">
        <v>98</v>
      </c>
    </row>
    <row r="300" spans="1:10" x14ac:dyDescent="0.3">
      <c r="A300" s="15" t="s">
        <v>594</v>
      </c>
      <c r="B300" s="15" t="s">
        <v>54</v>
      </c>
      <c r="C300" s="15" t="s">
        <v>55</v>
      </c>
      <c r="D300" s="15" t="s">
        <v>13</v>
      </c>
      <c r="E300" s="15">
        <v>20</v>
      </c>
      <c r="F300" s="15">
        <v>11</v>
      </c>
      <c r="G300" s="15" t="s">
        <v>43</v>
      </c>
      <c r="H300" s="15" t="s">
        <v>40</v>
      </c>
      <c r="I300" s="15" t="s">
        <v>595</v>
      </c>
      <c r="J300" s="15">
        <v>84</v>
      </c>
    </row>
    <row r="301" spans="1:10" x14ac:dyDescent="0.3">
      <c r="A301" s="15" t="s">
        <v>596</v>
      </c>
      <c r="B301" s="15" t="s">
        <v>11</v>
      </c>
      <c r="C301" s="15" t="s">
        <v>30</v>
      </c>
      <c r="D301" s="15" t="s">
        <v>13</v>
      </c>
      <c r="E301" s="15">
        <v>14</v>
      </c>
      <c r="F301" s="15">
        <v>9</v>
      </c>
      <c r="G301" s="15" t="s">
        <v>25</v>
      </c>
      <c r="H301" s="15" t="s">
        <v>76</v>
      </c>
      <c r="I301" s="15" t="s">
        <v>447</v>
      </c>
      <c r="J301" s="15">
        <v>62</v>
      </c>
    </row>
    <row r="302" spans="1:10" x14ac:dyDescent="0.3">
      <c r="A302" s="15" t="s">
        <v>597</v>
      </c>
      <c r="B302" s="15" t="s">
        <v>18</v>
      </c>
      <c r="C302" s="15" t="s">
        <v>85</v>
      </c>
      <c r="D302" s="15" t="s">
        <v>31</v>
      </c>
      <c r="E302" s="15">
        <v>18</v>
      </c>
      <c r="F302" s="15">
        <v>11</v>
      </c>
      <c r="G302" s="15" t="s">
        <v>43</v>
      </c>
      <c r="H302" s="15" t="s">
        <v>40</v>
      </c>
      <c r="I302" s="15" t="s">
        <v>598</v>
      </c>
      <c r="J302" s="15">
        <v>55</v>
      </c>
    </row>
    <row r="303" spans="1:10" x14ac:dyDescent="0.3">
      <c r="A303" s="15" t="s">
        <v>599</v>
      </c>
      <c r="B303" s="15" t="s">
        <v>84</v>
      </c>
      <c r="C303" s="15" t="s">
        <v>30</v>
      </c>
      <c r="D303" s="15" t="s">
        <v>13</v>
      </c>
      <c r="E303" s="15">
        <v>17</v>
      </c>
      <c r="F303" s="15">
        <v>11</v>
      </c>
      <c r="G303" s="15" t="s">
        <v>43</v>
      </c>
      <c r="H303" s="15" t="s">
        <v>15</v>
      </c>
      <c r="I303" s="15" t="s">
        <v>600</v>
      </c>
      <c r="J303" s="15">
        <v>73</v>
      </c>
    </row>
    <row r="304" spans="1:10" x14ac:dyDescent="0.3">
      <c r="A304" s="15" t="s">
        <v>601</v>
      </c>
      <c r="B304" s="15" t="s">
        <v>73</v>
      </c>
      <c r="C304" s="15" t="s">
        <v>55</v>
      </c>
      <c r="D304" s="15" t="s">
        <v>31</v>
      </c>
      <c r="E304" s="15">
        <v>17</v>
      </c>
      <c r="F304" s="15">
        <v>11</v>
      </c>
      <c r="G304" s="15" t="s">
        <v>43</v>
      </c>
      <c r="H304" s="15" t="s">
        <v>61</v>
      </c>
      <c r="I304" s="15" t="s">
        <v>502</v>
      </c>
      <c r="J304" s="15">
        <v>76</v>
      </c>
    </row>
    <row r="305" spans="1:10" x14ac:dyDescent="0.3">
      <c r="A305" s="15" t="s">
        <v>602</v>
      </c>
      <c r="B305" s="15" t="s">
        <v>23</v>
      </c>
      <c r="C305" s="15" t="s">
        <v>19</v>
      </c>
      <c r="D305" s="15" t="s">
        <v>13</v>
      </c>
      <c r="E305" s="15">
        <v>15</v>
      </c>
      <c r="F305" s="15">
        <v>12</v>
      </c>
      <c r="G305" s="15" t="s">
        <v>14</v>
      </c>
      <c r="H305" s="15" t="s">
        <v>61</v>
      </c>
      <c r="I305" s="15" t="s">
        <v>603</v>
      </c>
      <c r="J305" s="15">
        <v>54</v>
      </c>
    </row>
    <row r="306" spans="1:10" x14ac:dyDescent="0.3">
      <c r="A306" s="15" t="s">
        <v>604</v>
      </c>
      <c r="B306" s="15" t="s">
        <v>51</v>
      </c>
      <c r="C306" s="15" t="s">
        <v>85</v>
      </c>
      <c r="D306" s="15" t="s">
        <v>31</v>
      </c>
      <c r="E306" s="15">
        <v>20</v>
      </c>
      <c r="F306" s="15">
        <v>12</v>
      </c>
      <c r="G306" s="15" t="s">
        <v>25</v>
      </c>
      <c r="H306" s="15" t="s">
        <v>26</v>
      </c>
      <c r="I306" s="15" t="s">
        <v>299</v>
      </c>
      <c r="J306" s="15">
        <v>69</v>
      </c>
    </row>
    <row r="307" spans="1:10" x14ac:dyDescent="0.3">
      <c r="A307" s="15" t="s">
        <v>605</v>
      </c>
      <c r="B307" s="15" t="s">
        <v>54</v>
      </c>
      <c r="C307" s="15" t="s">
        <v>19</v>
      </c>
      <c r="D307" s="15" t="s">
        <v>31</v>
      </c>
      <c r="E307" s="15">
        <v>20</v>
      </c>
      <c r="F307" s="15">
        <v>10</v>
      </c>
      <c r="G307" s="15" t="s">
        <v>43</v>
      </c>
      <c r="H307" s="15" t="s">
        <v>37</v>
      </c>
      <c r="I307" s="15" t="s">
        <v>606</v>
      </c>
      <c r="J307" s="15">
        <v>99</v>
      </c>
    </row>
    <row r="308" spans="1:10" x14ac:dyDescent="0.3">
      <c r="A308" s="15" t="s">
        <v>607</v>
      </c>
      <c r="B308" s="15" t="s">
        <v>68</v>
      </c>
      <c r="C308" s="15" t="s">
        <v>55</v>
      </c>
      <c r="D308" s="15" t="s">
        <v>13</v>
      </c>
      <c r="E308" s="15">
        <v>19</v>
      </c>
      <c r="F308" s="15">
        <v>11</v>
      </c>
      <c r="G308" s="15" t="s">
        <v>25</v>
      </c>
      <c r="H308" s="15" t="s">
        <v>20</v>
      </c>
      <c r="I308" s="15" t="s">
        <v>608</v>
      </c>
      <c r="J308" s="15">
        <v>43</v>
      </c>
    </row>
    <row r="309" spans="1:10" x14ac:dyDescent="0.3">
      <c r="A309" s="15" t="s">
        <v>609</v>
      </c>
      <c r="B309" s="15" t="s">
        <v>68</v>
      </c>
      <c r="C309" s="15" t="s">
        <v>58</v>
      </c>
      <c r="D309" s="15" t="s">
        <v>13</v>
      </c>
      <c r="E309" s="15">
        <v>14</v>
      </c>
      <c r="F309" s="15">
        <v>10</v>
      </c>
      <c r="G309" s="15" t="s">
        <v>25</v>
      </c>
      <c r="H309" s="15" t="s">
        <v>37</v>
      </c>
      <c r="I309" s="15" t="s">
        <v>610</v>
      </c>
      <c r="J309" s="15">
        <v>90</v>
      </c>
    </row>
    <row r="310" spans="1:10" x14ac:dyDescent="0.3">
      <c r="A310" s="15" t="s">
        <v>611</v>
      </c>
      <c r="B310" s="15" t="s">
        <v>18</v>
      </c>
      <c r="C310" s="15" t="s">
        <v>24</v>
      </c>
      <c r="D310" s="15" t="s">
        <v>31</v>
      </c>
      <c r="E310" s="15">
        <v>19</v>
      </c>
      <c r="F310" s="15">
        <v>12</v>
      </c>
      <c r="G310" s="15" t="s">
        <v>43</v>
      </c>
      <c r="H310" s="15" t="s">
        <v>26</v>
      </c>
      <c r="I310" s="15" t="s">
        <v>612</v>
      </c>
      <c r="J310" s="15">
        <v>82</v>
      </c>
    </row>
    <row r="311" spans="1:10" x14ac:dyDescent="0.3">
      <c r="A311" s="15" t="s">
        <v>613</v>
      </c>
      <c r="B311" s="15" t="s">
        <v>68</v>
      </c>
      <c r="C311" s="15" t="s">
        <v>85</v>
      </c>
      <c r="D311" s="15" t="s">
        <v>31</v>
      </c>
      <c r="E311" s="15">
        <v>15</v>
      </c>
      <c r="F311" s="15">
        <v>9</v>
      </c>
      <c r="G311" s="15" t="s">
        <v>32</v>
      </c>
      <c r="H311" s="15" t="s">
        <v>37</v>
      </c>
      <c r="I311" s="15" t="s">
        <v>614</v>
      </c>
      <c r="J311" s="15">
        <v>39</v>
      </c>
    </row>
    <row r="312" spans="1:10" x14ac:dyDescent="0.3">
      <c r="A312" s="15" t="s">
        <v>615</v>
      </c>
      <c r="B312" s="15" t="s">
        <v>18</v>
      </c>
      <c r="C312" s="15" t="s">
        <v>12</v>
      </c>
      <c r="D312" s="15" t="s">
        <v>13</v>
      </c>
      <c r="E312" s="15">
        <v>17</v>
      </c>
      <c r="F312" s="15">
        <v>12</v>
      </c>
      <c r="G312" s="15" t="s">
        <v>14</v>
      </c>
      <c r="H312" s="15" t="s">
        <v>61</v>
      </c>
      <c r="I312" s="15" t="s">
        <v>616</v>
      </c>
      <c r="J312" s="15">
        <v>99</v>
      </c>
    </row>
    <row r="313" spans="1:10" x14ac:dyDescent="0.3">
      <c r="A313" s="15" t="s">
        <v>617</v>
      </c>
      <c r="B313" s="15" t="s">
        <v>35</v>
      </c>
      <c r="C313" s="15" t="s">
        <v>12</v>
      </c>
      <c r="D313" s="15" t="s">
        <v>13</v>
      </c>
      <c r="E313" s="15">
        <v>15</v>
      </c>
      <c r="F313" s="15">
        <v>9</v>
      </c>
      <c r="G313" s="15" t="s">
        <v>25</v>
      </c>
      <c r="H313" s="15" t="s">
        <v>46</v>
      </c>
      <c r="I313" s="15" t="s">
        <v>155</v>
      </c>
      <c r="J313" s="15">
        <v>85</v>
      </c>
    </row>
    <row r="314" spans="1:10" x14ac:dyDescent="0.3">
      <c r="A314" s="15" t="s">
        <v>618</v>
      </c>
      <c r="B314" s="15" t="s">
        <v>73</v>
      </c>
      <c r="C314" s="15" t="s">
        <v>85</v>
      </c>
      <c r="D314" s="15" t="s">
        <v>31</v>
      </c>
      <c r="E314" s="15">
        <v>14</v>
      </c>
      <c r="F314" s="15">
        <v>11</v>
      </c>
      <c r="G314" s="15" t="s">
        <v>25</v>
      </c>
      <c r="H314" s="15" t="s">
        <v>20</v>
      </c>
      <c r="I314" s="15" t="s">
        <v>619</v>
      </c>
      <c r="J314" s="15">
        <v>67</v>
      </c>
    </row>
    <row r="315" spans="1:10" x14ac:dyDescent="0.3">
      <c r="A315" s="15" t="s">
        <v>620</v>
      </c>
      <c r="B315" s="15" t="s">
        <v>84</v>
      </c>
      <c r="C315" s="15" t="s">
        <v>24</v>
      </c>
      <c r="D315" s="15" t="s">
        <v>31</v>
      </c>
      <c r="E315" s="15">
        <v>19</v>
      </c>
      <c r="F315" s="15">
        <v>12</v>
      </c>
      <c r="G315" s="15" t="s">
        <v>14</v>
      </c>
      <c r="H315" s="15" t="s">
        <v>61</v>
      </c>
      <c r="I315" s="15" t="s">
        <v>621</v>
      </c>
      <c r="J315" s="15">
        <v>77</v>
      </c>
    </row>
    <row r="316" spans="1:10" x14ac:dyDescent="0.3">
      <c r="A316" s="15" t="s">
        <v>622</v>
      </c>
      <c r="B316" s="15" t="s">
        <v>23</v>
      </c>
      <c r="C316" s="15" t="s">
        <v>96</v>
      </c>
      <c r="D316" s="15" t="s">
        <v>31</v>
      </c>
      <c r="E316" s="15">
        <v>17</v>
      </c>
      <c r="F316" s="15">
        <v>12</v>
      </c>
      <c r="G316" s="15" t="s">
        <v>43</v>
      </c>
      <c r="H316" s="15" t="s">
        <v>46</v>
      </c>
      <c r="I316" s="15" t="s">
        <v>170</v>
      </c>
      <c r="J316" s="15">
        <v>62</v>
      </c>
    </row>
    <row r="317" spans="1:10" x14ac:dyDescent="0.3">
      <c r="A317" s="15" t="s">
        <v>623</v>
      </c>
      <c r="B317" s="15" t="s">
        <v>29</v>
      </c>
      <c r="C317" s="15" t="s">
        <v>12</v>
      </c>
      <c r="D317" s="15" t="s">
        <v>31</v>
      </c>
      <c r="E317" s="15">
        <v>19</v>
      </c>
      <c r="F317" s="15">
        <v>11</v>
      </c>
      <c r="G317" s="15" t="s">
        <v>25</v>
      </c>
      <c r="H317" s="15" t="s">
        <v>76</v>
      </c>
      <c r="I317" s="15" t="s">
        <v>624</v>
      </c>
      <c r="J317" s="15">
        <v>49</v>
      </c>
    </row>
    <row r="318" spans="1:10" x14ac:dyDescent="0.3">
      <c r="A318" s="15" t="s">
        <v>625</v>
      </c>
      <c r="B318" s="15" t="s">
        <v>68</v>
      </c>
      <c r="C318" s="15" t="s">
        <v>96</v>
      </c>
      <c r="D318" s="15" t="s">
        <v>31</v>
      </c>
      <c r="E318" s="15">
        <v>19</v>
      </c>
      <c r="F318" s="15">
        <v>12</v>
      </c>
      <c r="G318" s="15" t="s">
        <v>32</v>
      </c>
      <c r="H318" s="15" t="s">
        <v>15</v>
      </c>
      <c r="I318" s="15" t="s">
        <v>626</v>
      </c>
      <c r="J318" s="15">
        <v>86</v>
      </c>
    </row>
    <row r="319" spans="1:10" x14ac:dyDescent="0.3">
      <c r="A319" s="15" t="s">
        <v>627</v>
      </c>
      <c r="B319" s="15" t="s">
        <v>35</v>
      </c>
      <c r="C319" s="15" t="s">
        <v>85</v>
      </c>
      <c r="D319" s="15" t="s">
        <v>31</v>
      </c>
      <c r="E319" s="15">
        <v>16</v>
      </c>
      <c r="F319" s="15">
        <v>9</v>
      </c>
      <c r="G319" s="15" t="s">
        <v>43</v>
      </c>
      <c r="H319" s="15" t="s">
        <v>20</v>
      </c>
      <c r="I319" s="15" t="s">
        <v>628</v>
      </c>
      <c r="J319" s="15">
        <v>84</v>
      </c>
    </row>
    <row r="320" spans="1:10" x14ac:dyDescent="0.3">
      <c r="A320" s="15" t="s">
        <v>629</v>
      </c>
      <c r="B320" s="15" t="s">
        <v>35</v>
      </c>
      <c r="C320" s="15" t="s">
        <v>58</v>
      </c>
      <c r="D320" s="15" t="s">
        <v>13</v>
      </c>
      <c r="E320" s="15">
        <v>18</v>
      </c>
      <c r="F320" s="15">
        <v>9</v>
      </c>
      <c r="G320" s="15" t="s">
        <v>25</v>
      </c>
      <c r="H320" s="15" t="s">
        <v>76</v>
      </c>
      <c r="I320" s="15" t="s">
        <v>105</v>
      </c>
      <c r="J320" s="15">
        <v>82</v>
      </c>
    </row>
    <row r="321" spans="1:10" x14ac:dyDescent="0.3">
      <c r="A321" s="15" t="s">
        <v>630</v>
      </c>
      <c r="B321" s="15" t="s">
        <v>84</v>
      </c>
      <c r="C321" s="15" t="s">
        <v>96</v>
      </c>
      <c r="D321" s="15" t="s">
        <v>31</v>
      </c>
      <c r="E321" s="15">
        <v>19</v>
      </c>
      <c r="F321" s="15">
        <v>10</v>
      </c>
      <c r="G321" s="15" t="s">
        <v>43</v>
      </c>
      <c r="H321" s="15" t="s">
        <v>20</v>
      </c>
      <c r="I321" s="15" t="s">
        <v>631</v>
      </c>
      <c r="J321" s="15">
        <v>63</v>
      </c>
    </row>
    <row r="322" spans="1:10" x14ac:dyDescent="0.3">
      <c r="A322" s="15" t="s">
        <v>632</v>
      </c>
      <c r="B322" s="15" t="s">
        <v>54</v>
      </c>
      <c r="C322" s="15" t="s">
        <v>55</v>
      </c>
      <c r="D322" s="15" t="s">
        <v>31</v>
      </c>
      <c r="E322" s="15">
        <v>19</v>
      </c>
      <c r="F322" s="15">
        <v>11</v>
      </c>
      <c r="G322" s="15" t="s">
        <v>25</v>
      </c>
      <c r="H322" s="15" t="s">
        <v>61</v>
      </c>
      <c r="I322" s="15" t="s">
        <v>633</v>
      </c>
      <c r="J322" s="15">
        <v>82</v>
      </c>
    </row>
    <row r="323" spans="1:10" x14ac:dyDescent="0.3">
      <c r="A323" s="15" t="s">
        <v>634</v>
      </c>
      <c r="B323" s="15" t="s">
        <v>54</v>
      </c>
      <c r="C323" s="15" t="s">
        <v>30</v>
      </c>
      <c r="D323" s="15" t="s">
        <v>31</v>
      </c>
      <c r="E323" s="15">
        <v>15</v>
      </c>
      <c r="F323" s="15">
        <v>9</v>
      </c>
      <c r="G323" s="15" t="s">
        <v>25</v>
      </c>
      <c r="H323" s="15" t="s">
        <v>40</v>
      </c>
      <c r="I323" s="15" t="s">
        <v>635</v>
      </c>
      <c r="J323" s="15">
        <v>53</v>
      </c>
    </row>
    <row r="324" spans="1:10" x14ac:dyDescent="0.3">
      <c r="A324" s="15" t="s">
        <v>636</v>
      </c>
      <c r="B324" s="15" t="s">
        <v>11</v>
      </c>
      <c r="C324" s="15" t="s">
        <v>79</v>
      </c>
      <c r="D324" s="15" t="s">
        <v>13</v>
      </c>
      <c r="E324" s="15">
        <v>19</v>
      </c>
      <c r="F324" s="15">
        <v>9</v>
      </c>
      <c r="G324" s="15" t="s">
        <v>32</v>
      </c>
      <c r="H324" s="15" t="s">
        <v>76</v>
      </c>
      <c r="I324" s="15" t="s">
        <v>637</v>
      </c>
      <c r="J324" s="15">
        <v>97</v>
      </c>
    </row>
    <row r="325" spans="1:10" x14ac:dyDescent="0.3">
      <c r="A325" s="15" t="s">
        <v>638</v>
      </c>
      <c r="B325" s="15" t="s">
        <v>54</v>
      </c>
      <c r="C325" s="15" t="s">
        <v>12</v>
      </c>
      <c r="D325" s="15" t="s">
        <v>31</v>
      </c>
      <c r="E325" s="15">
        <v>15</v>
      </c>
      <c r="F325" s="15">
        <v>12</v>
      </c>
      <c r="G325" s="15" t="s">
        <v>43</v>
      </c>
      <c r="H325" s="15" t="s">
        <v>76</v>
      </c>
      <c r="I325" s="15" t="s">
        <v>639</v>
      </c>
      <c r="J325" s="15">
        <v>51</v>
      </c>
    </row>
    <row r="326" spans="1:10" x14ac:dyDescent="0.3">
      <c r="A326" s="15" t="s">
        <v>640</v>
      </c>
      <c r="B326" s="15" t="s">
        <v>84</v>
      </c>
      <c r="C326" s="15" t="s">
        <v>79</v>
      </c>
      <c r="D326" s="15" t="s">
        <v>31</v>
      </c>
      <c r="E326" s="15">
        <v>14</v>
      </c>
      <c r="F326" s="15">
        <v>9</v>
      </c>
      <c r="G326" s="15" t="s">
        <v>14</v>
      </c>
      <c r="H326" s="15" t="s">
        <v>37</v>
      </c>
      <c r="I326" s="15" t="s">
        <v>641</v>
      </c>
      <c r="J326" s="15">
        <v>43</v>
      </c>
    </row>
    <row r="327" spans="1:10" x14ac:dyDescent="0.3">
      <c r="A327" s="15" t="s">
        <v>642</v>
      </c>
      <c r="B327" s="15" t="s">
        <v>18</v>
      </c>
      <c r="C327" s="15" t="s">
        <v>19</v>
      </c>
      <c r="D327" s="15" t="s">
        <v>13</v>
      </c>
      <c r="E327" s="15">
        <v>14</v>
      </c>
      <c r="F327" s="15">
        <v>9</v>
      </c>
      <c r="G327" s="15" t="s">
        <v>43</v>
      </c>
      <c r="H327" s="15" t="s">
        <v>20</v>
      </c>
      <c r="I327" s="15" t="s">
        <v>643</v>
      </c>
      <c r="J327" s="15">
        <v>57</v>
      </c>
    </row>
    <row r="328" spans="1:10" x14ac:dyDescent="0.3">
      <c r="A328" s="15" t="s">
        <v>644</v>
      </c>
      <c r="B328" s="15" t="s">
        <v>51</v>
      </c>
      <c r="C328" s="15" t="s">
        <v>36</v>
      </c>
      <c r="D328" s="15" t="s">
        <v>31</v>
      </c>
      <c r="E328" s="15">
        <v>16</v>
      </c>
      <c r="F328" s="15">
        <v>11</v>
      </c>
      <c r="G328" s="15" t="s">
        <v>43</v>
      </c>
      <c r="H328" s="15" t="s">
        <v>20</v>
      </c>
      <c r="I328" s="15" t="s">
        <v>645</v>
      </c>
      <c r="J328" s="15">
        <v>81</v>
      </c>
    </row>
    <row r="329" spans="1:10" x14ac:dyDescent="0.3">
      <c r="A329" s="15" t="s">
        <v>646</v>
      </c>
      <c r="B329" s="15" t="s">
        <v>84</v>
      </c>
      <c r="C329" s="15" t="s">
        <v>12</v>
      </c>
      <c r="D329" s="15" t="s">
        <v>31</v>
      </c>
      <c r="E329" s="15">
        <v>17</v>
      </c>
      <c r="F329" s="15">
        <v>12</v>
      </c>
      <c r="G329" s="15" t="s">
        <v>25</v>
      </c>
      <c r="H329" s="15" t="s">
        <v>76</v>
      </c>
      <c r="I329" s="15" t="s">
        <v>647</v>
      </c>
      <c r="J329" s="15">
        <v>83</v>
      </c>
    </row>
    <row r="330" spans="1:10" x14ac:dyDescent="0.3">
      <c r="A330" s="15" t="s">
        <v>648</v>
      </c>
      <c r="B330" s="15" t="s">
        <v>51</v>
      </c>
      <c r="C330" s="15" t="s">
        <v>79</v>
      </c>
      <c r="D330" s="15" t="s">
        <v>13</v>
      </c>
      <c r="E330" s="15">
        <v>14</v>
      </c>
      <c r="F330" s="15">
        <v>9</v>
      </c>
      <c r="G330" s="15" t="s">
        <v>25</v>
      </c>
      <c r="H330" s="15" t="s">
        <v>15</v>
      </c>
      <c r="I330" s="15" t="s">
        <v>649</v>
      </c>
      <c r="J330" s="15">
        <v>77</v>
      </c>
    </row>
    <row r="331" spans="1:10" x14ac:dyDescent="0.3">
      <c r="A331" s="15" t="s">
        <v>650</v>
      </c>
      <c r="B331" s="15" t="s">
        <v>23</v>
      </c>
      <c r="C331" s="15" t="s">
        <v>24</v>
      </c>
      <c r="D331" s="15" t="s">
        <v>13</v>
      </c>
      <c r="E331" s="15">
        <v>17</v>
      </c>
      <c r="F331" s="15">
        <v>12</v>
      </c>
      <c r="G331" s="15" t="s">
        <v>25</v>
      </c>
      <c r="H331" s="15" t="s">
        <v>46</v>
      </c>
      <c r="I331" s="15" t="s">
        <v>651</v>
      </c>
      <c r="J331" s="15">
        <v>45</v>
      </c>
    </row>
    <row r="332" spans="1:10" x14ac:dyDescent="0.3">
      <c r="A332" s="15" t="s">
        <v>652</v>
      </c>
      <c r="B332" s="15" t="s">
        <v>51</v>
      </c>
      <c r="C332" s="15" t="s">
        <v>55</v>
      </c>
      <c r="D332" s="15" t="s">
        <v>13</v>
      </c>
      <c r="E332" s="15">
        <v>16</v>
      </c>
      <c r="F332" s="15">
        <v>12</v>
      </c>
      <c r="G332" s="15" t="s">
        <v>32</v>
      </c>
      <c r="H332" s="15" t="s">
        <v>61</v>
      </c>
      <c r="I332" s="15" t="s">
        <v>653</v>
      </c>
      <c r="J332" s="15">
        <v>45</v>
      </c>
    </row>
    <row r="333" spans="1:10" x14ac:dyDescent="0.3">
      <c r="A333" s="15" t="s">
        <v>654</v>
      </c>
      <c r="B333" s="15" t="s">
        <v>18</v>
      </c>
      <c r="C333" s="15" t="s">
        <v>24</v>
      </c>
      <c r="D333" s="15" t="s">
        <v>31</v>
      </c>
      <c r="E333" s="15">
        <v>14</v>
      </c>
      <c r="F333" s="15">
        <v>12</v>
      </c>
      <c r="G333" s="15" t="s">
        <v>14</v>
      </c>
      <c r="H333" s="15" t="s">
        <v>46</v>
      </c>
      <c r="I333" s="15" t="s">
        <v>655</v>
      </c>
      <c r="J333" s="15">
        <v>42</v>
      </c>
    </row>
    <row r="334" spans="1:10" x14ac:dyDescent="0.3">
      <c r="A334" s="15" t="s">
        <v>656</v>
      </c>
      <c r="B334" s="15" t="s">
        <v>29</v>
      </c>
      <c r="C334" s="15" t="s">
        <v>30</v>
      </c>
      <c r="D334" s="15" t="s">
        <v>13</v>
      </c>
      <c r="E334" s="15">
        <v>19</v>
      </c>
      <c r="F334" s="15">
        <v>10</v>
      </c>
      <c r="G334" s="15" t="s">
        <v>43</v>
      </c>
      <c r="H334" s="15" t="s">
        <v>15</v>
      </c>
      <c r="I334" s="15" t="s">
        <v>657</v>
      </c>
      <c r="J334" s="15">
        <v>85</v>
      </c>
    </row>
    <row r="335" spans="1:10" x14ac:dyDescent="0.3">
      <c r="A335" s="15" t="s">
        <v>658</v>
      </c>
      <c r="B335" s="15" t="s">
        <v>11</v>
      </c>
      <c r="C335" s="15" t="s">
        <v>96</v>
      </c>
      <c r="D335" s="15" t="s">
        <v>31</v>
      </c>
      <c r="E335" s="15">
        <v>20</v>
      </c>
      <c r="F335" s="15">
        <v>10</v>
      </c>
      <c r="G335" s="15" t="s">
        <v>43</v>
      </c>
      <c r="H335" s="15" t="s">
        <v>37</v>
      </c>
      <c r="I335" s="15" t="s">
        <v>659</v>
      </c>
      <c r="J335" s="15">
        <v>62</v>
      </c>
    </row>
    <row r="336" spans="1:10" x14ac:dyDescent="0.3">
      <c r="A336" s="15" t="s">
        <v>660</v>
      </c>
      <c r="B336" s="15" t="s">
        <v>23</v>
      </c>
      <c r="C336" s="15" t="s">
        <v>12</v>
      </c>
      <c r="D336" s="15" t="s">
        <v>13</v>
      </c>
      <c r="E336" s="15">
        <v>16</v>
      </c>
      <c r="F336" s="15">
        <v>11</v>
      </c>
      <c r="G336" s="15" t="s">
        <v>25</v>
      </c>
      <c r="H336" s="15" t="s">
        <v>40</v>
      </c>
      <c r="I336" s="15" t="s">
        <v>41</v>
      </c>
      <c r="J336" s="15">
        <v>86</v>
      </c>
    </row>
    <row r="337" spans="1:10" x14ac:dyDescent="0.3">
      <c r="A337" s="15" t="s">
        <v>661</v>
      </c>
      <c r="B337" s="15" t="s">
        <v>54</v>
      </c>
      <c r="C337" s="15" t="s">
        <v>12</v>
      </c>
      <c r="D337" s="15" t="s">
        <v>31</v>
      </c>
      <c r="E337" s="15">
        <v>19</v>
      </c>
      <c r="F337" s="15">
        <v>10</v>
      </c>
      <c r="G337" s="15" t="s">
        <v>14</v>
      </c>
      <c r="H337" s="15" t="s">
        <v>76</v>
      </c>
      <c r="I337" s="15" t="s">
        <v>662</v>
      </c>
      <c r="J337" s="15">
        <v>54</v>
      </c>
    </row>
    <row r="338" spans="1:10" x14ac:dyDescent="0.3">
      <c r="A338" s="15" t="s">
        <v>663</v>
      </c>
      <c r="B338" s="15" t="s">
        <v>73</v>
      </c>
      <c r="C338" s="15" t="s">
        <v>36</v>
      </c>
      <c r="D338" s="15" t="s">
        <v>13</v>
      </c>
      <c r="E338" s="15">
        <v>20</v>
      </c>
      <c r="F338" s="15">
        <v>12</v>
      </c>
      <c r="G338" s="15" t="s">
        <v>25</v>
      </c>
      <c r="H338" s="15" t="s">
        <v>40</v>
      </c>
      <c r="I338" s="15" t="s">
        <v>664</v>
      </c>
      <c r="J338" s="15">
        <v>50</v>
      </c>
    </row>
    <row r="339" spans="1:10" x14ac:dyDescent="0.3">
      <c r="A339" s="15" t="s">
        <v>665</v>
      </c>
      <c r="B339" s="15" t="s">
        <v>51</v>
      </c>
      <c r="C339" s="15" t="s">
        <v>96</v>
      </c>
      <c r="D339" s="15" t="s">
        <v>13</v>
      </c>
      <c r="E339" s="15">
        <v>14</v>
      </c>
      <c r="F339" s="15">
        <v>10</v>
      </c>
      <c r="G339" s="15" t="s">
        <v>14</v>
      </c>
      <c r="H339" s="15" t="s">
        <v>37</v>
      </c>
      <c r="I339" s="15" t="s">
        <v>666</v>
      </c>
      <c r="J339" s="15">
        <v>68</v>
      </c>
    </row>
    <row r="340" spans="1:10" x14ac:dyDescent="0.3">
      <c r="A340" s="15" t="s">
        <v>667</v>
      </c>
      <c r="B340" s="15" t="s">
        <v>35</v>
      </c>
      <c r="C340" s="15" t="s">
        <v>12</v>
      </c>
      <c r="D340" s="15" t="s">
        <v>31</v>
      </c>
      <c r="E340" s="15">
        <v>15</v>
      </c>
      <c r="F340" s="15">
        <v>12</v>
      </c>
      <c r="G340" s="15" t="s">
        <v>14</v>
      </c>
      <c r="H340" s="15" t="s">
        <v>46</v>
      </c>
      <c r="I340" s="15" t="s">
        <v>668</v>
      </c>
      <c r="J340" s="15">
        <v>82</v>
      </c>
    </row>
    <row r="341" spans="1:10" x14ac:dyDescent="0.3">
      <c r="A341" s="15" t="s">
        <v>669</v>
      </c>
      <c r="B341" s="15" t="s">
        <v>11</v>
      </c>
      <c r="C341" s="15" t="s">
        <v>24</v>
      </c>
      <c r="D341" s="15" t="s">
        <v>13</v>
      </c>
      <c r="E341" s="15">
        <v>19</v>
      </c>
      <c r="F341" s="15">
        <v>9</v>
      </c>
      <c r="G341" s="15" t="s">
        <v>32</v>
      </c>
      <c r="H341" s="15" t="s">
        <v>40</v>
      </c>
      <c r="I341" s="15" t="s">
        <v>670</v>
      </c>
      <c r="J341" s="15">
        <v>51</v>
      </c>
    </row>
    <row r="342" spans="1:10" x14ac:dyDescent="0.3">
      <c r="A342" s="15" t="s">
        <v>671</v>
      </c>
      <c r="B342" s="15" t="s">
        <v>11</v>
      </c>
      <c r="C342" s="15" t="s">
        <v>36</v>
      </c>
      <c r="D342" s="15" t="s">
        <v>13</v>
      </c>
      <c r="E342" s="15">
        <v>14</v>
      </c>
      <c r="F342" s="15">
        <v>10</v>
      </c>
      <c r="G342" s="15" t="s">
        <v>32</v>
      </c>
      <c r="H342" s="15" t="s">
        <v>40</v>
      </c>
      <c r="I342" s="15" t="s">
        <v>672</v>
      </c>
      <c r="J342" s="15">
        <v>64</v>
      </c>
    </row>
    <row r="343" spans="1:10" x14ac:dyDescent="0.3">
      <c r="A343" s="15" t="s">
        <v>673</v>
      </c>
      <c r="B343" s="15" t="s">
        <v>11</v>
      </c>
      <c r="C343" s="15" t="s">
        <v>19</v>
      </c>
      <c r="D343" s="15" t="s">
        <v>31</v>
      </c>
      <c r="E343" s="15">
        <v>17</v>
      </c>
      <c r="F343" s="15">
        <v>10</v>
      </c>
      <c r="G343" s="15" t="s">
        <v>32</v>
      </c>
      <c r="H343" s="15" t="s">
        <v>46</v>
      </c>
      <c r="I343" s="15" t="s">
        <v>674</v>
      </c>
      <c r="J343" s="15">
        <v>85</v>
      </c>
    </row>
    <row r="344" spans="1:10" x14ac:dyDescent="0.3">
      <c r="A344" s="15" t="s">
        <v>675</v>
      </c>
      <c r="B344" s="15" t="s">
        <v>73</v>
      </c>
      <c r="C344" s="15" t="s">
        <v>24</v>
      </c>
      <c r="D344" s="15" t="s">
        <v>13</v>
      </c>
      <c r="E344" s="15">
        <v>19</v>
      </c>
      <c r="F344" s="15">
        <v>11</v>
      </c>
      <c r="G344" s="15" t="s">
        <v>14</v>
      </c>
      <c r="H344" s="15" t="s">
        <v>37</v>
      </c>
      <c r="I344" s="15" t="s">
        <v>676</v>
      </c>
      <c r="J344" s="15">
        <v>51</v>
      </c>
    </row>
    <row r="345" spans="1:10" x14ac:dyDescent="0.3">
      <c r="A345" s="15" t="s">
        <v>677</v>
      </c>
      <c r="B345" s="15" t="s">
        <v>23</v>
      </c>
      <c r="C345" s="15" t="s">
        <v>85</v>
      </c>
      <c r="D345" s="15" t="s">
        <v>13</v>
      </c>
      <c r="E345" s="15">
        <v>20</v>
      </c>
      <c r="F345" s="15">
        <v>10</v>
      </c>
      <c r="G345" s="15" t="s">
        <v>32</v>
      </c>
      <c r="H345" s="15" t="s">
        <v>40</v>
      </c>
      <c r="I345" s="15" t="s">
        <v>678</v>
      </c>
      <c r="J345" s="15">
        <v>56</v>
      </c>
    </row>
    <row r="346" spans="1:10" x14ac:dyDescent="0.3">
      <c r="A346" s="15" t="s">
        <v>679</v>
      </c>
      <c r="B346" s="15" t="s">
        <v>18</v>
      </c>
      <c r="C346" s="15" t="s">
        <v>96</v>
      </c>
      <c r="D346" s="15" t="s">
        <v>13</v>
      </c>
      <c r="E346" s="15">
        <v>14</v>
      </c>
      <c r="F346" s="15">
        <v>12</v>
      </c>
      <c r="G346" s="15" t="s">
        <v>32</v>
      </c>
      <c r="H346" s="15" t="s">
        <v>46</v>
      </c>
      <c r="I346" s="15" t="s">
        <v>680</v>
      </c>
      <c r="J346" s="15">
        <v>44</v>
      </c>
    </row>
    <row r="347" spans="1:10" x14ac:dyDescent="0.3">
      <c r="A347" s="15" t="s">
        <v>681</v>
      </c>
      <c r="B347" s="15" t="s">
        <v>35</v>
      </c>
      <c r="C347" s="15" t="s">
        <v>36</v>
      </c>
      <c r="D347" s="15" t="s">
        <v>13</v>
      </c>
      <c r="E347" s="15">
        <v>14</v>
      </c>
      <c r="F347" s="15">
        <v>9</v>
      </c>
      <c r="G347" s="15" t="s">
        <v>43</v>
      </c>
      <c r="H347" s="15" t="s">
        <v>46</v>
      </c>
      <c r="I347" s="15" t="s">
        <v>682</v>
      </c>
      <c r="J347" s="15">
        <v>67</v>
      </c>
    </row>
    <row r="348" spans="1:10" x14ac:dyDescent="0.3">
      <c r="A348" s="15" t="s">
        <v>683</v>
      </c>
      <c r="B348" s="15" t="s">
        <v>84</v>
      </c>
      <c r="C348" s="15" t="s">
        <v>55</v>
      </c>
      <c r="D348" s="15" t="s">
        <v>31</v>
      </c>
      <c r="E348" s="15">
        <v>16</v>
      </c>
      <c r="F348" s="15">
        <v>12</v>
      </c>
      <c r="G348" s="15" t="s">
        <v>14</v>
      </c>
      <c r="H348" s="15" t="s">
        <v>76</v>
      </c>
      <c r="I348" s="15" t="s">
        <v>125</v>
      </c>
      <c r="J348" s="15">
        <v>60</v>
      </c>
    </row>
    <row r="349" spans="1:10" x14ac:dyDescent="0.3">
      <c r="A349" s="15" t="s">
        <v>684</v>
      </c>
      <c r="B349" s="15" t="s">
        <v>54</v>
      </c>
      <c r="C349" s="15" t="s">
        <v>24</v>
      </c>
      <c r="D349" s="15" t="s">
        <v>31</v>
      </c>
      <c r="E349" s="15">
        <v>17</v>
      </c>
      <c r="F349" s="15">
        <v>10</v>
      </c>
      <c r="G349" s="15" t="s">
        <v>43</v>
      </c>
      <c r="H349" s="15" t="s">
        <v>46</v>
      </c>
      <c r="I349" s="15" t="s">
        <v>685</v>
      </c>
      <c r="J349" s="15">
        <v>74</v>
      </c>
    </row>
    <row r="350" spans="1:10" x14ac:dyDescent="0.3">
      <c r="A350" s="15" t="s">
        <v>686</v>
      </c>
      <c r="B350" s="15" t="s">
        <v>23</v>
      </c>
      <c r="C350" s="15" t="s">
        <v>96</v>
      </c>
      <c r="D350" s="15" t="s">
        <v>31</v>
      </c>
      <c r="E350" s="15">
        <v>16</v>
      </c>
      <c r="F350" s="15">
        <v>9</v>
      </c>
      <c r="G350" s="15" t="s">
        <v>25</v>
      </c>
      <c r="H350" s="15" t="s">
        <v>20</v>
      </c>
      <c r="I350" s="15" t="s">
        <v>277</v>
      </c>
      <c r="J350" s="15">
        <v>71</v>
      </c>
    </row>
    <row r="351" spans="1:10" x14ac:dyDescent="0.3">
      <c r="A351" s="15" t="s">
        <v>687</v>
      </c>
      <c r="B351" s="15" t="s">
        <v>84</v>
      </c>
      <c r="C351" s="15" t="s">
        <v>19</v>
      </c>
      <c r="D351" s="15" t="s">
        <v>13</v>
      </c>
      <c r="E351" s="15">
        <v>16</v>
      </c>
      <c r="F351" s="15">
        <v>10</v>
      </c>
      <c r="G351" s="15" t="s">
        <v>25</v>
      </c>
      <c r="H351" s="15" t="s">
        <v>46</v>
      </c>
      <c r="I351" s="15" t="s">
        <v>564</v>
      </c>
      <c r="J351" s="15">
        <v>52</v>
      </c>
    </row>
    <row r="352" spans="1:10" x14ac:dyDescent="0.3">
      <c r="A352" s="15" t="s">
        <v>688</v>
      </c>
      <c r="B352" s="15" t="s">
        <v>23</v>
      </c>
      <c r="C352" s="15" t="s">
        <v>96</v>
      </c>
      <c r="D352" s="15" t="s">
        <v>31</v>
      </c>
      <c r="E352" s="15">
        <v>19</v>
      </c>
      <c r="F352" s="15">
        <v>10</v>
      </c>
      <c r="G352" s="15" t="s">
        <v>25</v>
      </c>
      <c r="H352" s="15" t="s">
        <v>40</v>
      </c>
      <c r="I352" s="15" t="s">
        <v>195</v>
      </c>
      <c r="J352" s="15">
        <v>55</v>
      </c>
    </row>
    <row r="353" spans="1:10" x14ac:dyDescent="0.3">
      <c r="A353" s="15" t="s">
        <v>689</v>
      </c>
      <c r="B353" s="15" t="s">
        <v>68</v>
      </c>
      <c r="C353" s="15" t="s">
        <v>96</v>
      </c>
      <c r="D353" s="15" t="s">
        <v>13</v>
      </c>
      <c r="E353" s="15">
        <v>20</v>
      </c>
      <c r="F353" s="15">
        <v>12</v>
      </c>
      <c r="G353" s="15" t="s">
        <v>43</v>
      </c>
      <c r="H353" s="15" t="s">
        <v>20</v>
      </c>
      <c r="I353" s="15" t="s">
        <v>626</v>
      </c>
      <c r="J353" s="15">
        <v>48</v>
      </c>
    </row>
    <row r="354" spans="1:10" x14ac:dyDescent="0.3">
      <c r="A354" s="15" t="s">
        <v>690</v>
      </c>
      <c r="B354" s="15" t="s">
        <v>23</v>
      </c>
      <c r="C354" s="15" t="s">
        <v>85</v>
      </c>
      <c r="D354" s="15" t="s">
        <v>13</v>
      </c>
      <c r="E354" s="15">
        <v>19</v>
      </c>
      <c r="F354" s="15">
        <v>9</v>
      </c>
      <c r="G354" s="15" t="s">
        <v>14</v>
      </c>
      <c r="H354" s="15" t="s">
        <v>76</v>
      </c>
      <c r="I354" s="15" t="s">
        <v>635</v>
      </c>
      <c r="J354" s="15">
        <v>91</v>
      </c>
    </row>
    <row r="355" spans="1:10" x14ac:dyDescent="0.3">
      <c r="A355" s="15" t="s">
        <v>691</v>
      </c>
      <c r="B355" s="15" t="s">
        <v>84</v>
      </c>
      <c r="C355" s="15" t="s">
        <v>55</v>
      </c>
      <c r="D355" s="15" t="s">
        <v>13</v>
      </c>
      <c r="E355" s="15">
        <v>16</v>
      </c>
      <c r="F355" s="15">
        <v>10</v>
      </c>
      <c r="G355" s="15" t="s">
        <v>43</v>
      </c>
      <c r="H355" s="15" t="s">
        <v>46</v>
      </c>
      <c r="I355" s="15" t="s">
        <v>692</v>
      </c>
      <c r="J355" s="15">
        <v>91</v>
      </c>
    </row>
    <row r="356" spans="1:10" x14ac:dyDescent="0.3">
      <c r="A356" s="15" t="s">
        <v>693</v>
      </c>
      <c r="B356" s="15" t="s">
        <v>73</v>
      </c>
      <c r="C356" s="15" t="s">
        <v>58</v>
      </c>
      <c r="D356" s="15" t="s">
        <v>31</v>
      </c>
      <c r="E356" s="15">
        <v>16</v>
      </c>
      <c r="F356" s="15">
        <v>11</v>
      </c>
      <c r="G356" s="15" t="s">
        <v>25</v>
      </c>
      <c r="H356" s="15" t="s">
        <v>37</v>
      </c>
      <c r="I356" s="15" t="s">
        <v>694</v>
      </c>
      <c r="J356" s="15">
        <v>65</v>
      </c>
    </row>
    <row r="357" spans="1:10" x14ac:dyDescent="0.3">
      <c r="A357" s="15" t="s">
        <v>695</v>
      </c>
      <c r="B357" s="15" t="s">
        <v>51</v>
      </c>
      <c r="C357" s="15" t="s">
        <v>24</v>
      </c>
      <c r="D357" s="15" t="s">
        <v>13</v>
      </c>
      <c r="E357" s="15">
        <v>17</v>
      </c>
      <c r="F357" s="15">
        <v>9</v>
      </c>
      <c r="G357" s="15" t="s">
        <v>32</v>
      </c>
      <c r="H357" s="15" t="s">
        <v>15</v>
      </c>
      <c r="I357" s="15" t="s">
        <v>696</v>
      </c>
      <c r="J357" s="15">
        <v>69</v>
      </c>
    </row>
    <row r="358" spans="1:10" x14ac:dyDescent="0.3">
      <c r="A358" s="15" t="s">
        <v>697</v>
      </c>
      <c r="B358" s="15" t="s">
        <v>29</v>
      </c>
      <c r="C358" s="15" t="s">
        <v>30</v>
      </c>
      <c r="D358" s="15" t="s">
        <v>31</v>
      </c>
      <c r="E358" s="15">
        <v>19</v>
      </c>
      <c r="F358" s="15">
        <v>10</v>
      </c>
      <c r="G358" s="15" t="s">
        <v>25</v>
      </c>
      <c r="H358" s="15" t="s">
        <v>61</v>
      </c>
      <c r="I358" s="15" t="s">
        <v>698</v>
      </c>
      <c r="J358" s="15">
        <v>75</v>
      </c>
    </row>
    <row r="359" spans="1:10" x14ac:dyDescent="0.3">
      <c r="A359" s="15" t="s">
        <v>699</v>
      </c>
      <c r="B359" s="15" t="s">
        <v>11</v>
      </c>
      <c r="C359" s="15" t="s">
        <v>30</v>
      </c>
      <c r="D359" s="15" t="s">
        <v>31</v>
      </c>
      <c r="E359" s="15">
        <v>16</v>
      </c>
      <c r="F359" s="15">
        <v>11</v>
      </c>
      <c r="G359" s="15" t="s">
        <v>43</v>
      </c>
      <c r="H359" s="15" t="s">
        <v>40</v>
      </c>
      <c r="I359" s="15" t="s">
        <v>97</v>
      </c>
      <c r="J359" s="15">
        <v>72</v>
      </c>
    </row>
    <row r="360" spans="1:10" x14ac:dyDescent="0.3">
      <c r="A360" s="15" t="s">
        <v>700</v>
      </c>
      <c r="B360" s="15" t="s">
        <v>23</v>
      </c>
      <c r="C360" s="15" t="s">
        <v>55</v>
      </c>
      <c r="D360" s="15" t="s">
        <v>31</v>
      </c>
      <c r="E360" s="15">
        <v>20</v>
      </c>
      <c r="F360" s="15">
        <v>10</v>
      </c>
      <c r="G360" s="15" t="s">
        <v>14</v>
      </c>
      <c r="H360" s="15" t="s">
        <v>15</v>
      </c>
      <c r="I360" s="15" t="s">
        <v>678</v>
      </c>
      <c r="J360" s="15">
        <v>59</v>
      </c>
    </row>
    <row r="361" spans="1:10" x14ac:dyDescent="0.3">
      <c r="A361" s="15" t="s">
        <v>701</v>
      </c>
      <c r="B361" s="15" t="s">
        <v>54</v>
      </c>
      <c r="C361" s="15" t="s">
        <v>30</v>
      </c>
      <c r="D361" s="15" t="s">
        <v>31</v>
      </c>
      <c r="E361" s="15">
        <v>15</v>
      </c>
      <c r="F361" s="15">
        <v>11</v>
      </c>
      <c r="G361" s="15" t="s">
        <v>14</v>
      </c>
      <c r="H361" s="15" t="s">
        <v>76</v>
      </c>
      <c r="I361" s="15" t="s">
        <v>702</v>
      </c>
      <c r="J361" s="15">
        <v>42</v>
      </c>
    </row>
    <row r="362" spans="1:10" x14ac:dyDescent="0.3">
      <c r="A362" s="15" t="s">
        <v>703</v>
      </c>
      <c r="B362" s="15" t="s">
        <v>73</v>
      </c>
      <c r="C362" s="15" t="s">
        <v>30</v>
      </c>
      <c r="D362" s="15" t="s">
        <v>31</v>
      </c>
      <c r="E362" s="15">
        <v>17</v>
      </c>
      <c r="F362" s="15">
        <v>12</v>
      </c>
      <c r="G362" s="15" t="s">
        <v>32</v>
      </c>
      <c r="H362" s="15" t="s">
        <v>40</v>
      </c>
      <c r="I362" s="15" t="s">
        <v>704</v>
      </c>
      <c r="J362" s="15">
        <v>93</v>
      </c>
    </row>
    <row r="363" spans="1:10" x14ac:dyDescent="0.3">
      <c r="A363" s="15" t="s">
        <v>705</v>
      </c>
      <c r="B363" s="15" t="s">
        <v>84</v>
      </c>
      <c r="C363" s="15" t="s">
        <v>55</v>
      </c>
      <c r="D363" s="15" t="s">
        <v>31</v>
      </c>
      <c r="E363" s="15">
        <v>14</v>
      </c>
      <c r="F363" s="15">
        <v>12</v>
      </c>
      <c r="G363" s="15" t="s">
        <v>43</v>
      </c>
      <c r="H363" s="15" t="s">
        <v>76</v>
      </c>
      <c r="I363" s="15" t="s">
        <v>706</v>
      </c>
      <c r="J363" s="15">
        <v>63</v>
      </c>
    </row>
    <row r="364" spans="1:10" x14ac:dyDescent="0.3">
      <c r="A364" s="15" t="s">
        <v>707</v>
      </c>
      <c r="B364" s="15" t="s">
        <v>68</v>
      </c>
      <c r="C364" s="15" t="s">
        <v>96</v>
      </c>
      <c r="D364" s="15" t="s">
        <v>31</v>
      </c>
      <c r="E364" s="15">
        <v>20</v>
      </c>
      <c r="F364" s="15">
        <v>12</v>
      </c>
      <c r="G364" s="15" t="s">
        <v>43</v>
      </c>
      <c r="H364" s="15" t="s">
        <v>37</v>
      </c>
      <c r="I364" s="15" t="s">
        <v>708</v>
      </c>
      <c r="J364" s="15">
        <v>35</v>
      </c>
    </row>
    <row r="365" spans="1:10" x14ac:dyDescent="0.3">
      <c r="A365" s="15" t="s">
        <v>709</v>
      </c>
      <c r="B365" s="15" t="s">
        <v>54</v>
      </c>
      <c r="C365" s="15" t="s">
        <v>19</v>
      </c>
      <c r="D365" s="15" t="s">
        <v>31</v>
      </c>
      <c r="E365" s="15">
        <v>18</v>
      </c>
      <c r="F365" s="15">
        <v>10</v>
      </c>
      <c r="G365" s="15" t="s">
        <v>43</v>
      </c>
      <c r="H365" s="15" t="s">
        <v>37</v>
      </c>
      <c r="I365" s="15" t="s">
        <v>710</v>
      </c>
      <c r="J365" s="15">
        <v>89</v>
      </c>
    </row>
    <row r="366" spans="1:10" x14ac:dyDescent="0.3">
      <c r="A366" s="15" t="s">
        <v>711</v>
      </c>
      <c r="B366" s="15" t="s">
        <v>29</v>
      </c>
      <c r="C366" s="15" t="s">
        <v>79</v>
      </c>
      <c r="D366" s="15" t="s">
        <v>13</v>
      </c>
      <c r="E366" s="15">
        <v>14</v>
      </c>
      <c r="F366" s="15">
        <v>9</v>
      </c>
      <c r="G366" s="15" t="s">
        <v>32</v>
      </c>
      <c r="H366" s="15" t="s">
        <v>15</v>
      </c>
      <c r="I366" s="15" t="s">
        <v>712</v>
      </c>
      <c r="J366" s="15">
        <v>72</v>
      </c>
    </row>
    <row r="367" spans="1:10" x14ac:dyDescent="0.3">
      <c r="A367" s="15" t="s">
        <v>713</v>
      </c>
      <c r="B367" s="15" t="s">
        <v>29</v>
      </c>
      <c r="C367" s="15" t="s">
        <v>24</v>
      </c>
      <c r="D367" s="15" t="s">
        <v>31</v>
      </c>
      <c r="E367" s="15">
        <v>16</v>
      </c>
      <c r="F367" s="15">
        <v>12</v>
      </c>
      <c r="G367" s="15" t="s">
        <v>32</v>
      </c>
      <c r="H367" s="15" t="s">
        <v>26</v>
      </c>
      <c r="I367" s="15" t="s">
        <v>714</v>
      </c>
      <c r="J367" s="15">
        <v>57</v>
      </c>
    </row>
    <row r="368" spans="1:10" x14ac:dyDescent="0.3">
      <c r="A368" s="15" t="s">
        <v>715</v>
      </c>
      <c r="B368" s="15" t="s">
        <v>51</v>
      </c>
      <c r="C368" s="15" t="s">
        <v>79</v>
      </c>
      <c r="D368" s="15" t="s">
        <v>13</v>
      </c>
      <c r="E368" s="15">
        <v>19</v>
      </c>
      <c r="F368" s="15">
        <v>10</v>
      </c>
      <c r="G368" s="15" t="s">
        <v>32</v>
      </c>
      <c r="H368" s="15" t="s">
        <v>40</v>
      </c>
      <c r="I368" s="15" t="s">
        <v>702</v>
      </c>
      <c r="J368" s="15">
        <v>84</v>
      </c>
    </row>
    <row r="369" spans="1:10" x14ac:dyDescent="0.3">
      <c r="A369" s="15" t="s">
        <v>716</v>
      </c>
      <c r="B369" s="15" t="s">
        <v>23</v>
      </c>
      <c r="C369" s="15" t="s">
        <v>58</v>
      </c>
      <c r="D369" s="15" t="s">
        <v>31</v>
      </c>
      <c r="E369" s="15">
        <v>17</v>
      </c>
      <c r="F369" s="15">
        <v>9</v>
      </c>
      <c r="G369" s="15" t="s">
        <v>25</v>
      </c>
      <c r="H369" s="15" t="s">
        <v>15</v>
      </c>
      <c r="I369" s="15" t="s">
        <v>717</v>
      </c>
      <c r="J369" s="15">
        <v>51</v>
      </c>
    </row>
    <row r="370" spans="1:10" x14ac:dyDescent="0.3">
      <c r="A370" s="15" t="s">
        <v>718</v>
      </c>
      <c r="B370" s="15" t="s">
        <v>84</v>
      </c>
      <c r="C370" s="15" t="s">
        <v>12</v>
      </c>
      <c r="D370" s="15" t="s">
        <v>31</v>
      </c>
      <c r="E370" s="15">
        <v>20</v>
      </c>
      <c r="F370" s="15">
        <v>10</v>
      </c>
      <c r="G370" s="15" t="s">
        <v>25</v>
      </c>
      <c r="H370" s="15" t="s">
        <v>61</v>
      </c>
      <c r="I370" s="15" t="s">
        <v>639</v>
      </c>
      <c r="J370" s="15">
        <v>35</v>
      </c>
    </row>
    <row r="371" spans="1:10" x14ac:dyDescent="0.3">
      <c r="A371" s="15" t="s">
        <v>719</v>
      </c>
      <c r="B371" s="15" t="s">
        <v>18</v>
      </c>
      <c r="C371" s="15" t="s">
        <v>24</v>
      </c>
      <c r="D371" s="15" t="s">
        <v>31</v>
      </c>
      <c r="E371" s="15">
        <v>18</v>
      </c>
      <c r="F371" s="15">
        <v>11</v>
      </c>
      <c r="G371" s="15" t="s">
        <v>43</v>
      </c>
      <c r="H371" s="15" t="s">
        <v>40</v>
      </c>
      <c r="I371" s="15" t="s">
        <v>720</v>
      </c>
      <c r="J371" s="15">
        <v>83</v>
      </c>
    </row>
    <row r="372" spans="1:10" x14ac:dyDescent="0.3">
      <c r="A372" s="15" t="s">
        <v>721</v>
      </c>
      <c r="B372" s="15" t="s">
        <v>23</v>
      </c>
      <c r="C372" s="15" t="s">
        <v>19</v>
      </c>
      <c r="D372" s="15" t="s">
        <v>31</v>
      </c>
      <c r="E372" s="15">
        <v>18</v>
      </c>
      <c r="F372" s="15">
        <v>10</v>
      </c>
      <c r="G372" s="15" t="s">
        <v>14</v>
      </c>
      <c r="H372" s="15" t="s">
        <v>26</v>
      </c>
      <c r="I372" s="15" t="s">
        <v>722</v>
      </c>
      <c r="J372" s="15">
        <v>43</v>
      </c>
    </row>
    <row r="373" spans="1:10" x14ac:dyDescent="0.3">
      <c r="A373" s="15" t="s">
        <v>723</v>
      </c>
      <c r="B373" s="15" t="s">
        <v>68</v>
      </c>
      <c r="C373" s="15" t="s">
        <v>79</v>
      </c>
      <c r="D373" s="15" t="s">
        <v>31</v>
      </c>
      <c r="E373" s="15">
        <v>19</v>
      </c>
      <c r="F373" s="15">
        <v>12</v>
      </c>
      <c r="G373" s="15" t="s">
        <v>25</v>
      </c>
      <c r="H373" s="15" t="s">
        <v>40</v>
      </c>
      <c r="I373" s="15" t="s">
        <v>724</v>
      </c>
      <c r="J373" s="15">
        <v>65</v>
      </c>
    </row>
    <row r="374" spans="1:10" x14ac:dyDescent="0.3">
      <c r="A374" s="15" t="s">
        <v>725</v>
      </c>
      <c r="B374" s="15" t="s">
        <v>11</v>
      </c>
      <c r="C374" s="15" t="s">
        <v>55</v>
      </c>
      <c r="D374" s="15" t="s">
        <v>31</v>
      </c>
      <c r="E374" s="15">
        <v>15</v>
      </c>
      <c r="F374" s="15">
        <v>9</v>
      </c>
      <c r="G374" s="15" t="s">
        <v>25</v>
      </c>
      <c r="H374" s="15" t="s">
        <v>37</v>
      </c>
      <c r="I374" s="15" t="s">
        <v>726</v>
      </c>
      <c r="J374" s="15">
        <v>72</v>
      </c>
    </row>
    <row r="375" spans="1:10" x14ac:dyDescent="0.3">
      <c r="A375" s="15" t="s">
        <v>727</v>
      </c>
      <c r="B375" s="15" t="s">
        <v>68</v>
      </c>
      <c r="C375" s="15" t="s">
        <v>12</v>
      </c>
      <c r="D375" s="15" t="s">
        <v>13</v>
      </c>
      <c r="E375" s="15">
        <v>14</v>
      </c>
      <c r="F375" s="15">
        <v>9</v>
      </c>
      <c r="G375" s="15" t="s">
        <v>14</v>
      </c>
      <c r="H375" s="15" t="s">
        <v>20</v>
      </c>
      <c r="I375" s="15" t="s">
        <v>728</v>
      </c>
      <c r="J375" s="15">
        <v>68</v>
      </c>
    </row>
    <row r="376" spans="1:10" x14ac:dyDescent="0.3">
      <c r="A376" s="15" t="s">
        <v>729</v>
      </c>
      <c r="B376" s="15" t="s">
        <v>35</v>
      </c>
      <c r="C376" s="15" t="s">
        <v>79</v>
      </c>
      <c r="D376" s="15" t="s">
        <v>13</v>
      </c>
      <c r="E376" s="15">
        <v>15</v>
      </c>
      <c r="F376" s="15">
        <v>9</v>
      </c>
      <c r="G376" s="15" t="s">
        <v>43</v>
      </c>
      <c r="H376" s="15" t="s">
        <v>76</v>
      </c>
      <c r="I376" s="15" t="s">
        <v>730</v>
      </c>
      <c r="J376" s="15">
        <v>39</v>
      </c>
    </row>
    <row r="377" spans="1:10" x14ac:dyDescent="0.3">
      <c r="A377" s="15" t="s">
        <v>731</v>
      </c>
      <c r="B377" s="15" t="s">
        <v>84</v>
      </c>
      <c r="C377" s="15" t="s">
        <v>85</v>
      </c>
      <c r="D377" s="15" t="s">
        <v>31</v>
      </c>
      <c r="E377" s="15">
        <v>17</v>
      </c>
      <c r="F377" s="15">
        <v>9</v>
      </c>
      <c r="G377" s="15" t="s">
        <v>43</v>
      </c>
      <c r="H377" s="15" t="s">
        <v>76</v>
      </c>
      <c r="I377" s="15" t="s">
        <v>732</v>
      </c>
      <c r="J377" s="15">
        <v>97</v>
      </c>
    </row>
    <row r="378" spans="1:10" x14ac:dyDescent="0.3">
      <c r="A378" s="15" t="s">
        <v>733</v>
      </c>
      <c r="B378" s="15" t="s">
        <v>84</v>
      </c>
      <c r="C378" s="15" t="s">
        <v>85</v>
      </c>
      <c r="D378" s="15" t="s">
        <v>31</v>
      </c>
      <c r="E378" s="15">
        <v>17</v>
      </c>
      <c r="F378" s="15">
        <v>12</v>
      </c>
      <c r="G378" s="15" t="s">
        <v>43</v>
      </c>
      <c r="H378" s="15" t="s">
        <v>15</v>
      </c>
      <c r="I378" s="15" t="s">
        <v>734</v>
      </c>
      <c r="J378" s="15">
        <v>77</v>
      </c>
    </row>
    <row r="379" spans="1:10" x14ac:dyDescent="0.3">
      <c r="A379" s="15" t="s">
        <v>735</v>
      </c>
      <c r="B379" s="15" t="s">
        <v>68</v>
      </c>
      <c r="C379" s="15" t="s">
        <v>24</v>
      </c>
      <c r="D379" s="15" t="s">
        <v>31</v>
      </c>
      <c r="E379" s="15">
        <v>16</v>
      </c>
      <c r="F379" s="15">
        <v>12</v>
      </c>
      <c r="G379" s="15" t="s">
        <v>43</v>
      </c>
      <c r="H379" s="15" t="s">
        <v>26</v>
      </c>
      <c r="I379" s="15" t="s">
        <v>736</v>
      </c>
      <c r="J379" s="15">
        <v>85</v>
      </c>
    </row>
    <row r="380" spans="1:10" x14ac:dyDescent="0.3">
      <c r="A380" s="15" t="s">
        <v>737</v>
      </c>
      <c r="B380" s="15" t="s">
        <v>54</v>
      </c>
      <c r="C380" s="15" t="s">
        <v>96</v>
      </c>
      <c r="D380" s="15" t="s">
        <v>13</v>
      </c>
      <c r="E380" s="15">
        <v>19</v>
      </c>
      <c r="F380" s="15">
        <v>12</v>
      </c>
      <c r="G380" s="15" t="s">
        <v>25</v>
      </c>
      <c r="H380" s="15" t="s">
        <v>20</v>
      </c>
      <c r="I380" s="15" t="s">
        <v>738</v>
      </c>
      <c r="J380" s="15">
        <v>85</v>
      </c>
    </row>
    <row r="381" spans="1:10" x14ac:dyDescent="0.3">
      <c r="A381" s="15" t="s">
        <v>739</v>
      </c>
      <c r="B381" s="15" t="s">
        <v>18</v>
      </c>
      <c r="C381" s="15" t="s">
        <v>79</v>
      </c>
      <c r="D381" s="15" t="s">
        <v>31</v>
      </c>
      <c r="E381" s="15">
        <v>14</v>
      </c>
      <c r="F381" s="15">
        <v>10</v>
      </c>
      <c r="G381" s="15" t="s">
        <v>32</v>
      </c>
      <c r="H381" s="15" t="s">
        <v>20</v>
      </c>
      <c r="I381" s="15" t="s">
        <v>740</v>
      </c>
      <c r="J381" s="15">
        <v>99</v>
      </c>
    </row>
    <row r="382" spans="1:10" x14ac:dyDescent="0.3">
      <c r="A382" s="15" t="s">
        <v>741</v>
      </c>
      <c r="B382" s="15" t="s">
        <v>54</v>
      </c>
      <c r="C382" s="15" t="s">
        <v>24</v>
      </c>
      <c r="D382" s="15" t="s">
        <v>13</v>
      </c>
      <c r="E382" s="15">
        <v>14</v>
      </c>
      <c r="F382" s="15">
        <v>9</v>
      </c>
      <c r="G382" s="15" t="s">
        <v>14</v>
      </c>
      <c r="H382" s="15" t="s">
        <v>76</v>
      </c>
      <c r="I382" s="15" t="s">
        <v>742</v>
      </c>
      <c r="J382" s="15">
        <v>55</v>
      </c>
    </row>
    <row r="383" spans="1:10" x14ac:dyDescent="0.3">
      <c r="A383" s="15" t="s">
        <v>743</v>
      </c>
      <c r="B383" s="15" t="s">
        <v>84</v>
      </c>
      <c r="C383" s="15" t="s">
        <v>19</v>
      </c>
      <c r="D383" s="15" t="s">
        <v>13</v>
      </c>
      <c r="E383" s="15">
        <v>15</v>
      </c>
      <c r="F383" s="15">
        <v>10</v>
      </c>
      <c r="G383" s="15" t="s">
        <v>43</v>
      </c>
      <c r="H383" s="15" t="s">
        <v>26</v>
      </c>
      <c r="I383" s="15" t="s">
        <v>744</v>
      </c>
      <c r="J383" s="15">
        <v>60</v>
      </c>
    </row>
    <row r="384" spans="1:10" x14ac:dyDescent="0.3">
      <c r="A384" s="15" t="s">
        <v>745</v>
      </c>
      <c r="B384" s="15" t="s">
        <v>73</v>
      </c>
      <c r="C384" s="15" t="s">
        <v>36</v>
      </c>
      <c r="D384" s="15" t="s">
        <v>13</v>
      </c>
      <c r="E384" s="15">
        <v>16</v>
      </c>
      <c r="F384" s="15">
        <v>9</v>
      </c>
      <c r="G384" s="15" t="s">
        <v>32</v>
      </c>
      <c r="H384" s="15" t="s">
        <v>76</v>
      </c>
      <c r="I384" s="15" t="s">
        <v>746</v>
      </c>
      <c r="J384" s="15">
        <v>38</v>
      </c>
    </row>
    <row r="385" spans="1:10" x14ac:dyDescent="0.3">
      <c r="A385" s="15" t="s">
        <v>747</v>
      </c>
      <c r="B385" s="15" t="s">
        <v>51</v>
      </c>
      <c r="C385" s="15" t="s">
        <v>96</v>
      </c>
      <c r="D385" s="15" t="s">
        <v>13</v>
      </c>
      <c r="E385" s="15">
        <v>17</v>
      </c>
      <c r="F385" s="15">
        <v>12</v>
      </c>
      <c r="G385" s="15" t="s">
        <v>14</v>
      </c>
      <c r="H385" s="15" t="s">
        <v>26</v>
      </c>
      <c r="I385" s="15" t="s">
        <v>748</v>
      </c>
      <c r="J385" s="15">
        <v>67</v>
      </c>
    </row>
    <row r="386" spans="1:10" x14ac:dyDescent="0.3">
      <c r="A386" s="15" t="s">
        <v>749</v>
      </c>
      <c r="B386" s="15" t="s">
        <v>84</v>
      </c>
      <c r="C386" s="15" t="s">
        <v>30</v>
      </c>
      <c r="D386" s="15" t="s">
        <v>13</v>
      </c>
      <c r="E386" s="15">
        <v>15</v>
      </c>
      <c r="F386" s="15">
        <v>12</v>
      </c>
      <c r="G386" s="15" t="s">
        <v>25</v>
      </c>
      <c r="H386" s="15" t="s">
        <v>61</v>
      </c>
      <c r="I386" s="15" t="s">
        <v>750</v>
      </c>
      <c r="J386" s="15">
        <v>95</v>
      </c>
    </row>
    <row r="387" spans="1:10" x14ac:dyDescent="0.3">
      <c r="A387" s="15" t="s">
        <v>751</v>
      </c>
      <c r="B387" s="15" t="s">
        <v>73</v>
      </c>
      <c r="C387" s="15" t="s">
        <v>79</v>
      </c>
      <c r="D387" s="15" t="s">
        <v>31</v>
      </c>
      <c r="E387" s="15">
        <v>20</v>
      </c>
      <c r="F387" s="15">
        <v>12</v>
      </c>
      <c r="G387" s="15" t="s">
        <v>25</v>
      </c>
      <c r="H387" s="15" t="s">
        <v>76</v>
      </c>
      <c r="I387" s="15" t="s">
        <v>752</v>
      </c>
      <c r="J387" s="15">
        <v>91</v>
      </c>
    </row>
    <row r="388" spans="1:10" x14ac:dyDescent="0.3">
      <c r="A388" s="15" t="s">
        <v>753</v>
      </c>
      <c r="B388" s="15" t="s">
        <v>73</v>
      </c>
      <c r="C388" s="15" t="s">
        <v>24</v>
      </c>
      <c r="D388" s="15" t="s">
        <v>13</v>
      </c>
      <c r="E388" s="15">
        <v>18</v>
      </c>
      <c r="F388" s="15">
        <v>11</v>
      </c>
      <c r="G388" s="15" t="s">
        <v>32</v>
      </c>
      <c r="H388" s="15" t="s">
        <v>40</v>
      </c>
      <c r="I388" s="15" t="s">
        <v>313</v>
      </c>
      <c r="J388" s="15">
        <v>58</v>
      </c>
    </row>
    <row r="389" spans="1:10" x14ac:dyDescent="0.3">
      <c r="A389" s="15" t="s">
        <v>754</v>
      </c>
      <c r="B389" s="15" t="s">
        <v>54</v>
      </c>
      <c r="C389" s="15" t="s">
        <v>12</v>
      </c>
      <c r="D389" s="15" t="s">
        <v>13</v>
      </c>
      <c r="E389" s="15">
        <v>14</v>
      </c>
      <c r="F389" s="15">
        <v>12</v>
      </c>
      <c r="G389" s="15" t="s">
        <v>32</v>
      </c>
      <c r="H389" s="15" t="s">
        <v>20</v>
      </c>
      <c r="I389" s="15" t="s">
        <v>755</v>
      </c>
      <c r="J389" s="15">
        <v>98</v>
      </c>
    </row>
    <row r="390" spans="1:10" x14ac:dyDescent="0.3">
      <c r="A390" s="15" t="s">
        <v>756</v>
      </c>
      <c r="B390" s="15" t="s">
        <v>11</v>
      </c>
      <c r="C390" s="15" t="s">
        <v>30</v>
      </c>
      <c r="D390" s="15" t="s">
        <v>13</v>
      </c>
      <c r="E390" s="15">
        <v>15</v>
      </c>
      <c r="F390" s="15">
        <v>11</v>
      </c>
      <c r="G390" s="15" t="s">
        <v>14</v>
      </c>
      <c r="H390" s="15" t="s">
        <v>76</v>
      </c>
      <c r="I390" s="15" t="s">
        <v>757</v>
      </c>
      <c r="J390" s="15">
        <v>39</v>
      </c>
    </row>
    <row r="391" spans="1:10" x14ac:dyDescent="0.3">
      <c r="A391" s="15" t="s">
        <v>758</v>
      </c>
      <c r="B391" s="15" t="s">
        <v>73</v>
      </c>
      <c r="C391" s="15" t="s">
        <v>12</v>
      </c>
      <c r="D391" s="15" t="s">
        <v>31</v>
      </c>
      <c r="E391" s="15">
        <v>16</v>
      </c>
      <c r="F391" s="15">
        <v>11</v>
      </c>
      <c r="G391" s="15" t="s">
        <v>43</v>
      </c>
      <c r="H391" s="15" t="s">
        <v>40</v>
      </c>
      <c r="I391" s="15" t="s">
        <v>759</v>
      </c>
      <c r="J391" s="15">
        <v>70</v>
      </c>
    </row>
    <row r="392" spans="1:10" x14ac:dyDescent="0.3">
      <c r="A392" s="15" t="s">
        <v>760</v>
      </c>
      <c r="B392" s="15" t="s">
        <v>84</v>
      </c>
      <c r="C392" s="15" t="s">
        <v>96</v>
      </c>
      <c r="D392" s="15" t="s">
        <v>31</v>
      </c>
      <c r="E392" s="15">
        <v>16</v>
      </c>
      <c r="F392" s="15">
        <v>11</v>
      </c>
      <c r="G392" s="15" t="s">
        <v>32</v>
      </c>
      <c r="H392" s="15" t="s">
        <v>76</v>
      </c>
      <c r="I392" s="15" t="s">
        <v>761</v>
      </c>
      <c r="J392" s="15">
        <v>83</v>
      </c>
    </row>
    <row r="393" spans="1:10" x14ac:dyDescent="0.3">
      <c r="A393" s="15" t="s">
        <v>762</v>
      </c>
      <c r="B393" s="15" t="s">
        <v>68</v>
      </c>
      <c r="C393" s="15" t="s">
        <v>85</v>
      </c>
      <c r="D393" s="15" t="s">
        <v>31</v>
      </c>
      <c r="E393" s="15">
        <v>20</v>
      </c>
      <c r="F393" s="15">
        <v>12</v>
      </c>
      <c r="G393" s="15" t="s">
        <v>43</v>
      </c>
      <c r="H393" s="15" t="s">
        <v>20</v>
      </c>
      <c r="I393" s="15" t="s">
        <v>763</v>
      </c>
      <c r="J393" s="15">
        <v>82</v>
      </c>
    </row>
    <row r="394" spans="1:10" x14ac:dyDescent="0.3">
      <c r="A394" s="15" t="s">
        <v>764</v>
      </c>
      <c r="B394" s="15" t="s">
        <v>18</v>
      </c>
      <c r="C394" s="15" t="s">
        <v>55</v>
      </c>
      <c r="D394" s="15" t="s">
        <v>13</v>
      </c>
      <c r="E394" s="15">
        <v>16</v>
      </c>
      <c r="F394" s="15">
        <v>12</v>
      </c>
      <c r="G394" s="15" t="s">
        <v>14</v>
      </c>
      <c r="H394" s="15" t="s">
        <v>40</v>
      </c>
      <c r="I394" s="15" t="s">
        <v>765</v>
      </c>
      <c r="J394" s="15">
        <v>61</v>
      </c>
    </row>
    <row r="395" spans="1:10" x14ac:dyDescent="0.3">
      <c r="A395" s="15" t="s">
        <v>766</v>
      </c>
      <c r="B395" s="15" t="s">
        <v>35</v>
      </c>
      <c r="C395" s="15" t="s">
        <v>58</v>
      </c>
      <c r="D395" s="15" t="s">
        <v>13</v>
      </c>
      <c r="E395" s="15">
        <v>20</v>
      </c>
      <c r="F395" s="15">
        <v>11</v>
      </c>
      <c r="G395" s="15" t="s">
        <v>32</v>
      </c>
      <c r="H395" s="15" t="s">
        <v>46</v>
      </c>
      <c r="I395" s="15" t="s">
        <v>767</v>
      </c>
      <c r="J395" s="15">
        <v>54</v>
      </c>
    </row>
    <row r="396" spans="1:10" x14ac:dyDescent="0.3">
      <c r="A396" s="15" t="s">
        <v>768</v>
      </c>
      <c r="B396" s="15" t="s">
        <v>23</v>
      </c>
      <c r="C396" s="15" t="s">
        <v>24</v>
      </c>
      <c r="D396" s="15" t="s">
        <v>13</v>
      </c>
      <c r="E396" s="15">
        <v>17</v>
      </c>
      <c r="F396" s="15">
        <v>11</v>
      </c>
      <c r="G396" s="15" t="s">
        <v>25</v>
      </c>
      <c r="H396" s="15" t="s">
        <v>40</v>
      </c>
      <c r="I396" s="15" t="s">
        <v>258</v>
      </c>
      <c r="J396" s="15">
        <v>61</v>
      </c>
    </row>
    <row r="397" spans="1:10" x14ac:dyDescent="0.3">
      <c r="A397" s="15" t="s">
        <v>769</v>
      </c>
      <c r="B397" s="15" t="s">
        <v>35</v>
      </c>
      <c r="C397" s="15" t="s">
        <v>30</v>
      </c>
      <c r="D397" s="15" t="s">
        <v>13</v>
      </c>
      <c r="E397" s="15">
        <v>16</v>
      </c>
      <c r="F397" s="15">
        <v>11</v>
      </c>
      <c r="G397" s="15" t="s">
        <v>32</v>
      </c>
      <c r="H397" s="15" t="s">
        <v>46</v>
      </c>
      <c r="I397" s="15" t="s">
        <v>770</v>
      </c>
      <c r="J397" s="15">
        <v>85</v>
      </c>
    </row>
    <row r="398" spans="1:10" x14ac:dyDescent="0.3">
      <c r="A398" s="15" t="s">
        <v>771</v>
      </c>
      <c r="B398" s="15" t="s">
        <v>23</v>
      </c>
      <c r="C398" s="15" t="s">
        <v>24</v>
      </c>
      <c r="D398" s="15" t="s">
        <v>31</v>
      </c>
      <c r="E398" s="15">
        <v>18</v>
      </c>
      <c r="F398" s="15">
        <v>11</v>
      </c>
      <c r="G398" s="15" t="s">
        <v>25</v>
      </c>
      <c r="H398" s="15" t="s">
        <v>46</v>
      </c>
      <c r="I398" s="15" t="s">
        <v>772</v>
      </c>
      <c r="J398" s="15">
        <v>89</v>
      </c>
    </row>
    <row r="399" spans="1:10" x14ac:dyDescent="0.3">
      <c r="A399" s="15" t="s">
        <v>773</v>
      </c>
      <c r="B399" s="15" t="s">
        <v>68</v>
      </c>
      <c r="C399" s="15" t="s">
        <v>19</v>
      </c>
      <c r="D399" s="15" t="s">
        <v>13</v>
      </c>
      <c r="E399" s="15">
        <v>14</v>
      </c>
      <c r="F399" s="15">
        <v>11</v>
      </c>
      <c r="G399" s="15" t="s">
        <v>14</v>
      </c>
      <c r="H399" s="15" t="s">
        <v>20</v>
      </c>
      <c r="I399" s="15" t="s">
        <v>774</v>
      </c>
      <c r="J399" s="15">
        <v>72</v>
      </c>
    </row>
    <row r="400" spans="1:10" x14ac:dyDescent="0.3">
      <c r="A400" s="15" t="s">
        <v>775</v>
      </c>
      <c r="B400" s="15" t="s">
        <v>29</v>
      </c>
      <c r="C400" s="15" t="s">
        <v>85</v>
      </c>
      <c r="D400" s="15" t="s">
        <v>31</v>
      </c>
      <c r="E400" s="15">
        <v>20</v>
      </c>
      <c r="F400" s="15">
        <v>10</v>
      </c>
      <c r="G400" s="15" t="s">
        <v>14</v>
      </c>
      <c r="H400" s="15" t="s">
        <v>46</v>
      </c>
      <c r="I400" s="15" t="s">
        <v>366</v>
      </c>
      <c r="J400" s="15">
        <v>100</v>
      </c>
    </row>
    <row r="401" spans="1:10" x14ac:dyDescent="0.3">
      <c r="A401" s="15" t="s">
        <v>776</v>
      </c>
      <c r="B401" s="15" t="s">
        <v>11</v>
      </c>
      <c r="C401" s="15" t="s">
        <v>12</v>
      </c>
      <c r="D401" s="15" t="s">
        <v>31</v>
      </c>
      <c r="E401" s="15">
        <v>20</v>
      </c>
      <c r="F401" s="15">
        <v>9</v>
      </c>
      <c r="G401" s="15" t="s">
        <v>14</v>
      </c>
      <c r="H401" s="15" t="s">
        <v>76</v>
      </c>
      <c r="I401" s="15" t="s">
        <v>777</v>
      </c>
      <c r="J401" s="15">
        <v>84</v>
      </c>
    </row>
    <row r="402" spans="1:10" x14ac:dyDescent="0.3">
      <c r="A402" s="15" t="s">
        <v>778</v>
      </c>
      <c r="B402" s="15" t="s">
        <v>73</v>
      </c>
      <c r="C402" s="15" t="s">
        <v>19</v>
      </c>
      <c r="D402" s="15" t="s">
        <v>13</v>
      </c>
      <c r="E402" s="15">
        <v>17</v>
      </c>
      <c r="F402" s="15">
        <v>12</v>
      </c>
      <c r="G402" s="15" t="s">
        <v>14</v>
      </c>
      <c r="H402" s="15" t="s">
        <v>37</v>
      </c>
      <c r="I402" s="15" t="s">
        <v>779</v>
      </c>
      <c r="J402" s="15">
        <v>76</v>
      </c>
    </row>
    <row r="403" spans="1:10" x14ac:dyDescent="0.3">
      <c r="A403" s="15" t="s">
        <v>780</v>
      </c>
      <c r="B403" s="15" t="s">
        <v>35</v>
      </c>
      <c r="C403" s="15" t="s">
        <v>36</v>
      </c>
      <c r="D403" s="15" t="s">
        <v>31</v>
      </c>
      <c r="E403" s="15">
        <v>14</v>
      </c>
      <c r="F403" s="15">
        <v>9</v>
      </c>
      <c r="G403" s="15" t="s">
        <v>25</v>
      </c>
      <c r="H403" s="15" t="s">
        <v>40</v>
      </c>
      <c r="I403" s="15" t="s">
        <v>781</v>
      </c>
      <c r="J403" s="15">
        <v>36</v>
      </c>
    </row>
    <row r="404" spans="1:10" x14ac:dyDescent="0.3">
      <c r="A404" s="15" t="s">
        <v>782</v>
      </c>
      <c r="B404" s="15" t="s">
        <v>84</v>
      </c>
      <c r="C404" s="15" t="s">
        <v>12</v>
      </c>
      <c r="D404" s="15" t="s">
        <v>31</v>
      </c>
      <c r="E404" s="15">
        <v>14</v>
      </c>
      <c r="F404" s="15">
        <v>11</v>
      </c>
      <c r="G404" s="15" t="s">
        <v>14</v>
      </c>
      <c r="H404" s="15" t="s">
        <v>37</v>
      </c>
      <c r="I404" s="15" t="s">
        <v>252</v>
      </c>
      <c r="J404" s="15">
        <v>95</v>
      </c>
    </row>
    <row r="405" spans="1:10" x14ac:dyDescent="0.3">
      <c r="A405" s="15" t="s">
        <v>783</v>
      </c>
      <c r="B405" s="15" t="s">
        <v>54</v>
      </c>
      <c r="C405" s="15" t="s">
        <v>79</v>
      </c>
      <c r="D405" s="15" t="s">
        <v>31</v>
      </c>
      <c r="E405" s="15">
        <v>15</v>
      </c>
      <c r="F405" s="15">
        <v>11</v>
      </c>
      <c r="G405" s="15" t="s">
        <v>25</v>
      </c>
      <c r="H405" s="15" t="s">
        <v>61</v>
      </c>
      <c r="I405" s="15" t="s">
        <v>628</v>
      </c>
      <c r="J405" s="15">
        <v>39</v>
      </c>
    </row>
    <row r="406" spans="1:10" x14ac:dyDescent="0.3">
      <c r="A406" s="15" t="s">
        <v>784</v>
      </c>
      <c r="B406" s="15" t="s">
        <v>84</v>
      </c>
      <c r="C406" s="15" t="s">
        <v>12</v>
      </c>
      <c r="D406" s="15" t="s">
        <v>13</v>
      </c>
      <c r="E406" s="15">
        <v>17</v>
      </c>
      <c r="F406" s="15">
        <v>9</v>
      </c>
      <c r="G406" s="15" t="s">
        <v>43</v>
      </c>
      <c r="H406" s="15" t="s">
        <v>76</v>
      </c>
      <c r="I406" s="15" t="s">
        <v>685</v>
      </c>
      <c r="J406" s="15">
        <v>89</v>
      </c>
    </row>
    <row r="407" spans="1:10" x14ac:dyDescent="0.3">
      <c r="A407" s="15" t="s">
        <v>785</v>
      </c>
      <c r="B407" s="15" t="s">
        <v>35</v>
      </c>
      <c r="C407" s="15" t="s">
        <v>58</v>
      </c>
      <c r="D407" s="15" t="s">
        <v>13</v>
      </c>
      <c r="E407" s="15">
        <v>18</v>
      </c>
      <c r="F407" s="15">
        <v>12</v>
      </c>
      <c r="G407" s="15" t="s">
        <v>43</v>
      </c>
      <c r="H407" s="15" t="s">
        <v>20</v>
      </c>
      <c r="I407" s="15" t="s">
        <v>786</v>
      </c>
      <c r="J407" s="15">
        <v>93</v>
      </c>
    </row>
    <row r="408" spans="1:10" x14ac:dyDescent="0.3">
      <c r="A408" s="15" t="s">
        <v>787</v>
      </c>
      <c r="B408" s="15" t="s">
        <v>18</v>
      </c>
      <c r="C408" s="15" t="s">
        <v>36</v>
      </c>
      <c r="D408" s="15" t="s">
        <v>31</v>
      </c>
      <c r="E408" s="15">
        <v>16</v>
      </c>
      <c r="F408" s="15">
        <v>9</v>
      </c>
      <c r="G408" s="15" t="s">
        <v>14</v>
      </c>
      <c r="H408" s="15" t="s">
        <v>76</v>
      </c>
      <c r="I408" s="15" t="s">
        <v>788</v>
      </c>
      <c r="J408" s="15">
        <v>88</v>
      </c>
    </row>
    <row r="409" spans="1:10" x14ac:dyDescent="0.3">
      <c r="A409" s="15" t="s">
        <v>789</v>
      </c>
      <c r="B409" s="15" t="s">
        <v>54</v>
      </c>
      <c r="C409" s="15" t="s">
        <v>12</v>
      </c>
      <c r="D409" s="15" t="s">
        <v>31</v>
      </c>
      <c r="E409" s="15">
        <v>18</v>
      </c>
      <c r="F409" s="15">
        <v>10</v>
      </c>
      <c r="G409" s="15" t="s">
        <v>25</v>
      </c>
      <c r="H409" s="15" t="s">
        <v>15</v>
      </c>
      <c r="I409" s="15" t="s">
        <v>790</v>
      </c>
      <c r="J409" s="15">
        <v>95</v>
      </c>
    </row>
    <row r="410" spans="1:10" x14ac:dyDescent="0.3">
      <c r="A410" s="15" t="s">
        <v>791</v>
      </c>
      <c r="B410" s="15" t="s">
        <v>51</v>
      </c>
      <c r="C410" s="15" t="s">
        <v>85</v>
      </c>
      <c r="D410" s="15" t="s">
        <v>13</v>
      </c>
      <c r="E410" s="15">
        <v>14</v>
      </c>
      <c r="F410" s="15">
        <v>9</v>
      </c>
      <c r="G410" s="15" t="s">
        <v>43</v>
      </c>
      <c r="H410" s="15" t="s">
        <v>61</v>
      </c>
      <c r="I410" s="15" t="s">
        <v>792</v>
      </c>
      <c r="J410" s="15">
        <v>96</v>
      </c>
    </row>
    <row r="411" spans="1:10" x14ac:dyDescent="0.3">
      <c r="A411" s="15" t="s">
        <v>793</v>
      </c>
      <c r="B411" s="15" t="s">
        <v>35</v>
      </c>
      <c r="C411" s="15" t="s">
        <v>19</v>
      </c>
      <c r="D411" s="15" t="s">
        <v>31</v>
      </c>
      <c r="E411" s="15">
        <v>20</v>
      </c>
      <c r="F411" s="15">
        <v>11</v>
      </c>
      <c r="G411" s="15" t="s">
        <v>32</v>
      </c>
      <c r="H411" s="15" t="s">
        <v>20</v>
      </c>
      <c r="I411" s="15" t="s">
        <v>794</v>
      </c>
      <c r="J411" s="15">
        <v>74</v>
      </c>
    </row>
    <row r="412" spans="1:10" x14ac:dyDescent="0.3">
      <c r="A412" s="15" t="s">
        <v>795</v>
      </c>
      <c r="B412" s="15" t="s">
        <v>54</v>
      </c>
      <c r="C412" s="15" t="s">
        <v>30</v>
      </c>
      <c r="D412" s="15" t="s">
        <v>13</v>
      </c>
      <c r="E412" s="15">
        <v>18</v>
      </c>
      <c r="F412" s="15">
        <v>12</v>
      </c>
      <c r="G412" s="15" t="s">
        <v>32</v>
      </c>
      <c r="H412" s="15" t="s">
        <v>20</v>
      </c>
      <c r="I412" s="15" t="s">
        <v>796</v>
      </c>
      <c r="J412" s="15">
        <v>55</v>
      </c>
    </row>
    <row r="413" spans="1:10" x14ac:dyDescent="0.3">
      <c r="A413" s="15" t="s">
        <v>797</v>
      </c>
      <c r="B413" s="15" t="s">
        <v>23</v>
      </c>
      <c r="C413" s="15" t="s">
        <v>85</v>
      </c>
      <c r="D413" s="15" t="s">
        <v>13</v>
      </c>
      <c r="E413" s="15">
        <v>17</v>
      </c>
      <c r="F413" s="15">
        <v>12</v>
      </c>
      <c r="G413" s="15" t="s">
        <v>14</v>
      </c>
      <c r="H413" s="15" t="s">
        <v>76</v>
      </c>
      <c r="I413" s="15" t="s">
        <v>71</v>
      </c>
      <c r="J413" s="15">
        <v>77</v>
      </c>
    </row>
    <row r="414" spans="1:10" x14ac:dyDescent="0.3">
      <c r="A414" s="15" t="s">
        <v>798</v>
      </c>
      <c r="B414" s="15" t="s">
        <v>23</v>
      </c>
      <c r="C414" s="15" t="s">
        <v>19</v>
      </c>
      <c r="D414" s="15" t="s">
        <v>13</v>
      </c>
      <c r="E414" s="15">
        <v>17</v>
      </c>
      <c r="F414" s="15">
        <v>12</v>
      </c>
      <c r="G414" s="15" t="s">
        <v>14</v>
      </c>
      <c r="H414" s="15" t="s">
        <v>40</v>
      </c>
      <c r="I414" s="15" t="s">
        <v>159</v>
      </c>
      <c r="J414" s="15">
        <v>95</v>
      </c>
    </row>
    <row r="415" spans="1:10" x14ac:dyDescent="0.3">
      <c r="A415" s="15" t="s">
        <v>799</v>
      </c>
      <c r="B415" s="15" t="s">
        <v>54</v>
      </c>
      <c r="C415" s="15" t="s">
        <v>36</v>
      </c>
      <c r="D415" s="15" t="s">
        <v>31</v>
      </c>
      <c r="E415" s="15">
        <v>17</v>
      </c>
      <c r="F415" s="15">
        <v>12</v>
      </c>
      <c r="G415" s="15" t="s">
        <v>14</v>
      </c>
      <c r="H415" s="15" t="s">
        <v>46</v>
      </c>
      <c r="I415" s="15" t="s">
        <v>533</v>
      </c>
      <c r="J415" s="15">
        <v>59</v>
      </c>
    </row>
    <row r="416" spans="1:10" x14ac:dyDescent="0.3">
      <c r="A416" s="15" t="s">
        <v>800</v>
      </c>
      <c r="B416" s="15" t="s">
        <v>23</v>
      </c>
      <c r="C416" s="15" t="s">
        <v>79</v>
      </c>
      <c r="D416" s="15" t="s">
        <v>31</v>
      </c>
      <c r="E416" s="15">
        <v>18</v>
      </c>
      <c r="F416" s="15">
        <v>11</v>
      </c>
      <c r="G416" s="15" t="s">
        <v>32</v>
      </c>
      <c r="H416" s="15" t="s">
        <v>76</v>
      </c>
      <c r="I416" s="15" t="s">
        <v>801</v>
      </c>
      <c r="J416" s="15">
        <v>97</v>
      </c>
    </row>
    <row r="417" spans="1:10" x14ac:dyDescent="0.3">
      <c r="A417" s="15" t="s">
        <v>802</v>
      </c>
      <c r="B417" s="15" t="s">
        <v>29</v>
      </c>
      <c r="C417" s="15" t="s">
        <v>96</v>
      </c>
      <c r="D417" s="15" t="s">
        <v>13</v>
      </c>
      <c r="E417" s="15">
        <v>14</v>
      </c>
      <c r="F417" s="15">
        <v>10</v>
      </c>
      <c r="G417" s="15" t="s">
        <v>25</v>
      </c>
      <c r="H417" s="15" t="s">
        <v>61</v>
      </c>
      <c r="I417" s="15" t="s">
        <v>803</v>
      </c>
      <c r="J417" s="15">
        <v>89</v>
      </c>
    </row>
    <row r="418" spans="1:10" x14ac:dyDescent="0.3">
      <c r="A418" s="15" t="s">
        <v>804</v>
      </c>
      <c r="B418" s="15" t="s">
        <v>54</v>
      </c>
      <c r="C418" s="15" t="s">
        <v>79</v>
      </c>
      <c r="D418" s="15" t="s">
        <v>13</v>
      </c>
      <c r="E418" s="15">
        <v>19</v>
      </c>
      <c r="F418" s="15">
        <v>9</v>
      </c>
      <c r="G418" s="15" t="s">
        <v>25</v>
      </c>
      <c r="H418" s="15" t="s">
        <v>61</v>
      </c>
      <c r="I418" s="15" t="s">
        <v>56</v>
      </c>
      <c r="J418" s="15">
        <v>43</v>
      </c>
    </row>
    <row r="419" spans="1:10" x14ac:dyDescent="0.3">
      <c r="A419" s="15" t="s">
        <v>805</v>
      </c>
      <c r="B419" s="15" t="s">
        <v>29</v>
      </c>
      <c r="C419" s="15" t="s">
        <v>36</v>
      </c>
      <c r="D419" s="15" t="s">
        <v>31</v>
      </c>
      <c r="E419" s="15">
        <v>17</v>
      </c>
      <c r="F419" s="15">
        <v>10</v>
      </c>
      <c r="G419" s="15" t="s">
        <v>25</v>
      </c>
      <c r="H419" s="15" t="s">
        <v>15</v>
      </c>
      <c r="I419" s="15" t="s">
        <v>806</v>
      </c>
      <c r="J419" s="15">
        <v>59</v>
      </c>
    </row>
    <row r="420" spans="1:10" x14ac:dyDescent="0.3">
      <c r="A420" s="15" t="s">
        <v>807</v>
      </c>
      <c r="B420" s="15" t="s">
        <v>68</v>
      </c>
      <c r="C420" s="15" t="s">
        <v>79</v>
      </c>
      <c r="D420" s="15" t="s">
        <v>31</v>
      </c>
      <c r="E420" s="15">
        <v>16</v>
      </c>
      <c r="F420" s="15">
        <v>10</v>
      </c>
      <c r="G420" s="15" t="s">
        <v>43</v>
      </c>
      <c r="H420" s="15" t="s">
        <v>76</v>
      </c>
      <c r="I420" s="15" t="s">
        <v>305</v>
      </c>
      <c r="J420" s="15">
        <v>40</v>
      </c>
    </row>
    <row r="421" spans="1:10" x14ac:dyDescent="0.3">
      <c r="A421" s="15" t="s">
        <v>808</v>
      </c>
      <c r="B421" s="15" t="s">
        <v>54</v>
      </c>
      <c r="C421" s="15" t="s">
        <v>24</v>
      </c>
      <c r="D421" s="15" t="s">
        <v>13</v>
      </c>
      <c r="E421" s="15">
        <v>14</v>
      </c>
      <c r="F421" s="15">
        <v>9</v>
      </c>
      <c r="G421" s="15" t="s">
        <v>25</v>
      </c>
      <c r="H421" s="15" t="s">
        <v>46</v>
      </c>
      <c r="I421" s="15" t="s">
        <v>809</v>
      </c>
      <c r="J421" s="15">
        <v>92</v>
      </c>
    </row>
    <row r="422" spans="1:10" x14ac:dyDescent="0.3">
      <c r="A422" s="15" t="s">
        <v>810</v>
      </c>
      <c r="B422" s="15" t="s">
        <v>73</v>
      </c>
      <c r="C422" s="15" t="s">
        <v>12</v>
      </c>
      <c r="D422" s="15" t="s">
        <v>13</v>
      </c>
      <c r="E422" s="15">
        <v>14</v>
      </c>
      <c r="F422" s="15">
        <v>10</v>
      </c>
      <c r="G422" s="15" t="s">
        <v>14</v>
      </c>
      <c r="H422" s="15" t="s">
        <v>46</v>
      </c>
      <c r="I422" s="15" t="s">
        <v>385</v>
      </c>
      <c r="J422" s="15">
        <v>49</v>
      </c>
    </row>
    <row r="423" spans="1:10" x14ac:dyDescent="0.3">
      <c r="A423" s="15" t="s">
        <v>811</v>
      </c>
      <c r="B423" s="15" t="s">
        <v>29</v>
      </c>
      <c r="C423" s="15" t="s">
        <v>58</v>
      </c>
      <c r="D423" s="15" t="s">
        <v>13</v>
      </c>
      <c r="E423" s="15">
        <v>20</v>
      </c>
      <c r="F423" s="15">
        <v>11</v>
      </c>
      <c r="G423" s="15" t="s">
        <v>14</v>
      </c>
      <c r="H423" s="15" t="s">
        <v>61</v>
      </c>
      <c r="I423" s="15" t="s">
        <v>358</v>
      </c>
      <c r="J423" s="15">
        <v>44</v>
      </c>
    </row>
    <row r="424" spans="1:10" x14ac:dyDescent="0.3">
      <c r="A424" s="15" t="s">
        <v>812</v>
      </c>
      <c r="B424" s="15" t="s">
        <v>51</v>
      </c>
      <c r="C424" s="15" t="s">
        <v>55</v>
      </c>
      <c r="D424" s="15" t="s">
        <v>13</v>
      </c>
      <c r="E424" s="15">
        <v>15</v>
      </c>
      <c r="F424" s="15">
        <v>10</v>
      </c>
      <c r="G424" s="15" t="s">
        <v>43</v>
      </c>
      <c r="H424" s="15" t="s">
        <v>46</v>
      </c>
      <c r="I424" s="15" t="s">
        <v>82</v>
      </c>
      <c r="J424" s="15">
        <v>62</v>
      </c>
    </row>
    <row r="425" spans="1:10" x14ac:dyDescent="0.3">
      <c r="A425" s="15" t="s">
        <v>813</v>
      </c>
      <c r="B425" s="15" t="s">
        <v>73</v>
      </c>
      <c r="C425" s="15" t="s">
        <v>58</v>
      </c>
      <c r="D425" s="15" t="s">
        <v>13</v>
      </c>
      <c r="E425" s="15">
        <v>17</v>
      </c>
      <c r="F425" s="15">
        <v>12</v>
      </c>
      <c r="G425" s="15" t="s">
        <v>32</v>
      </c>
      <c r="H425" s="15" t="s">
        <v>46</v>
      </c>
      <c r="I425" s="15" t="s">
        <v>346</v>
      </c>
      <c r="J425" s="15">
        <v>60</v>
      </c>
    </row>
    <row r="426" spans="1:10" x14ac:dyDescent="0.3">
      <c r="A426" s="15" t="s">
        <v>814</v>
      </c>
      <c r="B426" s="15" t="s">
        <v>18</v>
      </c>
      <c r="C426" s="15" t="s">
        <v>24</v>
      </c>
      <c r="D426" s="15" t="s">
        <v>31</v>
      </c>
      <c r="E426" s="15">
        <v>17</v>
      </c>
      <c r="F426" s="15">
        <v>10</v>
      </c>
      <c r="G426" s="15" t="s">
        <v>14</v>
      </c>
      <c r="H426" s="15" t="s">
        <v>76</v>
      </c>
      <c r="I426" s="15" t="s">
        <v>815</v>
      </c>
      <c r="J426" s="15">
        <v>47</v>
      </c>
    </row>
    <row r="427" spans="1:10" x14ac:dyDescent="0.3">
      <c r="A427" s="15" t="s">
        <v>816</v>
      </c>
      <c r="B427" s="15" t="s">
        <v>23</v>
      </c>
      <c r="C427" s="15" t="s">
        <v>79</v>
      </c>
      <c r="D427" s="15" t="s">
        <v>31</v>
      </c>
      <c r="E427" s="15">
        <v>15</v>
      </c>
      <c r="F427" s="15">
        <v>9</v>
      </c>
      <c r="G427" s="15" t="s">
        <v>25</v>
      </c>
      <c r="H427" s="15" t="s">
        <v>76</v>
      </c>
      <c r="I427" s="15" t="s">
        <v>149</v>
      </c>
      <c r="J427" s="15">
        <v>79</v>
      </c>
    </row>
    <row r="428" spans="1:10" x14ac:dyDescent="0.3">
      <c r="A428" s="15" t="s">
        <v>817</v>
      </c>
      <c r="B428" s="15" t="s">
        <v>51</v>
      </c>
      <c r="C428" s="15" t="s">
        <v>55</v>
      </c>
      <c r="D428" s="15" t="s">
        <v>31</v>
      </c>
      <c r="E428" s="15">
        <v>19</v>
      </c>
      <c r="F428" s="15">
        <v>11</v>
      </c>
      <c r="G428" s="15" t="s">
        <v>14</v>
      </c>
      <c r="H428" s="15" t="s">
        <v>26</v>
      </c>
      <c r="I428" s="15" t="s">
        <v>818</v>
      </c>
      <c r="J428" s="15">
        <v>56</v>
      </c>
    </row>
    <row r="429" spans="1:10" x14ac:dyDescent="0.3">
      <c r="A429" s="15" t="s">
        <v>819</v>
      </c>
      <c r="B429" s="15" t="s">
        <v>18</v>
      </c>
      <c r="C429" s="15" t="s">
        <v>36</v>
      </c>
      <c r="D429" s="15" t="s">
        <v>31</v>
      </c>
      <c r="E429" s="15">
        <v>14</v>
      </c>
      <c r="F429" s="15">
        <v>10</v>
      </c>
      <c r="G429" s="15" t="s">
        <v>43</v>
      </c>
      <c r="H429" s="15" t="s">
        <v>76</v>
      </c>
      <c r="I429" s="15" t="s">
        <v>820</v>
      </c>
      <c r="J429" s="15">
        <v>56</v>
      </c>
    </row>
    <row r="430" spans="1:10" x14ac:dyDescent="0.3">
      <c r="A430" s="15" t="s">
        <v>821</v>
      </c>
      <c r="B430" s="15" t="s">
        <v>18</v>
      </c>
      <c r="C430" s="15" t="s">
        <v>79</v>
      </c>
      <c r="D430" s="15" t="s">
        <v>13</v>
      </c>
      <c r="E430" s="15">
        <v>20</v>
      </c>
      <c r="F430" s="15">
        <v>12</v>
      </c>
      <c r="G430" s="15" t="s">
        <v>32</v>
      </c>
      <c r="H430" s="15" t="s">
        <v>26</v>
      </c>
      <c r="I430" s="15" t="s">
        <v>822</v>
      </c>
      <c r="J430" s="15">
        <v>52</v>
      </c>
    </row>
    <row r="431" spans="1:10" x14ac:dyDescent="0.3">
      <c r="A431" s="15" t="s">
        <v>823</v>
      </c>
      <c r="B431" s="15" t="s">
        <v>11</v>
      </c>
      <c r="C431" s="15" t="s">
        <v>79</v>
      </c>
      <c r="D431" s="15" t="s">
        <v>31</v>
      </c>
      <c r="E431" s="15">
        <v>18</v>
      </c>
      <c r="F431" s="15">
        <v>12</v>
      </c>
      <c r="G431" s="15" t="s">
        <v>43</v>
      </c>
      <c r="H431" s="15" t="s">
        <v>37</v>
      </c>
      <c r="I431" s="15" t="s">
        <v>292</v>
      </c>
      <c r="J431" s="15">
        <v>94</v>
      </c>
    </row>
    <row r="432" spans="1:10" x14ac:dyDescent="0.3">
      <c r="A432" s="15" t="s">
        <v>824</v>
      </c>
      <c r="B432" s="15" t="s">
        <v>54</v>
      </c>
      <c r="C432" s="15" t="s">
        <v>19</v>
      </c>
      <c r="D432" s="15" t="s">
        <v>31</v>
      </c>
      <c r="E432" s="15">
        <v>20</v>
      </c>
      <c r="F432" s="15">
        <v>9</v>
      </c>
      <c r="G432" s="15" t="s">
        <v>14</v>
      </c>
      <c r="H432" s="15" t="s">
        <v>37</v>
      </c>
      <c r="I432" s="15" t="s">
        <v>825</v>
      </c>
      <c r="J432" s="15">
        <v>43</v>
      </c>
    </row>
    <row r="433" spans="1:10" x14ac:dyDescent="0.3">
      <c r="A433" s="15" t="s">
        <v>826</v>
      </c>
      <c r="B433" s="15" t="s">
        <v>51</v>
      </c>
      <c r="C433" s="15" t="s">
        <v>55</v>
      </c>
      <c r="D433" s="15" t="s">
        <v>31</v>
      </c>
      <c r="E433" s="15">
        <v>15</v>
      </c>
      <c r="F433" s="15">
        <v>10</v>
      </c>
      <c r="G433" s="15" t="s">
        <v>43</v>
      </c>
      <c r="H433" s="15" t="s">
        <v>37</v>
      </c>
      <c r="I433" s="15" t="s">
        <v>174</v>
      </c>
      <c r="J433" s="15">
        <v>42</v>
      </c>
    </row>
    <row r="434" spans="1:10" x14ac:dyDescent="0.3">
      <c r="A434" s="15" t="s">
        <v>827</v>
      </c>
      <c r="B434" s="15" t="s">
        <v>35</v>
      </c>
      <c r="C434" s="15" t="s">
        <v>12</v>
      </c>
      <c r="D434" s="15" t="s">
        <v>13</v>
      </c>
      <c r="E434" s="15">
        <v>14</v>
      </c>
      <c r="F434" s="15">
        <v>12</v>
      </c>
      <c r="G434" s="15" t="s">
        <v>25</v>
      </c>
      <c r="H434" s="15" t="s">
        <v>61</v>
      </c>
      <c r="I434" s="15" t="s">
        <v>570</v>
      </c>
      <c r="J434" s="15">
        <v>65</v>
      </c>
    </row>
    <row r="435" spans="1:10" x14ac:dyDescent="0.3">
      <c r="A435" s="15" t="s">
        <v>828</v>
      </c>
      <c r="B435" s="15" t="s">
        <v>29</v>
      </c>
      <c r="C435" s="15" t="s">
        <v>55</v>
      </c>
      <c r="D435" s="15" t="s">
        <v>13</v>
      </c>
      <c r="E435" s="15">
        <v>15</v>
      </c>
      <c r="F435" s="15">
        <v>9</v>
      </c>
      <c r="G435" s="15" t="s">
        <v>32</v>
      </c>
      <c r="H435" s="15" t="s">
        <v>40</v>
      </c>
      <c r="I435" s="15" t="s">
        <v>829</v>
      </c>
      <c r="J435" s="15">
        <v>64</v>
      </c>
    </row>
    <row r="436" spans="1:10" x14ac:dyDescent="0.3">
      <c r="A436" s="15" t="s">
        <v>830</v>
      </c>
      <c r="B436" s="15" t="s">
        <v>23</v>
      </c>
      <c r="C436" s="15" t="s">
        <v>58</v>
      </c>
      <c r="D436" s="15" t="s">
        <v>31</v>
      </c>
      <c r="E436" s="15">
        <v>17</v>
      </c>
      <c r="F436" s="15">
        <v>9</v>
      </c>
      <c r="G436" s="15" t="s">
        <v>43</v>
      </c>
      <c r="H436" s="15" t="s">
        <v>61</v>
      </c>
      <c r="I436" s="15" t="s">
        <v>820</v>
      </c>
      <c r="J436" s="15">
        <v>59</v>
      </c>
    </row>
    <row r="437" spans="1:10" x14ac:dyDescent="0.3">
      <c r="A437" s="15" t="s">
        <v>831</v>
      </c>
      <c r="B437" s="15" t="s">
        <v>54</v>
      </c>
      <c r="C437" s="15" t="s">
        <v>36</v>
      </c>
      <c r="D437" s="15" t="s">
        <v>31</v>
      </c>
      <c r="E437" s="15">
        <v>19</v>
      </c>
      <c r="F437" s="15">
        <v>9</v>
      </c>
      <c r="G437" s="15" t="s">
        <v>32</v>
      </c>
      <c r="H437" s="15" t="s">
        <v>15</v>
      </c>
      <c r="I437" s="15" t="s">
        <v>832</v>
      </c>
      <c r="J437" s="15">
        <v>35</v>
      </c>
    </row>
    <row r="438" spans="1:10" x14ac:dyDescent="0.3">
      <c r="A438" s="15" t="s">
        <v>833</v>
      </c>
      <c r="B438" s="15" t="s">
        <v>73</v>
      </c>
      <c r="C438" s="15" t="s">
        <v>96</v>
      </c>
      <c r="D438" s="15" t="s">
        <v>31</v>
      </c>
      <c r="E438" s="15">
        <v>15</v>
      </c>
      <c r="F438" s="15">
        <v>10</v>
      </c>
      <c r="G438" s="15" t="s">
        <v>43</v>
      </c>
      <c r="H438" s="15" t="s">
        <v>76</v>
      </c>
      <c r="I438" s="15" t="s">
        <v>834</v>
      </c>
      <c r="J438" s="15">
        <v>37</v>
      </c>
    </row>
    <row r="439" spans="1:10" x14ac:dyDescent="0.3">
      <c r="A439" s="15" t="s">
        <v>835</v>
      </c>
      <c r="B439" s="15" t="s">
        <v>18</v>
      </c>
      <c r="C439" s="15" t="s">
        <v>55</v>
      </c>
      <c r="D439" s="15" t="s">
        <v>31</v>
      </c>
      <c r="E439" s="15">
        <v>16</v>
      </c>
      <c r="F439" s="15">
        <v>10</v>
      </c>
      <c r="G439" s="15" t="s">
        <v>14</v>
      </c>
      <c r="H439" s="15" t="s">
        <v>61</v>
      </c>
      <c r="I439" s="15" t="s">
        <v>411</v>
      </c>
      <c r="J439" s="15">
        <v>52</v>
      </c>
    </row>
    <row r="440" spans="1:10" x14ac:dyDescent="0.3">
      <c r="A440" s="15" t="s">
        <v>836</v>
      </c>
      <c r="B440" s="15" t="s">
        <v>18</v>
      </c>
      <c r="C440" s="15" t="s">
        <v>58</v>
      </c>
      <c r="D440" s="15" t="s">
        <v>13</v>
      </c>
      <c r="E440" s="15">
        <v>16</v>
      </c>
      <c r="F440" s="15">
        <v>9</v>
      </c>
      <c r="G440" s="15" t="s">
        <v>14</v>
      </c>
      <c r="H440" s="15" t="s">
        <v>37</v>
      </c>
      <c r="I440" s="15" t="s">
        <v>837</v>
      </c>
      <c r="J440" s="15">
        <v>64</v>
      </c>
    </row>
    <row r="441" spans="1:10" x14ac:dyDescent="0.3">
      <c r="A441" s="15" t="s">
        <v>838</v>
      </c>
      <c r="B441" s="15" t="s">
        <v>29</v>
      </c>
      <c r="C441" s="15" t="s">
        <v>36</v>
      </c>
      <c r="D441" s="15" t="s">
        <v>31</v>
      </c>
      <c r="E441" s="15">
        <v>17</v>
      </c>
      <c r="F441" s="15">
        <v>10</v>
      </c>
      <c r="G441" s="15" t="s">
        <v>25</v>
      </c>
      <c r="H441" s="15" t="s">
        <v>15</v>
      </c>
      <c r="I441" s="15" t="s">
        <v>839</v>
      </c>
      <c r="J441" s="15">
        <v>35</v>
      </c>
    </row>
    <row r="442" spans="1:10" x14ac:dyDescent="0.3">
      <c r="A442" s="15" t="s">
        <v>840</v>
      </c>
      <c r="B442" s="15" t="s">
        <v>29</v>
      </c>
      <c r="C442" s="15" t="s">
        <v>12</v>
      </c>
      <c r="D442" s="15" t="s">
        <v>31</v>
      </c>
      <c r="E442" s="15">
        <v>20</v>
      </c>
      <c r="F442" s="15">
        <v>10</v>
      </c>
      <c r="G442" s="15" t="s">
        <v>43</v>
      </c>
      <c r="H442" s="15" t="s">
        <v>15</v>
      </c>
      <c r="I442" s="15" t="s">
        <v>841</v>
      </c>
      <c r="J442" s="15">
        <v>37</v>
      </c>
    </row>
    <row r="443" spans="1:10" x14ac:dyDescent="0.3">
      <c r="A443" s="15" t="s">
        <v>842</v>
      </c>
      <c r="B443" s="15" t="s">
        <v>23</v>
      </c>
      <c r="C443" s="15" t="s">
        <v>30</v>
      </c>
      <c r="D443" s="15" t="s">
        <v>13</v>
      </c>
      <c r="E443" s="15">
        <v>15</v>
      </c>
      <c r="F443" s="15">
        <v>9</v>
      </c>
      <c r="G443" s="15" t="s">
        <v>32</v>
      </c>
      <c r="H443" s="15" t="s">
        <v>37</v>
      </c>
      <c r="I443" s="15" t="s">
        <v>477</v>
      </c>
      <c r="J443" s="15">
        <v>51</v>
      </c>
    </row>
    <row r="444" spans="1:10" x14ac:dyDescent="0.3">
      <c r="A444" s="15" t="s">
        <v>843</v>
      </c>
      <c r="B444" s="15" t="s">
        <v>54</v>
      </c>
      <c r="C444" s="15" t="s">
        <v>12</v>
      </c>
      <c r="D444" s="15" t="s">
        <v>31</v>
      </c>
      <c r="E444" s="15">
        <v>17</v>
      </c>
      <c r="F444" s="15">
        <v>10</v>
      </c>
      <c r="G444" s="15" t="s">
        <v>25</v>
      </c>
      <c r="H444" s="15" t="s">
        <v>40</v>
      </c>
      <c r="I444" s="15" t="s">
        <v>844</v>
      </c>
      <c r="J444" s="15">
        <v>43</v>
      </c>
    </row>
    <row r="445" spans="1:10" x14ac:dyDescent="0.3">
      <c r="A445" s="15" t="s">
        <v>845</v>
      </c>
      <c r="B445" s="15" t="s">
        <v>11</v>
      </c>
      <c r="C445" s="15" t="s">
        <v>19</v>
      </c>
      <c r="D445" s="15" t="s">
        <v>31</v>
      </c>
      <c r="E445" s="15">
        <v>19</v>
      </c>
      <c r="F445" s="15">
        <v>11</v>
      </c>
      <c r="G445" s="15" t="s">
        <v>43</v>
      </c>
      <c r="H445" s="15" t="s">
        <v>76</v>
      </c>
      <c r="I445" s="15" t="s">
        <v>282</v>
      </c>
      <c r="J445" s="15">
        <v>44</v>
      </c>
    </row>
    <row r="446" spans="1:10" x14ac:dyDescent="0.3">
      <c r="A446" s="15" t="s">
        <v>846</v>
      </c>
      <c r="B446" s="15" t="s">
        <v>35</v>
      </c>
      <c r="C446" s="15" t="s">
        <v>79</v>
      </c>
      <c r="D446" s="15" t="s">
        <v>13</v>
      </c>
      <c r="E446" s="15">
        <v>17</v>
      </c>
      <c r="F446" s="15">
        <v>12</v>
      </c>
      <c r="G446" s="15" t="s">
        <v>25</v>
      </c>
      <c r="H446" s="15" t="s">
        <v>46</v>
      </c>
      <c r="I446" s="15" t="s">
        <v>847</v>
      </c>
      <c r="J446" s="15">
        <v>41</v>
      </c>
    </row>
    <row r="447" spans="1:10" x14ac:dyDescent="0.3">
      <c r="A447" s="15" t="s">
        <v>848</v>
      </c>
      <c r="B447" s="15" t="s">
        <v>18</v>
      </c>
      <c r="C447" s="15" t="s">
        <v>24</v>
      </c>
      <c r="D447" s="15" t="s">
        <v>31</v>
      </c>
      <c r="E447" s="15">
        <v>16</v>
      </c>
      <c r="F447" s="15">
        <v>10</v>
      </c>
      <c r="G447" s="15" t="s">
        <v>25</v>
      </c>
      <c r="H447" s="15" t="s">
        <v>61</v>
      </c>
      <c r="I447" s="15" t="s">
        <v>849</v>
      </c>
      <c r="J447" s="15">
        <v>78</v>
      </c>
    </row>
    <row r="448" spans="1:10" x14ac:dyDescent="0.3">
      <c r="A448" s="15" t="s">
        <v>850</v>
      </c>
      <c r="B448" s="15" t="s">
        <v>51</v>
      </c>
      <c r="C448" s="15" t="s">
        <v>96</v>
      </c>
      <c r="D448" s="15" t="s">
        <v>13</v>
      </c>
      <c r="E448" s="15">
        <v>14</v>
      </c>
      <c r="F448" s="15">
        <v>9</v>
      </c>
      <c r="G448" s="15" t="s">
        <v>25</v>
      </c>
      <c r="H448" s="15" t="s">
        <v>26</v>
      </c>
      <c r="I448" s="15" t="s">
        <v>851</v>
      </c>
      <c r="J448" s="15">
        <v>90</v>
      </c>
    </row>
    <row r="449" spans="1:10" x14ac:dyDescent="0.3">
      <c r="A449" s="15" t="s">
        <v>852</v>
      </c>
      <c r="B449" s="15" t="s">
        <v>29</v>
      </c>
      <c r="C449" s="15" t="s">
        <v>55</v>
      </c>
      <c r="D449" s="15" t="s">
        <v>13</v>
      </c>
      <c r="E449" s="15">
        <v>15</v>
      </c>
      <c r="F449" s="15">
        <v>9</v>
      </c>
      <c r="G449" s="15" t="s">
        <v>14</v>
      </c>
      <c r="H449" s="15" t="s">
        <v>20</v>
      </c>
      <c r="I449" s="15" t="s">
        <v>853</v>
      </c>
      <c r="J449" s="15">
        <v>74</v>
      </c>
    </row>
    <row r="450" spans="1:10" x14ac:dyDescent="0.3">
      <c r="A450" s="15" t="s">
        <v>854</v>
      </c>
      <c r="B450" s="15" t="s">
        <v>51</v>
      </c>
      <c r="C450" s="15" t="s">
        <v>55</v>
      </c>
      <c r="D450" s="15" t="s">
        <v>13</v>
      </c>
      <c r="E450" s="15">
        <v>15</v>
      </c>
      <c r="F450" s="15">
        <v>11</v>
      </c>
      <c r="G450" s="15" t="s">
        <v>14</v>
      </c>
      <c r="H450" s="15" t="s">
        <v>61</v>
      </c>
      <c r="I450" s="15" t="s">
        <v>855</v>
      </c>
      <c r="J450" s="15">
        <v>84</v>
      </c>
    </row>
    <row r="451" spans="1:10" x14ac:dyDescent="0.3">
      <c r="A451" s="15" t="s">
        <v>856</v>
      </c>
      <c r="B451" s="15" t="s">
        <v>29</v>
      </c>
      <c r="C451" s="15" t="s">
        <v>85</v>
      </c>
      <c r="D451" s="15" t="s">
        <v>13</v>
      </c>
      <c r="E451" s="15">
        <v>16</v>
      </c>
      <c r="F451" s="15">
        <v>9</v>
      </c>
      <c r="G451" s="15" t="s">
        <v>14</v>
      </c>
      <c r="H451" s="15" t="s">
        <v>61</v>
      </c>
      <c r="I451" s="15" t="s">
        <v>262</v>
      </c>
      <c r="J451" s="15">
        <v>78</v>
      </c>
    </row>
    <row r="452" spans="1:10" x14ac:dyDescent="0.3">
      <c r="A452" s="15" t="s">
        <v>857</v>
      </c>
      <c r="B452" s="15" t="s">
        <v>18</v>
      </c>
      <c r="C452" s="15" t="s">
        <v>96</v>
      </c>
      <c r="D452" s="15" t="s">
        <v>13</v>
      </c>
      <c r="E452" s="15">
        <v>20</v>
      </c>
      <c r="F452" s="15">
        <v>11</v>
      </c>
      <c r="G452" s="15" t="s">
        <v>32</v>
      </c>
      <c r="H452" s="15" t="s">
        <v>61</v>
      </c>
      <c r="I452" s="15" t="s">
        <v>570</v>
      </c>
      <c r="J452" s="15">
        <v>94</v>
      </c>
    </row>
    <row r="453" spans="1:10" x14ac:dyDescent="0.3">
      <c r="A453" s="15" t="s">
        <v>858</v>
      </c>
      <c r="B453" s="15" t="s">
        <v>35</v>
      </c>
      <c r="C453" s="15" t="s">
        <v>12</v>
      </c>
      <c r="D453" s="15" t="s">
        <v>31</v>
      </c>
      <c r="E453" s="15">
        <v>19</v>
      </c>
      <c r="F453" s="15">
        <v>9</v>
      </c>
      <c r="G453" s="15" t="s">
        <v>43</v>
      </c>
      <c r="H453" s="15" t="s">
        <v>26</v>
      </c>
      <c r="I453" s="15" t="s">
        <v>859</v>
      </c>
      <c r="J453" s="15">
        <v>88</v>
      </c>
    </row>
    <row r="454" spans="1:10" x14ac:dyDescent="0.3">
      <c r="A454" s="15" t="s">
        <v>860</v>
      </c>
      <c r="B454" s="15" t="s">
        <v>68</v>
      </c>
      <c r="C454" s="15" t="s">
        <v>12</v>
      </c>
      <c r="D454" s="15" t="s">
        <v>13</v>
      </c>
      <c r="E454" s="15">
        <v>16</v>
      </c>
      <c r="F454" s="15">
        <v>12</v>
      </c>
      <c r="G454" s="15" t="s">
        <v>14</v>
      </c>
      <c r="H454" s="15" t="s">
        <v>37</v>
      </c>
      <c r="I454" s="15" t="s">
        <v>861</v>
      </c>
      <c r="J454" s="15">
        <v>84</v>
      </c>
    </row>
    <row r="455" spans="1:10" x14ac:dyDescent="0.3">
      <c r="A455" s="15" t="s">
        <v>862</v>
      </c>
      <c r="B455" s="15" t="s">
        <v>51</v>
      </c>
      <c r="C455" s="15" t="s">
        <v>24</v>
      </c>
      <c r="D455" s="15" t="s">
        <v>13</v>
      </c>
      <c r="E455" s="15">
        <v>17</v>
      </c>
      <c r="F455" s="15">
        <v>9</v>
      </c>
      <c r="G455" s="15" t="s">
        <v>43</v>
      </c>
      <c r="H455" s="15" t="s">
        <v>15</v>
      </c>
      <c r="I455" s="15" t="s">
        <v>863</v>
      </c>
      <c r="J455" s="15">
        <v>86</v>
      </c>
    </row>
    <row r="456" spans="1:10" x14ac:dyDescent="0.3">
      <c r="A456" s="15" t="s">
        <v>864</v>
      </c>
      <c r="B456" s="15" t="s">
        <v>35</v>
      </c>
      <c r="C456" s="15" t="s">
        <v>58</v>
      </c>
      <c r="D456" s="15" t="s">
        <v>13</v>
      </c>
      <c r="E456" s="15">
        <v>17</v>
      </c>
      <c r="F456" s="15">
        <v>10</v>
      </c>
      <c r="G456" s="15" t="s">
        <v>14</v>
      </c>
      <c r="H456" s="15" t="s">
        <v>20</v>
      </c>
      <c r="I456" s="15" t="s">
        <v>865</v>
      </c>
      <c r="J456" s="15">
        <v>92</v>
      </c>
    </row>
    <row r="457" spans="1:10" x14ac:dyDescent="0.3">
      <c r="A457" s="15" t="s">
        <v>866</v>
      </c>
      <c r="B457" s="15" t="s">
        <v>18</v>
      </c>
      <c r="C457" s="15" t="s">
        <v>24</v>
      </c>
      <c r="D457" s="15" t="s">
        <v>13</v>
      </c>
      <c r="E457" s="15">
        <v>15</v>
      </c>
      <c r="F457" s="15">
        <v>11</v>
      </c>
      <c r="G457" s="15" t="s">
        <v>14</v>
      </c>
      <c r="H457" s="15" t="s">
        <v>61</v>
      </c>
      <c r="I457" s="15" t="s">
        <v>867</v>
      </c>
      <c r="J457" s="15">
        <v>97</v>
      </c>
    </row>
    <row r="458" spans="1:10" x14ac:dyDescent="0.3">
      <c r="A458" s="15" t="s">
        <v>868</v>
      </c>
      <c r="B458" s="15" t="s">
        <v>84</v>
      </c>
      <c r="C458" s="15" t="s">
        <v>30</v>
      </c>
      <c r="D458" s="15" t="s">
        <v>31</v>
      </c>
      <c r="E458" s="15">
        <v>15</v>
      </c>
      <c r="F458" s="15">
        <v>9</v>
      </c>
      <c r="G458" s="15" t="s">
        <v>43</v>
      </c>
      <c r="H458" s="15" t="s">
        <v>61</v>
      </c>
      <c r="I458" s="15" t="s">
        <v>151</v>
      </c>
      <c r="J458" s="15">
        <v>45</v>
      </c>
    </row>
    <row r="459" spans="1:10" x14ac:dyDescent="0.3">
      <c r="A459" s="15" t="s">
        <v>869</v>
      </c>
      <c r="B459" s="15" t="s">
        <v>73</v>
      </c>
      <c r="C459" s="15" t="s">
        <v>96</v>
      </c>
      <c r="D459" s="15" t="s">
        <v>31</v>
      </c>
      <c r="E459" s="15">
        <v>17</v>
      </c>
      <c r="F459" s="15">
        <v>9</v>
      </c>
      <c r="G459" s="15" t="s">
        <v>43</v>
      </c>
      <c r="H459" s="15" t="s">
        <v>26</v>
      </c>
      <c r="I459" s="15" t="s">
        <v>870</v>
      </c>
      <c r="J459" s="15">
        <v>53</v>
      </c>
    </row>
    <row r="460" spans="1:10" x14ac:dyDescent="0.3">
      <c r="A460" s="15" t="s">
        <v>871</v>
      </c>
      <c r="B460" s="15" t="s">
        <v>11</v>
      </c>
      <c r="C460" s="15" t="s">
        <v>12</v>
      </c>
      <c r="D460" s="15" t="s">
        <v>13</v>
      </c>
      <c r="E460" s="15">
        <v>20</v>
      </c>
      <c r="F460" s="15">
        <v>10</v>
      </c>
      <c r="G460" s="15" t="s">
        <v>25</v>
      </c>
      <c r="H460" s="15" t="s">
        <v>76</v>
      </c>
      <c r="I460" s="15" t="s">
        <v>872</v>
      </c>
      <c r="J460" s="15">
        <v>66</v>
      </c>
    </row>
    <row r="461" spans="1:10" x14ac:dyDescent="0.3">
      <c r="A461" s="15" t="s">
        <v>873</v>
      </c>
      <c r="B461" s="15" t="s">
        <v>18</v>
      </c>
      <c r="C461" s="15" t="s">
        <v>79</v>
      </c>
      <c r="D461" s="15" t="s">
        <v>31</v>
      </c>
      <c r="E461" s="15">
        <v>19</v>
      </c>
      <c r="F461" s="15">
        <v>12</v>
      </c>
      <c r="G461" s="15" t="s">
        <v>32</v>
      </c>
      <c r="H461" s="15" t="s">
        <v>76</v>
      </c>
      <c r="I461" s="15" t="s">
        <v>742</v>
      </c>
      <c r="J461" s="15">
        <v>83</v>
      </c>
    </row>
    <row r="462" spans="1:10" x14ac:dyDescent="0.3">
      <c r="A462" s="15" t="s">
        <v>874</v>
      </c>
      <c r="B462" s="15" t="s">
        <v>35</v>
      </c>
      <c r="C462" s="15" t="s">
        <v>36</v>
      </c>
      <c r="D462" s="15" t="s">
        <v>13</v>
      </c>
      <c r="E462" s="15">
        <v>16</v>
      </c>
      <c r="F462" s="15">
        <v>10</v>
      </c>
      <c r="G462" s="15" t="s">
        <v>14</v>
      </c>
      <c r="H462" s="15" t="s">
        <v>61</v>
      </c>
      <c r="I462" s="15" t="s">
        <v>875</v>
      </c>
      <c r="J462" s="15">
        <v>35</v>
      </c>
    </row>
    <row r="463" spans="1:10" x14ac:dyDescent="0.3">
      <c r="A463" s="15" t="s">
        <v>876</v>
      </c>
      <c r="B463" s="15" t="s">
        <v>18</v>
      </c>
      <c r="C463" s="15" t="s">
        <v>24</v>
      </c>
      <c r="D463" s="15" t="s">
        <v>31</v>
      </c>
      <c r="E463" s="15">
        <v>16</v>
      </c>
      <c r="F463" s="15">
        <v>9</v>
      </c>
      <c r="G463" s="15" t="s">
        <v>43</v>
      </c>
      <c r="H463" s="15" t="s">
        <v>26</v>
      </c>
      <c r="I463" s="15" t="s">
        <v>515</v>
      </c>
      <c r="J463" s="15">
        <v>48</v>
      </c>
    </row>
    <row r="464" spans="1:10" x14ac:dyDescent="0.3">
      <c r="A464" s="15" t="s">
        <v>877</v>
      </c>
      <c r="B464" s="15" t="s">
        <v>73</v>
      </c>
      <c r="C464" s="15" t="s">
        <v>85</v>
      </c>
      <c r="D464" s="15" t="s">
        <v>13</v>
      </c>
      <c r="E464" s="15">
        <v>19</v>
      </c>
      <c r="F464" s="15">
        <v>10</v>
      </c>
      <c r="G464" s="15" t="s">
        <v>25</v>
      </c>
      <c r="H464" s="15" t="s">
        <v>26</v>
      </c>
      <c r="I464" s="15" t="s">
        <v>878</v>
      </c>
      <c r="J464" s="15">
        <v>81</v>
      </c>
    </row>
    <row r="465" spans="1:10" x14ac:dyDescent="0.3">
      <c r="A465" s="15" t="s">
        <v>879</v>
      </c>
      <c r="B465" s="15" t="s">
        <v>18</v>
      </c>
      <c r="C465" s="15" t="s">
        <v>85</v>
      </c>
      <c r="D465" s="15" t="s">
        <v>13</v>
      </c>
      <c r="E465" s="15">
        <v>15</v>
      </c>
      <c r="F465" s="15">
        <v>11</v>
      </c>
      <c r="G465" s="15" t="s">
        <v>32</v>
      </c>
      <c r="H465" s="15" t="s">
        <v>37</v>
      </c>
      <c r="I465" s="15" t="s">
        <v>880</v>
      </c>
      <c r="J465" s="15">
        <v>86</v>
      </c>
    </row>
    <row r="466" spans="1:10" x14ac:dyDescent="0.3">
      <c r="A466" s="15" t="s">
        <v>881</v>
      </c>
      <c r="B466" s="15" t="s">
        <v>73</v>
      </c>
      <c r="C466" s="15" t="s">
        <v>24</v>
      </c>
      <c r="D466" s="15" t="s">
        <v>31</v>
      </c>
      <c r="E466" s="15">
        <v>14</v>
      </c>
      <c r="F466" s="15">
        <v>12</v>
      </c>
      <c r="G466" s="15" t="s">
        <v>25</v>
      </c>
      <c r="H466" s="15" t="s">
        <v>46</v>
      </c>
      <c r="I466" s="15" t="s">
        <v>882</v>
      </c>
      <c r="J466" s="15">
        <v>58</v>
      </c>
    </row>
    <row r="467" spans="1:10" x14ac:dyDescent="0.3">
      <c r="A467" s="15" t="s">
        <v>883</v>
      </c>
      <c r="B467" s="15" t="s">
        <v>23</v>
      </c>
      <c r="C467" s="15" t="s">
        <v>85</v>
      </c>
      <c r="D467" s="15" t="s">
        <v>13</v>
      </c>
      <c r="E467" s="15">
        <v>19</v>
      </c>
      <c r="F467" s="15">
        <v>9</v>
      </c>
      <c r="G467" s="15" t="s">
        <v>43</v>
      </c>
      <c r="H467" s="15" t="s">
        <v>20</v>
      </c>
      <c r="I467" s="15" t="s">
        <v>884</v>
      </c>
      <c r="J467" s="15">
        <v>69</v>
      </c>
    </row>
    <row r="468" spans="1:10" x14ac:dyDescent="0.3">
      <c r="A468" s="15" t="s">
        <v>885</v>
      </c>
      <c r="B468" s="15" t="s">
        <v>51</v>
      </c>
      <c r="C468" s="15" t="s">
        <v>55</v>
      </c>
      <c r="D468" s="15" t="s">
        <v>13</v>
      </c>
      <c r="E468" s="15">
        <v>16</v>
      </c>
      <c r="F468" s="15">
        <v>11</v>
      </c>
      <c r="G468" s="15" t="s">
        <v>32</v>
      </c>
      <c r="H468" s="15" t="s">
        <v>76</v>
      </c>
      <c r="I468" s="15" t="s">
        <v>886</v>
      </c>
      <c r="J468" s="15">
        <v>65</v>
      </c>
    </row>
    <row r="469" spans="1:10" x14ac:dyDescent="0.3">
      <c r="A469" s="15" t="s">
        <v>887</v>
      </c>
      <c r="B469" s="15" t="s">
        <v>11</v>
      </c>
      <c r="C469" s="15" t="s">
        <v>30</v>
      </c>
      <c r="D469" s="15" t="s">
        <v>31</v>
      </c>
      <c r="E469" s="15">
        <v>17</v>
      </c>
      <c r="F469" s="15">
        <v>9</v>
      </c>
      <c r="G469" s="15" t="s">
        <v>14</v>
      </c>
      <c r="H469" s="15" t="s">
        <v>76</v>
      </c>
      <c r="I469" s="15" t="s">
        <v>653</v>
      </c>
      <c r="J469" s="15">
        <v>53</v>
      </c>
    </row>
    <row r="470" spans="1:10" x14ac:dyDescent="0.3">
      <c r="A470" s="15" t="s">
        <v>888</v>
      </c>
      <c r="B470" s="15" t="s">
        <v>23</v>
      </c>
      <c r="C470" s="15" t="s">
        <v>58</v>
      </c>
      <c r="D470" s="15" t="s">
        <v>31</v>
      </c>
      <c r="E470" s="15">
        <v>18</v>
      </c>
      <c r="F470" s="15">
        <v>10</v>
      </c>
      <c r="G470" s="15" t="s">
        <v>14</v>
      </c>
      <c r="H470" s="15" t="s">
        <v>20</v>
      </c>
      <c r="I470" s="15" t="s">
        <v>153</v>
      </c>
      <c r="J470" s="15">
        <v>92</v>
      </c>
    </row>
    <row r="471" spans="1:10" x14ac:dyDescent="0.3">
      <c r="A471" s="15" t="s">
        <v>889</v>
      </c>
      <c r="B471" s="15" t="s">
        <v>68</v>
      </c>
      <c r="C471" s="15" t="s">
        <v>19</v>
      </c>
      <c r="D471" s="15" t="s">
        <v>31</v>
      </c>
      <c r="E471" s="15">
        <v>18</v>
      </c>
      <c r="F471" s="15">
        <v>12</v>
      </c>
      <c r="G471" s="15" t="s">
        <v>32</v>
      </c>
      <c r="H471" s="15" t="s">
        <v>46</v>
      </c>
      <c r="I471" s="15" t="s">
        <v>890</v>
      </c>
      <c r="J471" s="15">
        <v>88</v>
      </c>
    </row>
    <row r="472" spans="1:10" x14ac:dyDescent="0.3">
      <c r="A472" s="15" t="s">
        <v>891</v>
      </c>
      <c r="B472" s="15" t="s">
        <v>68</v>
      </c>
      <c r="C472" s="15" t="s">
        <v>79</v>
      </c>
      <c r="D472" s="15" t="s">
        <v>31</v>
      </c>
      <c r="E472" s="15">
        <v>17</v>
      </c>
      <c r="F472" s="15">
        <v>10</v>
      </c>
      <c r="G472" s="15" t="s">
        <v>32</v>
      </c>
      <c r="H472" s="15" t="s">
        <v>61</v>
      </c>
      <c r="I472" s="15" t="s">
        <v>892</v>
      </c>
      <c r="J472" s="15">
        <v>56</v>
      </c>
    </row>
    <row r="473" spans="1:10" x14ac:dyDescent="0.3">
      <c r="A473" s="15" t="s">
        <v>893</v>
      </c>
      <c r="B473" s="15" t="s">
        <v>29</v>
      </c>
      <c r="C473" s="15" t="s">
        <v>30</v>
      </c>
      <c r="D473" s="15" t="s">
        <v>13</v>
      </c>
      <c r="E473" s="15">
        <v>17</v>
      </c>
      <c r="F473" s="15">
        <v>9</v>
      </c>
      <c r="G473" s="15" t="s">
        <v>14</v>
      </c>
      <c r="H473" s="15" t="s">
        <v>46</v>
      </c>
      <c r="I473" s="15" t="s">
        <v>423</v>
      </c>
      <c r="J473" s="15">
        <v>46</v>
      </c>
    </row>
    <row r="474" spans="1:10" x14ac:dyDescent="0.3">
      <c r="A474" s="15" t="s">
        <v>894</v>
      </c>
      <c r="B474" s="15" t="s">
        <v>23</v>
      </c>
      <c r="C474" s="15" t="s">
        <v>79</v>
      </c>
      <c r="D474" s="15" t="s">
        <v>31</v>
      </c>
      <c r="E474" s="15">
        <v>20</v>
      </c>
      <c r="F474" s="15">
        <v>9</v>
      </c>
      <c r="G474" s="15" t="s">
        <v>14</v>
      </c>
      <c r="H474" s="15" t="s">
        <v>26</v>
      </c>
      <c r="I474" s="15" t="s">
        <v>895</v>
      </c>
      <c r="J474" s="15">
        <v>36</v>
      </c>
    </row>
    <row r="475" spans="1:10" x14ac:dyDescent="0.3">
      <c r="A475" s="15" t="s">
        <v>896</v>
      </c>
      <c r="B475" s="15" t="s">
        <v>11</v>
      </c>
      <c r="C475" s="15" t="s">
        <v>36</v>
      </c>
      <c r="D475" s="15" t="s">
        <v>13</v>
      </c>
      <c r="E475" s="15">
        <v>15</v>
      </c>
      <c r="F475" s="15">
        <v>11</v>
      </c>
      <c r="G475" s="15" t="s">
        <v>14</v>
      </c>
      <c r="H475" s="15" t="s">
        <v>26</v>
      </c>
      <c r="I475" s="15" t="s">
        <v>897</v>
      </c>
      <c r="J475" s="15">
        <v>95</v>
      </c>
    </row>
    <row r="476" spans="1:10" x14ac:dyDescent="0.3">
      <c r="A476" s="15" t="s">
        <v>898</v>
      </c>
      <c r="B476" s="15" t="s">
        <v>18</v>
      </c>
      <c r="C476" s="15" t="s">
        <v>19</v>
      </c>
      <c r="D476" s="15" t="s">
        <v>13</v>
      </c>
      <c r="E476" s="15">
        <v>17</v>
      </c>
      <c r="F476" s="15">
        <v>10</v>
      </c>
      <c r="G476" s="15" t="s">
        <v>25</v>
      </c>
      <c r="H476" s="15" t="s">
        <v>61</v>
      </c>
      <c r="I476" s="15" t="s">
        <v>471</v>
      </c>
      <c r="J476" s="15">
        <v>58</v>
      </c>
    </row>
    <row r="477" spans="1:10" x14ac:dyDescent="0.3">
      <c r="A477" s="15" t="s">
        <v>899</v>
      </c>
      <c r="B477" s="15" t="s">
        <v>11</v>
      </c>
      <c r="C477" s="15" t="s">
        <v>79</v>
      </c>
      <c r="D477" s="15" t="s">
        <v>13</v>
      </c>
      <c r="E477" s="15">
        <v>15</v>
      </c>
      <c r="F477" s="15">
        <v>10</v>
      </c>
      <c r="G477" s="15" t="s">
        <v>14</v>
      </c>
      <c r="H477" s="15" t="s">
        <v>37</v>
      </c>
      <c r="I477" s="15" t="s">
        <v>900</v>
      </c>
      <c r="J477" s="15">
        <v>88</v>
      </c>
    </row>
    <row r="478" spans="1:10" x14ac:dyDescent="0.3">
      <c r="A478" s="15" t="s">
        <v>901</v>
      </c>
      <c r="B478" s="15" t="s">
        <v>68</v>
      </c>
      <c r="C478" s="15" t="s">
        <v>19</v>
      </c>
      <c r="D478" s="15" t="s">
        <v>31</v>
      </c>
      <c r="E478" s="15">
        <v>18</v>
      </c>
      <c r="F478" s="15">
        <v>11</v>
      </c>
      <c r="G478" s="15" t="s">
        <v>14</v>
      </c>
      <c r="H478" s="15" t="s">
        <v>40</v>
      </c>
      <c r="I478" s="15" t="s">
        <v>139</v>
      </c>
      <c r="J478" s="15">
        <v>75</v>
      </c>
    </row>
    <row r="479" spans="1:10" x14ac:dyDescent="0.3">
      <c r="A479" s="15" t="s">
        <v>902</v>
      </c>
      <c r="B479" s="15" t="s">
        <v>35</v>
      </c>
      <c r="C479" s="15" t="s">
        <v>12</v>
      </c>
      <c r="D479" s="15" t="s">
        <v>31</v>
      </c>
      <c r="E479" s="15">
        <v>14</v>
      </c>
      <c r="F479" s="15">
        <v>11</v>
      </c>
      <c r="G479" s="15" t="s">
        <v>14</v>
      </c>
      <c r="H479" s="15" t="s">
        <v>37</v>
      </c>
      <c r="I479" s="15" t="s">
        <v>271</v>
      </c>
      <c r="J479" s="15">
        <v>59</v>
      </c>
    </row>
    <row r="480" spans="1:10" x14ac:dyDescent="0.3">
      <c r="A480" s="15" t="s">
        <v>903</v>
      </c>
      <c r="B480" s="15" t="s">
        <v>54</v>
      </c>
      <c r="C480" s="15" t="s">
        <v>30</v>
      </c>
      <c r="D480" s="15" t="s">
        <v>31</v>
      </c>
      <c r="E480" s="15">
        <v>20</v>
      </c>
      <c r="F480" s="15">
        <v>12</v>
      </c>
      <c r="G480" s="15" t="s">
        <v>43</v>
      </c>
      <c r="H480" s="15" t="s">
        <v>40</v>
      </c>
      <c r="I480" s="15" t="s">
        <v>904</v>
      </c>
      <c r="J480" s="15">
        <v>55</v>
      </c>
    </row>
    <row r="481" spans="1:10" x14ac:dyDescent="0.3">
      <c r="A481" s="15" t="s">
        <v>905</v>
      </c>
      <c r="B481" s="15" t="s">
        <v>54</v>
      </c>
      <c r="C481" s="15" t="s">
        <v>30</v>
      </c>
      <c r="D481" s="15" t="s">
        <v>13</v>
      </c>
      <c r="E481" s="15">
        <v>16</v>
      </c>
      <c r="F481" s="15">
        <v>12</v>
      </c>
      <c r="G481" s="15" t="s">
        <v>43</v>
      </c>
      <c r="H481" s="15" t="s">
        <v>40</v>
      </c>
      <c r="I481" s="15" t="s">
        <v>556</v>
      </c>
      <c r="J481" s="15">
        <v>81</v>
      </c>
    </row>
    <row r="482" spans="1:10" x14ac:dyDescent="0.3">
      <c r="A482" s="15" t="s">
        <v>906</v>
      </c>
      <c r="B482" s="15" t="s">
        <v>73</v>
      </c>
      <c r="C482" s="15" t="s">
        <v>36</v>
      </c>
      <c r="D482" s="15" t="s">
        <v>13</v>
      </c>
      <c r="E482" s="15">
        <v>17</v>
      </c>
      <c r="F482" s="15">
        <v>12</v>
      </c>
      <c r="G482" s="15" t="s">
        <v>25</v>
      </c>
      <c r="H482" s="15" t="s">
        <v>76</v>
      </c>
      <c r="I482" s="15" t="s">
        <v>907</v>
      </c>
      <c r="J482" s="15">
        <v>75</v>
      </c>
    </row>
    <row r="483" spans="1:10" x14ac:dyDescent="0.3">
      <c r="A483" s="15" t="s">
        <v>908</v>
      </c>
      <c r="B483" s="15" t="s">
        <v>11</v>
      </c>
      <c r="C483" s="15" t="s">
        <v>79</v>
      </c>
      <c r="D483" s="15" t="s">
        <v>31</v>
      </c>
      <c r="E483" s="15">
        <v>14</v>
      </c>
      <c r="F483" s="15">
        <v>10</v>
      </c>
      <c r="G483" s="15" t="s">
        <v>14</v>
      </c>
      <c r="H483" s="15" t="s">
        <v>46</v>
      </c>
      <c r="I483" s="15" t="s">
        <v>909</v>
      </c>
      <c r="J483" s="15">
        <v>55</v>
      </c>
    </row>
    <row r="484" spans="1:10" x14ac:dyDescent="0.3">
      <c r="A484" s="15" t="s">
        <v>910</v>
      </c>
      <c r="B484" s="15" t="s">
        <v>84</v>
      </c>
      <c r="C484" s="15" t="s">
        <v>12</v>
      </c>
      <c r="D484" s="15" t="s">
        <v>31</v>
      </c>
      <c r="E484" s="15">
        <v>18</v>
      </c>
      <c r="F484" s="15">
        <v>11</v>
      </c>
      <c r="G484" s="15" t="s">
        <v>25</v>
      </c>
      <c r="H484" s="15" t="s">
        <v>15</v>
      </c>
      <c r="I484" s="15" t="s">
        <v>911</v>
      </c>
      <c r="J484" s="15">
        <v>87</v>
      </c>
    </row>
    <row r="485" spans="1:10" x14ac:dyDescent="0.3">
      <c r="A485" s="15" t="s">
        <v>912</v>
      </c>
      <c r="B485" s="15" t="s">
        <v>23</v>
      </c>
      <c r="C485" s="15" t="s">
        <v>79</v>
      </c>
      <c r="D485" s="15" t="s">
        <v>31</v>
      </c>
      <c r="E485" s="15">
        <v>17</v>
      </c>
      <c r="F485" s="15">
        <v>12</v>
      </c>
      <c r="G485" s="15" t="s">
        <v>32</v>
      </c>
      <c r="H485" s="15" t="s">
        <v>46</v>
      </c>
      <c r="I485" s="15" t="s">
        <v>400</v>
      </c>
      <c r="J485" s="15">
        <v>70</v>
      </c>
    </row>
    <row r="486" spans="1:10" x14ac:dyDescent="0.3">
      <c r="A486" s="15" t="s">
        <v>913</v>
      </c>
      <c r="B486" s="15" t="s">
        <v>68</v>
      </c>
      <c r="C486" s="15" t="s">
        <v>58</v>
      </c>
      <c r="D486" s="15" t="s">
        <v>13</v>
      </c>
      <c r="E486" s="15">
        <v>14</v>
      </c>
      <c r="F486" s="15">
        <v>10</v>
      </c>
      <c r="G486" s="15" t="s">
        <v>14</v>
      </c>
      <c r="H486" s="15" t="s">
        <v>15</v>
      </c>
      <c r="I486" s="15" t="s">
        <v>914</v>
      </c>
      <c r="J486" s="15">
        <v>69</v>
      </c>
    </row>
    <row r="487" spans="1:10" x14ac:dyDescent="0.3">
      <c r="A487" s="15" t="s">
        <v>915</v>
      </c>
      <c r="B487" s="15" t="s">
        <v>23</v>
      </c>
      <c r="C487" s="15" t="s">
        <v>58</v>
      </c>
      <c r="D487" s="15" t="s">
        <v>31</v>
      </c>
      <c r="E487" s="15">
        <v>17</v>
      </c>
      <c r="F487" s="15">
        <v>9</v>
      </c>
      <c r="G487" s="15" t="s">
        <v>25</v>
      </c>
      <c r="H487" s="15" t="s">
        <v>46</v>
      </c>
      <c r="I487" s="15" t="s">
        <v>916</v>
      </c>
      <c r="J487" s="15">
        <v>85</v>
      </c>
    </row>
    <row r="488" spans="1:10" x14ac:dyDescent="0.3">
      <c r="A488" s="15" t="s">
        <v>917</v>
      </c>
      <c r="B488" s="15" t="s">
        <v>11</v>
      </c>
      <c r="C488" s="15" t="s">
        <v>96</v>
      </c>
      <c r="D488" s="15" t="s">
        <v>31</v>
      </c>
      <c r="E488" s="15">
        <v>19</v>
      </c>
      <c r="F488" s="15">
        <v>11</v>
      </c>
      <c r="G488" s="15" t="s">
        <v>43</v>
      </c>
      <c r="H488" s="15" t="s">
        <v>26</v>
      </c>
      <c r="I488" s="15" t="s">
        <v>918</v>
      </c>
      <c r="J488" s="15">
        <v>87</v>
      </c>
    </row>
    <row r="489" spans="1:10" x14ac:dyDescent="0.3">
      <c r="A489" s="15" t="s">
        <v>919</v>
      </c>
      <c r="B489" s="15" t="s">
        <v>23</v>
      </c>
      <c r="C489" s="15" t="s">
        <v>19</v>
      </c>
      <c r="D489" s="15" t="s">
        <v>13</v>
      </c>
      <c r="E489" s="15">
        <v>14</v>
      </c>
      <c r="F489" s="15">
        <v>12</v>
      </c>
      <c r="G489" s="15" t="s">
        <v>14</v>
      </c>
      <c r="H489" s="15" t="s">
        <v>15</v>
      </c>
      <c r="I489" s="15" t="s">
        <v>920</v>
      </c>
      <c r="J489" s="15">
        <v>92</v>
      </c>
    </row>
    <row r="490" spans="1:10" x14ac:dyDescent="0.3">
      <c r="A490" s="15" t="s">
        <v>921</v>
      </c>
      <c r="B490" s="15" t="s">
        <v>18</v>
      </c>
      <c r="C490" s="15" t="s">
        <v>24</v>
      </c>
      <c r="D490" s="15" t="s">
        <v>13</v>
      </c>
      <c r="E490" s="15">
        <v>19</v>
      </c>
      <c r="F490" s="15">
        <v>10</v>
      </c>
      <c r="G490" s="15" t="s">
        <v>14</v>
      </c>
      <c r="H490" s="15" t="s">
        <v>20</v>
      </c>
      <c r="I490" s="15" t="s">
        <v>922</v>
      </c>
      <c r="J490" s="15">
        <v>58</v>
      </c>
    </row>
    <row r="491" spans="1:10" x14ac:dyDescent="0.3">
      <c r="A491" s="15" t="s">
        <v>923</v>
      </c>
      <c r="B491" s="15" t="s">
        <v>68</v>
      </c>
      <c r="C491" s="15" t="s">
        <v>55</v>
      </c>
      <c r="D491" s="15" t="s">
        <v>31</v>
      </c>
      <c r="E491" s="15">
        <v>16</v>
      </c>
      <c r="F491" s="15">
        <v>12</v>
      </c>
      <c r="G491" s="15" t="s">
        <v>43</v>
      </c>
      <c r="H491" s="15" t="s">
        <v>37</v>
      </c>
      <c r="I491" s="15" t="s">
        <v>924</v>
      </c>
      <c r="J491" s="15">
        <v>77</v>
      </c>
    </row>
    <row r="492" spans="1:10" x14ac:dyDescent="0.3">
      <c r="A492" s="15" t="s">
        <v>925</v>
      </c>
      <c r="B492" s="15" t="s">
        <v>68</v>
      </c>
      <c r="C492" s="15" t="s">
        <v>30</v>
      </c>
      <c r="D492" s="15" t="s">
        <v>31</v>
      </c>
      <c r="E492" s="15">
        <v>18</v>
      </c>
      <c r="F492" s="15">
        <v>9</v>
      </c>
      <c r="G492" s="15" t="s">
        <v>32</v>
      </c>
      <c r="H492" s="15" t="s">
        <v>20</v>
      </c>
      <c r="I492" s="15" t="s">
        <v>732</v>
      </c>
      <c r="J492" s="15">
        <v>86</v>
      </c>
    </row>
    <row r="493" spans="1:10" x14ac:dyDescent="0.3">
      <c r="A493" s="15" t="s">
        <v>926</v>
      </c>
      <c r="B493" s="15" t="s">
        <v>73</v>
      </c>
      <c r="C493" s="15" t="s">
        <v>85</v>
      </c>
      <c r="D493" s="15" t="s">
        <v>13</v>
      </c>
      <c r="E493" s="15">
        <v>14</v>
      </c>
      <c r="F493" s="15">
        <v>9</v>
      </c>
      <c r="G493" s="15" t="s">
        <v>32</v>
      </c>
      <c r="H493" s="15" t="s">
        <v>20</v>
      </c>
      <c r="I493" s="15" t="s">
        <v>927</v>
      </c>
      <c r="J493" s="15">
        <v>94</v>
      </c>
    </row>
    <row r="494" spans="1:10" x14ac:dyDescent="0.3">
      <c r="A494" s="15" t="s">
        <v>928</v>
      </c>
      <c r="B494" s="15" t="s">
        <v>23</v>
      </c>
      <c r="C494" s="15" t="s">
        <v>55</v>
      </c>
      <c r="D494" s="15" t="s">
        <v>13</v>
      </c>
      <c r="E494" s="15">
        <v>20</v>
      </c>
      <c r="F494" s="15">
        <v>11</v>
      </c>
      <c r="G494" s="15" t="s">
        <v>14</v>
      </c>
      <c r="H494" s="15" t="s">
        <v>15</v>
      </c>
      <c r="I494" s="15" t="s">
        <v>608</v>
      </c>
      <c r="J494" s="15">
        <v>49</v>
      </c>
    </row>
    <row r="495" spans="1:10" x14ac:dyDescent="0.3">
      <c r="A495" s="15" t="s">
        <v>929</v>
      </c>
      <c r="B495" s="15" t="s">
        <v>35</v>
      </c>
      <c r="C495" s="15" t="s">
        <v>30</v>
      </c>
      <c r="D495" s="15" t="s">
        <v>13</v>
      </c>
      <c r="E495" s="15">
        <v>15</v>
      </c>
      <c r="F495" s="15">
        <v>12</v>
      </c>
      <c r="G495" s="15" t="s">
        <v>32</v>
      </c>
      <c r="H495" s="15" t="s">
        <v>26</v>
      </c>
      <c r="I495" s="15" t="s">
        <v>262</v>
      </c>
      <c r="J495" s="15">
        <v>55</v>
      </c>
    </row>
    <row r="496" spans="1:10" x14ac:dyDescent="0.3">
      <c r="A496" s="15" t="s">
        <v>930</v>
      </c>
      <c r="B496" s="15" t="s">
        <v>35</v>
      </c>
      <c r="C496" s="15" t="s">
        <v>96</v>
      </c>
      <c r="D496" s="15" t="s">
        <v>31</v>
      </c>
      <c r="E496" s="15">
        <v>20</v>
      </c>
      <c r="F496" s="15">
        <v>9</v>
      </c>
      <c r="G496" s="15" t="s">
        <v>25</v>
      </c>
      <c r="H496" s="15" t="s">
        <v>61</v>
      </c>
      <c r="I496" s="15" t="s">
        <v>342</v>
      </c>
      <c r="J496" s="15">
        <v>62</v>
      </c>
    </row>
    <row r="497" spans="1:10" x14ac:dyDescent="0.3">
      <c r="A497" s="15" t="s">
        <v>931</v>
      </c>
      <c r="B497" s="15" t="s">
        <v>23</v>
      </c>
      <c r="C497" s="15" t="s">
        <v>36</v>
      </c>
      <c r="D497" s="15" t="s">
        <v>13</v>
      </c>
      <c r="E497" s="15">
        <v>20</v>
      </c>
      <c r="F497" s="15">
        <v>9</v>
      </c>
      <c r="G497" s="15" t="s">
        <v>43</v>
      </c>
      <c r="H497" s="15" t="s">
        <v>40</v>
      </c>
      <c r="I497" s="15" t="s">
        <v>932</v>
      </c>
      <c r="J497" s="15">
        <v>85</v>
      </c>
    </row>
    <row r="498" spans="1:10" x14ac:dyDescent="0.3">
      <c r="A498" s="15" t="s">
        <v>933</v>
      </c>
      <c r="B498" s="15" t="s">
        <v>51</v>
      </c>
      <c r="C498" s="15" t="s">
        <v>96</v>
      </c>
      <c r="D498" s="15" t="s">
        <v>13</v>
      </c>
      <c r="E498" s="15">
        <v>20</v>
      </c>
      <c r="F498" s="15">
        <v>11</v>
      </c>
      <c r="G498" s="15" t="s">
        <v>25</v>
      </c>
      <c r="H498" s="15" t="s">
        <v>15</v>
      </c>
      <c r="I498" s="15" t="s">
        <v>494</v>
      </c>
      <c r="J498" s="15">
        <v>42</v>
      </c>
    </row>
    <row r="499" spans="1:10" x14ac:dyDescent="0.3">
      <c r="A499" s="15" t="s">
        <v>934</v>
      </c>
      <c r="B499" s="15" t="s">
        <v>51</v>
      </c>
      <c r="C499" s="15" t="s">
        <v>58</v>
      </c>
      <c r="D499" s="15" t="s">
        <v>31</v>
      </c>
      <c r="E499" s="15">
        <v>18</v>
      </c>
      <c r="F499" s="15">
        <v>11</v>
      </c>
      <c r="G499" s="15" t="s">
        <v>14</v>
      </c>
      <c r="H499" s="15" t="s">
        <v>37</v>
      </c>
      <c r="I499" s="15" t="s">
        <v>806</v>
      </c>
      <c r="J499" s="15">
        <v>88</v>
      </c>
    </row>
    <row r="500" spans="1:10" x14ac:dyDescent="0.3">
      <c r="A500" s="15" t="s">
        <v>935</v>
      </c>
      <c r="B500" s="15" t="s">
        <v>18</v>
      </c>
      <c r="C500" s="15" t="s">
        <v>12</v>
      </c>
      <c r="D500" s="15" t="s">
        <v>13</v>
      </c>
      <c r="E500" s="15">
        <v>20</v>
      </c>
      <c r="F500" s="15">
        <v>11</v>
      </c>
      <c r="G500" s="15" t="s">
        <v>43</v>
      </c>
      <c r="H500" s="15" t="s">
        <v>46</v>
      </c>
      <c r="I500" s="15" t="s">
        <v>936</v>
      </c>
      <c r="J500" s="15">
        <v>94</v>
      </c>
    </row>
    <row r="501" spans="1:10" x14ac:dyDescent="0.3">
      <c r="A501" s="15" t="s">
        <v>937</v>
      </c>
      <c r="B501" s="15" t="s">
        <v>73</v>
      </c>
      <c r="C501" s="15" t="s">
        <v>85</v>
      </c>
      <c r="D501" s="15" t="s">
        <v>31</v>
      </c>
      <c r="E501" s="15">
        <v>16</v>
      </c>
      <c r="F501" s="15">
        <v>10</v>
      </c>
      <c r="G501" s="15" t="s">
        <v>25</v>
      </c>
      <c r="H501" s="15" t="s">
        <v>76</v>
      </c>
      <c r="I501" s="15" t="s">
        <v>305</v>
      </c>
      <c r="J501" s="15">
        <v>90</v>
      </c>
    </row>
    <row r="502" spans="1:10" x14ac:dyDescent="0.3">
      <c r="A502" s="15" t="s">
        <v>938</v>
      </c>
      <c r="B502" s="15" t="s">
        <v>18</v>
      </c>
      <c r="C502" s="15" t="s">
        <v>58</v>
      </c>
      <c r="D502" s="15" t="s">
        <v>13</v>
      </c>
      <c r="E502" s="15">
        <v>16</v>
      </c>
      <c r="F502" s="15">
        <v>12</v>
      </c>
      <c r="G502" s="15" t="s">
        <v>25</v>
      </c>
      <c r="H502" s="15" t="s">
        <v>26</v>
      </c>
      <c r="I502" s="15" t="s">
        <v>939</v>
      </c>
      <c r="J502" s="15">
        <v>41</v>
      </c>
    </row>
    <row r="503" spans="1:10" x14ac:dyDescent="0.3">
      <c r="A503" s="15" t="s">
        <v>940</v>
      </c>
      <c r="B503" s="15" t="s">
        <v>51</v>
      </c>
      <c r="C503" s="15" t="s">
        <v>96</v>
      </c>
      <c r="D503" s="15" t="s">
        <v>31</v>
      </c>
      <c r="E503" s="15">
        <v>18</v>
      </c>
      <c r="F503" s="15">
        <v>9</v>
      </c>
      <c r="G503" s="15" t="s">
        <v>43</v>
      </c>
      <c r="H503" s="15" t="s">
        <v>76</v>
      </c>
      <c r="I503" s="15" t="s">
        <v>506</v>
      </c>
      <c r="J503" s="15">
        <v>36</v>
      </c>
    </row>
  </sheetData>
  <mergeCells count="1">
    <mergeCell ref="B1:J1"/>
  </mergeCells>
  <conditionalFormatting sqref="A4:J503">
    <cfRule type="expression" dxfId="5" priority="1">
      <formula>$E4&gt;18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2AFD-2F3B-49A8-914E-82447E27A13A}">
  <dimension ref="A1:M503"/>
  <sheetViews>
    <sheetView workbookViewId="0">
      <selection activeCell="O8" sqref="O8"/>
    </sheetView>
  </sheetViews>
  <sheetFormatPr defaultRowHeight="14.4" x14ac:dyDescent="0.3"/>
  <cols>
    <col min="1" max="2" width="10.44140625" bestFit="1" customWidth="1"/>
    <col min="3" max="3" width="10.33203125" bestFit="1" customWidth="1"/>
    <col min="4" max="4" width="7.109375" bestFit="1" customWidth="1"/>
    <col min="5" max="5" width="4.21875" bestFit="1" customWidth="1"/>
    <col min="6" max="6" width="5.109375" bestFit="1" customWidth="1"/>
    <col min="7" max="7" width="7.21875" bestFit="1" customWidth="1"/>
    <col min="8" max="8" width="9.77734375" bestFit="1" customWidth="1"/>
    <col min="9" max="9" width="14.6640625" bestFit="1" customWidth="1"/>
    <col min="10" max="10" width="6.21875" bestFit="1" customWidth="1"/>
    <col min="11" max="11" width="6.109375" bestFit="1" customWidth="1"/>
    <col min="14" max="14" width="9" bestFit="1" customWidth="1"/>
  </cols>
  <sheetData>
    <row r="1" spans="1:13" ht="18" x14ac:dyDescent="0.35">
      <c r="A1" s="16">
        <v>17</v>
      </c>
      <c r="B1" s="29" t="s">
        <v>973</v>
      </c>
      <c r="C1" s="29"/>
      <c r="D1" s="29"/>
      <c r="E1" s="29"/>
      <c r="F1" s="29"/>
      <c r="G1" s="29"/>
      <c r="H1" s="29"/>
      <c r="I1" s="29"/>
      <c r="J1" s="29"/>
      <c r="K1" s="29"/>
      <c r="M1" s="26" t="s">
        <v>945</v>
      </c>
    </row>
    <row r="2" spans="1:13" x14ac:dyDescent="0.3">
      <c r="M2" s="26" t="s">
        <v>946</v>
      </c>
    </row>
    <row r="3" spans="1:13" x14ac:dyDescent="0.3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944</v>
      </c>
    </row>
    <row r="4" spans="1:13" x14ac:dyDescent="0.3">
      <c r="A4" s="15" t="s">
        <v>10</v>
      </c>
      <c r="B4" s="15" t="s">
        <v>11</v>
      </c>
      <c r="C4" s="15" t="s">
        <v>12</v>
      </c>
      <c r="D4" s="15" t="s">
        <v>13</v>
      </c>
      <c r="E4" s="15">
        <v>16</v>
      </c>
      <c r="F4" s="15">
        <v>10</v>
      </c>
      <c r="G4" s="15" t="s">
        <v>14</v>
      </c>
      <c r="H4" s="15" t="s">
        <v>15</v>
      </c>
      <c r="I4" s="15" t="s">
        <v>16</v>
      </c>
      <c r="J4" s="15">
        <v>37</v>
      </c>
      <c r="K4" s="59" t="str">
        <f>IF(J4&gt;=40,"Pass","Fail")</f>
        <v>Fail</v>
      </c>
    </row>
    <row r="5" spans="1:13" x14ac:dyDescent="0.3">
      <c r="A5" s="15" t="s">
        <v>17</v>
      </c>
      <c r="B5" s="15" t="s">
        <v>18</v>
      </c>
      <c r="C5" s="15" t="s">
        <v>19</v>
      </c>
      <c r="D5" s="15" t="s">
        <v>13</v>
      </c>
      <c r="E5" s="15">
        <v>15</v>
      </c>
      <c r="F5" s="15">
        <v>12</v>
      </c>
      <c r="G5" s="15" t="s">
        <v>14</v>
      </c>
      <c r="H5" s="15" t="s">
        <v>20</v>
      </c>
      <c r="I5" s="15" t="s">
        <v>21</v>
      </c>
      <c r="J5" s="15">
        <v>98</v>
      </c>
      <c r="K5" s="59" t="str">
        <f t="shared" ref="K5:K68" si="0">IF(J5&gt;=40,"Pass","Fail")</f>
        <v>Pass</v>
      </c>
    </row>
    <row r="6" spans="1:13" x14ac:dyDescent="0.3">
      <c r="A6" s="15" t="s">
        <v>22</v>
      </c>
      <c r="B6" s="15" t="s">
        <v>23</v>
      </c>
      <c r="C6" s="15" t="s">
        <v>24</v>
      </c>
      <c r="D6" s="15" t="s">
        <v>13</v>
      </c>
      <c r="E6" s="15">
        <v>14</v>
      </c>
      <c r="F6" s="15">
        <v>12</v>
      </c>
      <c r="G6" s="15" t="s">
        <v>25</v>
      </c>
      <c r="H6" s="15" t="s">
        <v>26</v>
      </c>
      <c r="I6" s="15" t="s">
        <v>27</v>
      </c>
      <c r="J6" s="15">
        <v>38</v>
      </c>
      <c r="K6" s="59" t="str">
        <f t="shared" si="0"/>
        <v>Fail</v>
      </c>
    </row>
    <row r="7" spans="1:13" x14ac:dyDescent="0.3">
      <c r="A7" s="15" t="s">
        <v>28</v>
      </c>
      <c r="B7" s="15" t="s">
        <v>29</v>
      </c>
      <c r="C7" s="15" t="s">
        <v>30</v>
      </c>
      <c r="D7" s="15" t="s">
        <v>31</v>
      </c>
      <c r="E7" s="15">
        <v>20</v>
      </c>
      <c r="F7" s="15">
        <v>9</v>
      </c>
      <c r="G7" s="15" t="s">
        <v>32</v>
      </c>
      <c r="H7" s="15" t="s">
        <v>26</v>
      </c>
      <c r="I7" s="15" t="s">
        <v>33</v>
      </c>
      <c r="J7" s="15">
        <v>84</v>
      </c>
      <c r="K7" s="59" t="str">
        <f t="shared" si="0"/>
        <v>Pass</v>
      </c>
    </row>
    <row r="8" spans="1:13" x14ac:dyDescent="0.3">
      <c r="A8" s="15" t="s">
        <v>34</v>
      </c>
      <c r="B8" s="15" t="s">
        <v>35</v>
      </c>
      <c r="C8" s="15" t="s">
        <v>36</v>
      </c>
      <c r="D8" s="15" t="s">
        <v>31</v>
      </c>
      <c r="E8" s="15">
        <v>17</v>
      </c>
      <c r="F8" s="15">
        <v>10</v>
      </c>
      <c r="G8" s="15" t="s">
        <v>32</v>
      </c>
      <c r="H8" s="15" t="s">
        <v>37</v>
      </c>
      <c r="I8" s="15" t="s">
        <v>38</v>
      </c>
      <c r="J8" s="15">
        <v>45</v>
      </c>
      <c r="K8" s="59" t="str">
        <f t="shared" si="0"/>
        <v>Pass</v>
      </c>
    </row>
    <row r="9" spans="1:13" x14ac:dyDescent="0.3">
      <c r="A9" s="15" t="s">
        <v>39</v>
      </c>
      <c r="B9" s="15" t="s">
        <v>11</v>
      </c>
      <c r="C9" s="15" t="s">
        <v>12</v>
      </c>
      <c r="D9" s="15" t="s">
        <v>31</v>
      </c>
      <c r="E9" s="15">
        <v>19</v>
      </c>
      <c r="F9" s="15">
        <v>10</v>
      </c>
      <c r="G9" s="15" t="s">
        <v>14</v>
      </c>
      <c r="H9" s="15" t="s">
        <v>40</v>
      </c>
      <c r="I9" s="15" t="s">
        <v>41</v>
      </c>
      <c r="J9" s="15">
        <v>36</v>
      </c>
      <c r="K9" s="59" t="str">
        <f t="shared" si="0"/>
        <v>Fail</v>
      </c>
    </row>
    <row r="10" spans="1:13" x14ac:dyDescent="0.3">
      <c r="A10" s="15" t="s">
        <v>42</v>
      </c>
      <c r="B10" s="15" t="s">
        <v>29</v>
      </c>
      <c r="C10" s="15" t="s">
        <v>24</v>
      </c>
      <c r="D10" s="15" t="s">
        <v>31</v>
      </c>
      <c r="E10" s="15">
        <v>20</v>
      </c>
      <c r="F10" s="15">
        <v>9</v>
      </c>
      <c r="G10" s="15" t="s">
        <v>43</v>
      </c>
      <c r="H10" s="15" t="s">
        <v>40</v>
      </c>
      <c r="I10" s="15" t="s">
        <v>44</v>
      </c>
      <c r="J10" s="15">
        <v>88</v>
      </c>
      <c r="K10" s="59" t="str">
        <f t="shared" si="0"/>
        <v>Pass</v>
      </c>
    </row>
    <row r="11" spans="1:13" x14ac:dyDescent="0.3">
      <c r="A11" s="15" t="s">
        <v>45</v>
      </c>
      <c r="B11" s="15" t="s">
        <v>35</v>
      </c>
      <c r="C11" s="15" t="s">
        <v>12</v>
      </c>
      <c r="D11" s="15" t="s">
        <v>13</v>
      </c>
      <c r="E11" s="15">
        <v>19</v>
      </c>
      <c r="F11" s="15">
        <v>12</v>
      </c>
      <c r="G11" s="15" t="s">
        <v>32</v>
      </c>
      <c r="H11" s="15" t="s">
        <v>46</v>
      </c>
      <c r="I11" s="15" t="s">
        <v>47</v>
      </c>
      <c r="J11" s="15">
        <v>60</v>
      </c>
      <c r="K11" s="59" t="str">
        <f t="shared" si="0"/>
        <v>Pass</v>
      </c>
    </row>
    <row r="12" spans="1:13" x14ac:dyDescent="0.3">
      <c r="A12" s="15" t="s">
        <v>48</v>
      </c>
      <c r="B12" s="15" t="s">
        <v>18</v>
      </c>
      <c r="C12" s="15" t="s">
        <v>30</v>
      </c>
      <c r="D12" s="15" t="s">
        <v>31</v>
      </c>
      <c r="E12" s="15">
        <v>19</v>
      </c>
      <c r="F12" s="15">
        <v>12</v>
      </c>
      <c r="G12" s="15" t="s">
        <v>14</v>
      </c>
      <c r="H12" s="15" t="s">
        <v>46</v>
      </c>
      <c r="I12" s="15" t="s">
        <v>49</v>
      </c>
      <c r="J12" s="15">
        <v>92</v>
      </c>
      <c r="K12" s="59" t="str">
        <f t="shared" si="0"/>
        <v>Pass</v>
      </c>
    </row>
    <row r="13" spans="1:13" x14ac:dyDescent="0.3">
      <c r="A13" s="15" t="s">
        <v>50</v>
      </c>
      <c r="B13" s="15" t="s">
        <v>51</v>
      </c>
      <c r="C13" s="15" t="s">
        <v>24</v>
      </c>
      <c r="D13" s="15" t="s">
        <v>31</v>
      </c>
      <c r="E13" s="15">
        <v>15</v>
      </c>
      <c r="F13" s="15">
        <v>9</v>
      </c>
      <c r="G13" s="15" t="s">
        <v>43</v>
      </c>
      <c r="H13" s="15" t="s">
        <v>15</v>
      </c>
      <c r="I13" s="15" t="s">
        <v>52</v>
      </c>
      <c r="J13" s="15">
        <v>90</v>
      </c>
      <c r="K13" s="59" t="str">
        <f t="shared" si="0"/>
        <v>Pass</v>
      </c>
    </row>
    <row r="14" spans="1:13" x14ac:dyDescent="0.3">
      <c r="A14" s="15" t="s">
        <v>53</v>
      </c>
      <c r="B14" s="15" t="s">
        <v>54</v>
      </c>
      <c r="C14" s="15" t="s">
        <v>55</v>
      </c>
      <c r="D14" s="15" t="s">
        <v>31</v>
      </c>
      <c r="E14" s="15">
        <v>20</v>
      </c>
      <c r="F14" s="15">
        <v>10</v>
      </c>
      <c r="G14" s="15" t="s">
        <v>25</v>
      </c>
      <c r="H14" s="15" t="s">
        <v>40</v>
      </c>
      <c r="I14" s="15" t="s">
        <v>56</v>
      </c>
      <c r="J14" s="15">
        <v>59</v>
      </c>
      <c r="K14" s="59" t="str">
        <f t="shared" si="0"/>
        <v>Pass</v>
      </c>
    </row>
    <row r="15" spans="1:13" x14ac:dyDescent="0.3">
      <c r="A15" s="15" t="s">
        <v>57</v>
      </c>
      <c r="B15" s="15" t="s">
        <v>51</v>
      </c>
      <c r="C15" s="15" t="s">
        <v>58</v>
      </c>
      <c r="D15" s="15" t="s">
        <v>13</v>
      </c>
      <c r="E15" s="15">
        <v>14</v>
      </c>
      <c r="F15" s="15">
        <v>12</v>
      </c>
      <c r="G15" s="15" t="s">
        <v>32</v>
      </c>
      <c r="H15" s="15" t="s">
        <v>40</v>
      </c>
      <c r="I15" s="15" t="s">
        <v>59</v>
      </c>
      <c r="J15" s="15">
        <v>43</v>
      </c>
      <c r="K15" s="59" t="str">
        <f t="shared" si="0"/>
        <v>Pass</v>
      </c>
    </row>
    <row r="16" spans="1:13" x14ac:dyDescent="0.3">
      <c r="A16" s="15" t="s">
        <v>60</v>
      </c>
      <c r="B16" s="15" t="s">
        <v>35</v>
      </c>
      <c r="C16" s="15" t="s">
        <v>55</v>
      </c>
      <c r="D16" s="15" t="s">
        <v>13</v>
      </c>
      <c r="E16" s="15">
        <v>15</v>
      </c>
      <c r="F16" s="15">
        <v>12</v>
      </c>
      <c r="G16" s="15" t="s">
        <v>14</v>
      </c>
      <c r="H16" s="15" t="s">
        <v>61</v>
      </c>
      <c r="I16" s="15" t="s">
        <v>62</v>
      </c>
      <c r="J16" s="15">
        <v>51</v>
      </c>
      <c r="K16" s="59" t="str">
        <f t="shared" si="0"/>
        <v>Pass</v>
      </c>
    </row>
    <row r="17" spans="1:11" x14ac:dyDescent="0.3">
      <c r="A17" s="15" t="s">
        <v>63</v>
      </c>
      <c r="B17" s="15" t="s">
        <v>11</v>
      </c>
      <c r="C17" s="15" t="s">
        <v>55</v>
      </c>
      <c r="D17" s="15" t="s">
        <v>13</v>
      </c>
      <c r="E17" s="15">
        <v>16</v>
      </c>
      <c r="F17" s="15">
        <v>10</v>
      </c>
      <c r="G17" s="15" t="s">
        <v>25</v>
      </c>
      <c r="H17" s="15" t="s">
        <v>26</v>
      </c>
      <c r="I17" s="15" t="s">
        <v>64</v>
      </c>
      <c r="J17" s="15">
        <v>42</v>
      </c>
      <c r="K17" s="59" t="str">
        <f t="shared" si="0"/>
        <v>Pass</v>
      </c>
    </row>
    <row r="18" spans="1:11" x14ac:dyDescent="0.3">
      <c r="A18" s="15" t="s">
        <v>65</v>
      </c>
      <c r="B18" s="15" t="s">
        <v>23</v>
      </c>
      <c r="C18" s="15" t="s">
        <v>30</v>
      </c>
      <c r="D18" s="15" t="s">
        <v>13</v>
      </c>
      <c r="E18" s="15">
        <v>20</v>
      </c>
      <c r="F18" s="15">
        <v>12</v>
      </c>
      <c r="G18" s="15" t="s">
        <v>14</v>
      </c>
      <c r="H18" s="15" t="s">
        <v>40</v>
      </c>
      <c r="I18" s="15" t="s">
        <v>66</v>
      </c>
      <c r="J18" s="15">
        <v>62</v>
      </c>
      <c r="K18" s="59" t="str">
        <f t="shared" si="0"/>
        <v>Pass</v>
      </c>
    </row>
    <row r="19" spans="1:11" x14ac:dyDescent="0.3">
      <c r="A19" s="15" t="s">
        <v>67</v>
      </c>
      <c r="B19" s="15" t="s">
        <v>68</v>
      </c>
      <c r="C19" s="15" t="s">
        <v>19</v>
      </c>
      <c r="D19" s="15" t="s">
        <v>13</v>
      </c>
      <c r="E19" s="15">
        <v>20</v>
      </c>
      <c r="F19" s="15">
        <v>9</v>
      </c>
      <c r="G19" s="15" t="s">
        <v>14</v>
      </c>
      <c r="H19" s="15" t="s">
        <v>20</v>
      </c>
      <c r="I19" s="15" t="s">
        <v>69</v>
      </c>
      <c r="J19" s="15">
        <v>55</v>
      </c>
      <c r="K19" s="59" t="str">
        <f t="shared" si="0"/>
        <v>Pass</v>
      </c>
    </row>
    <row r="20" spans="1:11" x14ac:dyDescent="0.3">
      <c r="A20" s="15" t="s">
        <v>70</v>
      </c>
      <c r="B20" s="15" t="s">
        <v>51</v>
      </c>
      <c r="C20" s="15" t="s">
        <v>36</v>
      </c>
      <c r="D20" s="15" t="s">
        <v>13</v>
      </c>
      <c r="E20" s="15">
        <v>14</v>
      </c>
      <c r="F20" s="15">
        <v>12</v>
      </c>
      <c r="G20" s="15" t="s">
        <v>25</v>
      </c>
      <c r="H20" s="15" t="s">
        <v>37</v>
      </c>
      <c r="I20" s="15" t="s">
        <v>71</v>
      </c>
      <c r="J20" s="15">
        <v>42</v>
      </c>
      <c r="K20" s="59" t="str">
        <f t="shared" si="0"/>
        <v>Pass</v>
      </c>
    </row>
    <row r="21" spans="1:11" x14ac:dyDescent="0.3">
      <c r="A21" s="15" t="s">
        <v>72</v>
      </c>
      <c r="B21" s="15" t="s">
        <v>73</v>
      </c>
      <c r="C21" s="15" t="s">
        <v>58</v>
      </c>
      <c r="D21" s="15" t="s">
        <v>31</v>
      </c>
      <c r="E21" s="15">
        <v>19</v>
      </c>
      <c r="F21" s="15">
        <v>9</v>
      </c>
      <c r="G21" s="15" t="s">
        <v>32</v>
      </c>
      <c r="H21" s="15" t="s">
        <v>46</v>
      </c>
      <c r="I21" s="15" t="s">
        <v>74</v>
      </c>
      <c r="J21" s="15">
        <v>76</v>
      </c>
      <c r="K21" s="59" t="str">
        <f t="shared" si="0"/>
        <v>Pass</v>
      </c>
    </row>
    <row r="22" spans="1:11" x14ac:dyDescent="0.3">
      <c r="A22" s="15" t="s">
        <v>75</v>
      </c>
      <c r="B22" s="15" t="s">
        <v>29</v>
      </c>
      <c r="C22" s="15" t="s">
        <v>58</v>
      </c>
      <c r="D22" s="15" t="s">
        <v>31</v>
      </c>
      <c r="E22" s="15">
        <v>17</v>
      </c>
      <c r="F22" s="15">
        <v>12</v>
      </c>
      <c r="G22" s="15" t="s">
        <v>32</v>
      </c>
      <c r="H22" s="15" t="s">
        <v>76</v>
      </c>
      <c r="I22" s="15" t="s">
        <v>77</v>
      </c>
      <c r="J22" s="15">
        <v>66</v>
      </c>
      <c r="K22" s="59" t="str">
        <f t="shared" si="0"/>
        <v>Pass</v>
      </c>
    </row>
    <row r="23" spans="1:11" x14ac:dyDescent="0.3">
      <c r="A23" s="15" t="s">
        <v>78</v>
      </c>
      <c r="B23" s="15" t="s">
        <v>68</v>
      </c>
      <c r="C23" s="15" t="s">
        <v>79</v>
      </c>
      <c r="D23" s="15" t="s">
        <v>31</v>
      </c>
      <c r="E23" s="15">
        <v>15</v>
      </c>
      <c r="F23" s="15">
        <v>10</v>
      </c>
      <c r="G23" s="15" t="s">
        <v>14</v>
      </c>
      <c r="H23" s="15" t="s">
        <v>20</v>
      </c>
      <c r="I23" s="15" t="s">
        <v>80</v>
      </c>
      <c r="J23" s="15">
        <v>59</v>
      </c>
      <c r="K23" s="59" t="str">
        <f t="shared" si="0"/>
        <v>Pass</v>
      </c>
    </row>
    <row r="24" spans="1:11" x14ac:dyDescent="0.3">
      <c r="A24" s="15" t="s">
        <v>81</v>
      </c>
      <c r="B24" s="15" t="s">
        <v>29</v>
      </c>
      <c r="C24" s="15" t="s">
        <v>58</v>
      </c>
      <c r="D24" s="15" t="s">
        <v>31</v>
      </c>
      <c r="E24" s="15">
        <v>19</v>
      </c>
      <c r="F24" s="15">
        <v>9</v>
      </c>
      <c r="G24" s="15" t="s">
        <v>14</v>
      </c>
      <c r="H24" s="15" t="s">
        <v>61</v>
      </c>
      <c r="I24" s="15" t="s">
        <v>82</v>
      </c>
      <c r="J24" s="15">
        <v>50</v>
      </c>
      <c r="K24" s="59" t="str">
        <f t="shared" si="0"/>
        <v>Pass</v>
      </c>
    </row>
    <row r="25" spans="1:11" x14ac:dyDescent="0.3">
      <c r="A25" s="15" t="s">
        <v>83</v>
      </c>
      <c r="B25" s="15" t="s">
        <v>84</v>
      </c>
      <c r="C25" s="15" t="s">
        <v>85</v>
      </c>
      <c r="D25" s="15" t="s">
        <v>31</v>
      </c>
      <c r="E25" s="15">
        <v>16</v>
      </c>
      <c r="F25" s="15">
        <v>9</v>
      </c>
      <c r="G25" s="15" t="s">
        <v>43</v>
      </c>
      <c r="H25" s="15" t="s">
        <v>37</v>
      </c>
      <c r="I25" s="15" t="s">
        <v>86</v>
      </c>
      <c r="J25" s="15">
        <v>52</v>
      </c>
      <c r="K25" s="59" t="str">
        <f t="shared" si="0"/>
        <v>Pass</v>
      </c>
    </row>
    <row r="26" spans="1:11" x14ac:dyDescent="0.3">
      <c r="A26" s="15" t="s">
        <v>87</v>
      </c>
      <c r="B26" s="15" t="s">
        <v>18</v>
      </c>
      <c r="C26" s="15" t="s">
        <v>12</v>
      </c>
      <c r="D26" s="15" t="s">
        <v>13</v>
      </c>
      <c r="E26" s="15">
        <v>20</v>
      </c>
      <c r="F26" s="15">
        <v>12</v>
      </c>
      <c r="G26" s="15" t="s">
        <v>32</v>
      </c>
      <c r="H26" s="15" t="s">
        <v>26</v>
      </c>
      <c r="I26" s="15" t="s">
        <v>88</v>
      </c>
      <c r="J26" s="15">
        <v>86</v>
      </c>
      <c r="K26" s="59" t="str">
        <f t="shared" si="0"/>
        <v>Pass</v>
      </c>
    </row>
    <row r="27" spans="1:11" x14ac:dyDescent="0.3">
      <c r="A27" s="15" t="s">
        <v>89</v>
      </c>
      <c r="B27" s="15" t="s">
        <v>68</v>
      </c>
      <c r="C27" s="15" t="s">
        <v>85</v>
      </c>
      <c r="D27" s="15" t="s">
        <v>31</v>
      </c>
      <c r="E27" s="15">
        <v>16</v>
      </c>
      <c r="F27" s="15">
        <v>9</v>
      </c>
      <c r="G27" s="15" t="s">
        <v>43</v>
      </c>
      <c r="H27" s="15" t="s">
        <v>20</v>
      </c>
      <c r="I27" s="15" t="s">
        <v>90</v>
      </c>
      <c r="J27" s="15">
        <v>52</v>
      </c>
      <c r="K27" s="59" t="str">
        <f t="shared" si="0"/>
        <v>Pass</v>
      </c>
    </row>
    <row r="28" spans="1:11" x14ac:dyDescent="0.3">
      <c r="A28" s="15" t="s">
        <v>91</v>
      </c>
      <c r="B28" s="15" t="s">
        <v>73</v>
      </c>
      <c r="C28" s="15" t="s">
        <v>12</v>
      </c>
      <c r="D28" s="15" t="s">
        <v>13</v>
      </c>
      <c r="E28" s="15">
        <v>20</v>
      </c>
      <c r="F28" s="15">
        <v>10</v>
      </c>
      <c r="G28" s="15" t="s">
        <v>43</v>
      </c>
      <c r="H28" s="15" t="s">
        <v>46</v>
      </c>
      <c r="I28" s="15" t="s">
        <v>92</v>
      </c>
      <c r="J28" s="15">
        <v>82</v>
      </c>
      <c r="K28" s="59" t="str">
        <f t="shared" si="0"/>
        <v>Pass</v>
      </c>
    </row>
    <row r="29" spans="1:11" x14ac:dyDescent="0.3">
      <c r="A29" s="15" t="s">
        <v>93</v>
      </c>
      <c r="B29" s="15" t="s">
        <v>29</v>
      </c>
      <c r="C29" s="15" t="s">
        <v>24</v>
      </c>
      <c r="D29" s="15" t="s">
        <v>31</v>
      </c>
      <c r="E29" s="15">
        <v>14</v>
      </c>
      <c r="F29" s="15">
        <v>12</v>
      </c>
      <c r="G29" s="15" t="s">
        <v>32</v>
      </c>
      <c r="H29" s="15" t="s">
        <v>61</v>
      </c>
      <c r="I29" s="15" t="s">
        <v>94</v>
      </c>
      <c r="J29" s="15">
        <v>72</v>
      </c>
      <c r="K29" s="59" t="str">
        <f t="shared" si="0"/>
        <v>Pass</v>
      </c>
    </row>
    <row r="30" spans="1:11" x14ac:dyDescent="0.3">
      <c r="A30" s="15" t="s">
        <v>95</v>
      </c>
      <c r="B30" s="15" t="s">
        <v>18</v>
      </c>
      <c r="C30" s="15" t="s">
        <v>96</v>
      </c>
      <c r="D30" s="15" t="s">
        <v>13</v>
      </c>
      <c r="E30" s="15">
        <v>19</v>
      </c>
      <c r="F30" s="15">
        <v>12</v>
      </c>
      <c r="G30" s="15" t="s">
        <v>14</v>
      </c>
      <c r="H30" s="15" t="s">
        <v>15</v>
      </c>
      <c r="I30" s="15" t="s">
        <v>97</v>
      </c>
      <c r="J30" s="15">
        <v>56</v>
      </c>
      <c r="K30" s="59" t="str">
        <f t="shared" si="0"/>
        <v>Pass</v>
      </c>
    </row>
    <row r="31" spans="1:11" x14ac:dyDescent="0.3">
      <c r="A31" s="15" t="s">
        <v>98</v>
      </c>
      <c r="B31" s="15" t="s">
        <v>68</v>
      </c>
      <c r="C31" s="15" t="s">
        <v>55</v>
      </c>
      <c r="D31" s="15" t="s">
        <v>13</v>
      </c>
      <c r="E31" s="15">
        <v>19</v>
      </c>
      <c r="F31" s="15">
        <v>11</v>
      </c>
      <c r="G31" s="15" t="s">
        <v>43</v>
      </c>
      <c r="H31" s="15" t="s">
        <v>15</v>
      </c>
      <c r="I31" s="15" t="s">
        <v>99</v>
      </c>
      <c r="J31" s="15">
        <v>56</v>
      </c>
      <c r="K31" s="59" t="str">
        <f t="shared" si="0"/>
        <v>Pass</v>
      </c>
    </row>
    <row r="32" spans="1:11" x14ac:dyDescent="0.3">
      <c r="A32" s="15" t="s">
        <v>100</v>
      </c>
      <c r="B32" s="15" t="s">
        <v>35</v>
      </c>
      <c r="C32" s="15" t="s">
        <v>12</v>
      </c>
      <c r="D32" s="15" t="s">
        <v>31</v>
      </c>
      <c r="E32" s="15">
        <v>19</v>
      </c>
      <c r="F32" s="15">
        <v>12</v>
      </c>
      <c r="G32" s="15" t="s">
        <v>25</v>
      </c>
      <c r="H32" s="15" t="s">
        <v>76</v>
      </c>
      <c r="I32" s="15" t="s">
        <v>101</v>
      </c>
      <c r="J32" s="15">
        <v>54</v>
      </c>
      <c r="K32" s="59" t="str">
        <f t="shared" si="0"/>
        <v>Pass</v>
      </c>
    </row>
    <row r="33" spans="1:11" x14ac:dyDescent="0.3">
      <c r="A33" s="15" t="s">
        <v>102</v>
      </c>
      <c r="B33" s="15" t="s">
        <v>35</v>
      </c>
      <c r="C33" s="15" t="s">
        <v>12</v>
      </c>
      <c r="D33" s="15" t="s">
        <v>13</v>
      </c>
      <c r="E33" s="15">
        <v>20</v>
      </c>
      <c r="F33" s="15">
        <v>11</v>
      </c>
      <c r="G33" s="15" t="s">
        <v>14</v>
      </c>
      <c r="H33" s="15" t="s">
        <v>26</v>
      </c>
      <c r="I33" s="15" t="s">
        <v>103</v>
      </c>
      <c r="J33" s="15">
        <v>70</v>
      </c>
      <c r="K33" s="59" t="str">
        <f t="shared" si="0"/>
        <v>Pass</v>
      </c>
    </row>
    <row r="34" spans="1:11" x14ac:dyDescent="0.3">
      <c r="A34" s="15" t="s">
        <v>104</v>
      </c>
      <c r="B34" s="15" t="s">
        <v>29</v>
      </c>
      <c r="C34" s="15" t="s">
        <v>79</v>
      </c>
      <c r="D34" s="15" t="s">
        <v>31</v>
      </c>
      <c r="E34" s="15">
        <v>18</v>
      </c>
      <c r="F34" s="15">
        <v>10</v>
      </c>
      <c r="G34" s="15" t="s">
        <v>25</v>
      </c>
      <c r="H34" s="15" t="s">
        <v>61</v>
      </c>
      <c r="I34" s="15" t="s">
        <v>105</v>
      </c>
      <c r="J34" s="15">
        <v>57</v>
      </c>
      <c r="K34" s="59" t="str">
        <f t="shared" si="0"/>
        <v>Pass</v>
      </c>
    </row>
    <row r="35" spans="1:11" x14ac:dyDescent="0.3">
      <c r="A35" s="15" t="s">
        <v>106</v>
      </c>
      <c r="B35" s="15" t="s">
        <v>51</v>
      </c>
      <c r="C35" s="15" t="s">
        <v>55</v>
      </c>
      <c r="D35" s="15" t="s">
        <v>13</v>
      </c>
      <c r="E35" s="15">
        <v>20</v>
      </c>
      <c r="F35" s="15">
        <v>9</v>
      </c>
      <c r="G35" s="15" t="s">
        <v>32</v>
      </c>
      <c r="H35" s="15" t="s">
        <v>26</v>
      </c>
      <c r="I35" s="15" t="s">
        <v>107</v>
      </c>
      <c r="J35" s="15">
        <v>91</v>
      </c>
      <c r="K35" s="59" t="str">
        <f t="shared" si="0"/>
        <v>Pass</v>
      </c>
    </row>
    <row r="36" spans="1:11" x14ac:dyDescent="0.3">
      <c r="A36" s="15" t="s">
        <v>108</v>
      </c>
      <c r="B36" s="15" t="s">
        <v>29</v>
      </c>
      <c r="C36" s="15" t="s">
        <v>96</v>
      </c>
      <c r="D36" s="15" t="s">
        <v>31</v>
      </c>
      <c r="E36" s="15">
        <v>15</v>
      </c>
      <c r="F36" s="15">
        <v>11</v>
      </c>
      <c r="G36" s="15" t="s">
        <v>43</v>
      </c>
      <c r="H36" s="15" t="s">
        <v>26</v>
      </c>
      <c r="I36" s="15" t="s">
        <v>109</v>
      </c>
      <c r="J36" s="15">
        <v>77</v>
      </c>
      <c r="K36" s="59" t="str">
        <f t="shared" si="0"/>
        <v>Pass</v>
      </c>
    </row>
    <row r="37" spans="1:11" x14ac:dyDescent="0.3">
      <c r="A37" s="15" t="s">
        <v>110</v>
      </c>
      <c r="B37" s="15" t="s">
        <v>51</v>
      </c>
      <c r="C37" s="15" t="s">
        <v>58</v>
      </c>
      <c r="D37" s="15" t="s">
        <v>31</v>
      </c>
      <c r="E37" s="15">
        <v>14</v>
      </c>
      <c r="F37" s="15">
        <v>10</v>
      </c>
      <c r="G37" s="15" t="s">
        <v>32</v>
      </c>
      <c r="H37" s="15" t="s">
        <v>76</v>
      </c>
      <c r="I37" s="15" t="s">
        <v>111</v>
      </c>
      <c r="J37" s="15">
        <v>60</v>
      </c>
      <c r="K37" s="59" t="str">
        <f t="shared" si="0"/>
        <v>Pass</v>
      </c>
    </row>
    <row r="38" spans="1:11" x14ac:dyDescent="0.3">
      <c r="A38" s="15" t="s">
        <v>112</v>
      </c>
      <c r="B38" s="15" t="s">
        <v>73</v>
      </c>
      <c r="C38" s="15" t="s">
        <v>30</v>
      </c>
      <c r="D38" s="15" t="s">
        <v>13</v>
      </c>
      <c r="E38" s="15">
        <v>15</v>
      </c>
      <c r="F38" s="15">
        <v>9</v>
      </c>
      <c r="G38" s="15" t="s">
        <v>14</v>
      </c>
      <c r="H38" s="15" t="s">
        <v>26</v>
      </c>
      <c r="I38" s="15" t="s">
        <v>113</v>
      </c>
      <c r="J38" s="15">
        <v>58</v>
      </c>
      <c r="K38" s="59" t="str">
        <f t="shared" si="0"/>
        <v>Pass</v>
      </c>
    </row>
    <row r="39" spans="1:11" x14ac:dyDescent="0.3">
      <c r="A39" s="15" t="s">
        <v>114</v>
      </c>
      <c r="B39" s="15" t="s">
        <v>73</v>
      </c>
      <c r="C39" s="15" t="s">
        <v>58</v>
      </c>
      <c r="D39" s="15" t="s">
        <v>13</v>
      </c>
      <c r="E39" s="15">
        <v>20</v>
      </c>
      <c r="F39" s="15">
        <v>9</v>
      </c>
      <c r="G39" s="15" t="s">
        <v>25</v>
      </c>
      <c r="H39" s="15" t="s">
        <v>46</v>
      </c>
      <c r="I39" s="15" t="s">
        <v>115</v>
      </c>
      <c r="J39" s="15">
        <v>40</v>
      </c>
      <c r="K39" s="59" t="str">
        <f t="shared" si="0"/>
        <v>Pass</v>
      </c>
    </row>
    <row r="40" spans="1:11" x14ac:dyDescent="0.3">
      <c r="A40" s="15" t="s">
        <v>116</v>
      </c>
      <c r="B40" s="15" t="s">
        <v>84</v>
      </c>
      <c r="C40" s="15" t="s">
        <v>19</v>
      </c>
      <c r="D40" s="15" t="s">
        <v>13</v>
      </c>
      <c r="E40" s="15">
        <v>19</v>
      </c>
      <c r="F40" s="15">
        <v>12</v>
      </c>
      <c r="G40" s="15" t="s">
        <v>14</v>
      </c>
      <c r="H40" s="15" t="s">
        <v>20</v>
      </c>
      <c r="I40" s="15" t="s">
        <v>117</v>
      </c>
      <c r="J40" s="15">
        <v>56</v>
      </c>
      <c r="K40" s="59" t="str">
        <f t="shared" si="0"/>
        <v>Pass</v>
      </c>
    </row>
    <row r="41" spans="1:11" x14ac:dyDescent="0.3">
      <c r="A41" s="15" t="s">
        <v>118</v>
      </c>
      <c r="B41" s="15" t="s">
        <v>84</v>
      </c>
      <c r="C41" s="15" t="s">
        <v>58</v>
      </c>
      <c r="D41" s="15" t="s">
        <v>31</v>
      </c>
      <c r="E41" s="15">
        <v>20</v>
      </c>
      <c r="F41" s="15">
        <v>10</v>
      </c>
      <c r="G41" s="15" t="s">
        <v>32</v>
      </c>
      <c r="H41" s="15" t="s">
        <v>26</v>
      </c>
      <c r="I41" s="15" t="s">
        <v>119</v>
      </c>
      <c r="J41" s="15">
        <v>52</v>
      </c>
      <c r="K41" s="59" t="str">
        <f t="shared" si="0"/>
        <v>Pass</v>
      </c>
    </row>
    <row r="42" spans="1:11" x14ac:dyDescent="0.3">
      <c r="A42" s="15" t="s">
        <v>120</v>
      </c>
      <c r="B42" s="15" t="s">
        <v>35</v>
      </c>
      <c r="C42" s="15" t="s">
        <v>36</v>
      </c>
      <c r="D42" s="15" t="s">
        <v>31</v>
      </c>
      <c r="E42" s="15">
        <v>20</v>
      </c>
      <c r="F42" s="15">
        <v>10</v>
      </c>
      <c r="G42" s="15" t="s">
        <v>43</v>
      </c>
      <c r="H42" s="15" t="s">
        <v>61</v>
      </c>
      <c r="I42" s="15" t="s">
        <v>121</v>
      </c>
      <c r="J42" s="15">
        <v>37</v>
      </c>
      <c r="K42" s="59" t="str">
        <f t="shared" si="0"/>
        <v>Fail</v>
      </c>
    </row>
    <row r="43" spans="1:11" x14ac:dyDescent="0.3">
      <c r="A43" s="15" t="s">
        <v>122</v>
      </c>
      <c r="B43" s="15" t="s">
        <v>18</v>
      </c>
      <c r="C43" s="15" t="s">
        <v>19</v>
      </c>
      <c r="D43" s="15" t="s">
        <v>13</v>
      </c>
      <c r="E43" s="15">
        <v>15</v>
      </c>
      <c r="F43" s="15">
        <v>10</v>
      </c>
      <c r="G43" s="15" t="s">
        <v>32</v>
      </c>
      <c r="H43" s="15" t="s">
        <v>20</v>
      </c>
      <c r="I43" s="15" t="s">
        <v>123</v>
      </c>
      <c r="J43" s="15">
        <v>51</v>
      </c>
      <c r="K43" s="59" t="str">
        <f t="shared" si="0"/>
        <v>Pass</v>
      </c>
    </row>
    <row r="44" spans="1:11" x14ac:dyDescent="0.3">
      <c r="A44" s="15" t="s">
        <v>124</v>
      </c>
      <c r="B44" s="15" t="s">
        <v>68</v>
      </c>
      <c r="C44" s="15" t="s">
        <v>36</v>
      </c>
      <c r="D44" s="15" t="s">
        <v>13</v>
      </c>
      <c r="E44" s="15">
        <v>18</v>
      </c>
      <c r="F44" s="15">
        <v>10</v>
      </c>
      <c r="G44" s="15" t="s">
        <v>43</v>
      </c>
      <c r="H44" s="15" t="s">
        <v>20</v>
      </c>
      <c r="I44" s="15" t="s">
        <v>125</v>
      </c>
      <c r="J44" s="15">
        <v>66</v>
      </c>
      <c r="K44" s="59" t="str">
        <f t="shared" si="0"/>
        <v>Pass</v>
      </c>
    </row>
    <row r="45" spans="1:11" x14ac:dyDescent="0.3">
      <c r="A45" s="15" t="s">
        <v>126</v>
      </c>
      <c r="B45" s="15" t="s">
        <v>18</v>
      </c>
      <c r="C45" s="15" t="s">
        <v>24</v>
      </c>
      <c r="D45" s="15" t="s">
        <v>13</v>
      </c>
      <c r="E45" s="15">
        <v>15</v>
      </c>
      <c r="F45" s="15">
        <v>9</v>
      </c>
      <c r="G45" s="15" t="s">
        <v>25</v>
      </c>
      <c r="H45" s="15" t="s">
        <v>76</v>
      </c>
      <c r="I45" s="15" t="s">
        <v>127</v>
      </c>
      <c r="J45" s="15">
        <v>59</v>
      </c>
      <c r="K45" s="59" t="str">
        <f t="shared" si="0"/>
        <v>Pass</v>
      </c>
    </row>
    <row r="46" spans="1:11" x14ac:dyDescent="0.3">
      <c r="A46" s="15" t="s">
        <v>128</v>
      </c>
      <c r="B46" s="15" t="s">
        <v>11</v>
      </c>
      <c r="C46" s="15" t="s">
        <v>24</v>
      </c>
      <c r="D46" s="15" t="s">
        <v>31</v>
      </c>
      <c r="E46" s="15">
        <v>17</v>
      </c>
      <c r="F46" s="15">
        <v>12</v>
      </c>
      <c r="G46" s="15" t="s">
        <v>32</v>
      </c>
      <c r="H46" s="15" t="s">
        <v>15</v>
      </c>
      <c r="I46" s="15" t="s">
        <v>129</v>
      </c>
      <c r="J46" s="15">
        <v>68</v>
      </c>
      <c r="K46" s="59" t="str">
        <f t="shared" si="0"/>
        <v>Pass</v>
      </c>
    </row>
    <row r="47" spans="1:11" x14ac:dyDescent="0.3">
      <c r="A47" s="15" t="s">
        <v>130</v>
      </c>
      <c r="B47" s="15" t="s">
        <v>73</v>
      </c>
      <c r="C47" s="15" t="s">
        <v>30</v>
      </c>
      <c r="D47" s="15" t="s">
        <v>13</v>
      </c>
      <c r="E47" s="15">
        <v>17</v>
      </c>
      <c r="F47" s="15">
        <v>12</v>
      </c>
      <c r="G47" s="15" t="s">
        <v>25</v>
      </c>
      <c r="H47" s="15" t="s">
        <v>40</v>
      </c>
      <c r="I47" s="15" t="s">
        <v>131</v>
      </c>
      <c r="J47" s="15">
        <v>82</v>
      </c>
      <c r="K47" s="59" t="str">
        <f t="shared" si="0"/>
        <v>Pass</v>
      </c>
    </row>
    <row r="48" spans="1:11" x14ac:dyDescent="0.3">
      <c r="A48" s="15" t="s">
        <v>132</v>
      </c>
      <c r="B48" s="15" t="s">
        <v>29</v>
      </c>
      <c r="C48" s="15" t="s">
        <v>12</v>
      </c>
      <c r="D48" s="15" t="s">
        <v>13</v>
      </c>
      <c r="E48" s="15">
        <v>17</v>
      </c>
      <c r="F48" s="15">
        <v>10</v>
      </c>
      <c r="G48" s="15" t="s">
        <v>25</v>
      </c>
      <c r="H48" s="15" t="s">
        <v>37</v>
      </c>
      <c r="I48" s="15" t="s">
        <v>133</v>
      </c>
      <c r="J48" s="15">
        <v>88</v>
      </c>
      <c r="K48" s="59" t="str">
        <f t="shared" si="0"/>
        <v>Pass</v>
      </c>
    </row>
    <row r="49" spans="1:11" x14ac:dyDescent="0.3">
      <c r="A49" s="15" t="s">
        <v>134</v>
      </c>
      <c r="B49" s="15" t="s">
        <v>23</v>
      </c>
      <c r="C49" s="15" t="s">
        <v>30</v>
      </c>
      <c r="D49" s="15" t="s">
        <v>31</v>
      </c>
      <c r="E49" s="15">
        <v>20</v>
      </c>
      <c r="F49" s="15">
        <v>9</v>
      </c>
      <c r="G49" s="15" t="s">
        <v>14</v>
      </c>
      <c r="H49" s="15" t="s">
        <v>15</v>
      </c>
      <c r="I49" s="15" t="s">
        <v>135</v>
      </c>
      <c r="J49" s="15">
        <v>50</v>
      </c>
      <c r="K49" s="59" t="str">
        <f t="shared" si="0"/>
        <v>Pass</v>
      </c>
    </row>
    <row r="50" spans="1:11" x14ac:dyDescent="0.3">
      <c r="A50" s="15" t="s">
        <v>136</v>
      </c>
      <c r="B50" s="15" t="s">
        <v>11</v>
      </c>
      <c r="C50" s="15" t="s">
        <v>79</v>
      </c>
      <c r="D50" s="15" t="s">
        <v>13</v>
      </c>
      <c r="E50" s="15">
        <v>14</v>
      </c>
      <c r="F50" s="15">
        <v>10</v>
      </c>
      <c r="G50" s="15" t="s">
        <v>43</v>
      </c>
      <c r="H50" s="15" t="s">
        <v>61</v>
      </c>
      <c r="I50" s="15" t="s">
        <v>137</v>
      </c>
      <c r="J50" s="15">
        <v>65</v>
      </c>
      <c r="K50" s="59" t="str">
        <f t="shared" si="0"/>
        <v>Pass</v>
      </c>
    </row>
    <row r="51" spans="1:11" x14ac:dyDescent="0.3">
      <c r="A51" s="15" t="s">
        <v>138</v>
      </c>
      <c r="B51" s="15" t="s">
        <v>51</v>
      </c>
      <c r="C51" s="15" t="s">
        <v>85</v>
      </c>
      <c r="D51" s="15" t="s">
        <v>13</v>
      </c>
      <c r="E51" s="15">
        <v>18</v>
      </c>
      <c r="F51" s="15">
        <v>11</v>
      </c>
      <c r="G51" s="15" t="s">
        <v>43</v>
      </c>
      <c r="H51" s="15" t="s">
        <v>61</v>
      </c>
      <c r="I51" s="15" t="s">
        <v>139</v>
      </c>
      <c r="J51" s="15">
        <v>100</v>
      </c>
      <c r="K51" s="59" t="str">
        <f t="shared" si="0"/>
        <v>Pass</v>
      </c>
    </row>
    <row r="52" spans="1:11" x14ac:dyDescent="0.3">
      <c r="A52" s="15" t="s">
        <v>140</v>
      </c>
      <c r="B52" s="15" t="s">
        <v>35</v>
      </c>
      <c r="C52" s="15" t="s">
        <v>30</v>
      </c>
      <c r="D52" s="15" t="s">
        <v>31</v>
      </c>
      <c r="E52" s="15">
        <v>19</v>
      </c>
      <c r="F52" s="15">
        <v>10</v>
      </c>
      <c r="G52" s="15" t="s">
        <v>32</v>
      </c>
      <c r="H52" s="15" t="s">
        <v>76</v>
      </c>
      <c r="I52" s="15" t="s">
        <v>141</v>
      </c>
      <c r="J52" s="15">
        <v>93</v>
      </c>
      <c r="K52" s="59" t="str">
        <f t="shared" si="0"/>
        <v>Pass</v>
      </c>
    </row>
    <row r="53" spans="1:11" x14ac:dyDescent="0.3">
      <c r="A53" s="15" t="s">
        <v>142</v>
      </c>
      <c r="B53" s="15" t="s">
        <v>29</v>
      </c>
      <c r="C53" s="15" t="s">
        <v>96</v>
      </c>
      <c r="D53" s="15" t="s">
        <v>31</v>
      </c>
      <c r="E53" s="15">
        <v>16</v>
      </c>
      <c r="F53" s="15">
        <v>12</v>
      </c>
      <c r="G53" s="15" t="s">
        <v>14</v>
      </c>
      <c r="H53" s="15" t="s">
        <v>37</v>
      </c>
      <c r="I53" s="15" t="s">
        <v>143</v>
      </c>
      <c r="J53" s="15">
        <v>85</v>
      </c>
      <c r="K53" s="59" t="str">
        <f t="shared" si="0"/>
        <v>Pass</v>
      </c>
    </row>
    <row r="54" spans="1:11" x14ac:dyDescent="0.3">
      <c r="A54" s="15" t="s">
        <v>144</v>
      </c>
      <c r="B54" s="15" t="s">
        <v>73</v>
      </c>
      <c r="C54" s="15" t="s">
        <v>12</v>
      </c>
      <c r="D54" s="15" t="s">
        <v>31</v>
      </c>
      <c r="E54" s="15">
        <v>20</v>
      </c>
      <c r="F54" s="15">
        <v>10</v>
      </c>
      <c r="G54" s="15" t="s">
        <v>14</v>
      </c>
      <c r="H54" s="15" t="s">
        <v>26</v>
      </c>
      <c r="I54" s="15" t="s">
        <v>145</v>
      </c>
      <c r="J54" s="15">
        <v>71</v>
      </c>
      <c r="K54" s="59" t="str">
        <f t="shared" si="0"/>
        <v>Pass</v>
      </c>
    </row>
    <row r="55" spans="1:11" x14ac:dyDescent="0.3">
      <c r="A55" s="15" t="s">
        <v>146</v>
      </c>
      <c r="B55" s="15" t="s">
        <v>35</v>
      </c>
      <c r="C55" s="15" t="s">
        <v>30</v>
      </c>
      <c r="D55" s="15" t="s">
        <v>31</v>
      </c>
      <c r="E55" s="15">
        <v>20</v>
      </c>
      <c r="F55" s="15">
        <v>9</v>
      </c>
      <c r="G55" s="15" t="s">
        <v>43</v>
      </c>
      <c r="H55" s="15" t="s">
        <v>15</v>
      </c>
      <c r="I55" s="15" t="s">
        <v>147</v>
      </c>
      <c r="J55" s="15">
        <v>40</v>
      </c>
      <c r="K55" s="59" t="str">
        <f t="shared" si="0"/>
        <v>Pass</v>
      </c>
    </row>
    <row r="56" spans="1:11" x14ac:dyDescent="0.3">
      <c r="A56" s="15" t="s">
        <v>148</v>
      </c>
      <c r="B56" s="15" t="s">
        <v>51</v>
      </c>
      <c r="C56" s="15" t="s">
        <v>96</v>
      </c>
      <c r="D56" s="15" t="s">
        <v>13</v>
      </c>
      <c r="E56" s="15">
        <v>19</v>
      </c>
      <c r="F56" s="15">
        <v>11</v>
      </c>
      <c r="G56" s="15" t="s">
        <v>14</v>
      </c>
      <c r="H56" s="15" t="s">
        <v>76</v>
      </c>
      <c r="I56" s="15" t="s">
        <v>149</v>
      </c>
      <c r="J56" s="15">
        <v>83</v>
      </c>
      <c r="K56" s="59" t="str">
        <f t="shared" si="0"/>
        <v>Pass</v>
      </c>
    </row>
    <row r="57" spans="1:11" x14ac:dyDescent="0.3">
      <c r="A57" s="15" t="s">
        <v>150</v>
      </c>
      <c r="B57" s="15" t="s">
        <v>23</v>
      </c>
      <c r="C57" s="15" t="s">
        <v>55</v>
      </c>
      <c r="D57" s="15" t="s">
        <v>31</v>
      </c>
      <c r="E57" s="15">
        <v>17</v>
      </c>
      <c r="F57" s="15">
        <v>9</v>
      </c>
      <c r="G57" s="15" t="s">
        <v>25</v>
      </c>
      <c r="H57" s="15" t="s">
        <v>20</v>
      </c>
      <c r="I57" s="15" t="s">
        <v>151</v>
      </c>
      <c r="J57" s="15">
        <v>55</v>
      </c>
      <c r="K57" s="59" t="str">
        <f t="shared" si="0"/>
        <v>Pass</v>
      </c>
    </row>
    <row r="58" spans="1:11" x14ac:dyDescent="0.3">
      <c r="A58" s="15" t="s">
        <v>152</v>
      </c>
      <c r="B58" s="15" t="s">
        <v>23</v>
      </c>
      <c r="C58" s="15" t="s">
        <v>55</v>
      </c>
      <c r="D58" s="15" t="s">
        <v>13</v>
      </c>
      <c r="E58" s="15">
        <v>17</v>
      </c>
      <c r="F58" s="15">
        <v>12</v>
      </c>
      <c r="G58" s="15" t="s">
        <v>32</v>
      </c>
      <c r="H58" s="15" t="s">
        <v>46</v>
      </c>
      <c r="I58" s="15" t="s">
        <v>153</v>
      </c>
      <c r="J58" s="15">
        <v>39</v>
      </c>
      <c r="K58" s="59" t="str">
        <f t="shared" si="0"/>
        <v>Fail</v>
      </c>
    </row>
    <row r="59" spans="1:11" x14ac:dyDescent="0.3">
      <c r="A59" s="15" t="s">
        <v>154</v>
      </c>
      <c r="B59" s="15" t="s">
        <v>51</v>
      </c>
      <c r="C59" s="15" t="s">
        <v>36</v>
      </c>
      <c r="D59" s="15" t="s">
        <v>31</v>
      </c>
      <c r="E59" s="15">
        <v>18</v>
      </c>
      <c r="F59" s="15">
        <v>12</v>
      </c>
      <c r="G59" s="15" t="s">
        <v>43</v>
      </c>
      <c r="H59" s="15" t="s">
        <v>76</v>
      </c>
      <c r="I59" s="15" t="s">
        <v>155</v>
      </c>
      <c r="J59" s="15">
        <v>77</v>
      </c>
      <c r="K59" s="59" t="str">
        <f t="shared" si="0"/>
        <v>Pass</v>
      </c>
    </row>
    <row r="60" spans="1:11" x14ac:dyDescent="0.3">
      <c r="A60" s="15" t="s">
        <v>156</v>
      </c>
      <c r="B60" s="15" t="s">
        <v>35</v>
      </c>
      <c r="C60" s="15" t="s">
        <v>55</v>
      </c>
      <c r="D60" s="15" t="s">
        <v>13</v>
      </c>
      <c r="E60" s="15">
        <v>19</v>
      </c>
      <c r="F60" s="15">
        <v>11</v>
      </c>
      <c r="G60" s="15" t="s">
        <v>14</v>
      </c>
      <c r="H60" s="15" t="s">
        <v>40</v>
      </c>
      <c r="I60" s="15" t="s">
        <v>157</v>
      </c>
      <c r="J60" s="15">
        <v>63</v>
      </c>
      <c r="K60" s="59" t="str">
        <f t="shared" si="0"/>
        <v>Pass</v>
      </c>
    </row>
    <row r="61" spans="1:11" x14ac:dyDescent="0.3">
      <c r="A61" s="15" t="s">
        <v>158</v>
      </c>
      <c r="B61" s="15" t="s">
        <v>18</v>
      </c>
      <c r="C61" s="15" t="s">
        <v>19</v>
      </c>
      <c r="D61" s="15" t="s">
        <v>13</v>
      </c>
      <c r="E61" s="15">
        <v>16</v>
      </c>
      <c r="F61" s="15">
        <v>12</v>
      </c>
      <c r="G61" s="15" t="s">
        <v>43</v>
      </c>
      <c r="H61" s="15" t="s">
        <v>40</v>
      </c>
      <c r="I61" s="15" t="s">
        <v>159</v>
      </c>
      <c r="J61" s="15">
        <v>36</v>
      </c>
      <c r="K61" s="59" t="str">
        <f t="shared" si="0"/>
        <v>Fail</v>
      </c>
    </row>
    <row r="62" spans="1:11" x14ac:dyDescent="0.3">
      <c r="A62" s="15" t="s">
        <v>160</v>
      </c>
      <c r="B62" s="15" t="s">
        <v>51</v>
      </c>
      <c r="C62" s="15" t="s">
        <v>85</v>
      </c>
      <c r="D62" s="15" t="s">
        <v>31</v>
      </c>
      <c r="E62" s="15">
        <v>17</v>
      </c>
      <c r="F62" s="15">
        <v>11</v>
      </c>
      <c r="G62" s="15" t="s">
        <v>43</v>
      </c>
      <c r="H62" s="15" t="s">
        <v>37</v>
      </c>
      <c r="I62" s="15" t="s">
        <v>161</v>
      </c>
      <c r="J62" s="15">
        <v>99</v>
      </c>
      <c r="K62" s="59" t="str">
        <f t="shared" si="0"/>
        <v>Pass</v>
      </c>
    </row>
    <row r="63" spans="1:11" x14ac:dyDescent="0.3">
      <c r="A63" s="15" t="s">
        <v>162</v>
      </c>
      <c r="B63" s="15" t="s">
        <v>73</v>
      </c>
      <c r="C63" s="15" t="s">
        <v>36</v>
      </c>
      <c r="D63" s="15" t="s">
        <v>31</v>
      </c>
      <c r="E63" s="15">
        <v>20</v>
      </c>
      <c r="F63" s="15">
        <v>9</v>
      </c>
      <c r="G63" s="15" t="s">
        <v>32</v>
      </c>
      <c r="H63" s="15" t="s">
        <v>20</v>
      </c>
      <c r="I63" s="15" t="s">
        <v>163</v>
      </c>
      <c r="J63" s="15">
        <v>49</v>
      </c>
      <c r="K63" s="59" t="str">
        <f t="shared" si="0"/>
        <v>Pass</v>
      </c>
    </row>
    <row r="64" spans="1:11" x14ac:dyDescent="0.3">
      <c r="A64" s="15" t="s">
        <v>164</v>
      </c>
      <c r="B64" s="15" t="s">
        <v>23</v>
      </c>
      <c r="C64" s="15" t="s">
        <v>19</v>
      </c>
      <c r="D64" s="15" t="s">
        <v>31</v>
      </c>
      <c r="E64" s="15">
        <v>17</v>
      </c>
      <c r="F64" s="15">
        <v>9</v>
      </c>
      <c r="G64" s="15" t="s">
        <v>25</v>
      </c>
      <c r="H64" s="15" t="s">
        <v>15</v>
      </c>
      <c r="I64" s="15" t="s">
        <v>165</v>
      </c>
      <c r="J64" s="15">
        <v>64</v>
      </c>
      <c r="K64" s="59" t="str">
        <f t="shared" si="0"/>
        <v>Pass</v>
      </c>
    </row>
    <row r="65" spans="1:11" x14ac:dyDescent="0.3">
      <c r="A65" s="15" t="s">
        <v>166</v>
      </c>
      <c r="B65" s="15" t="s">
        <v>84</v>
      </c>
      <c r="C65" s="15" t="s">
        <v>24</v>
      </c>
      <c r="D65" s="15" t="s">
        <v>13</v>
      </c>
      <c r="E65" s="15">
        <v>14</v>
      </c>
      <c r="F65" s="15">
        <v>10</v>
      </c>
      <c r="G65" s="15" t="s">
        <v>43</v>
      </c>
      <c r="H65" s="15" t="s">
        <v>15</v>
      </c>
      <c r="I65" s="15" t="s">
        <v>167</v>
      </c>
      <c r="J65" s="15">
        <v>45</v>
      </c>
      <c r="K65" s="59" t="str">
        <f t="shared" si="0"/>
        <v>Pass</v>
      </c>
    </row>
    <row r="66" spans="1:11" x14ac:dyDescent="0.3">
      <c r="A66" s="15" t="s">
        <v>168</v>
      </c>
      <c r="B66" s="15" t="s">
        <v>18</v>
      </c>
      <c r="C66" s="15" t="s">
        <v>79</v>
      </c>
      <c r="D66" s="15" t="s">
        <v>13</v>
      </c>
      <c r="E66" s="15">
        <v>17</v>
      </c>
      <c r="F66" s="15">
        <v>12</v>
      </c>
      <c r="G66" s="15" t="s">
        <v>25</v>
      </c>
      <c r="H66" s="15" t="s">
        <v>26</v>
      </c>
      <c r="I66" s="15" t="s">
        <v>137</v>
      </c>
      <c r="J66" s="15">
        <v>82</v>
      </c>
      <c r="K66" s="59" t="str">
        <f t="shared" si="0"/>
        <v>Pass</v>
      </c>
    </row>
    <row r="67" spans="1:11" x14ac:dyDescent="0.3">
      <c r="A67" s="15" t="s">
        <v>169</v>
      </c>
      <c r="B67" s="15" t="s">
        <v>11</v>
      </c>
      <c r="C67" s="15" t="s">
        <v>30</v>
      </c>
      <c r="D67" s="15" t="s">
        <v>31</v>
      </c>
      <c r="E67" s="15">
        <v>18</v>
      </c>
      <c r="F67" s="15">
        <v>9</v>
      </c>
      <c r="G67" s="15" t="s">
        <v>25</v>
      </c>
      <c r="H67" s="15" t="s">
        <v>46</v>
      </c>
      <c r="I67" s="15" t="s">
        <v>170</v>
      </c>
      <c r="J67" s="15">
        <v>60</v>
      </c>
      <c r="K67" s="59" t="str">
        <f t="shared" si="0"/>
        <v>Pass</v>
      </c>
    </row>
    <row r="68" spans="1:11" x14ac:dyDescent="0.3">
      <c r="A68" s="15" t="s">
        <v>171</v>
      </c>
      <c r="B68" s="15" t="s">
        <v>29</v>
      </c>
      <c r="C68" s="15" t="s">
        <v>85</v>
      </c>
      <c r="D68" s="15" t="s">
        <v>13</v>
      </c>
      <c r="E68" s="15">
        <v>14</v>
      </c>
      <c r="F68" s="15">
        <v>10</v>
      </c>
      <c r="G68" s="15" t="s">
        <v>32</v>
      </c>
      <c r="H68" s="15" t="s">
        <v>61</v>
      </c>
      <c r="I68" s="15" t="s">
        <v>172</v>
      </c>
      <c r="J68" s="15">
        <v>51</v>
      </c>
      <c r="K68" s="59" t="str">
        <f t="shared" si="0"/>
        <v>Pass</v>
      </c>
    </row>
    <row r="69" spans="1:11" x14ac:dyDescent="0.3">
      <c r="A69" s="15" t="s">
        <v>173</v>
      </c>
      <c r="B69" s="15" t="s">
        <v>54</v>
      </c>
      <c r="C69" s="15" t="s">
        <v>30</v>
      </c>
      <c r="D69" s="15" t="s">
        <v>31</v>
      </c>
      <c r="E69" s="15">
        <v>18</v>
      </c>
      <c r="F69" s="15">
        <v>9</v>
      </c>
      <c r="G69" s="15" t="s">
        <v>32</v>
      </c>
      <c r="H69" s="15" t="s">
        <v>40</v>
      </c>
      <c r="I69" s="15" t="s">
        <v>174</v>
      </c>
      <c r="J69" s="15">
        <v>54</v>
      </c>
      <c r="K69" s="59" t="str">
        <f t="shared" ref="K69:K132" si="1">IF(J69&gt;=40,"Pass","Fail")</f>
        <v>Pass</v>
      </c>
    </row>
    <row r="70" spans="1:11" x14ac:dyDescent="0.3">
      <c r="A70" s="15" t="s">
        <v>175</v>
      </c>
      <c r="B70" s="15" t="s">
        <v>35</v>
      </c>
      <c r="C70" s="15" t="s">
        <v>30</v>
      </c>
      <c r="D70" s="15" t="s">
        <v>31</v>
      </c>
      <c r="E70" s="15">
        <v>20</v>
      </c>
      <c r="F70" s="15">
        <v>9</v>
      </c>
      <c r="G70" s="15" t="s">
        <v>14</v>
      </c>
      <c r="H70" s="15" t="s">
        <v>61</v>
      </c>
      <c r="I70" s="15" t="s">
        <v>176</v>
      </c>
      <c r="J70" s="15">
        <v>76</v>
      </c>
      <c r="K70" s="59" t="str">
        <f t="shared" si="1"/>
        <v>Pass</v>
      </c>
    </row>
    <row r="71" spans="1:11" x14ac:dyDescent="0.3">
      <c r="A71" s="15" t="s">
        <v>177</v>
      </c>
      <c r="B71" s="15" t="s">
        <v>29</v>
      </c>
      <c r="C71" s="15" t="s">
        <v>58</v>
      </c>
      <c r="D71" s="15" t="s">
        <v>31</v>
      </c>
      <c r="E71" s="15">
        <v>19</v>
      </c>
      <c r="F71" s="15">
        <v>12</v>
      </c>
      <c r="G71" s="15" t="s">
        <v>43</v>
      </c>
      <c r="H71" s="15" t="s">
        <v>61</v>
      </c>
      <c r="I71" s="15" t="s">
        <v>178</v>
      </c>
      <c r="J71" s="15">
        <v>99</v>
      </c>
      <c r="K71" s="59" t="str">
        <f t="shared" si="1"/>
        <v>Pass</v>
      </c>
    </row>
    <row r="72" spans="1:11" x14ac:dyDescent="0.3">
      <c r="A72" s="15" t="s">
        <v>179</v>
      </c>
      <c r="B72" s="15" t="s">
        <v>29</v>
      </c>
      <c r="C72" s="15" t="s">
        <v>58</v>
      </c>
      <c r="D72" s="15" t="s">
        <v>31</v>
      </c>
      <c r="E72" s="15">
        <v>16</v>
      </c>
      <c r="F72" s="15">
        <v>11</v>
      </c>
      <c r="G72" s="15" t="s">
        <v>25</v>
      </c>
      <c r="H72" s="15" t="s">
        <v>26</v>
      </c>
      <c r="I72" s="15" t="s">
        <v>180</v>
      </c>
      <c r="J72" s="15">
        <v>75</v>
      </c>
      <c r="K72" s="59" t="str">
        <f t="shared" si="1"/>
        <v>Pass</v>
      </c>
    </row>
    <row r="73" spans="1:11" x14ac:dyDescent="0.3">
      <c r="A73" s="15" t="s">
        <v>181</v>
      </c>
      <c r="B73" s="15" t="s">
        <v>11</v>
      </c>
      <c r="C73" s="15" t="s">
        <v>55</v>
      </c>
      <c r="D73" s="15" t="s">
        <v>31</v>
      </c>
      <c r="E73" s="15">
        <v>18</v>
      </c>
      <c r="F73" s="15">
        <v>10</v>
      </c>
      <c r="G73" s="15" t="s">
        <v>25</v>
      </c>
      <c r="H73" s="15" t="s">
        <v>46</v>
      </c>
      <c r="I73" s="15" t="s">
        <v>182</v>
      </c>
      <c r="J73" s="15">
        <v>98</v>
      </c>
      <c r="K73" s="59" t="str">
        <f t="shared" si="1"/>
        <v>Pass</v>
      </c>
    </row>
    <row r="74" spans="1:11" x14ac:dyDescent="0.3">
      <c r="A74" s="15" t="s">
        <v>183</v>
      </c>
      <c r="B74" s="15" t="s">
        <v>11</v>
      </c>
      <c r="C74" s="15" t="s">
        <v>30</v>
      </c>
      <c r="D74" s="15" t="s">
        <v>31</v>
      </c>
      <c r="E74" s="15">
        <v>17</v>
      </c>
      <c r="F74" s="15">
        <v>12</v>
      </c>
      <c r="G74" s="15" t="s">
        <v>14</v>
      </c>
      <c r="H74" s="15" t="s">
        <v>37</v>
      </c>
      <c r="I74" s="15" t="s">
        <v>184</v>
      </c>
      <c r="J74" s="15">
        <v>49</v>
      </c>
      <c r="K74" s="59" t="str">
        <f t="shared" si="1"/>
        <v>Pass</v>
      </c>
    </row>
    <row r="75" spans="1:11" x14ac:dyDescent="0.3">
      <c r="A75" s="15" t="s">
        <v>185</v>
      </c>
      <c r="B75" s="15" t="s">
        <v>35</v>
      </c>
      <c r="C75" s="15" t="s">
        <v>30</v>
      </c>
      <c r="D75" s="15" t="s">
        <v>31</v>
      </c>
      <c r="E75" s="15">
        <v>14</v>
      </c>
      <c r="F75" s="15">
        <v>12</v>
      </c>
      <c r="G75" s="15" t="s">
        <v>43</v>
      </c>
      <c r="H75" s="15" t="s">
        <v>61</v>
      </c>
      <c r="I75" s="15" t="s">
        <v>186</v>
      </c>
      <c r="J75" s="15">
        <v>45</v>
      </c>
      <c r="K75" s="59" t="str">
        <f t="shared" si="1"/>
        <v>Pass</v>
      </c>
    </row>
    <row r="76" spans="1:11" x14ac:dyDescent="0.3">
      <c r="A76" s="15" t="s">
        <v>187</v>
      </c>
      <c r="B76" s="15" t="s">
        <v>51</v>
      </c>
      <c r="C76" s="15" t="s">
        <v>12</v>
      </c>
      <c r="D76" s="15" t="s">
        <v>31</v>
      </c>
      <c r="E76" s="15">
        <v>17</v>
      </c>
      <c r="F76" s="15">
        <v>10</v>
      </c>
      <c r="G76" s="15" t="s">
        <v>43</v>
      </c>
      <c r="H76" s="15" t="s">
        <v>46</v>
      </c>
      <c r="I76" s="15" t="s">
        <v>101</v>
      </c>
      <c r="J76" s="15">
        <v>66</v>
      </c>
      <c r="K76" s="59" t="str">
        <f t="shared" si="1"/>
        <v>Pass</v>
      </c>
    </row>
    <row r="77" spans="1:11" x14ac:dyDescent="0.3">
      <c r="A77" s="15" t="s">
        <v>188</v>
      </c>
      <c r="B77" s="15" t="s">
        <v>23</v>
      </c>
      <c r="C77" s="15" t="s">
        <v>55</v>
      </c>
      <c r="D77" s="15" t="s">
        <v>31</v>
      </c>
      <c r="E77" s="15">
        <v>15</v>
      </c>
      <c r="F77" s="15">
        <v>9</v>
      </c>
      <c r="G77" s="15" t="s">
        <v>43</v>
      </c>
      <c r="H77" s="15" t="s">
        <v>20</v>
      </c>
      <c r="I77" s="15" t="s">
        <v>189</v>
      </c>
      <c r="J77" s="15">
        <v>88</v>
      </c>
      <c r="K77" s="59" t="str">
        <f t="shared" si="1"/>
        <v>Pass</v>
      </c>
    </row>
    <row r="78" spans="1:11" x14ac:dyDescent="0.3">
      <c r="A78" s="15" t="s">
        <v>190</v>
      </c>
      <c r="B78" s="15" t="s">
        <v>18</v>
      </c>
      <c r="C78" s="15" t="s">
        <v>19</v>
      </c>
      <c r="D78" s="15" t="s">
        <v>31</v>
      </c>
      <c r="E78" s="15">
        <v>14</v>
      </c>
      <c r="F78" s="15">
        <v>12</v>
      </c>
      <c r="G78" s="15" t="s">
        <v>32</v>
      </c>
      <c r="H78" s="15" t="s">
        <v>37</v>
      </c>
      <c r="I78" s="15" t="s">
        <v>191</v>
      </c>
      <c r="J78" s="15">
        <v>63</v>
      </c>
      <c r="K78" s="59" t="str">
        <f t="shared" si="1"/>
        <v>Pass</v>
      </c>
    </row>
    <row r="79" spans="1:11" x14ac:dyDescent="0.3">
      <c r="A79" s="15" t="s">
        <v>192</v>
      </c>
      <c r="B79" s="15" t="s">
        <v>68</v>
      </c>
      <c r="C79" s="15" t="s">
        <v>85</v>
      </c>
      <c r="D79" s="15" t="s">
        <v>13</v>
      </c>
      <c r="E79" s="15">
        <v>19</v>
      </c>
      <c r="F79" s="15">
        <v>11</v>
      </c>
      <c r="G79" s="15" t="s">
        <v>43</v>
      </c>
      <c r="H79" s="15" t="s">
        <v>61</v>
      </c>
      <c r="I79" s="15" t="s">
        <v>193</v>
      </c>
      <c r="J79" s="15">
        <v>78</v>
      </c>
      <c r="K79" s="59" t="str">
        <f t="shared" si="1"/>
        <v>Pass</v>
      </c>
    </row>
    <row r="80" spans="1:11" x14ac:dyDescent="0.3">
      <c r="A80" s="15" t="s">
        <v>194</v>
      </c>
      <c r="B80" s="15" t="s">
        <v>23</v>
      </c>
      <c r="C80" s="15" t="s">
        <v>19</v>
      </c>
      <c r="D80" s="15" t="s">
        <v>31</v>
      </c>
      <c r="E80" s="15">
        <v>20</v>
      </c>
      <c r="F80" s="15">
        <v>9</v>
      </c>
      <c r="G80" s="15" t="s">
        <v>25</v>
      </c>
      <c r="H80" s="15" t="s">
        <v>76</v>
      </c>
      <c r="I80" s="15" t="s">
        <v>195</v>
      </c>
      <c r="J80" s="15">
        <v>76</v>
      </c>
      <c r="K80" s="59" t="str">
        <f t="shared" si="1"/>
        <v>Pass</v>
      </c>
    </row>
    <row r="81" spans="1:11" x14ac:dyDescent="0.3">
      <c r="A81" s="15" t="s">
        <v>196</v>
      </c>
      <c r="B81" s="15" t="s">
        <v>23</v>
      </c>
      <c r="C81" s="15" t="s">
        <v>79</v>
      </c>
      <c r="D81" s="15" t="s">
        <v>13</v>
      </c>
      <c r="E81" s="15">
        <v>18</v>
      </c>
      <c r="F81" s="15">
        <v>12</v>
      </c>
      <c r="G81" s="15" t="s">
        <v>43</v>
      </c>
      <c r="H81" s="15" t="s">
        <v>76</v>
      </c>
      <c r="I81" s="15" t="s">
        <v>197</v>
      </c>
      <c r="J81" s="15">
        <v>67</v>
      </c>
      <c r="K81" s="59" t="str">
        <f t="shared" si="1"/>
        <v>Pass</v>
      </c>
    </row>
    <row r="82" spans="1:11" x14ac:dyDescent="0.3">
      <c r="A82" s="15" t="s">
        <v>198</v>
      </c>
      <c r="B82" s="15" t="s">
        <v>11</v>
      </c>
      <c r="C82" s="15" t="s">
        <v>85</v>
      </c>
      <c r="D82" s="15" t="s">
        <v>31</v>
      </c>
      <c r="E82" s="15">
        <v>14</v>
      </c>
      <c r="F82" s="15">
        <v>10</v>
      </c>
      <c r="G82" s="15" t="s">
        <v>25</v>
      </c>
      <c r="H82" s="15" t="s">
        <v>61</v>
      </c>
      <c r="I82" s="15" t="s">
        <v>199</v>
      </c>
      <c r="J82" s="15">
        <v>97</v>
      </c>
      <c r="K82" s="59" t="str">
        <f t="shared" si="1"/>
        <v>Pass</v>
      </c>
    </row>
    <row r="83" spans="1:11" x14ac:dyDescent="0.3">
      <c r="A83" s="15" t="s">
        <v>200</v>
      </c>
      <c r="B83" s="15" t="s">
        <v>29</v>
      </c>
      <c r="C83" s="15" t="s">
        <v>12</v>
      </c>
      <c r="D83" s="15" t="s">
        <v>13</v>
      </c>
      <c r="E83" s="15">
        <v>18</v>
      </c>
      <c r="F83" s="15">
        <v>12</v>
      </c>
      <c r="G83" s="15" t="s">
        <v>25</v>
      </c>
      <c r="H83" s="15" t="s">
        <v>26</v>
      </c>
      <c r="I83" s="15" t="s">
        <v>201</v>
      </c>
      <c r="J83" s="15">
        <v>89</v>
      </c>
      <c r="K83" s="59" t="str">
        <f t="shared" si="1"/>
        <v>Pass</v>
      </c>
    </row>
    <row r="84" spans="1:11" x14ac:dyDescent="0.3">
      <c r="A84" s="15" t="s">
        <v>202</v>
      </c>
      <c r="B84" s="15" t="s">
        <v>51</v>
      </c>
      <c r="C84" s="15" t="s">
        <v>55</v>
      </c>
      <c r="D84" s="15" t="s">
        <v>31</v>
      </c>
      <c r="E84" s="15">
        <v>15</v>
      </c>
      <c r="F84" s="15">
        <v>9</v>
      </c>
      <c r="G84" s="15" t="s">
        <v>14</v>
      </c>
      <c r="H84" s="15" t="s">
        <v>40</v>
      </c>
      <c r="I84" s="15" t="s">
        <v>111</v>
      </c>
      <c r="J84" s="15">
        <v>70</v>
      </c>
      <c r="K84" s="59" t="str">
        <f t="shared" si="1"/>
        <v>Pass</v>
      </c>
    </row>
    <row r="85" spans="1:11" x14ac:dyDescent="0.3">
      <c r="A85" s="15" t="s">
        <v>203</v>
      </c>
      <c r="B85" s="15" t="s">
        <v>35</v>
      </c>
      <c r="C85" s="15" t="s">
        <v>96</v>
      </c>
      <c r="D85" s="15" t="s">
        <v>13</v>
      </c>
      <c r="E85" s="15">
        <v>17</v>
      </c>
      <c r="F85" s="15">
        <v>12</v>
      </c>
      <c r="G85" s="15" t="s">
        <v>25</v>
      </c>
      <c r="H85" s="15" t="s">
        <v>20</v>
      </c>
      <c r="I85" s="15" t="s">
        <v>204</v>
      </c>
      <c r="J85" s="15">
        <v>90</v>
      </c>
      <c r="K85" s="59" t="str">
        <f t="shared" si="1"/>
        <v>Pass</v>
      </c>
    </row>
    <row r="86" spans="1:11" x14ac:dyDescent="0.3">
      <c r="A86" s="15" t="s">
        <v>205</v>
      </c>
      <c r="B86" s="15" t="s">
        <v>73</v>
      </c>
      <c r="C86" s="15" t="s">
        <v>24</v>
      </c>
      <c r="D86" s="15" t="s">
        <v>13</v>
      </c>
      <c r="E86" s="15">
        <v>17</v>
      </c>
      <c r="F86" s="15">
        <v>9</v>
      </c>
      <c r="G86" s="15" t="s">
        <v>14</v>
      </c>
      <c r="H86" s="15" t="s">
        <v>46</v>
      </c>
      <c r="I86" s="15" t="s">
        <v>206</v>
      </c>
      <c r="J86" s="15">
        <v>59</v>
      </c>
      <c r="K86" s="59" t="str">
        <f t="shared" si="1"/>
        <v>Pass</v>
      </c>
    </row>
    <row r="87" spans="1:11" x14ac:dyDescent="0.3">
      <c r="A87" s="15" t="s">
        <v>207</v>
      </c>
      <c r="B87" s="15" t="s">
        <v>54</v>
      </c>
      <c r="C87" s="15" t="s">
        <v>19</v>
      </c>
      <c r="D87" s="15" t="s">
        <v>31</v>
      </c>
      <c r="E87" s="15">
        <v>19</v>
      </c>
      <c r="F87" s="15">
        <v>9</v>
      </c>
      <c r="G87" s="15" t="s">
        <v>14</v>
      </c>
      <c r="H87" s="15" t="s">
        <v>61</v>
      </c>
      <c r="I87" s="15" t="s">
        <v>208</v>
      </c>
      <c r="J87" s="15">
        <v>76</v>
      </c>
      <c r="K87" s="59" t="str">
        <f t="shared" si="1"/>
        <v>Pass</v>
      </c>
    </row>
    <row r="88" spans="1:11" x14ac:dyDescent="0.3">
      <c r="A88" s="15" t="s">
        <v>209</v>
      </c>
      <c r="B88" s="15" t="s">
        <v>29</v>
      </c>
      <c r="C88" s="15" t="s">
        <v>30</v>
      </c>
      <c r="D88" s="15" t="s">
        <v>31</v>
      </c>
      <c r="E88" s="15">
        <v>18</v>
      </c>
      <c r="F88" s="15">
        <v>11</v>
      </c>
      <c r="G88" s="15" t="s">
        <v>43</v>
      </c>
      <c r="H88" s="15" t="s">
        <v>20</v>
      </c>
      <c r="I88" s="15" t="s">
        <v>210</v>
      </c>
      <c r="J88" s="15">
        <v>78</v>
      </c>
      <c r="K88" s="59" t="str">
        <f t="shared" si="1"/>
        <v>Pass</v>
      </c>
    </row>
    <row r="89" spans="1:11" x14ac:dyDescent="0.3">
      <c r="A89" s="15" t="s">
        <v>211</v>
      </c>
      <c r="B89" s="15" t="s">
        <v>35</v>
      </c>
      <c r="C89" s="15" t="s">
        <v>19</v>
      </c>
      <c r="D89" s="15" t="s">
        <v>31</v>
      </c>
      <c r="E89" s="15">
        <v>16</v>
      </c>
      <c r="F89" s="15">
        <v>9</v>
      </c>
      <c r="G89" s="15" t="s">
        <v>14</v>
      </c>
      <c r="H89" s="15" t="s">
        <v>37</v>
      </c>
      <c r="I89" s="15" t="s">
        <v>212</v>
      </c>
      <c r="J89" s="15">
        <v>57</v>
      </c>
      <c r="K89" s="59" t="str">
        <f t="shared" si="1"/>
        <v>Pass</v>
      </c>
    </row>
    <row r="90" spans="1:11" x14ac:dyDescent="0.3">
      <c r="A90" s="15" t="s">
        <v>213</v>
      </c>
      <c r="B90" s="15" t="s">
        <v>29</v>
      </c>
      <c r="C90" s="15" t="s">
        <v>24</v>
      </c>
      <c r="D90" s="15" t="s">
        <v>31</v>
      </c>
      <c r="E90" s="15">
        <v>17</v>
      </c>
      <c r="F90" s="15">
        <v>11</v>
      </c>
      <c r="G90" s="15" t="s">
        <v>14</v>
      </c>
      <c r="H90" s="15" t="s">
        <v>76</v>
      </c>
      <c r="I90" s="15" t="s">
        <v>214</v>
      </c>
      <c r="J90" s="15">
        <v>74</v>
      </c>
      <c r="K90" s="59" t="str">
        <f t="shared" si="1"/>
        <v>Pass</v>
      </c>
    </row>
    <row r="91" spans="1:11" x14ac:dyDescent="0.3">
      <c r="A91" s="15" t="s">
        <v>215</v>
      </c>
      <c r="B91" s="15" t="s">
        <v>84</v>
      </c>
      <c r="C91" s="15" t="s">
        <v>36</v>
      </c>
      <c r="D91" s="15" t="s">
        <v>31</v>
      </c>
      <c r="E91" s="15">
        <v>19</v>
      </c>
      <c r="F91" s="15">
        <v>12</v>
      </c>
      <c r="G91" s="15" t="s">
        <v>14</v>
      </c>
      <c r="H91" s="15" t="s">
        <v>37</v>
      </c>
      <c r="I91" s="15" t="s">
        <v>216</v>
      </c>
      <c r="J91" s="15">
        <v>84</v>
      </c>
      <c r="K91" s="59" t="str">
        <f t="shared" si="1"/>
        <v>Pass</v>
      </c>
    </row>
    <row r="92" spans="1:11" x14ac:dyDescent="0.3">
      <c r="A92" s="15" t="s">
        <v>217</v>
      </c>
      <c r="B92" s="15" t="s">
        <v>84</v>
      </c>
      <c r="C92" s="15" t="s">
        <v>96</v>
      </c>
      <c r="D92" s="15" t="s">
        <v>31</v>
      </c>
      <c r="E92" s="15">
        <v>17</v>
      </c>
      <c r="F92" s="15">
        <v>10</v>
      </c>
      <c r="G92" s="15" t="s">
        <v>43</v>
      </c>
      <c r="H92" s="15" t="s">
        <v>46</v>
      </c>
      <c r="I92" s="15" t="s">
        <v>218</v>
      </c>
      <c r="J92" s="15">
        <v>46</v>
      </c>
      <c r="K92" s="59" t="str">
        <f t="shared" si="1"/>
        <v>Pass</v>
      </c>
    </row>
    <row r="93" spans="1:11" x14ac:dyDescent="0.3">
      <c r="A93" s="15" t="s">
        <v>219</v>
      </c>
      <c r="B93" s="15" t="s">
        <v>68</v>
      </c>
      <c r="C93" s="15" t="s">
        <v>19</v>
      </c>
      <c r="D93" s="15" t="s">
        <v>13</v>
      </c>
      <c r="E93" s="15">
        <v>19</v>
      </c>
      <c r="F93" s="15">
        <v>9</v>
      </c>
      <c r="G93" s="15" t="s">
        <v>14</v>
      </c>
      <c r="H93" s="15" t="s">
        <v>40</v>
      </c>
      <c r="I93" s="15" t="s">
        <v>220</v>
      </c>
      <c r="J93" s="15">
        <v>63</v>
      </c>
      <c r="K93" s="59" t="str">
        <f t="shared" si="1"/>
        <v>Pass</v>
      </c>
    </row>
    <row r="94" spans="1:11" x14ac:dyDescent="0.3">
      <c r="A94" s="15" t="s">
        <v>221</v>
      </c>
      <c r="B94" s="15" t="s">
        <v>51</v>
      </c>
      <c r="C94" s="15" t="s">
        <v>55</v>
      </c>
      <c r="D94" s="15" t="s">
        <v>13</v>
      </c>
      <c r="E94" s="15">
        <v>14</v>
      </c>
      <c r="F94" s="15">
        <v>10</v>
      </c>
      <c r="G94" s="15" t="s">
        <v>43</v>
      </c>
      <c r="H94" s="15" t="s">
        <v>61</v>
      </c>
      <c r="I94" s="15" t="s">
        <v>222</v>
      </c>
      <c r="J94" s="15">
        <v>72</v>
      </c>
      <c r="K94" s="59" t="str">
        <f t="shared" si="1"/>
        <v>Pass</v>
      </c>
    </row>
    <row r="95" spans="1:11" x14ac:dyDescent="0.3">
      <c r="A95" s="15" t="s">
        <v>223</v>
      </c>
      <c r="B95" s="15" t="s">
        <v>68</v>
      </c>
      <c r="C95" s="15" t="s">
        <v>24</v>
      </c>
      <c r="D95" s="15" t="s">
        <v>13</v>
      </c>
      <c r="E95" s="15">
        <v>18</v>
      </c>
      <c r="F95" s="15">
        <v>11</v>
      </c>
      <c r="G95" s="15" t="s">
        <v>32</v>
      </c>
      <c r="H95" s="15" t="s">
        <v>40</v>
      </c>
      <c r="I95" s="15" t="s">
        <v>224</v>
      </c>
      <c r="J95" s="15">
        <v>87</v>
      </c>
      <c r="K95" s="59" t="str">
        <f t="shared" si="1"/>
        <v>Pass</v>
      </c>
    </row>
    <row r="96" spans="1:11" x14ac:dyDescent="0.3">
      <c r="A96" s="15" t="s">
        <v>225</v>
      </c>
      <c r="B96" s="15" t="s">
        <v>35</v>
      </c>
      <c r="C96" s="15" t="s">
        <v>85</v>
      </c>
      <c r="D96" s="15" t="s">
        <v>13</v>
      </c>
      <c r="E96" s="15">
        <v>20</v>
      </c>
      <c r="F96" s="15">
        <v>9</v>
      </c>
      <c r="G96" s="15" t="s">
        <v>14</v>
      </c>
      <c r="H96" s="15" t="s">
        <v>40</v>
      </c>
      <c r="I96" s="15" t="s">
        <v>226</v>
      </c>
      <c r="J96" s="15">
        <v>55</v>
      </c>
      <c r="K96" s="59" t="str">
        <f t="shared" si="1"/>
        <v>Pass</v>
      </c>
    </row>
    <row r="97" spans="1:11" x14ac:dyDescent="0.3">
      <c r="A97" s="15" t="s">
        <v>227</v>
      </c>
      <c r="B97" s="15" t="s">
        <v>68</v>
      </c>
      <c r="C97" s="15" t="s">
        <v>58</v>
      </c>
      <c r="D97" s="15" t="s">
        <v>13</v>
      </c>
      <c r="E97" s="15">
        <v>17</v>
      </c>
      <c r="F97" s="15">
        <v>12</v>
      </c>
      <c r="G97" s="15" t="s">
        <v>32</v>
      </c>
      <c r="H97" s="15" t="s">
        <v>26</v>
      </c>
      <c r="I97" s="15" t="s">
        <v>228</v>
      </c>
      <c r="J97" s="15">
        <v>37</v>
      </c>
      <c r="K97" s="59" t="str">
        <f t="shared" si="1"/>
        <v>Fail</v>
      </c>
    </row>
    <row r="98" spans="1:11" x14ac:dyDescent="0.3">
      <c r="A98" s="15" t="s">
        <v>229</v>
      </c>
      <c r="B98" s="15" t="s">
        <v>68</v>
      </c>
      <c r="C98" s="15" t="s">
        <v>24</v>
      </c>
      <c r="D98" s="15" t="s">
        <v>13</v>
      </c>
      <c r="E98" s="15">
        <v>17</v>
      </c>
      <c r="F98" s="15">
        <v>11</v>
      </c>
      <c r="G98" s="15" t="s">
        <v>43</v>
      </c>
      <c r="H98" s="15" t="s">
        <v>26</v>
      </c>
      <c r="I98" s="15" t="s">
        <v>230</v>
      </c>
      <c r="J98" s="15">
        <v>53</v>
      </c>
      <c r="K98" s="59" t="str">
        <f t="shared" si="1"/>
        <v>Pass</v>
      </c>
    </row>
    <row r="99" spans="1:11" x14ac:dyDescent="0.3">
      <c r="A99" s="15" t="s">
        <v>231</v>
      </c>
      <c r="B99" s="15" t="s">
        <v>23</v>
      </c>
      <c r="C99" s="15" t="s">
        <v>24</v>
      </c>
      <c r="D99" s="15" t="s">
        <v>31</v>
      </c>
      <c r="E99" s="15">
        <v>18</v>
      </c>
      <c r="F99" s="15">
        <v>9</v>
      </c>
      <c r="G99" s="15" t="s">
        <v>25</v>
      </c>
      <c r="H99" s="15" t="s">
        <v>61</v>
      </c>
      <c r="I99" s="15" t="s">
        <v>232</v>
      </c>
      <c r="J99" s="15">
        <v>88</v>
      </c>
      <c r="K99" s="59" t="str">
        <f t="shared" si="1"/>
        <v>Pass</v>
      </c>
    </row>
    <row r="100" spans="1:11" x14ac:dyDescent="0.3">
      <c r="A100" s="15" t="s">
        <v>233</v>
      </c>
      <c r="B100" s="15" t="s">
        <v>11</v>
      </c>
      <c r="C100" s="15" t="s">
        <v>55</v>
      </c>
      <c r="D100" s="15" t="s">
        <v>13</v>
      </c>
      <c r="E100" s="15">
        <v>14</v>
      </c>
      <c r="F100" s="15">
        <v>9</v>
      </c>
      <c r="G100" s="15" t="s">
        <v>25</v>
      </c>
      <c r="H100" s="15" t="s">
        <v>37</v>
      </c>
      <c r="I100" s="15" t="s">
        <v>234</v>
      </c>
      <c r="J100" s="15">
        <v>66</v>
      </c>
      <c r="K100" s="59" t="str">
        <f t="shared" si="1"/>
        <v>Pass</v>
      </c>
    </row>
    <row r="101" spans="1:11" x14ac:dyDescent="0.3">
      <c r="A101" s="15" t="s">
        <v>235</v>
      </c>
      <c r="B101" s="15" t="s">
        <v>11</v>
      </c>
      <c r="C101" s="15" t="s">
        <v>36</v>
      </c>
      <c r="D101" s="15" t="s">
        <v>31</v>
      </c>
      <c r="E101" s="15">
        <v>14</v>
      </c>
      <c r="F101" s="15">
        <v>12</v>
      </c>
      <c r="G101" s="15" t="s">
        <v>43</v>
      </c>
      <c r="H101" s="15" t="s">
        <v>40</v>
      </c>
      <c r="I101" s="15" t="s">
        <v>236</v>
      </c>
      <c r="J101" s="15">
        <v>65</v>
      </c>
      <c r="K101" s="59" t="str">
        <f t="shared" si="1"/>
        <v>Pass</v>
      </c>
    </row>
    <row r="102" spans="1:11" x14ac:dyDescent="0.3">
      <c r="A102" s="15" t="s">
        <v>237</v>
      </c>
      <c r="B102" s="15" t="s">
        <v>23</v>
      </c>
      <c r="C102" s="15" t="s">
        <v>24</v>
      </c>
      <c r="D102" s="15" t="s">
        <v>31</v>
      </c>
      <c r="E102" s="15">
        <v>16</v>
      </c>
      <c r="F102" s="15">
        <v>10</v>
      </c>
      <c r="G102" s="15" t="s">
        <v>43</v>
      </c>
      <c r="H102" s="15" t="s">
        <v>20</v>
      </c>
      <c r="I102" s="15" t="s">
        <v>238</v>
      </c>
      <c r="J102" s="15">
        <v>71</v>
      </c>
      <c r="K102" s="59" t="str">
        <f t="shared" si="1"/>
        <v>Pass</v>
      </c>
    </row>
    <row r="103" spans="1:11" x14ac:dyDescent="0.3">
      <c r="A103" s="15" t="s">
        <v>239</v>
      </c>
      <c r="B103" s="15" t="s">
        <v>68</v>
      </c>
      <c r="C103" s="15" t="s">
        <v>58</v>
      </c>
      <c r="D103" s="15" t="s">
        <v>13</v>
      </c>
      <c r="E103" s="15">
        <v>18</v>
      </c>
      <c r="F103" s="15">
        <v>11</v>
      </c>
      <c r="G103" s="15" t="s">
        <v>25</v>
      </c>
      <c r="H103" s="15" t="s">
        <v>15</v>
      </c>
      <c r="I103" s="15" t="s">
        <v>240</v>
      </c>
      <c r="J103" s="15">
        <v>48</v>
      </c>
      <c r="K103" s="59" t="str">
        <f t="shared" si="1"/>
        <v>Pass</v>
      </c>
    </row>
    <row r="104" spans="1:11" x14ac:dyDescent="0.3">
      <c r="A104" s="15" t="s">
        <v>241</v>
      </c>
      <c r="B104" s="15" t="s">
        <v>54</v>
      </c>
      <c r="C104" s="15" t="s">
        <v>85</v>
      </c>
      <c r="D104" s="15" t="s">
        <v>31</v>
      </c>
      <c r="E104" s="15">
        <v>15</v>
      </c>
      <c r="F104" s="15">
        <v>12</v>
      </c>
      <c r="G104" s="15" t="s">
        <v>14</v>
      </c>
      <c r="H104" s="15" t="s">
        <v>40</v>
      </c>
      <c r="I104" s="15" t="s">
        <v>242</v>
      </c>
      <c r="J104" s="15">
        <v>100</v>
      </c>
      <c r="K104" s="59" t="str">
        <f t="shared" si="1"/>
        <v>Pass</v>
      </c>
    </row>
    <row r="105" spans="1:11" x14ac:dyDescent="0.3">
      <c r="A105" s="15" t="s">
        <v>243</v>
      </c>
      <c r="B105" s="15" t="s">
        <v>23</v>
      </c>
      <c r="C105" s="15" t="s">
        <v>96</v>
      </c>
      <c r="D105" s="15" t="s">
        <v>31</v>
      </c>
      <c r="E105" s="15">
        <v>15</v>
      </c>
      <c r="F105" s="15">
        <v>11</v>
      </c>
      <c r="G105" s="15" t="s">
        <v>25</v>
      </c>
      <c r="H105" s="15" t="s">
        <v>61</v>
      </c>
      <c r="I105" s="15" t="s">
        <v>244</v>
      </c>
      <c r="J105" s="15">
        <v>72</v>
      </c>
      <c r="K105" s="59" t="str">
        <f t="shared" si="1"/>
        <v>Pass</v>
      </c>
    </row>
    <row r="106" spans="1:11" x14ac:dyDescent="0.3">
      <c r="A106" s="15" t="s">
        <v>245</v>
      </c>
      <c r="B106" s="15" t="s">
        <v>54</v>
      </c>
      <c r="C106" s="15" t="s">
        <v>19</v>
      </c>
      <c r="D106" s="15" t="s">
        <v>31</v>
      </c>
      <c r="E106" s="15">
        <v>18</v>
      </c>
      <c r="F106" s="15">
        <v>12</v>
      </c>
      <c r="G106" s="15" t="s">
        <v>32</v>
      </c>
      <c r="H106" s="15" t="s">
        <v>26</v>
      </c>
      <c r="I106" s="15" t="s">
        <v>246</v>
      </c>
      <c r="J106" s="15">
        <v>74</v>
      </c>
      <c r="K106" s="59" t="str">
        <f t="shared" si="1"/>
        <v>Pass</v>
      </c>
    </row>
    <row r="107" spans="1:11" x14ac:dyDescent="0.3">
      <c r="A107" s="15" t="s">
        <v>247</v>
      </c>
      <c r="B107" s="15" t="s">
        <v>29</v>
      </c>
      <c r="C107" s="15" t="s">
        <v>58</v>
      </c>
      <c r="D107" s="15" t="s">
        <v>31</v>
      </c>
      <c r="E107" s="15">
        <v>14</v>
      </c>
      <c r="F107" s="15">
        <v>12</v>
      </c>
      <c r="G107" s="15" t="s">
        <v>14</v>
      </c>
      <c r="H107" s="15" t="s">
        <v>40</v>
      </c>
      <c r="I107" s="15" t="s">
        <v>248</v>
      </c>
      <c r="J107" s="15">
        <v>66</v>
      </c>
      <c r="K107" s="59" t="str">
        <f t="shared" si="1"/>
        <v>Pass</v>
      </c>
    </row>
    <row r="108" spans="1:11" x14ac:dyDescent="0.3">
      <c r="A108" s="15" t="s">
        <v>249</v>
      </c>
      <c r="B108" s="15" t="s">
        <v>68</v>
      </c>
      <c r="C108" s="15" t="s">
        <v>30</v>
      </c>
      <c r="D108" s="15" t="s">
        <v>31</v>
      </c>
      <c r="E108" s="15">
        <v>16</v>
      </c>
      <c r="F108" s="15">
        <v>11</v>
      </c>
      <c r="G108" s="15" t="s">
        <v>32</v>
      </c>
      <c r="H108" s="15" t="s">
        <v>20</v>
      </c>
      <c r="I108" s="15" t="s">
        <v>250</v>
      </c>
      <c r="J108" s="15">
        <v>90</v>
      </c>
      <c r="K108" s="59" t="str">
        <f t="shared" si="1"/>
        <v>Pass</v>
      </c>
    </row>
    <row r="109" spans="1:11" x14ac:dyDescent="0.3">
      <c r="A109" s="15" t="s">
        <v>251</v>
      </c>
      <c r="B109" s="15" t="s">
        <v>23</v>
      </c>
      <c r="C109" s="15" t="s">
        <v>24</v>
      </c>
      <c r="D109" s="15" t="s">
        <v>13</v>
      </c>
      <c r="E109" s="15">
        <v>16</v>
      </c>
      <c r="F109" s="15">
        <v>12</v>
      </c>
      <c r="G109" s="15" t="s">
        <v>43</v>
      </c>
      <c r="H109" s="15" t="s">
        <v>40</v>
      </c>
      <c r="I109" s="15" t="s">
        <v>252</v>
      </c>
      <c r="J109" s="15">
        <v>50</v>
      </c>
      <c r="K109" s="59" t="str">
        <f t="shared" si="1"/>
        <v>Pass</v>
      </c>
    </row>
    <row r="110" spans="1:11" x14ac:dyDescent="0.3">
      <c r="A110" s="15" t="s">
        <v>253</v>
      </c>
      <c r="B110" s="15" t="s">
        <v>18</v>
      </c>
      <c r="C110" s="15" t="s">
        <v>24</v>
      </c>
      <c r="D110" s="15" t="s">
        <v>13</v>
      </c>
      <c r="E110" s="15">
        <v>15</v>
      </c>
      <c r="F110" s="15">
        <v>9</v>
      </c>
      <c r="G110" s="15" t="s">
        <v>25</v>
      </c>
      <c r="H110" s="15" t="s">
        <v>20</v>
      </c>
      <c r="I110" s="15" t="s">
        <v>254</v>
      </c>
      <c r="J110" s="15">
        <v>36</v>
      </c>
      <c r="K110" s="59" t="str">
        <f t="shared" si="1"/>
        <v>Fail</v>
      </c>
    </row>
    <row r="111" spans="1:11" x14ac:dyDescent="0.3">
      <c r="A111" s="15" t="s">
        <v>255</v>
      </c>
      <c r="B111" s="15" t="s">
        <v>51</v>
      </c>
      <c r="C111" s="15" t="s">
        <v>79</v>
      </c>
      <c r="D111" s="15" t="s">
        <v>31</v>
      </c>
      <c r="E111" s="15">
        <v>20</v>
      </c>
      <c r="F111" s="15">
        <v>12</v>
      </c>
      <c r="G111" s="15" t="s">
        <v>43</v>
      </c>
      <c r="H111" s="15" t="s">
        <v>40</v>
      </c>
      <c r="I111" s="15" t="s">
        <v>256</v>
      </c>
      <c r="J111" s="15">
        <v>48</v>
      </c>
      <c r="K111" s="59" t="str">
        <f t="shared" si="1"/>
        <v>Pass</v>
      </c>
    </row>
    <row r="112" spans="1:11" x14ac:dyDescent="0.3">
      <c r="A112" s="15" t="s">
        <v>257</v>
      </c>
      <c r="B112" s="15" t="s">
        <v>68</v>
      </c>
      <c r="C112" s="15" t="s">
        <v>79</v>
      </c>
      <c r="D112" s="15" t="s">
        <v>31</v>
      </c>
      <c r="E112" s="15">
        <v>20</v>
      </c>
      <c r="F112" s="15">
        <v>11</v>
      </c>
      <c r="G112" s="15" t="s">
        <v>43</v>
      </c>
      <c r="H112" s="15" t="s">
        <v>46</v>
      </c>
      <c r="I112" s="15" t="s">
        <v>258</v>
      </c>
      <c r="J112" s="15">
        <v>52</v>
      </c>
      <c r="K112" s="59" t="str">
        <f t="shared" si="1"/>
        <v>Pass</v>
      </c>
    </row>
    <row r="113" spans="1:11" x14ac:dyDescent="0.3">
      <c r="A113" s="15" t="s">
        <v>259</v>
      </c>
      <c r="B113" s="15" t="s">
        <v>54</v>
      </c>
      <c r="C113" s="15" t="s">
        <v>85</v>
      </c>
      <c r="D113" s="15" t="s">
        <v>13</v>
      </c>
      <c r="E113" s="15">
        <v>14</v>
      </c>
      <c r="F113" s="15">
        <v>11</v>
      </c>
      <c r="G113" s="15" t="s">
        <v>43</v>
      </c>
      <c r="H113" s="15" t="s">
        <v>46</v>
      </c>
      <c r="I113" s="15" t="s">
        <v>260</v>
      </c>
      <c r="J113" s="15">
        <v>62</v>
      </c>
      <c r="K113" s="59" t="str">
        <f t="shared" si="1"/>
        <v>Pass</v>
      </c>
    </row>
    <row r="114" spans="1:11" x14ac:dyDescent="0.3">
      <c r="A114" s="15" t="s">
        <v>261</v>
      </c>
      <c r="B114" s="15" t="s">
        <v>23</v>
      </c>
      <c r="C114" s="15" t="s">
        <v>36</v>
      </c>
      <c r="D114" s="15" t="s">
        <v>13</v>
      </c>
      <c r="E114" s="15">
        <v>15</v>
      </c>
      <c r="F114" s="15">
        <v>11</v>
      </c>
      <c r="G114" s="15" t="s">
        <v>25</v>
      </c>
      <c r="H114" s="15" t="s">
        <v>26</v>
      </c>
      <c r="I114" s="15" t="s">
        <v>262</v>
      </c>
      <c r="J114" s="15">
        <v>63</v>
      </c>
      <c r="K114" s="59" t="str">
        <f t="shared" si="1"/>
        <v>Pass</v>
      </c>
    </row>
    <row r="115" spans="1:11" x14ac:dyDescent="0.3">
      <c r="A115" s="15" t="s">
        <v>263</v>
      </c>
      <c r="B115" s="15" t="s">
        <v>29</v>
      </c>
      <c r="C115" s="15" t="s">
        <v>19</v>
      </c>
      <c r="D115" s="15" t="s">
        <v>13</v>
      </c>
      <c r="E115" s="15">
        <v>15</v>
      </c>
      <c r="F115" s="15">
        <v>11</v>
      </c>
      <c r="G115" s="15" t="s">
        <v>25</v>
      </c>
      <c r="H115" s="15" t="s">
        <v>46</v>
      </c>
      <c r="I115" s="15" t="s">
        <v>264</v>
      </c>
      <c r="J115" s="15">
        <v>58</v>
      </c>
      <c r="K115" s="59" t="str">
        <f t="shared" si="1"/>
        <v>Pass</v>
      </c>
    </row>
    <row r="116" spans="1:11" x14ac:dyDescent="0.3">
      <c r="A116" s="15" t="s">
        <v>265</v>
      </c>
      <c r="B116" s="15" t="s">
        <v>11</v>
      </c>
      <c r="C116" s="15" t="s">
        <v>85</v>
      </c>
      <c r="D116" s="15" t="s">
        <v>31</v>
      </c>
      <c r="E116" s="15">
        <v>14</v>
      </c>
      <c r="F116" s="15">
        <v>9</v>
      </c>
      <c r="G116" s="15" t="s">
        <v>43</v>
      </c>
      <c r="H116" s="15" t="s">
        <v>61</v>
      </c>
      <c r="I116" s="15" t="s">
        <v>56</v>
      </c>
      <c r="J116" s="15">
        <v>41</v>
      </c>
      <c r="K116" s="59" t="str">
        <f t="shared" si="1"/>
        <v>Pass</v>
      </c>
    </row>
    <row r="117" spans="1:11" x14ac:dyDescent="0.3">
      <c r="A117" s="15" t="s">
        <v>266</v>
      </c>
      <c r="B117" s="15" t="s">
        <v>54</v>
      </c>
      <c r="C117" s="15" t="s">
        <v>58</v>
      </c>
      <c r="D117" s="15" t="s">
        <v>13</v>
      </c>
      <c r="E117" s="15">
        <v>19</v>
      </c>
      <c r="F117" s="15">
        <v>11</v>
      </c>
      <c r="G117" s="15" t="s">
        <v>14</v>
      </c>
      <c r="H117" s="15" t="s">
        <v>40</v>
      </c>
      <c r="I117" s="15" t="s">
        <v>267</v>
      </c>
      <c r="J117" s="15">
        <v>41</v>
      </c>
      <c r="K117" s="59" t="str">
        <f t="shared" si="1"/>
        <v>Pass</v>
      </c>
    </row>
    <row r="118" spans="1:11" x14ac:dyDescent="0.3">
      <c r="A118" s="15" t="s">
        <v>268</v>
      </c>
      <c r="B118" s="15" t="s">
        <v>68</v>
      </c>
      <c r="C118" s="15" t="s">
        <v>24</v>
      </c>
      <c r="D118" s="15" t="s">
        <v>31</v>
      </c>
      <c r="E118" s="15">
        <v>16</v>
      </c>
      <c r="F118" s="15">
        <v>12</v>
      </c>
      <c r="G118" s="15" t="s">
        <v>43</v>
      </c>
      <c r="H118" s="15" t="s">
        <v>26</v>
      </c>
      <c r="I118" s="15" t="s">
        <v>269</v>
      </c>
      <c r="J118" s="15">
        <v>47</v>
      </c>
      <c r="K118" s="59" t="str">
        <f t="shared" si="1"/>
        <v>Pass</v>
      </c>
    </row>
    <row r="119" spans="1:11" x14ac:dyDescent="0.3">
      <c r="A119" s="15" t="s">
        <v>270</v>
      </c>
      <c r="B119" s="15" t="s">
        <v>73</v>
      </c>
      <c r="C119" s="15" t="s">
        <v>30</v>
      </c>
      <c r="D119" s="15" t="s">
        <v>31</v>
      </c>
      <c r="E119" s="15">
        <v>15</v>
      </c>
      <c r="F119" s="15">
        <v>9</v>
      </c>
      <c r="G119" s="15" t="s">
        <v>43</v>
      </c>
      <c r="H119" s="15" t="s">
        <v>26</v>
      </c>
      <c r="I119" s="15" t="s">
        <v>271</v>
      </c>
      <c r="J119" s="15">
        <v>76</v>
      </c>
      <c r="K119" s="59" t="str">
        <f t="shared" si="1"/>
        <v>Pass</v>
      </c>
    </row>
    <row r="120" spans="1:11" x14ac:dyDescent="0.3">
      <c r="A120" s="15" t="s">
        <v>272</v>
      </c>
      <c r="B120" s="15" t="s">
        <v>54</v>
      </c>
      <c r="C120" s="15" t="s">
        <v>24</v>
      </c>
      <c r="D120" s="15" t="s">
        <v>13</v>
      </c>
      <c r="E120" s="15">
        <v>15</v>
      </c>
      <c r="F120" s="15">
        <v>9</v>
      </c>
      <c r="G120" s="15" t="s">
        <v>43</v>
      </c>
      <c r="H120" s="15" t="s">
        <v>20</v>
      </c>
      <c r="I120" s="15" t="s">
        <v>273</v>
      </c>
      <c r="J120" s="15">
        <v>50</v>
      </c>
      <c r="K120" s="59" t="str">
        <f t="shared" si="1"/>
        <v>Pass</v>
      </c>
    </row>
    <row r="121" spans="1:11" x14ac:dyDescent="0.3">
      <c r="A121" s="15" t="s">
        <v>274</v>
      </c>
      <c r="B121" s="15" t="s">
        <v>35</v>
      </c>
      <c r="C121" s="15" t="s">
        <v>36</v>
      </c>
      <c r="D121" s="15" t="s">
        <v>13</v>
      </c>
      <c r="E121" s="15">
        <v>19</v>
      </c>
      <c r="F121" s="15">
        <v>9</v>
      </c>
      <c r="G121" s="15" t="s">
        <v>32</v>
      </c>
      <c r="H121" s="15" t="s">
        <v>61</v>
      </c>
      <c r="I121" s="15" t="s">
        <v>275</v>
      </c>
      <c r="J121" s="15">
        <v>63</v>
      </c>
      <c r="K121" s="59" t="str">
        <f t="shared" si="1"/>
        <v>Pass</v>
      </c>
    </row>
    <row r="122" spans="1:11" x14ac:dyDescent="0.3">
      <c r="A122" s="15" t="s">
        <v>276</v>
      </c>
      <c r="B122" s="15" t="s">
        <v>84</v>
      </c>
      <c r="C122" s="15" t="s">
        <v>30</v>
      </c>
      <c r="D122" s="15" t="s">
        <v>31</v>
      </c>
      <c r="E122" s="15">
        <v>14</v>
      </c>
      <c r="F122" s="15">
        <v>12</v>
      </c>
      <c r="G122" s="15" t="s">
        <v>14</v>
      </c>
      <c r="H122" s="15" t="s">
        <v>26</v>
      </c>
      <c r="I122" s="15" t="s">
        <v>277</v>
      </c>
      <c r="J122" s="15">
        <v>62</v>
      </c>
      <c r="K122" s="59" t="str">
        <f t="shared" si="1"/>
        <v>Pass</v>
      </c>
    </row>
    <row r="123" spans="1:11" x14ac:dyDescent="0.3">
      <c r="A123" s="15" t="s">
        <v>278</v>
      </c>
      <c r="B123" s="15" t="s">
        <v>73</v>
      </c>
      <c r="C123" s="15" t="s">
        <v>36</v>
      </c>
      <c r="D123" s="15" t="s">
        <v>13</v>
      </c>
      <c r="E123" s="15">
        <v>14</v>
      </c>
      <c r="F123" s="15">
        <v>11</v>
      </c>
      <c r="G123" s="15" t="s">
        <v>32</v>
      </c>
      <c r="H123" s="15" t="s">
        <v>37</v>
      </c>
      <c r="I123" s="15" t="s">
        <v>279</v>
      </c>
      <c r="J123" s="15">
        <v>51</v>
      </c>
      <c r="K123" s="59" t="str">
        <f t="shared" si="1"/>
        <v>Pass</v>
      </c>
    </row>
    <row r="124" spans="1:11" x14ac:dyDescent="0.3">
      <c r="A124" s="15" t="s">
        <v>280</v>
      </c>
      <c r="B124" s="15" t="s">
        <v>84</v>
      </c>
      <c r="C124" s="15" t="s">
        <v>58</v>
      </c>
      <c r="D124" s="15" t="s">
        <v>13</v>
      </c>
      <c r="E124" s="15">
        <v>18</v>
      </c>
      <c r="F124" s="15">
        <v>12</v>
      </c>
      <c r="G124" s="15" t="s">
        <v>32</v>
      </c>
      <c r="H124" s="15" t="s">
        <v>76</v>
      </c>
      <c r="I124" s="15" t="s">
        <v>159</v>
      </c>
      <c r="J124" s="15">
        <v>98</v>
      </c>
      <c r="K124" s="59" t="str">
        <f t="shared" si="1"/>
        <v>Pass</v>
      </c>
    </row>
    <row r="125" spans="1:11" x14ac:dyDescent="0.3">
      <c r="A125" s="15" t="s">
        <v>281</v>
      </c>
      <c r="B125" s="15" t="s">
        <v>51</v>
      </c>
      <c r="C125" s="15" t="s">
        <v>36</v>
      </c>
      <c r="D125" s="15" t="s">
        <v>31</v>
      </c>
      <c r="E125" s="15">
        <v>15</v>
      </c>
      <c r="F125" s="15">
        <v>11</v>
      </c>
      <c r="G125" s="15" t="s">
        <v>43</v>
      </c>
      <c r="H125" s="15" t="s">
        <v>37</v>
      </c>
      <c r="I125" s="15" t="s">
        <v>282</v>
      </c>
      <c r="J125" s="15">
        <v>66</v>
      </c>
      <c r="K125" s="59" t="str">
        <f t="shared" si="1"/>
        <v>Pass</v>
      </c>
    </row>
    <row r="126" spans="1:11" x14ac:dyDescent="0.3">
      <c r="A126" s="15" t="s">
        <v>283</v>
      </c>
      <c r="B126" s="15" t="s">
        <v>68</v>
      </c>
      <c r="C126" s="15" t="s">
        <v>79</v>
      </c>
      <c r="D126" s="15" t="s">
        <v>31</v>
      </c>
      <c r="E126" s="15">
        <v>16</v>
      </c>
      <c r="F126" s="15">
        <v>11</v>
      </c>
      <c r="G126" s="15" t="s">
        <v>32</v>
      </c>
      <c r="H126" s="15" t="s">
        <v>40</v>
      </c>
      <c r="I126" s="15" t="s">
        <v>284</v>
      </c>
      <c r="J126" s="15">
        <v>95</v>
      </c>
      <c r="K126" s="59" t="str">
        <f t="shared" si="1"/>
        <v>Pass</v>
      </c>
    </row>
    <row r="127" spans="1:11" x14ac:dyDescent="0.3">
      <c r="A127" s="15" t="s">
        <v>285</v>
      </c>
      <c r="B127" s="15" t="s">
        <v>18</v>
      </c>
      <c r="C127" s="15" t="s">
        <v>36</v>
      </c>
      <c r="D127" s="15" t="s">
        <v>31</v>
      </c>
      <c r="E127" s="15">
        <v>14</v>
      </c>
      <c r="F127" s="15">
        <v>11</v>
      </c>
      <c r="G127" s="15" t="s">
        <v>25</v>
      </c>
      <c r="H127" s="15" t="s">
        <v>46</v>
      </c>
      <c r="I127" s="15" t="s">
        <v>286</v>
      </c>
      <c r="J127" s="15">
        <v>64</v>
      </c>
      <c r="K127" s="59" t="str">
        <f t="shared" si="1"/>
        <v>Pass</v>
      </c>
    </row>
    <row r="128" spans="1:11" x14ac:dyDescent="0.3">
      <c r="A128" s="15" t="s">
        <v>287</v>
      </c>
      <c r="B128" s="15" t="s">
        <v>54</v>
      </c>
      <c r="C128" s="15" t="s">
        <v>24</v>
      </c>
      <c r="D128" s="15" t="s">
        <v>31</v>
      </c>
      <c r="E128" s="15">
        <v>14</v>
      </c>
      <c r="F128" s="15">
        <v>12</v>
      </c>
      <c r="G128" s="15" t="s">
        <v>32</v>
      </c>
      <c r="H128" s="15" t="s">
        <v>76</v>
      </c>
      <c r="I128" s="15" t="s">
        <v>288</v>
      </c>
      <c r="J128" s="15">
        <v>48</v>
      </c>
      <c r="K128" s="59" t="str">
        <f t="shared" si="1"/>
        <v>Pass</v>
      </c>
    </row>
    <row r="129" spans="1:11" x14ac:dyDescent="0.3">
      <c r="A129" s="15" t="s">
        <v>289</v>
      </c>
      <c r="B129" s="15" t="s">
        <v>23</v>
      </c>
      <c r="C129" s="15" t="s">
        <v>79</v>
      </c>
      <c r="D129" s="15" t="s">
        <v>31</v>
      </c>
      <c r="E129" s="15">
        <v>17</v>
      </c>
      <c r="F129" s="15">
        <v>9</v>
      </c>
      <c r="G129" s="15" t="s">
        <v>25</v>
      </c>
      <c r="H129" s="15" t="s">
        <v>37</v>
      </c>
      <c r="I129" s="15" t="s">
        <v>290</v>
      </c>
      <c r="J129" s="15">
        <v>62</v>
      </c>
      <c r="K129" s="59" t="str">
        <f t="shared" si="1"/>
        <v>Pass</v>
      </c>
    </row>
    <row r="130" spans="1:11" x14ac:dyDescent="0.3">
      <c r="A130" s="15" t="s">
        <v>291</v>
      </c>
      <c r="B130" s="15" t="s">
        <v>11</v>
      </c>
      <c r="C130" s="15" t="s">
        <v>30</v>
      </c>
      <c r="D130" s="15" t="s">
        <v>31</v>
      </c>
      <c r="E130" s="15">
        <v>16</v>
      </c>
      <c r="F130" s="15">
        <v>9</v>
      </c>
      <c r="G130" s="15" t="s">
        <v>25</v>
      </c>
      <c r="H130" s="15" t="s">
        <v>61</v>
      </c>
      <c r="I130" s="15" t="s">
        <v>292</v>
      </c>
      <c r="J130" s="15">
        <v>97</v>
      </c>
      <c r="K130" s="59" t="str">
        <f t="shared" si="1"/>
        <v>Pass</v>
      </c>
    </row>
    <row r="131" spans="1:11" x14ac:dyDescent="0.3">
      <c r="A131" s="15" t="s">
        <v>293</v>
      </c>
      <c r="B131" s="15" t="s">
        <v>73</v>
      </c>
      <c r="C131" s="15" t="s">
        <v>96</v>
      </c>
      <c r="D131" s="15" t="s">
        <v>31</v>
      </c>
      <c r="E131" s="15">
        <v>20</v>
      </c>
      <c r="F131" s="15">
        <v>9</v>
      </c>
      <c r="G131" s="15" t="s">
        <v>43</v>
      </c>
      <c r="H131" s="15" t="s">
        <v>26</v>
      </c>
      <c r="I131" s="15" t="s">
        <v>74</v>
      </c>
      <c r="J131" s="15">
        <v>100</v>
      </c>
      <c r="K131" s="59" t="str">
        <f t="shared" si="1"/>
        <v>Pass</v>
      </c>
    </row>
    <row r="132" spans="1:11" x14ac:dyDescent="0.3">
      <c r="A132" s="15" t="s">
        <v>294</v>
      </c>
      <c r="B132" s="15" t="s">
        <v>35</v>
      </c>
      <c r="C132" s="15" t="s">
        <v>55</v>
      </c>
      <c r="D132" s="15" t="s">
        <v>13</v>
      </c>
      <c r="E132" s="15">
        <v>20</v>
      </c>
      <c r="F132" s="15">
        <v>9</v>
      </c>
      <c r="G132" s="15" t="s">
        <v>25</v>
      </c>
      <c r="H132" s="15" t="s">
        <v>46</v>
      </c>
      <c r="I132" s="15" t="s">
        <v>295</v>
      </c>
      <c r="J132" s="15">
        <v>99</v>
      </c>
      <c r="K132" s="59" t="str">
        <f t="shared" si="1"/>
        <v>Pass</v>
      </c>
    </row>
    <row r="133" spans="1:11" x14ac:dyDescent="0.3">
      <c r="A133" s="15" t="s">
        <v>296</v>
      </c>
      <c r="B133" s="15" t="s">
        <v>84</v>
      </c>
      <c r="C133" s="15" t="s">
        <v>19</v>
      </c>
      <c r="D133" s="15" t="s">
        <v>31</v>
      </c>
      <c r="E133" s="15">
        <v>20</v>
      </c>
      <c r="F133" s="15">
        <v>10</v>
      </c>
      <c r="G133" s="15" t="s">
        <v>43</v>
      </c>
      <c r="H133" s="15" t="s">
        <v>20</v>
      </c>
      <c r="I133" s="15" t="s">
        <v>297</v>
      </c>
      <c r="J133" s="15">
        <v>100</v>
      </c>
      <c r="K133" s="59" t="str">
        <f t="shared" ref="K133:K196" si="2">IF(J133&gt;=40,"Pass","Fail")</f>
        <v>Pass</v>
      </c>
    </row>
    <row r="134" spans="1:11" x14ac:dyDescent="0.3">
      <c r="A134" s="15" t="s">
        <v>298</v>
      </c>
      <c r="B134" s="15" t="s">
        <v>29</v>
      </c>
      <c r="C134" s="15" t="s">
        <v>96</v>
      </c>
      <c r="D134" s="15" t="s">
        <v>31</v>
      </c>
      <c r="E134" s="15">
        <v>20</v>
      </c>
      <c r="F134" s="15">
        <v>10</v>
      </c>
      <c r="G134" s="15" t="s">
        <v>32</v>
      </c>
      <c r="H134" s="15" t="s">
        <v>26</v>
      </c>
      <c r="I134" s="15" t="s">
        <v>299</v>
      </c>
      <c r="J134" s="15">
        <v>56</v>
      </c>
      <c r="K134" s="59" t="str">
        <f t="shared" si="2"/>
        <v>Pass</v>
      </c>
    </row>
    <row r="135" spans="1:11" x14ac:dyDescent="0.3">
      <c r="A135" s="15" t="s">
        <v>300</v>
      </c>
      <c r="B135" s="15" t="s">
        <v>11</v>
      </c>
      <c r="C135" s="15" t="s">
        <v>79</v>
      </c>
      <c r="D135" s="15" t="s">
        <v>31</v>
      </c>
      <c r="E135" s="15">
        <v>18</v>
      </c>
      <c r="F135" s="15">
        <v>9</v>
      </c>
      <c r="G135" s="15" t="s">
        <v>14</v>
      </c>
      <c r="H135" s="15" t="s">
        <v>20</v>
      </c>
      <c r="I135" s="15" t="s">
        <v>301</v>
      </c>
      <c r="J135" s="15">
        <v>66</v>
      </c>
      <c r="K135" s="59" t="str">
        <f t="shared" si="2"/>
        <v>Pass</v>
      </c>
    </row>
    <row r="136" spans="1:11" x14ac:dyDescent="0.3">
      <c r="A136" s="15" t="s">
        <v>302</v>
      </c>
      <c r="B136" s="15" t="s">
        <v>29</v>
      </c>
      <c r="C136" s="15" t="s">
        <v>79</v>
      </c>
      <c r="D136" s="15" t="s">
        <v>13</v>
      </c>
      <c r="E136" s="15">
        <v>14</v>
      </c>
      <c r="F136" s="15">
        <v>12</v>
      </c>
      <c r="G136" s="15" t="s">
        <v>14</v>
      </c>
      <c r="H136" s="15" t="s">
        <v>20</v>
      </c>
      <c r="I136" s="15" t="s">
        <v>303</v>
      </c>
      <c r="J136" s="15">
        <v>66</v>
      </c>
      <c r="K136" s="59" t="str">
        <f t="shared" si="2"/>
        <v>Pass</v>
      </c>
    </row>
    <row r="137" spans="1:11" x14ac:dyDescent="0.3">
      <c r="A137" s="15" t="s">
        <v>304</v>
      </c>
      <c r="B137" s="15" t="s">
        <v>51</v>
      </c>
      <c r="C137" s="15" t="s">
        <v>36</v>
      </c>
      <c r="D137" s="15" t="s">
        <v>31</v>
      </c>
      <c r="E137" s="15">
        <v>15</v>
      </c>
      <c r="F137" s="15">
        <v>12</v>
      </c>
      <c r="G137" s="15" t="s">
        <v>32</v>
      </c>
      <c r="H137" s="15" t="s">
        <v>46</v>
      </c>
      <c r="I137" s="15" t="s">
        <v>305</v>
      </c>
      <c r="J137" s="15">
        <v>77</v>
      </c>
      <c r="K137" s="59" t="str">
        <f t="shared" si="2"/>
        <v>Pass</v>
      </c>
    </row>
    <row r="138" spans="1:11" x14ac:dyDescent="0.3">
      <c r="A138" s="15" t="s">
        <v>306</v>
      </c>
      <c r="B138" s="15" t="s">
        <v>23</v>
      </c>
      <c r="C138" s="15" t="s">
        <v>19</v>
      </c>
      <c r="D138" s="15" t="s">
        <v>31</v>
      </c>
      <c r="E138" s="15">
        <v>16</v>
      </c>
      <c r="F138" s="15">
        <v>10</v>
      </c>
      <c r="G138" s="15" t="s">
        <v>43</v>
      </c>
      <c r="H138" s="15" t="s">
        <v>61</v>
      </c>
      <c r="I138" s="15" t="s">
        <v>307</v>
      </c>
      <c r="J138" s="15">
        <v>47</v>
      </c>
      <c r="K138" s="59" t="str">
        <f t="shared" si="2"/>
        <v>Pass</v>
      </c>
    </row>
    <row r="139" spans="1:11" x14ac:dyDescent="0.3">
      <c r="A139" s="15" t="s">
        <v>308</v>
      </c>
      <c r="B139" s="15" t="s">
        <v>23</v>
      </c>
      <c r="C139" s="15" t="s">
        <v>36</v>
      </c>
      <c r="D139" s="15" t="s">
        <v>13</v>
      </c>
      <c r="E139" s="15">
        <v>18</v>
      </c>
      <c r="F139" s="15">
        <v>10</v>
      </c>
      <c r="G139" s="15" t="s">
        <v>43</v>
      </c>
      <c r="H139" s="15" t="s">
        <v>40</v>
      </c>
      <c r="I139" s="15" t="s">
        <v>309</v>
      </c>
      <c r="J139" s="15">
        <v>57</v>
      </c>
      <c r="K139" s="59" t="str">
        <f t="shared" si="2"/>
        <v>Pass</v>
      </c>
    </row>
    <row r="140" spans="1:11" x14ac:dyDescent="0.3">
      <c r="A140" s="15" t="s">
        <v>310</v>
      </c>
      <c r="B140" s="15" t="s">
        <v>29</v>
      </c>
      <c r="C140" s="15" t="s">
        <v>96</v>
      </c>
      <c r="D140" s="15" t="s">
        <v>31</v>
      </c>
      <c r="E140" s="15">
        <v>16</v>
      </c>
      <c r="F140" s="15">
        <v>9</v>
      </c>
      <c r="G140" s="15" t="s">
        <v>32</v>
      </c>
      <c r="H140" s="15" t="s">
        <v>46</v>
      </c>
      <c r="I140" s="15" t="s">
        <v>311</v>
      </c>
      <c r="J140" s="15">
        <v>67</v>
      </c>
      <c r="K140" s="59" t="str">
        <f t="shared" si="2"/>
        <v>Pass</v>
      </c>
    </row>
    <row r="141" spans="1:11" x14ac:dyDescent="0.3">
      <c r="A141" s="15" t="s">
        <v>312</v>
      </c>
      <c r="B141" s="15" t="s">
        <v>29</v>
      </c>
      <c r="C141" s="15" t="s">
        <v>12</v>
      </c>
      <c r="D141" s="15" t="s">
        <v>31</v>
      </c>
      <c r="E141" s="15">
        <v>14</v>
      </c>
      <c r="F141" s="15">
        <v>12</v>
      </c>
      <c r="G141" s="15" t="s">
        <v>43</v>
      </c>
      <c r="H141" s="15" t="s">
        <v>61</v>
      </c>
      <c r="I141" s="15" t="s">
        <v>313</v>
      </c>
      <c r="J141" s="15">
        <v>44</v>
      </c>
      <c r="K141" s="59" t="str">
        <f t="shared" si="2"/>
        <v>Pass</v>
      </c>
    </row>
    <row r="142" spans="1:11" x14ac:dyDescent="0.3">
      <c r="A142" s="15" t="s">
        <v>314</v>
      </c>
      <c r="B142" s="15" t="s">
        <v>68</v>
      </c>
      <c r="C142" s="15" t="s">
        <v>79</v>
      </c>
      <c r="D142" s="15" t="s">
        <v>13</v>
      </c>
      <c r="E142" s="15">
        <v>15</v>
      </c>
      <c r="F142" s="15">
        <v>11</v>
      </c>
      <c r="G142" s="15" t="s">
        <v>14</v>
      </c>
      <c r="H142" s="15" t="s">
        <v>46</v>
      </c>
      <c r="I142" s="15" t="s">
        <v>315</v>
      </c>
      <c r="J142" s="15">
        <v>35</v>
      </c>
      <c r="K142" s="59" t="str">
        <f t="shared" si="2"/>
        <v>Fail</v>
      </c>
    </row>
    <row r="143" spans="1:11" x14ac:dyDescent="0.3">
      <c r="A143" s="15" t="s">
        <v>316</v>
      </c>
      <c r="B143" s="15" t="s">
        <v>23</v>
      </c>
      <c r="C143" s="15" t="s">
        <v>36</v>
      </c>
      <c r="D143" s="15" t="s">
        <v>31</v>
      </c>
      <c r="E143" s="15">
        <v>20</v>
      </c>
      <c r="F143" s="15">
        <v>11</v>
      </c>
      <c r="G143" s="15" t="s">
        <v>14</v>
      </c>
      <c r="H143" s="15" t="s">
        <v>37</v>
      </c>
      <c r="I143" s="15" t="s">
        <v>317</v>
      </c>
      <c r="J143" s="15">
        <v>52</v>
      </c>
      <c r="K143" s="59" t="str">
        <f t="shared" si="2"/>
        <v>Pass</v>
      </c>
    </row>
    <row r="144" spans="1:11" x14ac:dyDescent="0.3">
      <c r="A144" s="15" t="s">
        <v>318</v>
      </c>
      <c r="B144" s="15" t="s">
        <v>54</v>
      </c>
      <c r="C144" s="15" t="s">
        <v>96</v>
      </c>
      <c r="D144" s="15" t="s">
        <v>13</v>
      </c>
      <c r="E144" s="15">
        <v>18</v>
      </c>
      <c r="F144" s="15">
        <v>9</v>
      </c>
      <c r="G144" s="15" t="s">
        <v>32</v>
      </c>
      <c r="H144" s="15" t="s">
        <v>76</v>
      </c>
      <c r="I144" s="15" t="s">
        <v>319</v>
      </c>
      <c r="J144" s="15">
        <v>86</v>
      </c>
      <c r="K144" s="59" t="str">
        <f t="shared" si="2"/>
        <v>Pass</v>
      </c>
    </row>
    <row r="145" spans="1:11" x14ac:dyDescent="0.3">
      <c r="A145" s="15" t="s">
        <v>320</v>
      </c>
      <c r="B145" s="15" t="s">
        <v>84</v>
      </c>
      <c r="C145" s="15" t="s">
        <v>55</v>
      </c>
      <c r="D145" s="15" t="s">
        <v>31</v>
      </c>
      <c r="E145" s="15">
        <v>16</v>
      </c>
      <c r="F145" s="15">
        <v>12</v>
      </c>
      <c r="G145" s="15" t="s">
        <v>32</v>
      </c>
      <c r="H145" s="15" t="s">
        <v>76</v>
      </c>
      <c r="I145" s="15" t="s">
        <v>321</v>
      </c>
      <c r="J145" s="15">
        <v>66</v>
      </c>
      <c r="K145" s="59" t="str">
        <f t="shared" si="2"/>
        <v>Pass</v>
      </c>
    </row>
    <row r="146" spans="1:11" x14ac:dyDescent="0.3">
      <c r="A146" s="15" t="s">
        <v>322</v>
      </c>
      <c r="B146" s="15" t="s">
        <v>35</v>
      </c>
      <c r="C146" s="15" t="s">
        <v>12</v>
      </c>
      <c r="D146" s="15" t="s">
        <v>13</v>
      </c>
      <c r="E146" s="15">
        <v>14</v>
      </c>
      <c r="F146" s="15">
        <v>11</v>
      </c>
      <c r="G146" s="15" t="s">
        <v>14</v>
      </c>
      <c r="H146" s="15" t="s">
        <v>26</v>
      </c>
      <c r="I146" s="15" t="s">
        <v>323</v>
      </c>
      <c r="J146" s="15">
        <v>93</v>
      </c>
      <c r="K146" s="59" t="str">
        <f t="shared" si="2"/>
        <v>Pass</v>
      </c>
    </row>
    <row r="147" spans="1:11" x14ac:dyDescent="0.3">
      <c r="A147" s="15" t="s">
        <v>324</v>
      </c>
      <c r="B147" s="15" t="s">
        <v>23</v>
      </c>
      <c r="C147" s="15" t="s">
        <v>85</v>
      </c>
      <c r="D147" s="15" t="s">
        <v>31</v>
      </c>
      <c r="E147" s="15">
        <v>16</v>
      </c>
      <c r="F147" s="15">
        <v>9</v>
      </c>
      <c r="G147" s="15" t="s">
        <v>32</v>
      </c>
      <c r="H147" s="15" t="s">
        <v>61</v>
      </c>
      <c r="I147" s="15" t="s">
        <v>325</v>
      </c>
      <c r="J147" s="15">
        <v>54</v>
      </c>
      <c r="K147" s="59" t="str">
        <f t="shared" si="2"/>
        <v>Pass</v>
      </c>
    </row>
    <row r="148" spans="1:11" x14ac:dyDescent="0.3">
      <c r="A148" s="15" t="s">
        <v>326</v>
      </c>
      <c r="B148" s="15" t="s">
        <v>54</v>
      </c>
      <c r="C148" s="15" t="s">
        <v>55</v>
      </c>
      <c r="D148" s="15" t="s">
        <v>13</v>
      </c>
      <c r="E148" s="15">
        <v>20</v>
      </c>
      <c r="F148" s="15">
        <v>9</v>
      </c>
      <c r="G148" s="15" t="s">
        <v>32</v>
      </c>
      <c r="H148" s="15" t="s">
        <v>15</v>
      </c>
      <c r="I148" s="15" t="s">
        <v>77</v>
      </c>
      <c r="J148" s="15">
        <v>75</v>
      </c>
      <c r="K148" s="59" t="str">
        <f t="shared" si="2"/>
        <v>Pass</v>
      </c>
    </row>
    <row r="149" spans="1:11" x14ac:dyDescent="0.3">
      <c r="A149" s="15" t="s">
        <v>327</v>
      </c>
      <c r="B149" s="15" t="s">
        <v>73</v>
      </c>
      <c r="C149" s="15" t="s">
        <v>96</v>
      </c>
      <c r="D149" s="15" t="s">
        <v>13</v>
      </c>
      <c r="E149" s="15">
        <v>20</v>
      </c>
      <c r="F149" s="15">
        <v>9</v>
      </c>
      <c r="G149" s="15" t="s">
        <v>32</v>
      </c>
      <c r="H149" s="15" t="s">
        <v>61</v>
      </c>
      <c r="I149" s="15" t="s">
        <v>328</v>
      </c>
      <c r="J149" s="15">
        <v>40</v>
      </c>
      <c r="K149" s="59" t="str">
        <f t="shared" si="2"/>
        <v>Pass</v>
      </c>
    </row>
    <row r="150" spans="1:11" x14ac:dyDescent="0.3">
      <c r="A150" s="15" t="s">
        <v>329</v>
      </c>
      <c r="B150" s="15" t="s">
        <v>11</v>
      </c>
      <c r="C150" s="15" t="s">
        <v>24</v>
      </c>
      <c r="D150" s="15" t="s">
        <v>31</v>
      </c>
      <c r="E150" s="15">
        <v>15</v>
      </c>
      <c r="F150" s="15">
        <v>9</v>
      </c>
      <c r="G150" s="15" t="s">
        <v>43</v>
      </c>
      <c r="H150" s="15" t="s">
        <v>61</v>
      </c>
      <c r="I150" s="15" t="s">
        <v>330</v>
      </c>
      <c r="J150" s="15">
        <v>83</v>
      </c>
      <c r="K150" s="59" t="str">
        <f t="shared" si="2"/>
        <v>Pass</v>
      </c>
    </row>
    <row r="151" spans="1:11" x14ac:dyDescent="0.3">
      <c r="A151" s="15" t="s">
        <v>331</v>
      </c>
      <c r="B151" s="15" t="s">
        <v>73</v>
      </c>
      <c r="C151" s="15" t="s">
        <v>30</v>
      </c>
      <c r="D151" s="15" t="s">
        <v>31</v>
      </c>
      <c r="E151" s="15">
        <v>19</v>
      </c>
      <c r="F151" s="15">
        <v>10</v>
      </c>
      <c r="G151" s="15" t="s">
        <v>43</v>
      </c>
      <c r="H151" s="15" t="s">
        <v>20</v>
      </c>
      <c r="I151" s="15" t="s">
        <v>191</v>
      </c>
      <c r="J151" s="15">
        <v>93</v>
      </c>
      <c r="K151" s="59" t="str">
        <f t="shared" si="2"/>
        <v>Pass</v>
      </c>
    </row>
    <row r="152" spans="1:11" x14ac:dyDescent="0.3">
      <c r="A152" s="15" t="s">
        <v>332</v>
      </c>
      <c r="B152" s="15" t="s">
        <v>29</v>
      </c>
      <c r="C152" s="15" t="s">
        <v>12</v>
      </c>
      <c r="D152" s="15" t="s">
        <v>31</v>
      </c>
      <c r="E152" s="15">
        <v>16</v>
      </c>
      <c r="F152" s="15">
        <v>11</v>
      </c>
      <c r="G152" s="15" t="s">
        <v>32</v>
      </c>
      <c r="H152" s="15" t="s">
        <v>76</v>
      </c>
      <c r="I152" s="15" t="s">
        <v>333</v>
      </c>
      <c r="J152" s="15">
        <v>42</v>
      </c>
      <c r="K152" s="59" t="str">
        <f t="shared" si="2"/>
        <v>Pass</v>
      </c>
    </row>
    <row r="153" spans="1:11" x14ac:dyDescent="0.3">
      <c r="A153" s="15" t="s">
        <v>334</v>
      </c>
      <c r="B153" s="15" t="s">
        <v>73</v>
      </c>
      <c r="C153" s="15" t="s">
        <v>12</v>
      </c>
      <c r="D153" s="15" t="s">
        <v>31</v>
      </c>
      <c r="E153" s="15">
        <v>18</v>
      </c>
      <c r="F153" s="15">
        <v>11</v>
      </c>
      <c r="G153" s="15" t="s">
        <v>32</v>
      </c>
      <c r="H153" s="15" t="s">
        <v>76</v>
      </c>
      <c r="I153" s="15" t="s">
        <v>335</v>
      </c>
      <c r="J153" s="15">
        <v>97</v>
      </c>
      <c r="K153" s="59" t="str">
        <f t="shared" si="2"/>
        <v>Pass</v>
      </c>
    </row>
    <row r="154" spans="1:11" x14ac:dyDescent="0.3">
      <c r="A154" s="15" t="s">
        <v>336</v>
      </c>
      <c r="B154" s="15" t="s">
        <v>11</v>
      </c>
      <c r="C154" s="15" t="s">
        <v>58</v>
      </c>
      <c r="D154" s="15" t="s">
        <v>31</v>
      </c>
      <c r="E154" s="15">
        <v>19</v>
      </c>
      <c r="F154" s="15">
        <v>12</v>
      </c>
      <c r="G154" s="15" t="s">
        <v>25</v>
      </c>
      <c r="H154" s="15" t="s">
        <v>61</v>
      </c>
      <c r="I154" s="15" t="s">
        <v>218</v>
      </c>
      <c r="J154" s="15">
        <v>68</v>
      </c>
      <c r="K154" s="59" t="str">
        <f t="shared" si="2"/>
        <v>Pass</v>
      </c>
    </row>
    <row r="155" spans="1:11" x14ac:dyDescent="0.3">
      <c r="A155" s="15" t="s">
        <v>337</v>
      </c>
      <c r="B155" s="15" t="s">
        <v>23</v>
      </c>
      <c r="C155" s="15" t="s">
        <v>30</v>
      </c>
      <c r="D155" s="15" t="s">
        <v>31</v>
      </c>
      <c r="E155" s="15">
        <v>19</v>
      </c>
      <c r="F155" s="15">
        <v>9</v>
      </c>
      <c r="G155" s="15" t="s">
        <v>32</v>
      </c>
      <c r="H155" s="15" t="s">
        <v>61</v>
      </c>
      <c r="I155" s="15" t="s">
        <v>338</v>
      </c>
      <c r="J155" s="15">
        <v>51</v>
      </c>
      <c r="K155" s="59" t="str">
        <f t="shared" si="2"/>
        <v>Pass</v>
      </c>
    </row>
    <row r="156" spans="1:11" x14ac:dyDescent="0.3">
      <c r="A156" s="15" t="s">
        <v>339</v>
      </c>
      <c r="B156" s="15" t="s">
        <v>23</v>
      </c>
      <c r="C156" s="15" t="s">
        <v>36</v>
      </c>
      <c r="D156" s="15" t="s">
        <v>13</v>
      </c>
      <c r="E156" s="15">
        <v>18</v>
      </c>
      <c r="F156" s="15">
        <v>9</v>
      </c>
      <c r="G156" s="15" t="s">
        <v>32</v>
      </c>
      <c r="H156" s="15" t="s">
        <v>37</v>
      </c>
      <c r="I156" s="15" t="s">
        <v>340</v>
      </c>
      <c r="J156" s="15">
        <v>64</v>
      </c>
      <c r="K156" s="59" t="str">
        <f t="shared" si="2"/>
        <v>Pass</v>
      </c>
    </row>
    <row r="157" spans="1:11" x14ac:dyDescent="0.3">
      <c r="A157" s="15" t="s">
        <v>341</v>
      </c>
      <c r="B157" s="15" t="s">
        <v>54</v>
      </c>
      <c r="C157" s="15" t="s">
        <v>55</v>
      </c>
      <c r="D157" s="15" t="s">
        <v>13</v>
      </c>
      <c r="E157" s="15">
        <v>14</v>
      </c>
      <c r="F157" s="15">
        <v>9</v>
      </c>
      <c r="G157" s="15" t="s">
        <v>25</v>
      </c>
      <c r="H157" s="15" t="s">
        <v>37</v>
      </c>
      <c r="I157" s="15" t="s">
        <v>342</v>
      </c>
      <c r="J157" s="15">
        <v>82</v>
      </c>
      <c r="K157" s="59" t="str">
        <f t="shared" si="2"/>
        <v>Pass</v>
      </c>
    </row>
    <row r="158" spans="1:11" x14ac:dyDescent="0.3">
      <c r="A158" s="15" t="s">
        <v>343</v>
      </c>
      <c r="B158" s="15" t="s">
        <v>68</v>
      </c>
      <c r="C158" s="15" t="s">
        <v>79</v>
      </c>
      <c r="D158" s="15" t="s">
        <v>13</v>
      </c>
      <c r="E158" s="15">
        <v>19</v>
      </c>
      <c r="F158" s="15">
        <v>11</v>
      </c>
      <c r="G158" s="15" t="s">
        <v>14</v>
      </c>
      <c r="H158" s="15" t="s">
        <v>40</v>
      </c>
      <c r="I158" s="15" t="s">
        <v>344</v>
      </c>
      <c r="J158" s="15">
        <v>35</v>
      </c>
      <c r="K158" s="59" t="str">
        <f t="shared" si="2"/>
        <v>Fail</v>
      </c>
    </row>
    <row r="159" spans="1:11" x14ac:dyDescent="0.3">
      <c r="A159" s="15" t="s">
        <v>345</v>
      </c>
      <c r="B159" s="15" t="s">
        <v>29</v>
      </c>
      <c r="C159" s="15" t="s">
        <v>24</v>
      </c>
      <c r="D159" s="15" t="s">
        <v>31</v>
      </c>
      <c r="E159" s="15">
        <v>15</v>
      </c>
      <c r="F159" s="15">
        <v>9</v>
      </c>
      <c r="G159" s="15" t="s">
        <v>14</v>
      </c>
      <c r="H159" s="15" t="s">
        <v>26</v>
      </c>
      <c r="I159" s="15" t="s">
        <v>346</v>
      </c>
      <c r="J159" s="15">
        <v>49</v>
      </c>
      <c r="K159" s="59" t="str">
        <f t="shared" si="2"/>
        <v>Pass</v>
      </c>
    </row>
    <row r="160" spans="1:11" x14ac:dyDescent="0.3">
      <c r="A160" s="15" t="s">
        <v>347</v>
      </c>
      <c r="B160" s="15" t="s">
        <v>23</v>
      </c>
      <c r="C160" s="15" t="s">
        <v>85</v>
      </c>
      <c r="D160" s="15" t="s">
        <v>31</v>
      </c>
      <c r="E160" s="15">
        <v>15</v>
      </c>
      <c r="F160" s="15">
        <v>11</v>
      </c>
      <c r="G160" s="15" t="s">
        <v>32</v>
      </c>
      <c r="H160" s="15" t="s">
        <v>26</v>
      </c>
      <c r="I160" s="15" t="s">
        <v>348</v>
      </c>
      <c r="J160" s="15">
        <v>37</v>
      </c>
      <c r="K160" s="59" t="str">
        <f t="shared" si="2"/>
        <v>Fail</v>
      </c>
    </row>
    <row r="161" spans="1:11" x14ac:dyDescent="0.3">
      <c r="A161" s="15" t="s">
        <v>349</v>
      </c>
      <c r="B161" s="15" t="s">
        <v>35</v>
      </c>
      <c r="C161" s="15" t="s">
        <v>30</v>
      </c>
      <c r="D161" s="15" t="s">
        <v>31</v>
      </c>
      <c r="E161" s="15">
        <v>18</v>
      </c>
      <c r="F161" s="15">
        <v>12</v>
      </c>
      <c r="G161" s="15" t="s">
        <v>43</v>
      </c>
      <c r="H161" s="15" t="s">
        <v>37</v>
      </c>
      <c r="I161" s="15" t="s">
        <v>350</v>
      </c>
      <c r="J161" s="15">
        <v>53</v>
      </c>
      <c r="K161" s="59" t="str">
        <f t="shared" si="2"/>
        <v>Pass</v>
      </c>
    </row>
    <row r="162" spans="1:11" x14ac:dyDescent="0.3">
      <c r="A162" s="15" t="s">
        <v>351</v>
      </c>
      <c r="B162" s="15" t="s">
        <v>68</v>
      </c>
      <c r="C162" s="15" t="s">
        <v>96</v>
      </c>
      <c r="D162" s="15" t="s">
        <v>13</v>
      </c>
      <c r="E162" s="15">
        <v>15</v>
      </c>
      <c r="F162" s="15">
        <v>10</v>
      </c>
      <c r="G162" s="15" t="s">
        <v>25</v>
      </c>
      <c r="H162" s="15" t="s">
        <v>20</v>
      </c>
      <c r="I162" s="15" t="s">
        <v>352</v>
      </c>
      <c r="J162" s="15">
        <v>50</v>
      </c>
      <c r="K162" s="59" t="str">
        <f t="shared" si="2"/>
        <v>Pass</v>
      </c>
    </row>
    <row r="163" spans="1:11" x14ac:dyDescent="0.3">
      <c r="A163" s="15" t="s">
        <v>353</v>
      </c>
      <c r="B163" s="15" t="s">
        <v>51</v>
      </c>
      <c r="C163" s="15" t="s">
        <v>55</v>
      </c>
      <c r="D163" s="15" t="s">
        <v>31</v>
      </c>
      <c r="E163" s="15">
        <v>20</v>
      </c>
      <c r="F163" s="15">
        <v>9</v>
      </c>
      <c r="G163" s="15" t="s">
        <v>25</v>
      </c>
      <c r="H163" s="15" t="s">
        <v>46</v>
      </c>
      <c r="I163" s="15" t="s">
        <v>354</v>
      </c>
      <c r="J163" s="15">
        <v>53</v>
      </c>
      <c r="K163" s="59" t="str">
        <f t="shared" si="2"/>
        <v>Pass</v>
      </c>
    </row>
    <row r="164" spans="1:11" x14ac:dyDescent="0.3">
      <c r="A164" s="15" t="s">
        <v>355</v>
      </c>
      <c r="B164" s="15" t="s">
        <v>68</v>
      </c>
      <c r="C164" s="15" t="s">
        <v>79</v>
      </c>
      <c r="D164" s="15" t="s">
        <v>13</v>
      </c>
      <c r="E164" s="15">
        <v>15</v>
      </c>
      <c r="F164" s="15">
        <v>12</v>
      </c>
      <c r="G164" s="15" t="s">
        <v>14</v>
      </c>
      <c r="H164" s="15" t="s">
        <v>20</v>
      </c>
      <c r="I164" s="15" t="s">
        <v>356</v>
      </c>
      <c r="J164" s="15">
        <v>37</v>
      </c>
      <c r="K164" s="59" t="str">
        <f t="shared" si="2"/>
        <v>Fail</v>
      </c>
    </row>
    <row r="165" spans="1:11" x14ac:dyDescent="0.3">
      <c r="A165" s="15" t="s">
        <v>357</v>
      </c>
      <c r="B165" s="15" t="s">
        <v>23</v>
      </c>
      <c r="C165" s="15" t="s">
        <v>24</v>
      </c>
      <c r="D165" s="15" t="s">
        <v>13</v>
      </c>
      <c r="E165" s="15">
        <v>16</v>
      </c>
      <c r="F165" s="15">
        <v>9</v>
      </c>
      <c r="G165" s="15" t="s">
        <v>25</v>
      </c>
      <c r="H165" s="15" t="s">
        <v>20</v>
      </c>
      <c r="I165" s="15" t="s">
        <v>358</v>
      </c>
      <c r="J165" s="15">
        <v>66</v>
      </c>
      <c r="K165" s="59" t="str">
        <f t="shared" si="2"/>
        <v>Pass</v>
      </c>
    </row>
    <row r="166" spans="1:11" x14ac:dyDescent="0.3">
      <c r="A166" s="15" t="s">
        <v>359</v>
      </c>
      <c r="B166" s="15" t="s">
        <v>68</v>
      </c>
      <c r="C166" s="15" t="s">
        <v>85</v>
      </c>
      <c r="D166" s="15" t="s">
        <v>13</v>
      </c>
      <c r="E166" s="15">
        <v>19</v>
      </c>
      <c r="F166" s="15">
        <v>11</v>
      </c>
      <c r="G166" s="15" t="s">
        <v>43</v>
      </c>
      <c r="H166" s="15" t="s">
        <v>76</v>
      </c>
      <c r="I166" s="15" t="s">
        <v>360</v>
      </c>
      <c r="J166" s="15">
        <v>64</v>
      </c>
      <c r="K166" s="59" t="str">
        <f t="shared" si="2"/>
        <v>Pass</v>
      </c>
    </row>
    <row r="167" spans="1:11" x14ac:dyDescent="0.3">
      <c r="A167" s="15" t="s">
        <v>361</v>
      </c>
      <c r="B167" s="15" t="s">
        <v>11</v>
      </c>
      <c r="C167" s="15" t="s">
        <v>30</v>
      </c>
      <c r="D167" s="15" t="s">
        <v>13</v>
      </c>
      <c r="E167" s="15">
        <v>20</v>
      </c>
      <c r="F167" s="15">
        <v>10</v>
      </c>
      <c r="G167" s="15" t="s">
        <v>32</v>
      </c>
      <c r="H167" s="15" t="s">
        <v>15</v>
      </c>
      <c r="I167" s="15" t="s">
        <v>362</v>
      </c>
      <c r="J167" s="15">
        <v>49</v>
      </c>
      <c r="K167" s="59" t="str">
        <f t="shared" si="2"/>
        <v>Pass</v>
      </c>
    </row>
    <row r="168" spans="1:11" x14ac:dyDescent="0.3">
      <c r="A168" s="15" t="s">
        <v>363</v>
      </c>
      <c r="B168" s="15" t="s">
        <v>11</v>
      </c>
      <c r="C168" s="15" t="s">
        <v>85</v>
      </c>
      <c r="D168" s="15" t="s">
        <v>31</v>
      </c>
      <c r="E168" s="15">
        <v>15</v>
      </c>
      <c r="F168" s="15">
        <v>10</v>
      </c>
      <c r="G168" s="15" t="s">
        <v>14</v>
      </c>
      <c r="H168" s="15" t="s">
        <v>37</v>
      </c>
      <c r="I168" s="15" t="s">
        <v>364</v>
      </c>
      <c r="J168" s="15">
        <v>71</v>
      </c>
      <c r="K168" s="59" t="str">
        <f t="shared" si="2"/>
        <v>Pass</v>
      </c>
    </row>
    <row r="169" spans="1:11" x14ac:dyDescent="0.3">
      <c r="A169" s="15" t="s">
        <v>365</v>
      </c>
      <c r="B169" s="15" t="s">
        <v>11</v>
      </c>
      <c r="C169" s="15" t="s">
        <v>55</v>
      </c>
      <c r="D169" s="15" t="s">
        <v>13</v>
      </c>
      <c r="E169" s="15">
        <v>16</v>
      </c>
      <c r="F169" s="15">
        <v>10</v>
      </c>
      <c r="G169" s="15" t="s">
        <v>32</v>
      </c>
      <c r="H169" s="15" t="s">
        <v>15</v>
      </c>
      <c r="I169" s="15" t="s">
        <v>366</v>
      </c>
      <c r="J169" s="15">
        <v>72</v>
      </c>
      <c r="K169" s="59" t="str">
        <f t="shared" si="2"/>
        <v>Pass</v>
      </c>
    </row>
    <row r="170" spans="1:11" x14ac:dyDescent="0.3">
      <c r="A170" s="15" t="s">
        <v>367</v>
      </c>
      <c r="B170" s="15" t="s">
        <v>35</v>
      </c>
      <c r="C170" s="15" t="s">
        <v>12</v>
      </c>
      <c r="D170" s="15" t="s">
        <v>31</v>
      </c>
      <c r="E170" s="15">
        <v>15</v>
      </c>
      <c r="F170" s="15">
        <v>10</v>
      </c>
      <c r="G170" s="15" t="s">
        <v>32</v>
      </c>
      <c r="H170" s="15" t="s">
        <v>20</v>
      </c>
      <c r="I170" s="15" t="s">
        <v>368</v>
      </c>
      <c r="J170" s="15">
        <v>99</v>
      </c>
      <c r="K170" s="59" t="str">
        <f t="shared" si="2"/>
        <v>Pass</v>
      </c>
    </row>
    <row r="171" spans="1:11" x14ac:dyDescent="0.3">
      <c r="A171" s="15" t="s">
        <v>369</v>
      </c>
      <c r="B171" s="15" t="s">
        <v>23</v>
      </c>
      <c r="C171" s="15" t="s">
        <v>24</v>
      </c>
      <c r="D171" s="15" t="s">
        <v>31</v>
      </c>
      <c r="E171" s="15">
        <v>17</v>
      </c>
      <c r="F171" s="15">
        <v>12</v>
      </c>
      <c r="G171" s="15" t="s">
        <v>43</v>
      </c>
      <c r="H171" s="15" t="s">
        <v>61</v>
      </c>
      <c r="I171" s="15" t="s">
        <v>370</v>
      </c>
      <c r="J171" s="15">
        <v>96</v>
      </c>
      <c r="K171" s="59" t="str">
        <f t="shared" si="2"/>
        <v>Pass</v>
      </c>
    </row>
    <row r="172" spans="1:11" x14ac:dyDescent="0.3">
      <c r="A172" s="15" t="s">
        <v>371</v>
      </c>
      <c r="B172" s="15" t="s">
        <v>35</v>
      </c>
      <c r="C172" s="15" t="s">
        <v>58</v>
      </c>
      <c r="D172" s="15" t="s">
        <v>31</v>
      </c>
      <c r="E172" s="15">
        <v>19</v>
      </c>
      <c r="F172" s="15">
        <v>9</v>
      </c>
      <c r="G172" s="15" t="s">
        <v>14</v>
      </c>
      <c r="H172" s="15" t="s">
        <v>20</v>
      </c>
      <c r="I172" s="15" t="s">
        <v>372</v>
      </c>
      <c r="J172" s="15">
        <v>87</v>
      </c>
      <c r="K172" s="59" t="str">
        <f t="shared" si="2"/>
        <v>Pass</v>
      </c>
    </row>
    <row r="173" spans="1:11" x14ac:dyDescent="0.3">
      <c r="A173" s="15" t="s">
        <v>373</v>
      </c>
      <c r="B173" s="15" t="s">
        <v>51</v>
      </c>
      <c r="C173" s="15" t="s">
        <v>19</v>
      </c>
      <c r="D173" s="15" t="s">
        <v>13</v>
      </c>
      <c r="E173" s="15">
        <v>15</v>
      </c>
      <c r="F173" s="15">
        <v>11</v>
      </c>
      <c r="G173" s="15" t="s">
        <v>14</v>
      </c>
      <c r="H173" s="15" t="s">
        <v>61</v>
      </c>
      <c r="I173" s="15" t="s">
        <v>374</v>
      </c>
      <c r="J173" s="15">
        <v>78</v>
      </c>
      <c r="K173" s="59" t="str">
        <f t="shared" si="2"/>
        <v>Pass</v>
      </c>
    </row>
    <row r="174" spans="1:11" x14ac:dyDescent="0.3">
      <c r="A174" s="15" t="s">
        <v>375</v>
      </c>
      <c r="B174" s="15" t="s">
        <v>35</v>
      </c>
      <c r="C174" s="15" t="s">
        <v>36</v>
      </c>
      <c r="D174" s="15" t="s">
        <v>13</v>
      </c>
      <c r="E174" s="15">
        <v>18</v>
      </c>
      <c r="F174" s="15">
        <v>11</v>
      </c>
      <c r="G174" s="15" t="s">
        <v>25</v>
      </c>
      <c r="H174" s="15" t="s">
        <v>40</v>
      </c>
      <c r="I174" s="15" t="s">
        <v>376</v>
      </c>
      <c r="J174" s="15">
        <v>62</v>
      </c>
      <c r="K174" s="59" t="str">
        <f t="shared" si="2"/>
        <v>Pass</v>
      </c>
    </row>
    <row r="175" spans="1:11" x14ac:dyDescent="0.3">
      <c r="A175" s="15" t="s">
        <v>377</v>
      </c>
      <c r="B175" s="15" t="s">
        <v>35</v>
      </c>
      <c r="C175" s="15" t="s">
        <v>30</v>
      </c>
      <c r="D175" s="15" t="s">
        <v>13</v>
      </c>
      <c r="E175" s="15">
        <v>20</v>
      </c>
      <c r="F175" s="15">
        <v>11</v>
      </c>
      <c r="G175" s="15" t="s">
        <v>32</v>
      </c>
      <c r="H175" s="15" t="s">
        <v>37</v>
      </c>
      <c r="I175" s="15" t="s">
        <v>189</v>
      </c>
      <c r="J175" s="15">
        <v>79</v>
      </c>
      <c r="K175" s="59" t="str">
        <f t="shared" si="2"/>
        <v>Pass</v>
      </c>
    </row>
    <row r="176" spans="1:11" x14ac:dyDescent="0.3">
      <c r="A176" s="15" t="s">
        <v>378</v>
      </c>
      <c r="B176" s="15" t="s">
        <v>18</v>
      </c>
      <c r="C176" s="15" t="s">
        <v>55</v>
      </c>
      <c r="D176" s="15" t="s">
        <v>31</v>
      </c>
      <c r="E176" s="15">
        <v>17</v>
      </c>
      <c r="F176" s="15">
        <v>9</v>
      </c>
      <c r="G176" s="15" t="s">
        <v>32</v>
      </c>
      <c r="H176" s="15" t="s">
        <v>26</v>
      </c>
      <c r="I176" s="15" t="s">
        <v>379</v>
      </c>
      <c r="J176" s="15">
        <v>66</v>
      </c>
      <c r="K176" s="59" t="str">
        <f t="shared" si="2"/>
        <v>Pass</v>
      </c>
    </row>
    <row r="177" spans="1:11" x14ac:dyDescent="0.3">
      <c r="A177" s="15" t="s">
        <v>380</v>
      </c>
      <c r="B177" s="15" t="s">
        <v>11</v>
      </c>
      <c r="C177" s="15" t="s">
        <v>24</v>
      </c>
      <c r="D177" s="15" t="s">
        <v>31</v>
      </c>
      <c r="E177" s="15">
        <v>18</v>
      </c>
      <c r="F177" s="15">
        <v>11</v>
      </c>
      <c r="G177" s="15" t="s">
        <v>32</v>
      </c>
      <c r="H177" s="15" t="s">
        <v>61</v>
      </c>
      <c r="I177" s="15" t="s">
        <v>381</v>
      </c>
      <c r="J177" s="15">
        <v>67</v>
      </c>
      <c r="K177" s="59" t="str">
        <f t="shared" si="2"/>
        <v>Pass</v>
      </c>
    </row>
    <row r="178" spans="1:11" x14ac:dyDescent="0.3">
      <c r="A178" s="15" t="s">
        <v>382</v>
      </c>
      <c r="B178" s="15" t="s">
        <v>51</v>
      </c>
      <c r="C178" s="15" t="s">
        <v>85</v>
      </c>
      <c r="D178" s="15" t="s">
        <v>13</v>
      </c>
      <c r="E178" s="15">
        <v>16</v>
      </c>
      <c r="F178" s="15">
        <v>10</v>
      </c>
      <c r="G178" s="15" t="s">
        <v>43</v>
      </c>
      <c r="H178" s="15" t="s">
        <v>61</v>
      </c>
      <c r="I178" s="15" t="s">
        <v>383</v>
      </c>
      <c r="J178" s="15">
        <v>72</v>
      </c>
      <c r="K178" s="59" t="str">
        <f t="shared" si="2"/>
        <v>Pass</v>
      </c>
    </row>
    <row r="179" spans="1:11" x14ac:dyDescent="0.3">
      <c r="A179" s="15" t="s">
        <v>384</v>
      </c>
      <c r="B179" s="15" t="s">
        <v>54</v>
      </c>
      <c r="C179" s="15" t="s">
        <v>19</v>
      </c>
      <c r="D179" s="15" t="s">
        <v>31</v>
      </c>
      <c r="E179" s="15">
        <v>16</v>
      </c>
      <c r="F179" s="15">
        <v>12</v>
      </c>
      <c r="G179" s="15" t="s">
        <v>25</v>
      </c>
      <c r="H179" s="15" t="s">
        <v>20</v>
      </c>
      <c r="I179" s="15" t="s">
        <v>385</v>
      </c>
      <c r="J179" s="15">
        <v>39</v>
      </c>
      <c r="K179" s="59" t="str">
        <f t="shared" si="2"/>
        <v>Fail</v>
      </c>
    </row>
    <row r="180" spans="1:11" x14ac:dyDescent="0.3">
      <c r="A180" s="15" t="s">
        <v>386</v>
      </c>
      <c r="B180" s="15" t="s">
        <v>68</v>
      </c>
      <c r="C180" s="15" t="s">
        <v>96</v>
      </c>
      <c r="D180" s="15" t="s">
        <v>13</v>
      </c>
      <c r="E180" s="15">
        <v>18</v>
      </c>
      <c r="F180" s="15">
        <v>9</v>
      </c>
      <c r="G180" s="15" t="s">
        <v>25</v>
      </c>
      <c r="H180" s="15" t="s">
        <v>46</v>
      </c>
      <c r="I180" s="15" t="s">
        <v>387</v>
      </c>
      <c r="J180" s="15">
        <v>74</v>
      </c>
      <c r="K180" s="59" t="str">
        <f t="shared" si="2"/>
        <v>Pass</v>
      </c>
    </row>
    <row r="181" spans="1:11" x14ac:dyDescent="0.3">
      <c r="A181" s="15" t="s">
        <v>388</v>
      </c>
      <c r="B181" s="15" t="s">
        <v>73</v>
      </c>
      <c r="C181" s="15" t="s">
        <v>12</v>
      </c>
      <c r="D181" s="15" t="s">
        <v>31</v>
      </c>
      <c r="E181" s="15">
        <v>19</v>
      </c>
      <c r="F181" s="15">
        <v>11</v>
      </c>
      <c r="G181" s="15" t="s">
        <v>43</v>
      </c>
      <c r="H181" s="15" t="s">
        <v>61</v>
      </c>
      <c r="I181" s="15" t="s">
        <v>214</v>
      </c>
      <c r="J181" s="15">
        <v>88</v>
      </c>
      <c r="K181" s="59" t="str">
        <f t="shared" si="2"/>
        <v>Pass</v>
      </c>
    </row>
    <row r="182" spans="1:11" x14ac:dyDescent="0.3">
      <c r="A182" s="15" t="s">
        <v>389</v>
      </c>
      <c r="B182" s="15" t="s">
        <v>54</v>
      </c>
      <c r="C182" s="15" t="s">
        <v>58</v>
      </c>
      <c r="D182" s="15" t="s">
        <v>31</v>
      </c>
      <c r="E182" s="15">
        <v>14</v>
      </c>
      <c r="F182" s="15">
        <v>11</v>
      </c>
      <c r="G182" s="15" t="s">
        <v>32</v>
      </c>
      <c r="H182" s="15" t="s">
        <v>76</v>
      </c>
      <c r="I182" s="15" t="s">
        <v>390</v>
      </c>
      <c r="J182" s="15">
        <v>54</v>
      </c>
      <c r="K182" s="59" t="str">
        <f t="shared" si="2"/>
        <v>Pass</v>
      </c>
    </row>
    <row r="183" spans="1:11" x14ac:dyDescent="0.3">
      <c r="A183" s="15" t="s">
        <v>391</v>
      </c>
      <c r="B183" s="15" t="s">
        <v>68</v>
      </c>
      <c r="C183" s="15" t="s">
        <v>19</v>
      </c>
      <c r="D183" s="15" t="s">
        <v>13</v>
      </c>
      <c r="E183" s="15">
        <v>19</v>
      </c>
      <c r="F183" s="15">
        <v>12</v>
      </c>
      <c r="G183" s="15" t="s">
        <v>25</v>
      </c>
      <c r="H183" s="15" t="s">
        <v>46</v>
      </c>
      <c r="I183" s="15" t="s">
        <v>392</v>
      </c>
      <c r="J183" s="15">
        <v>46</v>
      </c>
      <c r="K183" s="59" t="str">
        <f t="shared" si="2"/>
        <v>Pass</v>
      </c>
    </row>
    <row r="184" spans="1:11" x14ac:dyDescent="0.3">
      <c r="A184" s="15" t="s">
        <v>393</v>
      </c>
      <c r="B184" s="15" t="s">
        <v>68</v>
      </c>
      <c r="C184" s="15" t="s">
        <v>85</v>
      </c>
      <c r="D184" s="15" t="s">
        <v>13</v>
      </c>
      <c r="E184" s="15">
        <v>15</v>
      </c>
      <c r="F184" s="15">
        <v>10</v>
      </c>
      <c r="G184" s="15" t="s">
        <v>32</v>
      </c>
      <c r="H184" s="15" t="s">
        <v>37</v>
      </c>
      <c r="I184" s="15" t="s">
        <v>394</v>
      </c>
      <c r="J184" s="15">
        <v>89</v>
      </c>
      <c r="K184" s="59" t="str">
        <f t="shared" si="2"/>
        <v>Pass</v>
      </c>
    </row>
    <row r="185" spans="1:11" x14ac:dyDescent="0.3">
      <c r="A185" s="15" t="s">
        <v>395</v>
      </c>
      <c r="B185" s="15" t="s">
        <v>11</v>
      </c>
      <c r="C185" s="15" t="s">
        <v>96</v>
      </c>
      <c r="D185" s="15" t="s">
        <v>13</v>
      </c>
      <c r="E185" s="15">
        <v>18</v>
      </c>
      <c r="F185" s="15">
        <v>11</v>
      </c>
      <c r="G185" s="15" t="s">
        <v>25</v>
      </c>
      <c r="H185" s="15" t="s">
        <v>37</v>
      </c>
      <c r="I185" s="15" t="s">
        <v>396</v>
      </c>
      <c r="J185" s="15">
        <v>65</v>
      </c>
      <c r="K185" s="59" t="str">
        <f t="shared" si="2"/>
        <v>Pass</v>
      </c>
    </row>
    <row r="186" spans="1:11" x14ac:dyDescent="0.3">
      <c r="A186" s="15" t="s">
        <v>397</v>
      </c>
      <c r="B186" s="15" t="s">
        <v>23</v>
      </c>
      <c r="C186" s="15" t="s">
        <v>12</v>
      </c>
      <c r="D186" s="15" t="s">
        <v>13</v>
      </c>
      <c r="E186" s="15">
        <v>20</v>
      </c>
      <c r="F186" s="15">
        <v>9</v>
      </c>
      <c r="G186" s="15" t="s">
        <v>25</v>
      </c>
      <c r="H186" s="15" t="s">
        <v>46</v>
      </c>
      <c r="I186" s="15" t="s">
        <v>398</v>
      </c>
      <c r="J186" s="15">
        <v>91</v>
      </c>
      <c r="K186" s="59" t="str">
        <f t="shared" si="2"/>
        <v>Pass</v>
      </c>
    </row>
    <row r="187" spans="1:11" x14ac:dyDescent="0.3">
      <c r="A187" s="15" t="s">
        <v>399</v>
      </c>
      <c r="B187" s="15" t="s">
        <v>35</v>
      </c>
      <c r="C187" s="15" t="s">
        <v>79</v>
      </c>
      <c r="D187" s="15" t="s">
        <v>13</v>
      </c>
      <c r="E187" s="15">
        <v>17</v>
      </c>
      <c r="F187" s="15">
        <v>10</v>
      </c>
      <c r="G187" s="15" t="s">
        <v>43</v>
      </c>
      <c r="H187" s="15" t="s">
        <v>37</v>
      </c>
      <c r="I187" s="15" t="s">
        <v>400</v>
      </c>
      <c r="J187" s="15">
        <v>78</v>
      </c>
      <c r="K187" s="59" t="str">
        <f t="shared" si="2"/>
        <v>Pass</v>
      </c>
    </row>
    <row r="188" spans="1:11" x14ac:dyDescent="0.3">
      <c r="A188" s="15" t="s">
        <v>401</v>
      </c>
      <c r="B188" s="15" t="s">
        <v>11</v>
      </c>
      <c r="C188" s="15" t="s">
        <v>79</v>
      </c>
      <c r="D188" s="15" t="s">
        <v>31</v>
      </c>
      <c r="E188" s="15">
        <v>15</v>
      </c>
      <c r="F188" s="15">
        <v>11</v>
      </c>
      <c r="G188" s="15" t="s">
        <v>43</v>
      </c>
      <c r="H188" s="15" t="s">
        <v>40</v>
      </c>
      <c r="I188" s="15" t="s">
        <v>402</v>
      </c>
      <c r="J188" s="15">
        <v>84</v>
      </c>
      <c r="K188" s="59" t="str">
        <f t="shared" si="2"/>
        <v>Pass</v>
      </c>
    </row>
    <row r="189" spans="1:11" x14ac:dyDescent="0.3">
      <c r="A189" s="15" t="s">
        <v>403</v>
      </c>
      <c r="B189" s="15" t="s">
        <v>11</v>
      </c>
      <c r="C189" s="15" t="s">
        <v>12</v>
      </c>
      <c r="D189" s="15" t="s">
        <v>31</v>
      </c>
      <c r="E189" s="15">
        <v>19</v>
      </c>
      <c r="F189" s="15">
        <v>9</v>
      </c>
      <c r="G189" s="15" t="s">
        <v>43</v>
      </c>
      <c r="H189" s="15" t="s">
        <v>46</v>
      </c>
      <c r="I189" s="15" t="s">
        <v>404</v>
      </c>
      <c r="J189" s="15">
        <v>37</v>
      </c>
      <c r="K189" s="59" t="str">
        <f t="shared" si="2"/>
        <v>Fail</v>
      </c>
    </row>
    <row r="190" spans="1:11" x14ac:dyDescent="0.3">
      <c r="A190" s="15" t="s">
        <v>405</v>
      </c>
      <c r="B190" s="15" t="s">
        <v>18</v>
      </c>
      <c r="C190" s="15" t="s">
        <v>19</v>
      </c>
      <c r="D190" s="15" t="s">
        <v>31</v>
      </c>
      <c r="E190" s="15">
        <v>18</v>
      </c>
      <c r="F190" s="15">
        <v>12</v>
      </c>
      <c r="G190" s="15" t="s">
        <v>25</v>
      </c>
      <c r="H190" s="15" t="s">
        <v>37</v>
      </c>
      <c r="I190" s="15" t="s">
        <v>406</v>
      </c>
      <c r="J190" s="15">
        <v>70</v>
      </c>
      <c r="K190" s="59" t="str">
        <f t="shared" si="2"/>
        <v>Pass</v>
      </c>
    </row>
    <row r="191" spans="1:11" x14ac:dyDescent="0.3">
      <c r="A191" s="15" t="s">
        <v>407</v>
      </c>
      <c r="B191" s="15" t="s">
        <v>29</v>
      </c>
      <c r="C191" s="15" t="s">
        <v>12</v>
      </c>
      <c r="D191" s="15" t="s">
        <v>31</v>
      </c>
      <c r="E191" s="15">
        <v>16</v>
      </c>
      <c r="F191" s="15">
        <v>10</v>
      </c>
      <c r="G191" s="15" t="s">
        <v>14</v>
      </c>
      <c r="H191" s="15" t="s">
        <v>40</v>
      </c>
      <c r="I191" s="15" t="s">
        <v>71</v>
      </c>
      <c r="J191" s="15">
        <v>100</v>
      </c>
      <c r="K191" s="59" t="str">
        <f t="shared" si="2"/>
        <v>Pass</v>
      </c>
    </row>
    <row r="192" spans="1:11" x14ac:dyDescent="0.3">
      <c r="A192" s="15" t="s">
        <v>408</v>
      </c>
      <c r="B192" s="15" t="s">
        <v>51</v>
      </c>
      <c r="C192" s="15" t="s">
        <v>85</v>
      </c>
      <c r="D192" s="15" t="s">
        <v>13</v>
      </c>
      <c r="E192" s="15">
        <v>17</v>
      </c>
      <c r="F192" s="15">
        <v>11</v>
      </c>
      <c r="G192" s="15" t="s">
        <v>25</v>
      </c>
      <c r="H192" s="15" t="s">
        <v>46</v>
      </c>
      <c r="I192" s="15" t="s">
        <v>52</v>
      </c>
      <c r="J192" s="15">
        <v>42</v>
      </c>
      <c r="K192" s="59" t="str">
        <f t="shared" si="2"/>
        <v>Pass</v>
      </c>
    </row>
    <row r="193" spans="1:11" x14ac:dyDescent="0.3">
      <c r="A193" s="15" t="s">
        <v>409</v>
      </c>
      <c r="B193" s="15" t="s">
        <v>84</v>
      </c>
      <c r="C193" s="15" t="s">
        <v>24</v>
      </c>
      <c r="D193" s="15" t="s">
        <v>13</v>
      </c>
      <c r="E193" s="15">
        <v>20</v>
      </c>
      <c r="F193" s="15">
        <v>9</v>
      </c>
      <c r="G193" s="15" t="s">
        <v>25</v>
      </c>
      <c r="H193" s="15" t="s">
        <v>46</v>
      </c>
      <c r="I193" s="15" t="s">
        <v>290</v>
      </c>
      <c r="J193" s="15">
        <v>68</v>
      </c>
      <c r="K193" s="59" t="str">
        <f t="shared" si="2"/>
        <v>Pass</v>
      </c>
    </row>
    <row r="194" spans="1:11" x14ac:dyDescent="0.3">
      <c r="A194" s="15" t="s">
        <v>410</v>
      </c>
      <c r="B194" s="15" t="s">
        <v>18</v>
      </c>
      <c r="C194" s="15" t="s">
        <v>55</v>
      </c>
      <c r="D194" s="15" t="s">
        <v>31</v>
      </c>
      <c r="E194" s="15">
        <v>20</v>
      </c>
      <c r="F194" s="15">
        <v>10</v>
      </c>
      <c r="G194" s="15" t="s">
        <v>43</v>
      </c>
      <c r="H194" s="15" t="s">
        <v>40</v>
      </c>
      <c r="I194" s="15" t="s">
        <v>411</v>
      </c>
      <c r="J194" s="15">
        <v>59</v>
      </c>
      <c r="K194" s="59" t="str">
        <f t="shared" si="2"/>
        <v>Pass</v>
      </c>
    </row>
    <row r="195" spans="1:11" x14ac:dyDescent="0.3">
      <c r="A195" s="15" t="s">
        <v>412</v>
      </c>
      <c r="B195" s="15" t="s">
        <v>73</v>
      </c>
      <c r="C195" s="15" t="s">
        <v>55</v>
      </c>
      <c r="D195" s="15" t="s">
        <v>13</v>
      </c>
      <c r="E195" s="15">
        <v>16</v>
      </c>
      <c r="F195" s="15">
        <v>12</v>
      </c>
      <c r="G195" s="15" t="s">
        <v>32</v>
      </c>
      <c r="H195" s="15" t="s">
        <v>46</v>
      </c>
      <c r="I195" s="15" t="s">
        <v>413</v>
      </c>
      <c r="J195" s="15">
        <v>85</v>
      </c>
      <c r="K195" s="59" t="str">
        <f t="shared" si="2"/>
        <v>Pass</v>
      </c>
    </row>
    <row r="196" spans="1:11" x14ac:dyDescent="0.3">
      <c r="A196" s="15" t="s">
        <v>414</v>
      </c>
      <c r="B196" s="15" t="s">
        <v>11</v>
      </c>
      <c r="C196" s="15" t="s">
        <v>55</v>
      </c>
      <c r="D196" s="15" t="s">
        <v>13</v>
      </c>
      <c r="E196" s="15">
        <v>16</v>
      </c>
      <c r="F196" s="15">
        <v>12</v>
      </c>
      <c r="G196" s="15" t="s">
        <v>32</v>
      </c>
      <c r="H196" s="15" t="s">
        <v>37</v>
      </c>
      <c r="I196" s="15" t="s">
        <v>415</v>
      </c>
      <c r="J196" s="15">
        <v>47</v>
      </c>
      <c r="K196" s="59" t="str">
        <f t="shared" si="2"/>
        <v>Pass</v>
      </c>
    </row>
    <row r="197" spans="1:11" x14ac:dyDescent="0.3">
      <c r="A197" s="15" t="s">
        <v>416</v>
      </c>
      <c r="B197" s="15" t="s">
        <v>18</v>
      </c>
      <c r="C197" s="15" t="s">
        <v>79</v>
      </c>
      <c r="D197" s="15" t="s">
        <v>31</v>
      </c>
      <c r="E197" s="15">
        <v>20</v>
      </c>
      <c r="F197" s="15">
        <v>9</v>
      </c>
      <c r="G197" s="15" t="s">
        <v>25</v>
      </c>
      <c r="H197" s="15" t="s">
        <v>37</v>
      </c>
      <c r="I197" s="15" t="s">
        <v>417</v>
      </c>
      <c r="J197" s="15">
        <v>53</v>
      </c>
      <c r="K197" s="59" t="str">
        <f t="shared" ref="K197:K260" si="3">IF(J197&gt;=40,"Pass","Fail")</f>
        <v>Pass</v>
      </c>
    </row>
    <row r="198" spans="1:11" x14ac:dyDescent="0.3">
      <c r="A198" s="15" t="s">
        <v>418</v>
      </c>
      <c r="B198" s="15" t="s">
        <v>84</v>
      </c>
      <c r="C198" s="15" t="s">
        <v>24</v>
      </c>
      <c r="D198" s="15" t="s">
        <v>13</v>
      </c>
      <c r="E198" s="15">
        <v>15</v>
      </c>
      <c r="F198" s="15">
        <v>9</v>
      </c>
      <c r="G198" s="15" t="s">
        <v>25</v>
      </c>
      <c r="H198" s="15" t="s">
        <v>20</v>
      </c>
      <c r="I198" s="15" t="s">
        <v>419</v>
      </c>
      <c r="J198" s="15">
        <v>63</v>
      </c>
      <c r="K198" s="59" t="str">
        <f t="shared" si="3"/>
        <v>Pass</v>
      </c>
    </row>
    <row r="199" spans="1:11" x14ac:dyDescent="0.3">
      <c r="A199" s="15" t="s">
        <v>420</v>
      </c>
      <c r="B199" s="15" t="s">
        <v>73</v>
      </c>
      <c r="C199" s="15" t="s">
        <v>85</v>
      </c>
      <c r="D199" s="15" t="s">
        <v>13</v>
      </c>
      <c r="E199" s="15">
        <v>16</v>
      </c>
      <c r="F199" s="15">
        <v>11</v>
      </c>
      <c r="G199" s="15" t="s">
        <v>43</v>
      </c>
      <c r="H199" s="15" t="s">
        <v>46</v>
      </c>
      <c r="I199" s="15" t="s">
        <v>421</v>
      </c>
      <c r="J199" s="15">
        <v>55</v>
      </c>
      <c r="K199" s="59" t="str">
        <f t="shared" si="3"/>
        <v>Pass</v>
      </c>
    </row>
    <row r="200" spans="1:11" x14ac:dyDescent="0.3">
      <c r="A200" s="15" t="s">
        <v>422</v>
      </c>
      <c r="B200" s="15" t="s">
        <v>73</v>
      </c>
      <c r="C200" s="15" t="s">
        <v>96</v>
      </c>
      <c r="D200" s="15" t="s">
        <v>13</v>
      </c>
      <c r="E200" s="15">
        <v>14</v>
      </c>
      <c r="F200" s="15">
        <v>10</v>
      </c>
      <c r="G200" s="15" t="s">
        <v>25</v>
      </c>
      <c r="H200" s="15" t="s">
        <v>15</v>
      </c>
      <c r="I200" s="15" t="s">
        <v>423</v>
      </c>
      <c r="J200" s="15">
        <v>99</v>
      </c>
      <c r="K200" s="59" t="str">
        <f t="shared" si="3"/>
        <v>Pass</v>
      </c>
    </row>
    <row r="201" spans="1:11" x14ac:dyDescent="0.3">
      <c r="A201" s="15" t="s">
        <v>424</v>
      </c>
      <c r="B201" s="15" t="s">
        <v>29</v>
      </c>
      <c r="C201" s="15" t="s">
        <v>36</v>
      </c>
      <c r="D201" s="15" t="s">
        <v>31</v>
      </c>
      <c r="E201" s="15">
        <v>16</v>
      </c>
      <c r="F201" s="15">
        <v>12</v>
      </c>
      <c r="G201" s="15" t="s">
        <v>32</v>
      </c>
      <c r="H201" s="15" t="s">
        <v>37</v>
      </c>
      <c r="I201" s="15" t="s">
        <v>180</v>
      </c>
      <c r="J201" s="15">
        <v>89</v>
      </c>
      <c r="K201" s="59" t="str">
        <f t="shared" si="3"/>
        <v>Pass</v>
      </c>
    </row>
    <row r="202" spans="1:11" x14ac:dyDescent="0.3">
      <c r="A202" s="15" t="s">
        <v>425</v>
      </c>
      <c r="B202" s="15" t="s">
        <v>73</v>
      </c>
      <c r="C202" s="15" t="s">
        <v>30</v>
      </c>
      <c r="D202" s="15" t="s">
        <v>31</v>
      </c>
      <c r="E202" s="15">
        <v>15</v>
      </c>
      <c r="F202" s="15">
        <v>9</v>
      </c>
      <c r="G202" s="15" t="s">
        <v>14</v>
      </c>
      <c r="H202" s="15" t="s">
        <v>76</v>
      </c>
      <c r="I202" s="15" t="s">
        <v>149</v>
      </c>
      <c r="J202" s="15">
        <v>54</v>
      </c>
      <c r="K202" s="59" t="str">
        <f t="shared" si="3"/>
        <v>Pass</v>
      </c>
    </row>
    <row r="203" spans="1:11" x14ac:dyDescent="0.3">
      <c r="A203" s="15" t="s">
        <v>426</v>
      </c>
      <c r="B203" s="15" t="s">
        <v>54</v>
      </c>
      <c r="C203" s="15" t="s">
        <v>96</v>
      </c>
      <c r="D203" s="15" t="s">
        <v>31</v>
      </c>
      <c r="E203" s="15">
        <v>16</v>
      </c>
      <c r="F203" s="15">
        <v>12</v>
      </c>
      <c r="G203" s="15" t="s">
        <v>25</v>
      </c>
      <c r="H203" s="15" t="s">
        <v>20</v>
      </c>
      <c r="I203" s="15" t="s">
        <v>427</v>
      </c>
      <c r="J203" s="15">
        <v>82</v>
      </c>
      <c r="K203" s="59" t="str">
        <f t="shared" si="3"/>
        <v>Pass</v>
      </c>
    </row>
    <row r="204" spans="1:11" x14ac:dyDescent="0.3">
      <c r="A204" s="15" t="s">
        <v>428</v>
      </c>
      <c r="B204" s="15" t="s">
        <v>54</v>
      </c>
      <c r="C204" s="15" t="s">
        <v>55</v>
      </c>
      <c r="D204" s="15" t="s">
        <v>13</v>
      </c>
      <c r="E204" s="15">
        <v>16</v>
      </c>
      <c r="F204" s="15">
        <v>11</v>
      </c>
      <c r="G204" s="15" t="s">
        <v>25</v>
      </c>
      <c r="H204" s="15" t="s">
        <v>15</v>
      </c>
      <c r="I204" s="15" t="s">
        <v>429</v>
      </c>
      <c r="J204" s="15">
        <v>86</v>
      </c>
      <c r="K204" s="59" t="str">
        <f t="shared" si="3"/>
        <v>Pass</v>
      </c>
    </row>
    <row r="205" spans="1:11" x14ac:dyDescent="0.3">
      <c r="A205" s="15" t="s">
        <v>430</v>
      </c>
      <c r="B205" s="15" t="s">
        <v>54</v>
      </c>
      <c r="C205" s="15" t="s">
        <v>30</v>
      </c>
      <c r="D205" s="15" t="s">
        <v>13</v>
      </c>
      <c r="E205" s="15">
        <v>18</v>
      </c>
      <c r="F205" s="15">
        <v>11</v>
      </c>
      <c r="G205" s="15" t="s">
        <v>25</v>
      </c>
      <c r="H205" s="15" t="s">
        <v>26</v>
      </c>
      <c r="I205" s="15" t="s">
        <v>431</v>
      </c>
      <c r="J205" s="15">
        <v>91</v>
      </c>
      <c r="K205" s="59" t="str">
        <f t="shared" si="3"/>
        <v>Pass</v>
      </c>
    </row>
    <row r="206" spans="1:11" x14ac:dyDescent="0.3">
      <c r="A206" s="15" t="s">
        <v>432</v>
      </c>
      <c r="B206" s="15" t="s">
        <v>51</v>
      </c>
      <c r="C206" s="15" t="s">
        <v>24</v>
      </c>
      <c r="D206" s="15" t="s">
        <v>31</v>
      </c>
      <c r="E206" s="15">
        <v>17</v>
      </c>
      <c r="F206" s="15">
        <v>11</v>
      </c>
      <c r="G206" s="15" t="s">
        <v>43</v>
      </c>
      <c r="H206" s="15" t="s">
        <v>15</v>
      </c>
      <c r="I206" s="15" t="s">
        <v>400</v>
      </c>
      <c r="J206" s="15">
        <v>53</v>
      </c>
      <c r="K206" s="59" t="str">
        <f t="shared" si="3"/>
        <v>Pass</v>
      </c>
    </row>
    <row r="207" spans="1:11" x14ac:dyDescent="0.3">
      <c r="A207" s="15" t="s">
        <v>433</v>
      </c>
      <c r="B207" s="15" t="s">
        <v>84</v>
      </c>
      <c r="C207" s="15" t="s">
        <v>36</v>
      </c>
      <c r="D207" s="15" t="s">
        <v>13</v>
      </c>
      <c r="E207" s="15">
        <v>14</v>
      </c>
      <c r="F207" s="15">
        <v>9</v>
      </c>
      <c r="G207" s="15" t="s">
        <v>32</v>
      </c>
      <c r="H207" s="15" t="s">
        <v>15</v>
      </c>
      <c r="I207" s="15" t="s">
        <v>434</v>
      </c>
      <c r="J207" s="15">
        <v>47</v>
      </c>
      <c r="K207" s="59" t="str">
        <f t="shared" si="3"/>
        <v>Pass</v>
      </c>
    </row>
    <row r="208" spans="1:11" x14ac:dyDescent="0.3">
      <c r="A208" s="15" t="s">
        <v>435</v>
      </c>
      <c r="B208" s="15" t="s">
        <v>29</v>
      </c>
      <c r="C208" s="15" t="s">
        <v>30</v>
      </c>
      <c r="D208" s="15" t="s">
        <v>31</v>
      </c>
      <c r="E208" s="15">
        <v>20</v>
      </c>
      <c r="F208" s="15">
        <v>12</v>
      </c>
      <c r="G208" s="15" t="s">
        <v>43</v>
      </c>
      <c r="H208" s="15" t="s">
        <v>26</v>
      </c>
      <c r="I208" s="15" t="s">
        <v>436</v>
      </c>
      <c r="J208" s="15">
        <v>36</v>
      </c>
      <c r="K208" s="59" t="str">
        <f t="shared" si="3"/>
        <v>Fail</v>
      </c>
    </row>
    <row r="209" spans="1:11" x14ac:dyDescent="0.3">
      <c r="A209" s="15" t="s">
        <v>437</v>
      </c>
      <c r="B209" s="15" t="s">
        <v>73</v>
      </c>
      <c r="C209" s="15" t="s">
        <v>30</v>
      </c>
      <c r="D209" s="15" t="s">
        <v>13</v>
      </c>
      <c r="E209" s="15">
        <v>14</v>
      </c>
      <c r="F209" s="15">
        <v>11</v>
      </c>
      <c r="G209" s="15" t="s">
        <v>32</v>
      </c>
      <c r="H209" s="15" t="s">
        <v>76</v>
      </c>
      <c r="I209" s="15" t="s">
        <v>438</v>
      </c>
      <c r="J209" s="15">
        <v>62</v>
      </c>
      <c r="K209" s="59" t="str">
        <f t="shared" si="3"/>
        <v>Pass</v>
      </c>
    </row>
    <row r="210" spans="1:11" x14ac:dyDescent="0.3">
      <c r="A210" s="15" t="s">
        <v>439</v>
      </c>
      <c r="B210" s="15" t="s">
        <v>11</v>
      </c>
      <c r="C210" s="15" t="s">
        <v>12</v>
      </c>
      <c r="D210" s="15" t="s">
        <v>13</v>
      </c>
      <c r="E210" s="15">
        <v>15</v>
      </c>
      <c r="F210" s="15">
        <v>9</v>
      </c>
      <c r="G210" s="15" t="s">
        <v>25</v>
      </c>
      <c r="H210" s="15" t="s">
        <v>15</v>
      </c>
      <c r="I210" s="15" t="s">
        <v>440</v>
      </c>
      <c r="J210" s="15">
        <v>90</v>
      </c>
      <c r="K210" s="59" t="str">
        <f t="shared" si="3"/>
        <v>Pass</v>
      </c>
    </row>
    <row r="211" spans="1:11" x14ac:dyDescent="0.3">
      <c r="A211" s="15" t="s">
        <v>441</v>
      </c>
      <c r="B211" s="15" t="s">
        <v>35</v>
      </c>
      <c r="C211" s="15" t="s">
        <v>12</v>
      </c>
      <c r="D211" s="15" t="s">
        <v>13</v>
      </c>
      <c r="E211" s="15">
        <v>17</v>
      </c>
      <c r="F211" s="15">
        <v>10</v>
      </c>
      <c r="G211" s="15" t="s">
        <v>32</v>
      </c>
      <c r="H211" s="15" t="s">
        <v>15</v>
      </c>
      <c r="I211" s="15" t="s">
        <v>442</v>
      </c>
      <c r="J211" s="15">
        <v>91</v>
      </c>
      <c r="K211" s="59" t="str">
        <f t="shared" si="3"/>
        <v>Pass</v>
      </c>
    </row>
    <row r="212" spans="1:11" x14ac:dyDescent="0.3">
      <c r="A212" s="15" t="s">
        <v>443</v>
      </c>
      <c r="B212" s="15" t="s">
        <v>18</v>
      </c>
      <c r="C212" s="15" t="s">
        <v>96</v>
      </c>
      <c r="D212" s="15" t="s">
        <v>13</v>
      </c>
      <c r="E212" s="15">
        <v>17</v>
      </c>
      <c r="F212" s="15">
        <v>9</v>
      </c>
      <c r="G212" s="15" t="s">
        <v>43</v>
      </c>
      <c r="H212" s="15" t="s">
        <v>37</v>
      </c>
      <c r="I212" s="15" t="s">
        <v>444</v>
      </c>
      <c r="J212" s="15">
        <v>60</v>
      </c>
      <c r="K212" s="59" t="str">
        <f t="shared" si="3"/>
        <v>Pass</v>
      </c>
    </row>
    <row r="213" spans="1:11" x14ac:dyDescent="0.3">
      <c r="A213" s="15" t="s">
        <v>445</v>
      </c>
      <c r="B213" s="15" t="s">
        <v>54</v>
      </c>
      <c r="C213" s="15" t="s">
        <v>96</v>
      </c>
      <c r="D213" s="15" t="s">
        <v>13</v>
      </c>
      <c r="E213" s="15">
        <v>20</v>
      </c>
      <c r="F213" s="15">
        <v>10</v>
      </c>
      <c r="G213" s="15" t="s">
        <v>32</v>
      </c>
      <c r="H213" s="15" t="s">
        <v>46</v>
      </c>
      <c r="I213" s="15" t="s">
        <v>182</v>
      </c>
      <c r="J213" s="15">
        <v>85</v>
      </c>
      <c r="K213" s="59" t="str">
        <f t="shared" si="3"/>
        <v>Pass</v>
      </c>
    </row>
    <row r="214" spans="1:11" x14ac:dyDescent="0.3">
      <c r="A214" s="15" t="s">
        <v>446</v>
      </c>
      <c r="B214" s="15" t="s">
        <v>73</v>
      </c>
      <c r="C214" s="15" t="s">
        <v>24</v>
      </c>
      <c r="D214" s="15" t="s">
        <v>13</v>
      </c>
      <c r="E214" s="15">
        <v>17</v>
      </c>
      <c r="F214" s="15">
        <v>10</v>
      </c>
      <c r="G214" s="15" t="s">
        <v>14</v>
      </c>
      <c r="H214" s="15" t="s">
        <v>20</v>
      </c>
      <c r="I214" s="15" t="s">
        <v>447</v>
      </c>
      <c r="J214" s="15">
        <v>58</v>
      </c>
      <c r="K214" s="59" t="str">
        <f t="shared" si="3"/>
        <v>Pass</v>
      </c>
    </row>
    <row r="215" spans="1:11" x14ac:dyDescent="0.3">
      <c r="A215" s="15" t="s">
        <v>448</v>
      </c>
      <c r="B215" s="15" t="s">
        <v>73</v>
      </c>
      <c r="C215" s="15" t="s">
        <v>36</v>
      </c>
      <c r="D215" s="15" t="s">
        <v>31</v>
      </c>
      <c r="E215" s="15">
        <v>19</v>
      </c>
      <c r="F215" s="15">
        <v>12</v>
      </c>
      <c r="G215" s="15" t="s">
        <v>14</v>
      </c>
      <c r="H215" s="15" t="s">
        <v>37</v>
      </c>
      <c r="I215" s="15" t="s">
        <v>449</v>
      </c>
      <c r="J215" s="15">
        <v>65</v>
      </c>
      <c r="K215" s="59" t="str">
        <f t="shared" si="3"/>
        <v>Pass</v>
      </c>
    </row>
    <row r="216" spans="1:11" x14ac:dyDescent="0.3">
      <c r="A216" s="15" t="s">
        <v>450</v>
      </c>
      <c r="B216" s="15" t="s">
        <v>54</v>
      </c>
      <c r="C216" s="15" t="s">
        <v>55</v>
      </c>
      <c r="D216" s="15" t="s">
        <v>31</v>
      </c>
      <c r="E216" s="15">
        <v>19</v>
      </c>
      <c r="F216" s="15">
        <v>12</v>
      </c>
      <c r="G216" s="15" t="s">
        <v>43</v>
      </c>
      <c r="H216" s="15" t="s">
        <v>20</v>
      </c>
      <c r="I216" s="15" t="s">
        <v>451</v>
      </c>
      <c r="J216" s="15">
        <v>58</v>
      </c>
      <c r="K216" s="59" t="str">
        <f t="shared" si="3"/>
        <v>Pass</v>
      </c>
    </row>
    <row r="217" spans="1:11" x14ac:dyDescent="0.3">
      <c r="A217" s="15" t="s">
        <v>452</v>
      </c>
      <c r="B217" s="15" t="s">
        <v>51</v>
      </c>
      <c r="C217" s="15" t="s">
        <v>12</v>
      </c>
      <c r="D217" s="15" t="s">
        <v>13</v>
      </c>
      <c r="E217" s="15">
        <v>18</v>
      </c>
      <c r="F217" s="15">
        <v>9</v>
      </c>
      <c r="G217" s="15" t="s">
        <v>32</v>
      </c>
      <c r="H217" s="15" t="s">
        <v>76</v>
      </c>
      <c r="I217" s="15" t="s">
        <v>453</v>
      </c>
      <c r="J217" s="15">
        <v>35</v>
      </c>
      <c r="K217" s="59" t="str">
        <f t="shared" si="3"/>
        <v>Fail</v>
      </c>
    </row>
    <row r="218" spans="1:11" x14ac:dyDescent="0.3">
      <c r="A218" s="15" t="s">
        <v>454</v>
      </c>
      <c r="B218" s="15" t="s">
        <v>29</v>
      </c>
      <c r="C218" s="15" t="s">
        <v>12</v>
      </c>
      <c r="D218" s="15" t="s">
        <v>31</v>
      </c>
      <c r="E218" s="15">
        <v>16</v>
      </c>
      <c r="F218" s="15">
        <v>11</v>
      </c>
      <c r="G218" s="15" t="s">
        <v>43</v>
      </c>
      <c r="H218" s="15" t="s">
        <v>61</v>
      </c>
      <c r="I218" s="15" t="s">
        <v>385</v>
      </c>
      <c r="J218" s="15">
        <v>40</v>
      </c>
      <c r="K218" s="59" t="str">
        <f t="shared" si="3"/>
        <v>Pass</v>
      </c>
    </row>
    <row r="219" spans="1:11" x14ac:dyDescent="0.3">
      <c r="A219" s="15" t="s">
        <v>455</v>
      </c>
      <c r="B219" s="15" t="s">
        <v>29</v>
      </c>
      <c r="C219" s="15" t="s">
        <v>30</v>
      </c>
      <c r="D219" s="15" t="s">
        <v>13</v>
      </c>
      <c r="E219" s="15">
        <v>16</v>
      </c>
      <c r="F219" s="15">
        <v>9</v>
      </c>
      <c r="G219" s="15" t="s">
        <v>14</v>
      </c>
      <c r="H219" s="15" t="s">
        <v>61</v>
      </c>
      <c r="I219" s="15" t="s">
        <v>447</v>
      </c>
      <c r="J219" s="15">
        <v>60</v>
      </c>
      <c r="K219" s="59" t="str">
        <f t="shared" si="3"/>
        <v>Pass</v>
      </c>
    </row>
    <row r="220" spans="1:11" x14ac:dyDescent="0.3">
      <c r="A220" s="15" t="s">
        <v>456</v>
      </c>
      <c r="B220" s="15" t="s">
        <v>11</v>
      </c>
      <c r="C220" s="15" t="s">
        <v>55</v>
      </c>
      <c r="D220" s="15" t="s">
        <v>13</v>
      </c>
      <c r="E220" s="15">
        <v>15</v>
      </c>
      <c r="F220" s="15">
        <v>9</v>
      </c>
      <c r="G220" s="15" t="s">
        <v>32</v>
      </c>
      <c r="H220" s="15" t="s">
        <v>61</v>
      </c>
      <c r="I220" s="15" t="s">
        <v>457</v>
      </c>
      <c r="J220" s="15">
        <v>97</v>
      </c>
      <c r="K220" s="59" t="str">
        <f t="shared" si="3"/>
        <v>Pass</v>
      </c>
    </row>
    <row r="221" spans="1:11" x14ac:dyDescent="0.3">
      <c r="A221" s="15" t="s">
        <v>458</v>
      </c>
      <c r="B221" s="15" t="s">
        <v>11</v>
      </c>
      <c r="C221" s="15" t="s">
        <v>55</v>
      </c>
      <c r="D221" s="15" t="s">
        <v>13</v>
      </c>
      <c r="E221" s="15">
        <v>19</v>
      </c>
      <c r="F221" s="15">
        <v>11</v>
      </c>
      <c r="G221" s="15" t="s">
        <v>14</v>
      </c>
      <c r="H221" s="15" t="s">
        <v>46</v>
      </c>
      <c r="I221" s="15" t="s">
        <v>459</v>
      </c>
      <c r="J221" s="15">
        <v>81</v>
      </c>
      <c r="K221" s="59" t="str">
        <f t="shared" si="3"/>
        <v>Pass</v>
      </c>
    </row>
    <row r="222" spans="1:11" x14ac:dyDescent="0.3">
      <c r="A222" s="15" t="s">
        <v>460</v>
      </c>
      <c r="B222" s="15" t="s">
        <v>51</v>
      </c>
      <c r="C222" s="15" t="s">
        <v>96</v>
      </c>
      <c r="D222" s="15" t="s">
        <v>31</v>
      </c>
      <c r="E222" s="15">
        <v>16</v>
      </c>
      <c r="F222" s="15">
        <v>12</v>
      </c>
      <c r="G222" s="15" t="s">
        <v>43</v>
      </c>
      <c r="H222" s="15" t="s">
        <v>15</v>
      </c>
      <c r="I222" s="15" t="s">
        <v>461</v>
      </c>
      <c r="J222" s="15">
        <v>65</v>
      </c>
      <c r="K222" s="59" t="str">
        <f t="shared" si="3"/>
        <v>Pass</v>
      </c>
    </row>
    <row r="223" spans="1:11" x14ac:dyDescent="0.3">
      <c r="A223" s="15" t="s">
        <v>462</v>
      </c>
      <c r="B223" s="15" t="s">
        <v>11</v>
      </c>
      <c r="C223" s="15" t="s">
        <v>24</v>
      </c>
      <c r="D223" s="15" t="s">
        <v>31</v>
      </c>
      <c r="E223" s="15">
        <v>19</v>
      </c>
      <c r="F223" s="15">
        <v>12</v>
      </c>
      <c r="G223" s="15" t="s">
        <v>43</v>
      </c>
      <c r="H223" s="15" t="s">
        <v>37</v>
      </c>
      <c r="I223" s="15" t="s">
        <v>463</v>
      </c>
      <c r="J223" s="15">
        <v>45</v>
      </c>
      <c r="K223" s="59" t="str">
        <f t="shared" si="3"/>
        <v>Pass</v>
      </c>
    </row>
    <row r="224" spans="1:11" x14ac:dyDescent="0.3">
      <c r="A224" s="15" t="s">
        <v>464</v>
      </c>
      <c r="B224" s="15" t="s">
        <v>11</v>
      </c>
      <c r="C224" s="15" t="s">
        <v>36</v>
      </c>
      <c r="D224" s="15" t="s">
        <v>13</v>
      </c>
      <c r="E224" s="15">
        <v>16</v>
      </c>
      <c r="F224" s="15">
        <v>11</v>
      </c>
      <c r="G224" s="15" t="s">
        <v>25</v>
      </c>
      <c r="H224" s="15" t="s">
        <v>40</v>
      </c>
      <c r="I224" s="15" t="s">
        <v>465</v>
      </c>
      <c r="J224" s="15">
        <v>79</v>
      </c>
      <c r="K224" s="59" t="str">
        <f t="shared" si="3"/>
        <v>Pass</v>
      </c>
    </row>
    <row r="225" spans="1:11" x14ac:dyDescent="0.3">
      <c r="A225" s="15" t="s">
        <v>466</v>
      </c>
      <c r="B225" s="15" t="s">
        <v>11</v>
      </c>
      <c r="C225" s="15" t="s">
        <v>55</v>
      </c>
      <c r="D225" s="15" t="s">
        <v>31</v>
      </c>
      <c r="E225" s="15">
        <v>20</v>
      </c>
      <c r="F225" s="15">
        <v>11</v>
      </c>
      <c r="G225" s="15" t="s">
        <v>32</v>
      </c>
      <c r="H225" s="15" t="s">
        <v>40</v>
      </c>
      <c r="I225" s="15" t="s">
        <v>467</v>
      </c>
      <c r="J225" s="15">
        <v>46</v>
      </c>
      <c r="K225" s="59" t="str">
        <f t="shared" si="3"/>
        <v>Pass</v>
      </c>
    </row>
    <row r="226" spans="1:11" x14ac:dyDescent="0.3">
      <c r="A226" s="15" t="s">
        <v>468</v>
      </c>
      <c r="B226" s="15" t="s">
        <v>73</v>
      </c>
      <c r="C226" s="15" t="s">
        <v>12</v>
      </c>
      <c r="D226" s="15" t="s">
        <v>13</v>
      </c>
      <c r="E226" s="15">
        <v>17</v>
      </c>
      <c r="F226" s="15">
        <v>10</v>
      </c>
      <c r="G226" s="15" t="s">
        <v>43</v>
      </c>
      <c r="H226" s="15" t="s">
        <v>15</v>
      </c>
      <c r="I226" s="15" t="s">
        <v>469</v>
      </c>
      <c r="J226" s="15">
        <v>75</v>
      </c>
      <c r="K226" s="59" t="str">
        <f t="shared" si="3"/>
        <v>Pass</v>
      </c>
    </row>
    <row r="227" spans="1:11" x14ac:dyDescent="0.3">
      <c r="A227" s="15" t="s">
        <v>470</v>
      </c>
      <c r="B227" s="15" t="s">
        <v>35</v>
      </c>
      <c r="C227" s="15" t="s">
        <v>96</v>
      </c>
      <c r="D227" s="15" t="s">
        <v>31</v>
      </c>
      <c r="E227" s="15">
        <v>16</v>
      </c>
      <c r="F227" s="15">
        <v>11</v>
      </c>
      <c r="G227" s="15" t="s">
        <v>32</v>
      </c>
      <c r="H227" s="15" t="s">
        <v>61</v>
      </c>
      <c r="I227" s="15" t="s">
        <v>471</v>
      </c>
      <c r="J227" s="15">
        <v>65</v>
      </c>
      <c r="K227" s="59" t="str">
        <f t="shared" si="3"/>
        <v>Pass</v>
      </c>
    </row>
    <row r="228" spans="1:11" x14ac:dyDescent="0.3">
      <c r="A228" s="15" t="s">
        <v>472</v>
      </c>
      <c r="B228" s="15" t="s">
        <v>84</v>
      </c>
      <c r="C228" s="15" t="s">
        <v>79</v>
      </c>
      <c r="D228" s="15" t="s">
        <v>31</v>
      </c>
      <c r="E228" s="15">
        <v>15</v>
      </c>
      <c r="F228" s="15">
        <v>11</v>
      </c>
      <c r="G228" s="15" t="s">
        <v>14</v>
      </c>
      <c r="H228" s="15" t="s">
        <v>40</v>
      </c>
      <c r="I228" s="15" t="s">
        <v>317</v>
      </c>
      <c r="J228" s="15">
        <v>72</v>
      </c>
      <c r="K228" s="59" t="str">
        <f t="shared" si="3"/>
        <v>Pass</v>
      </c>
    </row>
    <row r="229" spans="1:11" x14ac:dyDescent="0.3">
      <c r="A229" s="15" t="s">
        <v>473</v>
      </c>
      <c r="B229" s="15" t="s">
        <v>18</v>
      </c>
      <c r="C229" s="15" t="s">
        <v>19</v>
      </c>
      <c r="D229" s="15" t="s">
        <v>31</v>
      </c>
      <c r="E229" s="15">
        <v>16</v>
      </c>
      <c r="F229" s="15">
        <v>11</v>
      </c>
      <c r="G229" s="15" t="s">
        <v>14</v>
      </c>
      <c r="H229" s="15" t="s">
        <v>61</v>
      </c>
      <c r="I229" s="15" t="s">
        <v>474</v>
      </c>
      <c r="J229" s="15">
        <v>75</v>
      </c>
      <c r="K229" s="59" t="str">
        <f t="shared" si="3"/>
        <v>Pass</v>
      </c>
    </row>
    <row r="230" spans="1:11" x14ac:dyDescent="0.3">
      <c r="A230" s="15" t="s">
        <v>475</v>
      </c>
      <c r="B230" s="15" t="s">
        <v>35</v>
      </c>
      <c r="C230" s="15" t="s">
        <v>79</v>
      </c>
      <c r="D230" s="15" t="s">
        <v>13</v>
      </c>
      <c r="E230" s="15">
        <v>17</v>
      </c>
      <c r="F230" s="15">
        <v>9</v>
      </c>
      <c r="G230" s="15" t="s">
        <v>32</v>
      </c>
      <c r="H230" s="15" t="s">
        <v>15</v>
      </c>
      <c r="I230" s="15" t="s">
        <v>248</v>
      </c>
      <c r="J230" s="15">
        <v>50</v>
      </c>
      <c r="K230" s="59" t="str">
        <f t="shared" si="3"/>
        <v>Pass</v>
      </c>
    </row>
    <row r="231" spans="1:11" x14ac:dyDescent="0.3">
      <c r="A231" s="15" t="s">
        <v>476</v>
      </c>
      <c r="B231" s="15" t="s">
        <v>29</v>
      </c>
      <c r="C231" s="15" t="s">
        <v>55</v>
      </c>
      <c r="D231" s="15" t="s">
        <v>13</v>
      </c>
      <c r="E231" s="15">
        <v>19</v>
      </c>
      <c r="F231" s="15">
        <v>10</v>
      </c>
      <c r="G231" s="15" t="s">
        <v>43</v>
      </c>
      <c r="H231" s="15" t="s">
        <v>26</v>
      </c>
      <c r="I231" s="15" t="s">
        <v>477</v>
      </c>
      <c r="J231" s="15">
        <v>88</v>
      </c>
      <c r="K231" s="59" t="str">
        <f t="shared" si="3"/>
        <v>Pass</v>
      </c>
    </row>
    <row r="232" spans="1:11" x14ac:dyDescent="0.3">
      <c r="A232" s="15" t="s">
        <v>478</v>
      </c>
      <c r="B232" s="15" t="s">
        <v>11</v>
      </c>
      <c r="C232" s="15" t="s">
        <v>36</v>
      </c>
      <c r="D232" s="15" t="s">
        <v>13</v>
      </c>
      <c r="E232" s="15">
        <v>17</v>
      </c>
      <c r="F232" s="15">
        <v>12</v>
      </c>
      <c r="G232" s="15" t="s">
        <v>14</v>
      </c>
      <c r="H232" s="15" t="s">
        <v>37</v>
      </c>
      <c r="I232" s="15" t="s">
        <v>479</v>
      </c>
      <c r="J232" s="15">
        <v>63</v>
      </c>
      <c r="K232" s="59" t="str">
        <f t="shared" si="3"/>
        <v>Pass</v>
      </c>
    </row>
    <row r="233" spans="1:11" x14ac:dyDescent="0.3">
      <c r="A233" s="15" t="s">
        <v>480</v>
      </c>
      <c r="B233" s="15" t="s">
        <v>35</v>
      </c>
      <c r="C233" s="15" t="s">
        <v>12</v>
      </c>
      <c r="D233" s="15" t="s">
        <v>31</v>
      </c>
      <c r="E233" s="15">
        <v>18</v>
      </c>
      <c r="F233" s="15">
        <v>10</v>
      </c>
      <c r="G233" s="15" t="s">
        <v>14</v>
      </c>
      <c r="H233" s="15" t="s">
        <v>37</v>
      </c>
      <c r="I233" s="15" t="s">
        <v>481</v>
      </c>
      <c r="J233" s="15">
        <v>36</v>
      </c>
      <c r="K233" s="59" t="str">
        <f t="shared" si="3"/>
        <v>Fail</v>
      </c>
    </row>
    <row r="234" spans="1:11" x14ac:dyDescent="0.3">
      <c r="A234" s="15" t="s">
        <v>482</v>
      </c>
      <c r="B234" s="15" t="s">
        <v>35</v>
      </c>
      <c r="C234" s="15" t="s">
        <v>24</v>
      </c>
      <c r="D234" s="15" t="s">
        <v>13</v>
      </c>
      <c r="E234" s="15">
        <v>18</v>
      </c>
      <c r="F234" s="15">
        <v>11</v>
      </c>
      <c r="G234" s="15" t="s">
        <v>14</v>
      </c>
      <c r="H234" s="15" t="s">
        <v>61</v>
      </c>
      <c r="I234" s="15" t="s">
        <v>483</v>
      </c>
      <c r="J234" s="15">
        <v>86</v>
      </c>
      <c r="K234" s="59" t="str">
        <f t="shared" si="3"/>
        <v>Pass</v>
      </c>
    </row>
    <row r="235" spans="1:11" x14ac:dyDescent="0.3">
      <c r="A235" s="15" t="s">
        <v>484</v>
      </c>
      <c r="B235" s="15" t="s">
        <v>29</v>
      </c>
      <c r="C235" s="15" t="s">
        <v>79</v>
      </c>
      <c r="D235" s="15" t="s">
        <v>31</v>
      </c>
      <c r="E235" s="15">
        <v>14</v>
      </c>
      <c r="F235" s="15">
        <v>11</v>
      </c>
      <c r="G235" s="15" t="s">
        <v>32</v>
      </c>
      <c r="H235" s="15" t="s">
        <v>40</v>
      </c>
      <c r="I235" s="15" t="s">
        <v>184</v>
      </c>
      <c r="J235" s="15">
        <v>42</v>
      </c>
      <c r="K235" s="59" t="str">
        <f t="shared" si="3"/>
        <v>Pass</v>
      </c>
    </row>
    <row r="236" spans="1:11" x14ac:dyDescent="0.3">
      <c r="A236" s="15" t="s">
        <v>485</v>
      </c>
      <c r="B236" s="15" t="s">
        <v>18</v>
      </c>
      <c r="C236" s="15" t="s">
        <v>12</v>
      </c>
      <c r="D236" s="15" t="s">
        <v>31</v>
      </c>
      <c r="E236" s="15">
        <v>16</v>
      </c>
      <c r="F236" s="15">
        <v>12</v>
      </c>
      <c r="G236" s="15" t="s">
        <v>14</v>
      </c>
      <c r="H236" s="15" t="s">
        <v>76</v>
      </c>
      <c r="I236" s="15" t="s">
        <v>486</v>
      </c>
      <c r="J236" s="15">
        <v>70</v>
      </c>
      <c r="K236" s="59" t="str">
        <f t="shared" si="3"/>
        <v>Pass</v>
      </c>
    </row>
    <row r="237" spans="1:11" x14ac:dyDescent="0.3">
      <c r="A237" s="15" t="s">
        <v>487</v>
      </c>
      <c r="B237" s="15" t="s">
        <v>18</v>
      </c>
      <c r="C237" s="15" t="s">
        <v>79</v>
      </c>
      <c r="D237" s="15" t="s">
        <v>13</v>
      </c>
      <c r="E237" s="15">
        <v>16</v>
      </c>
      <c r="F237" s="15">
        <v>11</v>
      </c>
      <c r="G237" s="15" t="s">
        <v>43</v>
      </c>
      <c r="H237" s="15" t="s">
        <v>61</v>
      </c>
      <c r="I237" s="15" t="s">
        <v>488</v>
      </c>
      <c r="J237" s="15">
        <v>86</v>
      </c>
      <c r="K237" s="59" t="str">
        <f t="shared" si="3"/>
        <v>Pass</v>
      </c>
    </row>
    <row r="238" spans="1:11" x14ac:dyDescent="0.3">
      <c r="A238" s="15" t="s">
        <v>489</v>
      </c>
      <c r="B238" s="15" t="s">
        <v>68</v>
      </c>
      <c r="C238" s="15" t="s">
        <v>58</v>
      </c>
      <c r="D238" s="15" t="s">
        <v>31</v>
      </c>
      <c r="E238" s="15">
        <v>20</v>
      </c>
      <c r="F238" s="15">
        <v>10</v>
      </c>
      <c r="G238" s="15" t="s">
        <v>32</v>
      </c>
      <c r="H238" s="15" t="s">
        <v>20</v>
      </c>
      <c r="I238" s="15" t="s">
        <v>370</v>
      </c>
      <c r="J238" s="15">
        <v>93</v>
      </c>
      <c r="K238" s="59" t="str">
        <f t="shared" si="3"/>
        <v>Pass</v>
      </c>
    </row>
    <row r="239" spans="1:11" x14ac:dyDescent="0.3">
      <c r="A239" s="15" t="s">
        <v>490</v>
      </c>
      <c r="B239" s="15" t="s">
        <v>73</v>
      </c>
      <c r="C239" s="15" t="s">
        <v>96</v>
      </c>
      <c r="D239" s="15" t="s">
        <v>13</v>
      </c>
      <c r="E239" s="15">
        <v>17</v>
      </c>
      <c r="F239" s="15">
        <v>10</v>
      </c>
      <c r="G239" s="15" t="s">
        <v>32</v>
      </c>
      <c r="H239" s="15" t="s">
        <v>61</v>
      </c>
      <c r="I239" s="15" t="s">
        <v>491</v>
      </c>
      <c r="J239" s="15">
        <v>60</v>
      </c>
      <c r="K239" s="59" t="str">
        <f t="shared" si="3"/>
        <v>Pass</v>
      </c>
    </row>
    <row r="240" spans="1:11" x14ac:dyDescent="0.3">
      <c r="A240" s="15" t="s">
        <v>492</v>
      </c>
      <c r="B240" s="15" t="s">
        <v>18</v>
      </c>
      <c r="C240" s="15" t="s">
        <v>85</v>
      </c>
      <c r="D240" s="15" t="s">
        <v>31</v>
      </c>
      <c r="E240" s="15">
        <v>19</v>
      </c>
      <c r="F240" s="15">
        <v>11</v>
      </c>
      <c r="G240" s="15" t="s">
        <v>43</v>
      </c>
      <c r="H240" s="15" t="s">
        <v>15</v>
      </c>
      <c r="I240" s="15" t="s">
        <v>394</v>
      </c>
      <c r="J240" s="15">
        <v>50</v>
      </c>
      <c r="K240" s="59" t="str">
        <f t="shared" si="3"/>
        <v>Pass</v>
      </c>
    </row>
    <row r="241" spans="1:11" x14ac:dyDescent="0.3">
      <c r="A241" s="15" t="s">
        <v>493</v>
      </c>
      <c r="B241" s="15" t="s">
        <v>51</v>
      </c>
      <c r="C241" s="15" t="s">
        <v>96</v>
      </c>
      <c r="D241" s="15" t="s">
        <v>31</v>
      </c>
      <c r="E241" s="15">
        <v>14</v>
      </c>
      <c r="F241" s="15">
        <v>12</v>
      </c>
      <c r="G241" s="15" t="s">
        <v>14</v>
      </c>
      <c r="H241" s="15" t="s">
        <v>26</v>
      </c>
      <c r="I241" s="15" t="s">
        <v>494</v>
      </c>
      <c r="J241" s="15">
        <v>47</v>
      </c>
      <c r="K241" s="59" t="str">
        <f t="shared" si="3"/>
        <v>Pass</v>
      </c>
    </row>
    <row r="242" spans="1:11" x14ac:dyDescent="0.3">
      <c r="A242" s="15" t="s">
        <v>495</v>
      </c>
      <c r="B242" s="15" t="s">
        <v>35</v>
      </c>
      <c r="C242" s="15" t="s">
        <v>12</v>
      </c>
      <c r="D242" s="15" t="s">
        <v>13</v>
      </c>
      <c r="E242" s="15">
        <v>15</v>
      </c>
      <c r="F242" s="15">
        <v>12</v>
      </c>
      <c r="G242" s="15" t="s">
        <v>43</v>
      </c>
      <c r="H242" s="15" t="s">
        <v>20</v>
      </c>
      <c r="I242" s="15" t="s">
        <v>496</v>
      </c>
      <c r="J242" s="15">
        <v>49</v>
      </c>
      <c r="K242" s="59" t="str">
        <f t="shared" si="3"/>
        <v>Pass</v>
      </c>
    </row>
    <row r="243" spans="1:11" x14ac:dyDescent="0.3">
      <c r="A243" s="15" t="s">
        <v>497</v>
      </c>
      <c r="B243" s="15" t="s">
        <v>51</v>
      </c>
      <c r="C243" s="15" t="s">
        <v>96</v>
      </c>
      <c r="D243" s="15" t="s">
        <v>13</v>
      </c>
      <c r="E243" s="15">
        <v>16</v>
      </c>
      <c r="F243" s="15">
        <v>9</v>
      </c>
      <c r="G243" s="15" t="s">
        <v>25</v>
      </c>
      <c r="H243" s="15" t="s">
        <v>26</v>
      </c>
      <c r="I243" s="15" t="s">
        <v>498</v>
      </c>
      <c r="J243" s="15">
        <v>42</v>
      </c>
      <c r="K243" s="59" t="str">
        <f t="shared" si="3"/>
        <v>Pass</v>
      </c>
    </row>
    <row r="244" spans="1:11" x14ac:dyDescent="0.3">
      <c r="A244" s="15" t="s">
        <v>499</v>
      </c>
      <c r="B244" s="15" t="s">
        <v>54</v>
      </c>
      <c r="C244" s="15" t="s">
        <v>19</v>
      </c>
      <c r="D244" s="15" t="s">
        <v>31</v>
      </c>
      <c r="E244" s="15">
        <v>20</v>
      </c>
      <c r="F244" s="15">
        <v>9</v>
      </c>
      <c r="G244" s="15" t="s">
        <v>32</v>
      </c>
      <c r="H244" s="15" t="s">
        <v>46</v>
      </c>
      <c r="I244" s="15" t="s">
        <v>500</v>
      </c>
      <c r="J244" s="15">
        <v>42</v>
      </c>
      <c r="K244" s="59" t="str">
        <f t="shared" si="3"/>
        <v>Pass</v>
      </c>
    </row>
    <row r="245" spans="1:11" x14ac:dyDescent="0.3">
      <c r="A245" s="15" t="s">
        <v>501</v>
      </c>
      <c r="B245" s="15" t="s">
        <v>84</v>
      </c>
      <c r="C245" s="15" t="s">
        <v>19</v>
      </c>
      <c r="D245" s="15" t="s">
        <v>13</v>
      </c>
      <c r="E245" s="15">
        <v>18</v>
      </c>
      <c r="F245" s="15">
        <v>10</v>
      </c>
      <c r="G245" s="15" t="s">
        <v>14</v>
      </c>
      <c r="H245" s="15" t="s">
        <v>61</v>
      </c>
      <c r="I245" s="15" t="s">
        <v>502</v>
      </c>
      <c r="J245" s="15">
        <v>76</v>
      </c>
      <c r="K245" s="59" t="str">
        <f t="shared" si="3"/>
        <v>Pass</v>
      </c>
    </row>
    <row r="246" spans="1:11" x14ac:dyDescent="0.3">
      <c r="A246" s="15" t="s">
        <v>503</v>
      </c>
      <c r="B246" s="15" t="s">
        <v>84</v>
      </c>
      <c r="C246" s="15" t="s">
        <v>19</v>
      </c>
      <c r="D246" s="15" t="s">
        <v>31</v>
      </c>
      <c r="E246" s="15">
        <v>15</v>
      </c>
      <c r="F246" s="15">
        <v>10</v>
      </c>
      <c r="G246" s="15" t="s">
        <v>43</v>
      </c>
      <c r="H246" s="15" t="s">
        <v>61</v>
      </c>
      <c r="I246" s="15" t="s">
        <v>504</v>
      </c>
      <c r="J246" s="15">
        <v>44</v>
      </c>
      <c r="K246" s="59" t="str">
        <f t="shared" si="3"/>
        <v>Pass</v>
      </c>
    </row>
    <row r="247" spans="1:11" x14ac:dyDescent="0.3">
      <c r="A247" s="15" t="s">
        <v>505</v>
      </c>
      <c r="B247" s="15" t="s">
        <v>11</v>
      </c>
      <c r="C247" s="15" t="s">
        <v>12</v>
      </c>
      <c r="D247" s="15" t="s">
        <v>31</v>
      </c>
      <c r="E247" s="15">
        <v>19</v>
      </c>
      <c r="F247" s="15">
        <v>10</v>
      </c>
      <c r="G247" s="15" t="s">
        <v>14</v>
      </c>
      <c r="H247" s="15" t="s">
        <v>40</v>
      </c>
      <c r="I247" s="15" t="s">
        <v>506</v>
      </c>
      <c r="J247" s="15">
        <v>77</v>
      </c>
      <c r="K247" s="59" t="str">
        <f t="shared" si="3"/>
        <v>Pass</v>
      </c>
    </row>
    <row r="248" spans="1:11" x14ac:dyDescent="0.3">
      <c r="A248" s="15" t="s">
        <v>507</v>
      </c>
      <c r="B248" s="15" t="s">
        <v>54</v>
      </c>
      <c r="C248" s="15" t="s">
        <v>12</v>
      </c>
      <c r="D248" s="15" t="s">
        <v>31</v>
      </c>
      <c r="E248" s="15">
        <v>16</v>
      </c>
      <c r="F248" s="15">
        <v>12</v>
      </c>
      <c r="G248" s="15" t="s">
        <v>43</v>
      </c>
      <c r="H248" s="15" t="s">
        <v>61</v>
      </c>
      <c r="I248" s="15" t="s">
        <v>483</v>
      </c>
      <c r="J248" s="15">
        <v>45</v>
      </c>
      <c r="K248" s="59" t="str">
        <f t="shared" si="3"/>
        <v>Pass</v>
      </c>
    </row>
    <row r="249" spans="1:11" x14ac:dyDescent="0.3">
      <c r="A249" s="15" t="s">
        <v>508</v>
      </c>
      <c r="B249" s="15" t="s">
        <v>73</v>
      </c>
      <c r="C249" s="15" t="s">
        <v>55</v>
      </c>
      <c r="D249" s="15" t="s">
        <v>13</v>
      </c>
      <c r="E249" s="15">
        <v>15</v>
      </c>
      <c r="F249" s="15">
        <v>11</v>
      </c>
      <c r="G249" s="15" t="s">
        <v>43</v>
      </c>
      <c r="H249" s="15" t="s">
        <v>46</v>
      </c>
      <c r="I249" s="15" t="s">
        <v>509</v>
      </c>
      <c r="J249" s="15">
        <v>54</v>
      </c>
      <c r="K249" s="59" t="str">
        <f t="shared" si="3"/>
        <v>Pass</v>
      </c>
    </row>
    <row r="250" spans="1:11" x14ac:dyDescent="0.3">
      <c r="A250" s="15" t="s">
        <v>510</v>
      </c>
      <c r="B250" s="15" t="s">
        <v>54</v>
      </c>
      <c r="C250" s="15" t="s">
        <v>79</v>
      </c>
      <c r="D250" s="15" t="s">
        <v>31</v>
      </c>
      <c r="E250" s="15">
        <v>15</v>
      </c>
      <c r="F250" s="15">
        <v>9</v>
      </c>
      <c r="G250" s="15" t="s">
        <v>14</v>
      </c>
      <c r="H250" s="15" t="s">
        <v>40</v>
      </c>
      <c r="I250" s="15" t="s">
        <v>479</v>
      </c>
      <c r="J250" s="15">
        <v>66</v>
      </c>
      <c r="K250" s="59" t="str">
        <f t="shared" si="3"/>
        <v>Pass</v>
      </c>
    </row>
    <row r="251" spans="1:11" x14ac:dyDescent="0.3">
      <c r="A251" s="15" t="s">
        <v>511</v>
      </c>
      <c r="B251" s="15" t="s">
        <v>35</v>
      </c>
      <c r="C251" s="15" t="s">
        <v>19</v>
      </c>
      <c r="D251" s="15" t="s">
        <v>31</v>
      </c>
      <c r="E251" s="15">
        <v>15</v>
      </c>
      <c r="F251" s="15">
        <v>9</v>
      </c>
      <c r="G251" s="15" t="s">
        <v>25</v>
      </c>
      <c r="H251" s="15" t="s">
        <v>15</v>
      </c>
      <c r="I251" s="15" t="s">
        <v>512</v>
      </c>
      <c r="J251" s="15">
        <v>95</v>
      </c>
      <c r="K251" s="59" t="str">
        <f t="shared" si="3"/>
        <v>Pass</v>
      </c>
    </row>
    <row r="252" spans="1:11" x14ac:dyDescent="0.3">
      <c r="A252" s="15" t="s">
        <v>513</v>
      </c>
      <c r="B252" s="15" t="s">
        <v>11</v>
      </c>
      <c r="C252" s="15" t="s">
        <v>19</v>
      </c>
      <c r="D252" s="15" t="s">
        <v>31</v>
      </c>
      <c r="E252" s="15">
        <v>14</v>
      </c>
      <c r="F252" s="15">
        <v>12</v>
      </c>
      <c r="G252" s="15" t="s">
        <v>32</v>
      </c>
      <c r="H252" s="15" t="s">
        <v>15</v>
      </c>
      <c r="I252" s="15" t="s">
        <v>381</v>
      </c>
      <c r="J252" s="15">
        <v>65</v>
      </c>
      <c r="K252" s="59" t="str">
        <f t="shared" si="3"/>
        <v>Pass</v>
      </c>
    </row>
    <row r="253" spans="1:11" x14ac:dyDescent="0.3">
      <c r="A253" s="15" t="s">
        <v>514</v>
      </c>
      <c r="B253" s="15" t="s">
        <v>11</v>
      </c>
      <c r="C253" s="15" t="s">
        <v>12</v>
      </c>
      <c r="D253" s="15" t="s">
        <v>31</v>
      </c>
      <c r="E253" s="15">
        <v>15</v>
      </c>
      <c r="F253" s="15">
        <v>11</v>
      </c>
      <c r="G253" s="15" t="s">
        <v>25</v>
      </c>
      <c r="H253" s="15" t="s">
        <v>20</v>
      </c>
      <c r="I253" s="15" t="s">
        <v>515</v>
      </c>
      <c r="J253" s="15">
        <v>61</v>
      </c>
      <c r="K253" s="59" t="str">
        <f t="shared" si="3"/>
        <v>Pass</v>
      </c>
    </row>
    <row r="254" spans="1:11" x14ac:dyDescent="0.3">
      <c r="A254" s="15" t="s">
        <v>516</v>
      </c>
      <c r="B254" s="15" t="s">
        <v>18</v>
      </c>
      <c r="C254" s="15" t="s">
        <v>96</v>
      </c>
      <c r="D254" s="15" t="s">
        <v>31</v>
      </c>
      <c r="E254" s="15">
        <v>14</v>
      </c>
      <c r="F254" s="15">
        <v>11</v>
      </c>
      <c r="G254" s="15" t="s">
        <v>32</v>
      </c>
      <c r="H254" s="15" t="s">
        <v>46</v>
      </c>
      <c r="I254" s="15" t="s">
        <v>517</v>
      </c>
      <c r="J254" s="15">
        <v>86</v>
      </c>
      <c r="K254" s="59" t="str">
        <f t="shared" si="3"/>
        <v>Pass</v>
      </c>
    </row>
    <row r="255" spans="1:11" x14ac:dyDescent="0.3">
      <c r="A255" s="15" t="s">
        <v>518</v>
      </c>
      <c r="B255" s="15" t="s">
        <v>51</v>
      </c>
      <c r="C255" s="15" t="s">
        <v>96</v>
      </c>
      <c r="D255" s="15" t="s">
        <v>31</v>
      </c>
      <c r="E255" s="15">
        <v>17</v>
      </c>
      <c r="F255" s="15">
        <v>11</v>
      </c>
      <c r="G255" s="15" t="s">
        <v>25</v>
      </c>
      <c r="H255" s="15" t="s">
        <v>61</v>
      </c>
      <c r="I255" s="15" t="s">
        <v>519</v>
      </c>
      <c r="J255" s="15">
        <v>52</v>
      </c>
      <c r="K255" s="59" t="str">
        <f t="shared" si="3"/>
        <v>Pass</v>
      </c>
    </row>
    <row r="256" spans="1:11" x14ac:dyDescent="0.3">
      <c r="A256" s="15" t="s">
        <v>520</v>
      </c>
      <c r="B256" s="15" t="s">
        <v>68</v>
      </c>
      <c r="C256" s="15" t="s">
        <v>12</v>
      </c>
      <c r="D256" s="15" t="s">
        <v>31</v>
      </c>
      <c r="E256" s="15">
        <v>20</v>
      </c>
      <c r="F256" s="15">
        <v>10</v>
      </c>
      <c r="G256" s="15" t="s">
        <v>32</v>
      </c>
      <c r="H256" s="15" t="s">
        <v>26</v>
      </c>
      <c r="I256" s="15" t="s">
        <v>521</v>
      </c>
      <c r="J256" s="15">
        <v>42</v>
      </c>
      <c r="K256" s="59" t="str">
        <f t="shared" si="3"/>
        <v>Pass</v>
      </c>
    </row>
    <row r="257" spans="1:11" x14ac:dyDescent="0.3">
      <c r="A257" s="15" t="s">
        <v>522</v>
      </c>
      <c r="B257" s="15" t="s">
        <v>54</v>
      </c>
      <c r="C257" s="15" t="s">
        <v>79</v>
      </c>
      <c r="D257" s="15" t="s">
        <v>31</v>
      </c>
      <c r="E257" s="15">
        <v>18</v>
      </c>
      <c r="F257" s="15">
        <v>10</v>
      </c>
      <c r="G257" s="15" t="s">
        <v>14</v>
      </c>
      <c r="H257" s="15" t="s">
        <v>61</v>
      </c>
      <c r="I257" s="15" t="s">
        <v>523</v>
      </c>
      <c r="J257" s="15">
        <v>82</v>
      </c>
      <c r="K257" s="59" t="str">
        <f t="shared" si="3"/>
        <v>Pass</v>
      </c>
    </row>
    <row r="258" spans="1:11" x14ac:dyDescent="0.3">
      <c r="A258" s="15" t="s">
        <v>524</v>
      </c>
      <c r="B258" s="15" t="s">
        <v>35</v>
      </c>
      <c r="C258" s="15" t="s">
        <v>85</v>
      </c>
      <c r="D258" s="15" t="s">
        <v>13</v>
      </c>
      <c r="E258" s="15">
        <v>20</v>
      </c>
      <c r="F258" s="15">
        <v>10</v>
      </c>
      <c r="G258" s="15" t="s">
        <v>14</v>
      </c>
      <c r="H258" s="15" t="s">
        <v>40</v>
      </c>
      <c r="I258" s="15" t="s">
        <v>525</v>
      </c>
      <c r="J258" s="15">
        <v>92</v>
      </c>
      <c r="K258" s="59" t="str">
        <f t="shared" si="3"/>
        <v>Pass</v>
      </c>
    </row>
    <row r="259" spans="1:11" x14ac:dyDescent="0.3">
      <c r="A259" s="15" t="s">
        <v>526</v>
      </c>
      <c r="B259" s="15" t="s">
        <v>18</v>
      </c>
      <c r="C259" s="15" t="s">
        <v>12</v>
      </c>
      <c r="D259" s="15" t="s">
        <v>31</v>
      </c>
      <c r="E259" s="15">
        <v>18</v>
      </c>
      <c r="F259" s="15">
        <v>9</v>
      </c>
      <c r="G259" s="15" t="s">
        <v>14</v>
      </c>
      <c r="H259" s="15" t="s">
        <v>15</v>
      </c>
      <c r="I259" s="15" t="s">
        <v>346</v>
      </c>
      <c r="J259" s="15">
        <v>59</v>
      </c>
      <c r="K259" s="59" t="str">
        <f t="shared" si="3"/>
        <v>Pass</v>
      </c>
    </row>
    <row r="260" spans="1:11" x14ac:dyDescent="0.3">
      <c r="A260" s="15" t="s">
        <v>527</v>
      </c>
      <c r="B260" s="15" t="s">
        <v>11</v>
      </c>
      <c r="C260" s="15" t="s">
        <v>85</v>
      </c>
      <c r="D260" s="15" t="s">
        <v>13</v>
      </c>
      <c r="E260" s="15">
        <v>20</v>
      </c>
      <c r="F260" s="15">
        <v>12</v>
      </c>
      <c r="G260" s="15" t="s">
        <v>25</v>
      </c>
      <c r="H260" s="15" t="s">
        <v>46</v>
      </c>
      <c r="I260" s="15" t="s">
        <v>451</v>
      </c>
      <c r="J260" s="15">
        <v>86</v>
      </c>
      <c r="K260" s="59" t="str">
        <f t="shared" si="3"/>
        <v>Pass</v>
      </c>
    </row>
    <row r="261" spans="1:11" x14ac:dyDescent="0.3">
      <c r="A261" s="15" t="s">
        <v>528</v>
      </c>
      <c r="B261" s="15" t="s">
        <v>51</v>
      </c>
      <c r="C261" s="15" t="s">
        <v>19</v>
      </c>
      <c r="D261" s="15" t="s">
        <v>13</v>
      </c>
      <c r="E261" s="15">
        <v>19</v>
      </c>
      <c r="F261" s="15">
        <v>9</v>
      </c>
      <c r="G261" s="15" t="s">
        <v>43</v>
      </c>
      <c r="H261" s="15" t="s">
        <v>46</v>
      </c>
      <c r="I261" s="15" t="s">
        <v>222</v>
      </c>
      <c r="J261" s="15">
        <v>46</v>
      </c>
      <c r="K261" s="59" t="str">
        <f t="shared" ref="K261:K324" si="4">IF(J261&gt;=40,"Pass","Fail")</f>
        <v>Pass</v>
      </c>
    </row>
    <row r="262" spans="1:11" x14ac:dyDescent="0.3">
      <c r="A262" s="15" t="s">
        <v>529</v>
      </c>
      <c r="B262" s="15" t="s">
        <v>84</v>
      </c>
      <c r="C262" s="15" t="s">
        <v>24</v>
      </c>
      <c r="D262" s="15" t="s">
        <v>31</v>
      </c>
      <c r="E262" s="15">
        <v>20</v>
      </c>
      <c r="F262" s="15">
        <v>12</v>
      </c>
      <c r="G262" s="15" t="s">
        <v>25</v>
      </c>
      <c r="H262" s="15" t="s">
        <v>76</v>
      </c>
      <c r="I262" s="15" t="s">
        <v>186</v>
      </c>
      <c r="J262" s="15">
        <v>51</v>
      </c>
      <c r="K262" s="59" t="str">
        <f t="shared" si="4"/>
        <v>Pass</v>
      </c>
    </row>
    <row r="263" spans="1:11" x14ac:dyDescent="0.3">
      <c r="A263" s="15" t="s">
        <v>530</v>
      </c>
      <c r="B263" s="15" t="s">
        <v>54</v>
      </c>
      <c r="C263" s="15" t="s">
        <v>58</v>
      </c>
      <c r="D263" s="15" t="s">
        <v>13</v>
      </c>
      <c r="E263" s="15">
        <v>17</v>
      </c>
      <c r="F263" s="15">
        <v>10</v>
      </c>
      <c r="G263" s="15" t="s">
        <v>32</v>
      </c>
      <c r="H263" s="15" t="s">
        <v>15</v>
      </c>
      <c r="I263" s="15" t="s">
        <v>64</v>
      </c>
      <c r="J263" s="15">
        <v>46</v>
      </c>
      <c r="K263" s="59" t="str">
        <f t="shared" si="4"/>
        <v>Pass</v>
      </c>
    </row>
    <row r="264" spans="1:11" x14ac:dyDescent="0.3">
      <c r="A264" s="15" t="s">
        <v>531</v>
      </c>
      <c r="B264" s="15" t="s">
        <v>23</v>
      </c>
      <c r="C264" s="15" t="s">
        <v>36</v>
      </c>
      <c r="D264" s="15" t="s">
        <v>13</v>
      </c>
      <c r="E264" s="15">
        <v>20</v>
      </c>
      <c r="F264" s="15">
        <v>11</v>
      </c>
      <c r="G264" s="15" t="s">
        <v>43</v>
      </c>
      <c r="H264" s="15" t="s">
        <v>20</v>
      </c>
      <c r="I264" s="15" t="s">
        <v>178</v>
      </c>
      <c r="J264" s="15">
        <v>44</v>
      </c>
      <c r="K264" s="59" t="str">
        <f t="shared" si="4"/>
        <v>Pass</v>
      </c>
    </row>
    <row r="265" spans="1:11" x14ac:dyDescent="0.3">
      <c r="A265" s="15" t="s">
        <v>532</v>
      </c>
      <c r="B265" s="15" t="s">
        <v>51</v>
      </c>
      <c r="C265" s="15" t="s">
        <v>19</v>
      </c>
      <c r="D265" s="15" t="s">
        <v>31</v>
      </c>
      <c r="E265" s="15">
        <v>14</v>
      </c>
      <c r="F265" s="15">
        <v>11</v>
      </c>
      <c r="G265" s="15" t="s">
        <v>43</v>
      </c>
      <c r="H265" s="15" t="s">
        <v>20</v>
      </c>
      <c r="I265" s="15" t="s">
        <v>533</v>
      </c>
      <c r="J265" s="15">
        <v>93</v>
      </c>
      <c r="K265" s="59" t="str">
        <f t="shared" si="4"/>
        <v>Pass</v>
      </c>
    </row>
    <row r="266" spans="1:11" x14ac:dyDescent="0.3">
      <c r="A266" s="15" t="s">
        <v>534</v>
      </c>
      <c r="B266" s="15" t="s">
        <v>23</v>
      </c>
      <c r="C266" s="15" t="s">
        <v>19</v>
      </c>
      <c r="D266" s="15" t="s">
        <v>13</v>
      </c>
      <c r="E266" s="15">
        <v>20</v>
      </c>
      <c r="F266" s="15">
        <v>11</v>
      </c>
      <c r="G266" s="15" t="s">
        <v>32</v>
      </c>
      <c r="H266" s="15" t="s">
        <v>76</v>
      </c>
      <c r="I266" s="15" t="s">
        <v>358</v>
      </c>
      <c r="J266" s="15">
        <v>41</v>
      </c>
      <c r="K266" s="59" t="str">
        <f t="shared" si="4"/>
        <v>Pass</v>
      </c>
    </row>
    <row r="267" spans="1:11" x14ac:dyDescent="0.3">
      <c r="A267" s="15" t="s">
        <v>535</v>
      </c>
      <c r="B267" s="15" t="s">
        <v>84</v>
      </c>
      <c r="C267" s="15" t="s">
        <v>58</v>
      </c>
      <c r="D267" s="15" t="s">
        <v>13</v>
      </c>
      <c r="E267" s="15">
        <v>20</v>
      </c>
      <c r="F267" s="15">
        <v>9</v>
      </c>
      <c r="G267" s="15" t="s">
        <v>25</v>
      </c>
      <c r="H267" s="15" t="s">
        <v>46</v>
      </c>
      <c r="I267" s="15" t="s">
        <v>536</v>
      </c>
      <c r="J267" s="15">
        <v>58</v>
      </c>
      <c r="K267" s="59" t="str">
        <f t="shared" si="4"/>
        <v>Pass</v>
      </c>
    </row>
    <row r="268" spans="1:11" x14ac:dyDescent="0.3">
      <c r="A268" s="15" t="s">
        <v>537</v>
      </c>
      <c r="B268" s="15" t="s">
        <v>68</v>
      </c>
      <c r="C268" s="15" t="s">
        <v>36</v>
      </c>
      <c r="D268" s="15" t="s">
        <v>31</v>
      </c>
      <c r="E268" s="15">
        <v>16</v>
      </c>
      <c r="F268" s="15">
        <v>12</v>
      </c>
      <c r="G268" s="15" t="s">
        <v>25</v>
      </c>
      <c r="H268" s="15" t="s">
        <v>26</v>
      </c>
      <c r="I268" s="15" t="s">
        <v>538</v>
      </c>
      <c r="J268" s="15">
        <v>42</v>
      </c>
      <c r="K268" s="59" t="str">
        <f t="shared" si="4"/>
        <v>Pass</v>
      </c>
    </row>
    <row r="269" spans="1:11" x14ac:dyDescent="0.3">
      <c r="A269" s="15" t="s">
        <v>539</v>
      </c>
      <c r="B269" s="15" t="s">
        <v>73</v>
      </c>
      <c r="C269" s="15" t="s">
        <v>36</v>
      </c>
      <c r="D269" s="15" t="s">
        <v>31</v>
      </c>
      <c r="E269" s="15">
        <v>14</v>
      </c>
      <c r="F269" s="15">
        <v>12</v>
      </c>
      <c r="G269" s="15" t="s">
        <v>43</v>
      </c>
      <c r="H269" s="15" t="s">
        <v>61</v>
      </c>
      <c r="I269" s="15" t="s">
        <v>387</v>
      </c>
      <c r="J269" s="15">
        <v>37</v>
      </c>
      <c r="K269" s="59" t="str">
        <f t="shared" si="4"/>
        <v>Fail</v>
      </c>
    </row>
    <row r="270" spans="1:11" x14ac:dyDescent="0.3">
      <c r="A270" s="15" t="s">
        <v>540</v>
      </c>
      <c r="B270" s="15" t="s">
        <v>51</v>
      </c>
      <c r="C270" s="15" t="s">
        <v>85</v>
      </c>
      <c r="D270" s="15" t="s">
        <v>13</v>
      </c>
      <c r="E270" s="15">
        <v>18</v>
      </c>
      <c r="F270" s="15">
        <v>10</v>
      </c>
      <c r="G270" s="15" t="s">
        <v>14</v>
      </c>
      <c r="H270" s="15" t="s">
        <v>46</v>
      </c>
      <c r="I270" s="15" t="s">
        <v>541</v>
      </c>
      <c r="J270" s="15">
        <v>63</v>
      </c>
      <c r="K270" s="59" t="str">
        <f t="shared" si="4"/>
        <v>Pass</v>
      </c>
    </row>
    <row r="271" spans="1:11" x14ac:dyDescent="0.3">
      <c r="A271" s="15" t="s">
        <v>542</v>
      </c>
      <c r="B271" s="15" t="s">
        <v>84</v>
      </c>
      <c r="C271" s="15" t="s">
        <v>55</v>
      </c>
      <c r="D271" s="15" t="s">
        <v>31</v>
      </c>
      <c r="E271" s="15">
        <v>18</v>
      </c>
      <c r="F271" s="15">
        <v>12</v>
      </c>
      <c r="G271" s="15" t="s">
        <v>32</v>
      </c>
      <c r="H271" s="15" t="s">
        <v>40</v>
      </c>
      <c r="I271" s="15" t="s">
        <v>543</v>
      </c>
      <c r="J271" s="15">
        <v>51</v>
      </c>
      <c r="K271" s="59" t="str">
        <f t="shared" si="4"/>
        <v>Pass</v>
      </c>
    </row>
    <row r="272" spans="1:11" x14ac:dyDescent="0.3">
      <c r="A272" s="15" t="s">
        <v>544</v>
      </c>
      <c r="B272" s="15" t="s">
        <v>68</v>
      </c>
      <c r="C272" s="15" t="s">
        <v>19</v>
      </c>
      <c r="D272" s="15" t="s">
        <v>31</v>
      </c>
      <c r="E272" s="15">
        <v>16</v>
      </c>
      <c r="F272" s="15">
        <v>9</v>
      </c>
      <c r="G272" s="15" t="s">
        <v>14</v>
      </c>
      <c r="H272" s="15" t="s">
        <v>40</v>
      </c>
      <c r="I272" s="15" t="s">
        <v>545</v>
      </c>
      <c r="J272" s="15">
        <v>37</v>
      </c>
      <c r="K272" s="59" t="str">
        <f t="shared" si="4"/>
        <v>Fail</v>
      </c>
    </row>
    <row r="273" spans="1:11" x14ac:dyDescent="0.3">
      <c r="A273" s="15" t="s">
        <v>546</v>
      </c>
      <c r="B273" s="15" t="s">
        <v>51</v>
      </c>
      <c r="C273" s="15" t="s">
        <v>36</v>
      </c>
      <c r="D273" s="15" t="s">
        <v>31</v>
      </c>
      <c r="E273" s="15">
        <v>14</v>
      </c>
      <c r="F273" s="15">
        <v>9</v>
      </c>
      <c r="G273" s="15" t="s">
        <v>14</v>
      </c>
      <c r="H273" s="15" t="s">
        <v>46</v>
      </c>
      <c r="I273" s="15" t="s">
        <v>547</v>
      </c>
      <c r="J273" s="15">
        <v>81</v>
      </c>
      <c r="K273" s="59" t="str">
        <f t="shared" si="4"/>
        <v>Pass</v>
      </c>
    </row>
    <row r="274" spans="1:11" x14ac:dyDescent="0.3">
      <c r="A274" s="15" t="s">
        <v>548</v>
      </c>
      <c r="B274" s="15" t="s">
        <v>51</v>
      </c>
      <c r="C274" s="15" t="s">
        <v>24</v>
      </c>
      <c r="D274" s="15" t="s">
        <v>31</v>
      </c>
      <c r="E274" s="15">
        <v>15</v>
      </c>
      <c r="F274" s="15">
        <v>11</v>
      </c>
      <c r="G274" s="15" t="s">
        <v>32</v>
      </c>
      <c r="H274" s="15" t="s">
        <v>40</v>
      </c>
      <c r="I274" s="15" t="s">
        <v>549</v>
      </c>
      <c r="J274" s="15">
        <v>90</v>
      </c>
      <c r="K274" s="59" t="str">
        <f t="shared" si="4"/>
        <v>Pass</v>
      </c>
    </row>
    <row r="275" spans="1:11" x14ac:dyDescent="0.3">
      <c r="A275" s="15" t="s">
        <v>550</v>
      </c>
      <c r="B275" s="15" t="s">
        <v>73</v>
      </c>
      <c r="C275" s="15" t="s">
        <v>19</v>
      </c>
      <c r="D275" s="15" t="s">
        <v>13</v>
      </c>
      <c r="E275" s="15">
        <v>14</v>
      </c>
      <c r="F275" s="15">
        <v>11</v>
      </c>
      <c r="G275" s="15" t="s">
        <v>32</v>
      </c>
      <c r="H275" s="15" t="s">
        <v>26</v>
      </c>
      <c r="I275" s="15" t="s">
        <v>551</v>
      </c>
      <c r="J275" s="15">
        <v>90</v>
      </c>
      <c r="K275" s="59" t="str">
        <f t="shared" si="4"/>
        <v>Pass</v>
      </c>
    </row>
    <row r="276" spans="1:11" x14ac:dyDescent="0.3">
      <c r="A276" s="15" t="s">
        <v>552</v>
      </c>
      <c r="B276" s="15" t="s">
        <v>35</v>
      </c>
      <c r="C276" s="15" t="s">
        <v>30</v>
      </c>
      <c r="D276" s="15" t="s">
        <v>13</v>
      </c>
      <c r="E276" s="15">
        <v>19</v>
      </c>
      <c r="F276" s="15">
        <v>11</v>
      </c>
      <c r="G276" s="15" t="s">
        <v>14</v>
      </c>
      <c r="H276" s="15" t="s">
        <v>76</v>
      </c>
      <c r="I276" s="15" t="s">
        <v>553</v>
      </c>
      <c r="J276" s="15">
        <v>81</v>
      </c>
      <c r="K276" s="59" t="str">
        <f t="shared" si="4"/>
        <v>Pass</v>
      </c>
    </row>
    <row r="277" spans="1:11" x14ac:dyDescent="0.3">
      <c r="A277" s="15" t="s">
        <v>554</v>
      </c>
      <c r="B277" s="15" t="s">
        <v>29</v>
      </c>
      <c r="C277" s="15" t="s">
        <v>79</v>
      </c>
      <c r="D277" s="15" t="s">
        <v>13</v>
      </c>
      <c r="E277" s="15">
        <v>15</v>
      </c>
      <c r="F277" s="15">
        <v>9</v>
      </c>
      <c r="G277" s="15" t="s">
        <v>32</v>
      </c>
      <c r="H277" s="15" t="s">
        <v>76</v>
      </c>
      <c r="I277" s="15" t="s">
        <v>184</v>
      </c>
      <c r="J277" s="15">
        <v>53</v>
      </c>
      <c r="K277" s="59" t="str">
        <f t="shared" si="4"/>
        <v>Pass</v>
      </c>
    </row>
    <row r="278" spans="1:11" x14ac:dyDescent="0.3">
      <c r="A278" s="15" t="s">
        <v>555</v>
      </c>
      <c r="B278" s="15" t="s">
        <v>73</v>
      </c>
      <c r="C278" s="15" t="s">
        <v>55</v>
      </c>
      <c r="D278" s="15" t="s">
        <v>31</v>
      </c>
      <c r="E278" s="15">
        <v>16</v>
      </c>
      <c r="F278" s="15">
        <v>9</v>
      </c>
      <c r="G278" s="15" t="s">
        <v>14</v>
      </c>
      <c r="H278" s="15" t="s">
        <v>76</v>
      </c>
      <c r="I278" s="15" t="s">
        <v>556</v>
      </c>
      <c r="J278" s="15">
        <v>93</v>
      </c>
      <c r="K278" s="59" t="str">
        <f t="shared" si="4"/>
        <v>Pass</v>
      </c>
    </row>
    <row r="279" spans="1:11" x14ac:dyDescent="0.3">
      <c r="A279" s="15" t="s">
        <v>557</v>
      </c>
      <c r="B279" s="15" t="s">
        <v>23</v>
      </c>
      <c r="C279" s="15" t="s">
        <v>96</v>
      </c>
      <c r="D279" s="15" t="s">
        <v>13</v>
      </c>
      <c r="E279" s="15">
        <v>18</v>
      </c>
      <c r="F279" s="15">
        <v>11</v>
      </c>
      <c r="G279" s="15" t="s">
        <v>25</v>
      </c>
      <c r="H279" s="15" t="s">
        <v>76</v>
      </c>
      <c r="I279" s="15" t="s">
        <v>182</v>
      </c>
      <c r="J279" s="15">
        <v>77</v>
      </c>
      <c r="K279" s="59" t="str">
        <f t="shared" si="4"/>
        <v>Pass</v>
      </c>
    </row>
    <row r="280" spans="1:11" x14ac:dyDescent="0.3">
      <c r="A280" s="15" t="s">
        <v>558</v>
      </c>
      <c r="B280" s="15" t="s">
        <v>54</v>
      </c>
      <c r="C280" s="15" t="s">
        <v>30</v>
      </c>
      <c r="D280" s="15" t="s">
        <v>31</v>
      </c>
      <c r="E280" s="15">
        <v>19</v>
      </c>
      <c r="F280" s="15">
        <v>10</v>
      </c>
      <c r="G280" s="15" t="s">
        <v>43</v>
      </c>
      <c r="H280" s="15" t="s">
        <v>76</v>
      </c>
      <c r="I280" s="15" t="s">
        <v>559</v>
      </c>
      <c r="J280" s="15">
        <v>40</v>
      </c>
      <c r="K280" s="59" t="str">
        <f t="shared" si="4"/>
        <v>Pass</v>
      </c>
    </row>
    <row r="281" spans="1:11" x14ac:dyDescent="0.3">
      <c r="A281" s="15" t="s">
        <v>560</v>
      </c>
      <c r="B281" s="15" t="s">
        <v>68</v>
      </c>
      <c r="C281" s="15" t="s">
        <v>85</v>
      </c>
      <c r="D281" s="15" t="s">
        <v>31</v>
      </c>
      <c r="E281" s="15">
        <v>15</v>
      </c>
      <c r="F281" s="15">
        <v>10</v>
      </c>
      <c r="G281" s="15" t="s">
        <v>43</v>
      </c>
      <c r="H281" s="15" t="s">
        <v>26</v>
      </c>
      <c r="I281" s="15" t="s">
        <v>561</v>
      </c>
      <c r="J281" s="15">
        <v>63</v>
      </c>
      <c r="K281" s="59" t="str">
        <f t="shared" si="4"/>
        <v>Pass</v>
      </c>
    </row>
    <row r="282" spans="1:11" x14ac:dyDescent="0.3">
      <c r="A282" s="15" t="s">
        <v>562</v>
      </c>
      <c r="B282" s="15" t="s">
        <v>29</v>
      </c>
      <c r="C282" s="15" t="s">
        <v>79</v>
      </c>
      <c r="D282" s="15" t="s">
        <v>31</v>
      </c>
      <c r="E282" s="15">
        <v>15</v>
      </c>
      <c r="F282" s="15">
        <v>12</v>
      </c>
      <c r="G282" s="15" t="s">
        <v>32</v>
      </c>
      <c r="H282" s="15" t="s">
        <v>46</v>
      </c>
      <c r="I282" s="15" t="s">
        <v>121</v>
      </c>
      <c r="J282" s="15">
        <v>53</v>
      </c>
      <c r="K282" s="59" t="str">
        <f t="shared" si="4"/>
        <v>Pass</v>
      </c>
    </row>
    <row r="283" spans="1:11" x14ac:dyDescent="0.3">
      <c r="A283" s="15" t="s">
        <v>563</v>
      </c>
      <c r="B283" s="15" t="s">
        <v>35</v>
      </c>
      <c r="C283" s="15" t="s">
        <v>55</v>
      </c>
      <c r="D283" s="15" t="s">
        <v>31</v>
      </c>
      <c r="E283" s="15">
        <v>19</v>
      </c>
      <c r="F283" s="15">
        <v>10</v>
      </c>
      <c r="G283" s="15" t="s">
        <v>43</v>
      </c>
      <c r="H283" s="15" t="s">
        <v>46</v>
      </c>
      <c r="I283" s="15" t="s">
        <v>564</v>
      </c>
      <c r="J283" s="15">
        <v>72</v>
      </c>
      <c r="K283" s="59" t="str">
        <f t="shared" si="4"/>
        <v>Pass</v>
      </c>
    </row>
    <row r="284" spans="1:11" x14ac:dyDescent="0.3">
      <c r="A284" s="15" t="s">
        <v>565</v>
      </c>
      <c r="B284" s="15" t="s">
        <v>54</v>
      </c>
      <c r="C284" s="15" t="s">
        <v>79</v>
      </c>
      <c r="D284" s="15" t="s">
        <v>31</v>
      </c>
      <c r="E284" s="15">
        <v>20</v>
      </c>
      <c r="F284" s="15">
        <v>9</v>
      </c>
      <c r="G284" s="15" t="s">
        <v>43</v>
      </c>
      <c r="H284" s="15" t="s">
        <v>20</v>
      </c>
      <c r="I284" s="15" t="s">
        <v>566</v>
      </c>
      <c r="J284" s="15">
        <v>67</v>
      </c>
      <c r="K284" s="59" t="str">
        <f t="shared" si="4"/>
        <v>Pass</v>
      </c>
    </row>
    <row r="285" spans="1:11" x14ac:dyDescent="0.3">
      <c r="A285" s="15" t="s">
        <v>567</v>
      </c>
      <c r="B285" s="15" t="s">
        <v>54</v>
      </c>
      <c r="C285" s="15" t="s">
        <v>12</v>
      </c>
      <c r="D285" s="15" t="s">
        <v>31</v>
      </c>
      <c r="E285" s="15">
        <v>18</v>
      </c>
      <c r="F285" s="15">
        <v>12</v>
      </c>
      <c r="G285" s="15" t="s">
        <v>25</v>
      </c>
      <c r="H285" s="15" t="s">
        <v>26</v>
      </c>
      <c r="I285" s="15" t="s">
        <v>568</v>
      </c>
      <c r="J285" s="15">
        <v>96</v>
      </c>
      <c r="K285" s="59" t="str">
        <f t="shared" si="4"/>
        <v>Pass</v>
      </c>
    </row>
    <row r="286" spans="1:11" x14ac:dyDescent="0.3">
      <c r="A286" s="15" t="s">
        <v>569</v>
      </c>
      <c r="B286" s="15" t="s">
        <v>54</v>
      </c>
      <c r="C286" s="15" t="s">
        <v>12</v>
      </c>
      <c r="D286" s="15" t="s">
        <v>31</v>
      </c>
      <c r="E286" s="15">
        <v>17</v>
      </c>
      <c r="F286" s="15">
        <v>9</v>
      </c>
      <c r="G286" s="15" t="s">
        <v>25</v>
      </c>
      <c r="H286" s="15" t="s">
        <v>37</v>
      </c>
      <c r="I286" s="15" t="s">
        <v>570</v>
      </c>
      <c r="J286" s="15">
        <v>100</v>
      </c>
      <c r="K286" s="59" t="str">
        <f t="shared" si="4"/>
        <v>Pass</v>
      </c>
    </row>
    <row r="287" spans="1:11" x14ac:dyDescent="0.3">
      <c r="A287" s="15" t="s">
        <v>571</v>
      </c>
      <c r="B287" s="15" t="s">
        <v>68</v>
      </c>
      <c r="C287" s="15" t="s">
        <v>12</v>
      </c>
      <c r="D287" s="15" t="s">
        <v>13</v>
      </c>
      <c r="E287" s="15">
        <v>16</v>
      </c>
      <c r="F287" s="15">
        <v>10</v>
      </c>
      <c r="G287" s="15" t="s">
        <v>25</v>
      </c>
      <c r="H287" s="15" t="s">
        <v>26</v>
      </c>
      <c r="I287" s="15" t="s">
        <v>434</v>
      </c>
      <c r="J287" s="15">
        <v>63</v>
      </c>
      <c r="K287" s="59" t="str">
        <f t="shared" si="4"/>
        <v>Pass</v>
      </c>
    </row>
    <row r="288" spans="1:11" x14ac:dyDescent="0.3">
      <c r="A288" s="15" t="s">
        <v>572</v>
      </c>
      <c r="B288" s="15" t="s">
        <v>23</v>
      </c>
      <c r="C288" s="15" t="s">
        <v>19</v>
      </c>
      <c r="D288" s="15" t="s">
        <v>31</v>
      </c>
      <c r="E288" s="15">
        <v>19</v>
      </c>
      <c r="F288" s="15">
        <v>10</v>
      </c>
      <c r="G288" s="15" t="s">
        <v>32</v>
      </c>
      <c r="H288" s="15" t="s">
        <v>20</v>
      </c>
      <c r="I288" s="15" t="s">
        <v>400</v>
      </c>
      <c r="J288" s="15">
        <v>53</v>
      </c>
      <c r="K288" s="59" t="str">
        <f t="shared" si="4"/>
        <v>Pass</v>
      </c>
    </row>
    <row r="289" spans="1:11" x14ac:dyDescent="0.3">
      <c r="A289" s="15" t="s">
        <v>573</v>
      </c>
      <c r="B289" s="15" t="s">
        <v>54</v>
      </c>
      <c r="C289" s="15" t="s">
        <v>24</v>
      </c>
      <c r="D289" s="15" t="s">
        <v>13</v>
      </c>
      <c r="E289" s="15">
        <v>19</v>
      </c>
      <c r="F289" s="15">
        <v>9</v>
      </c>
      <c r="G289" s="15" t="s">
        <v>43</v>
      </c>
      <c r="H289" s="15" t="s">
        <v>46</v>
      </c>
      <c r="I289" s="15" t="s">
        <v>574</v>
      </c>
      <c r="J289" s="15">
        <v>94</v>
      </c>
      <c r="K289" s="59" t="str">
        <f t="shared" si="4"/>
        <v>Pass</v>
      </c>
    </row>
    <row r="290" spans="1:11" x14ac:dyDescent="0.3">
      <c r="A290" s="15" t="s">
        <v>575</v>
      </c>
      <c r="B290" s="15" t="s">
        <v>35</v>
      </c>
      <c r="C290" s="15" t="s">
        <v>30</v>
      </c>
      <c r="D290" s="15" t="s">
        <v>31</v>
      </c>
      <c r="E290" s="15">
        <v>14</v>
      </c>
      <c r="F290" s="15">
        <v>10</v>
      </c>
      <c r="G290" s="15" t="s">
        <v>32</v>
      </c>
      <c r="H290" s="15" t="s">
        <v>40</v>
      </c>
      <c r="I290" s="15" t="s">
        <v>576</v>
      </c>
      <c r="J290" s="15">
        <v>50</v>
      </c>
      <c r="K290" s="59" t="str">
        <f t="shared" si="4"/>
        <v>Pass</v>
      </c>
    </row>
    <row r="291" spans="1:11" x14ac:dyDescent="0.3">
      <c r="A291" s="15" t="s">
        <v>577</v>
      </c>
      <c r="B291" s="15" t="s">
        <v>84</v>
      </c>
      <c r="C291" s="15" t="s">
        <v>79</v>
      </c>
      <c r="D291" s="15" t="s">
        <v>31</v>
      </c>
      <c r="E291" s="15">
        <v>15</v>
      </c>
      <c r="F291" s="15">
        <v>11</v>
      </c>
      <c r="G291" s="15" t="s">
        <v>25</v>
      </c>
      <c r="H291" s="15" t="s">
        <v>40</v>
      </c>
      <c r="I291" s="15" t="s">
        <v>578</v>
      </c>
      <c r="J291" s="15">
        <v>72</v>
      </c>
      <c r="K291" s="59" t="str">
        <f t="shared" si="4"/>
        <v>Pass</v>
      </c>
    </row>
    <row r="292" spans="1:11" x14ac:dyDescent="0.3">
      <c r="A292" s="15" t="s">
        <v>579</v>
      </c>
      <c r="B292" s="15" t="s">
        <v>51</v>
      </c>
      <c r="C292" s="15" t="s">
        <v>55</v>
      </c>
      <c r="D292" s="15" t="s">
        <v>31</v>
      </c>
      <c r="E292" s="15">
        <v>20</v>
      </c>
      <c r="F292" s="15">
        <v>9</v>
      </c>
      <c r="G292" s="15" t="s">
        <v>25</v>
      </c>
      <c r="H292" s="15" t="s">
        <v>26</v>
      </c>
      <c r="I292" s="15" t="s">
        <v>212</v>
      </c>
      <c r="J292" s="15">
        <v>35</v>
      </c>
      <c r="K292" s="59" t="str">
        <f t="shared" si="4"/>
        <v>Fail</v>
      </c>
    </row>
    <row r="293" spans="1:11" x14ac:dyDescent="0.3">
      <c r="A293" s="15" t="s">
        <v>580</v>
      </c>
      <c r="B293" s="15" t="s">
        <v>29</v>
      </c>
      <c r="C293" s="15" t="s">
        <v>36</v>
      </c>
      <c r="D293" s="15" t="s">
        <v>13</v>
      </c>
      <c r="E293" s="15">
        <v>17</v>
      </c>
      <c r="F293" s="15">
        <v>10</v>
      </c>
      <c r="G293" s="15" t="s">
        <v>32</v>
      </c>
      <c r="H293" s="15" t="s">
        <v>15</v>
      </c>
      <c r="I293" s="15" t="s">
        <v>581</v>
      </c>
      <c r="J293" s="15">
        <v>37</v>
      </c>
      <c r="K293" s="59" t="str">
        <f t="shared" si="4"/>
        <v>Fail</v>
      </c>
    </row>
    <row r="294" spans="1:11" x14ac:dyDescent="0.3">
      <c r="A294" s="15" t="s">
        <v>582</v>
      </c>
      <c r="B294" s="15" t="s">
        <v>51</v>
      </c>
      <c r="C294" s="15" t="s">
        <v>55</v>
      </c>
      <c r="D294" s="15" t="s">
        <v>31</v>
      </c>
      <c r="E294" s="15">
        <v>14</v>
      </c>
      <c r="F294" s="15">
        <v>11</v>
      </c>
      <c r="G294" s="15" t="s">
        <v>25</v>
      </c>
      <c r="H294" s="15" t="s">
        <v>37</v>
      </c>
      <c r="I294" s="15" t="s">
        <v>583</v>
      </c>
      <c r="J294" s="15">
        <v>47</v>
      </c>
      <c r="K294" s="59" t="str">
        <f t="shared" si="4"/>
        <v>Pass</v>
      </c>
    </row>
    <row r="295" spans="1:11" x14ac:dyDescent="0.3">
      <c r="A295" s="15" t="s">
        <v>584</v>
      </c>
      <c r="B295" s="15" t="s">
        <v>68</v>
      </c>
      <c r="C295" s="15" t="s">
        <v>55</v>
      </c>
      <c r="D295" s="15" t="s">
        <v>31</v>
      </c>
      <c r="E295" s="15">
        <v>16</v>
      </c>
      <c r="F295" s="15">
        <v>9</v>
      </c>
      <c r="G295" s="15" t="s">
        <v>14</v>
      </c>
      <c r="H295" s="15" t="s">
        <v>61</v>
      </c>
      <c r="I295" s="15" t="s">
        <v>585</v>
      </c>
      <c r="J295" s="15">
        <v>59</v>
      </c>
      <c r="K295" s="59" t="str">
        <f t="shared" si="4"/>
        <v>Pass</v>
      </c>
    </row>
    <row r="296" spans="1:11" x14ac:dyDescent="0.3">
      <c r="A296" s="15" t="s">
        <v>586</v>
      </c>
      <c r="B296" s="15" t="s">
        <v>11</v>
      </c>
      <c r="C296" s="15" t="s">
        <v>24</v>
      </c>
      <c r="D296" s="15" t="s">
        <v>31</v>
      </c>
      <c r="E296" s="15">
        <v>17</v>
      </c>
      <c r="F296" s="15">
        <v>11</v>
      </c>
      <c r="G296" s="15" t="s">
        <v>43</v>
      </c>
      <c r="H296" s="15" t="s">
        <v>61</v>
      </c>
      <c r="I296" s="15" t="s">
        <v>587</v>
      </c>
      <c r="J296" s="15">
        <v>73</v>
      </c>
      <c r="K296" s="59" t="str">
        <f t="shared" si="4"/>
        <v>Pass</v>
      </c>
    </row>
    <row r="297" spans="1:11" x14ac:dyDescent="0.3">
      <c r="A297" s="15" t="s">
        <v>588</v>
      </c>
      <c r="B297" s="15" t="s">
        <v>68</v>
      </c>
      <c r="C297" s="15" t="s">
        <v>85</v>
      </c>
      <c r="D297" s="15" t="s">
        <v>31</v>
      </c>
      <c r="E297" s="15">
        <v>17</v>
      </c>
      <c r="F297" s="15">
        <v>9</v>
      </c>
      <c r="G297" s="15" t="s">
        <v>25</v>
      </c>
      <c r="H297" s="15" t="s">
        <v>61</v>
      </c>
      <c r="I297" s="15" t="s">
        <v>589</v>
      </c>
      <c r="J297" s="15">
        <v>45</v>
      </c>
      <c r="K297" s="59" t="str">
        <f t="shared" si="4"/>
        <v>Pass</v>
      </c>
    </row>
    <row r="298" spans="1:11" x14ac:dyDescent="0.3">
      <c r="A298" s="15" t="s">
        <v>590</v>
      </c>
      <c r="B298" s="15" t="s">
        <v>35</v>
      </c>
      <c r="C298" s="15" t="s">
        <v>12</v>
      </c>
      <c r="D298" s="15" t="s">
        <v>13</v>
      </c>
      <c r="E298" s="15">
        <v>14</v>
      </c>
      <c r="F298" s="15">
        <v>11</v>
      </c>
      <c r="G298" s="15" t="s">
        <v>25</v>
      </c>
      <c r="H298" s="15" t="s">
        <v>20</v>
      </c>
      <c r="I298" s="15" t="s">
        <v>591</v>
      </c>
      <c r="J298" s="15">
        <v>64</v>
      </c>
      <c r="K298" s="59" t="str">
        <f t="shared" si="4"/>
        <v>Pass</v>
      </c>
    </row>
    <row r="299" spans="1:11" x14ac:dyDescent="0.3">
      <c r="A299" s="15" t="s">
        <v>592</v>
      </c>
      <c r="B299" s="15" t="s">
        <v>51</v>
      </c>
      <c r="C299" s="15" t="s">
        <v>19</v>
      </c>
      <c r="D299" s="15" t="s">
        <v>31</v>
      </c>
      <c r="E299" s="15">
        <v>18</v>
      </c>
      <c r="F299" s="15">
        <v>10</v>
      </c>
      <c r="G299" s="15" t="s">
        <v>43</v>
      </c>
      <c r="H299" s="15" t="s">
        <v>76</v>
      </c>
      <c r="I299" s="15" t="s">
        <v>593</v>
      </c>
      <c r="J299" s="15">
        <v>98</v>
      </c>
      <c r="K299" s="59" t="str">
        <f t="shared" si="4"/>
        <v>Pass</v>
      </c>
    </row>
    <row r="300" spans="1:11" x14ac:dyDescent="0.3">
      <c r="A300" s="15" t="s">
        <v>594</v>
      </c>
      <c r="B300" s="15" t="s">
        <v>54</v>
      </c>
      <c r="C300" s="15" t="s">
        <v>55</v>
      </c>
      <c r="D300" s="15" t="s">
        <v>13</v>
      </c>
      <c r="E300" s="15">
        <v>20</v>
      </c>
      <c r="F300" s="15">
        <v>11</v>
      </c>
      <c r="G300" s="15" t="s">
        <v>43</v>
      </c>
      <c r="H300" s="15" t="s">
        <v>40</v>
      </c>
      <c r="I300" s="15" t="s">
        <v>595</v>
      </c>
      <c r="J300" s="15">
        <v>84</v>
      </c>
      <c r="K300" s="59" t="str">
        <f t="shared" si="4"/>
        <v>Pass</v>
      </c>
    </row>
    <row r="301" spans="1:11" x14ac:dyDescent="0.3">
      <c r="A301" s="15" t="s">
        <v>596</v>
      </c>
      <c r="B301" s="15" t="s">
        <v>11</v>
      </c>
      <c r="C301" s="15" t="s">
        <v>30</v>
      </c>
      <c r="D301" s="15" t="s">
        <v>13</v>
      </c>
      <c r="E301" s="15">
        <v>14</v>
      </c>
      <c r="F301" s="15">
        <v>9</v>
      </c>
      <c r="G301" s="15" t="s">
        <v>25</v>
      </c>
      <c r="H301" s="15" t="s">
        <v>76</v>
      </c>
      <c r="I301" s="15" t="s">
        <v>447</v>
      </c>
      <c r="J301" s="15">
        <v>62</v>
      </c>
      <c r="K301" s="59" t="str">
        <f t="shared" si="4"/>
        <v>Pass</v>
      </c>
    </row>
    <row r="302" spans="1:11" x14ac:dyDescent="0.3">
      <c r="A302" s="15" t="s">
        <v>597</v>
      </c>
      <c r="B302" s="15" t="s">
        <v>18</v>
      </c>
      <c r="C302" s="15" t="s">
        <v>85</v>
      </c>
      <c r="D302" s="15" t="s">
        <v>31</v>
      </c>
      <c r="E302" s="15">
        <v>18</v>
      </c>
      <c r="F302" s="15">
        <v>11</v>
      </c>
      <c r="G302" s="15" t="s">
        <v>43</v>
      </c>
      <c r="H302" s="15" t="s">
        <v>40</v>
      </c>
      <c r="I302" s="15" t="s">
        <v>598</v>
      </c>
      <c r="J302" s="15">
        <v>55</v>
      </c>
      <c r="K302" s="59" t="str">
        <f t="shared" si="4"/>
        <v>Pass</v>
      </c>
    </row>
    <row r="303" spans="1:11" x14ac:dyDescent="0.3">
      <c r="A303" s="15" t="s">
        <v>599</v>
      </c>
      <c r="B303" s="15" t="s">
        <v>84</v>
      </c>
      <c r="C303" s="15" t="s">
        <v>30</v>
      </c>
      <c r="D303" s="15" t="s">
        <v>13</v>
      </c>
      <c r="E303" s="15">
        <v>17</v>
      </c>
      <c r="F303" s="15">
        <v>11</v>
      </c>
      <c r="G303" s="15" t="s">
        <v>43</v>
      </c>
      <c r="H303" s="15" t="s">
        <v>15</v>
      </c>
      <c r="I303" s="15" t="s">
        <v>600</v>
      </c>
      <c r="J303" s="15">
        <v>73</v>
      </c>
      <c r="K303" s="59" t="str">
        <f t="shared" si="4"/>
        <v>Pass</v>
      </c>
    </row>
    <row r="304" spans="1:11" x14ac:dyDescent="0.3">
      <c r="A304" s="15" t="s">
        <v>601</v>
      </c>
      <c r="B304" s="15" t="s">
        <v>73</v>
      </c>
      <c r="C304" s="15" t="s">
        <v>55</v>
      </c>
      <c r="D304" s="15" t="s">
        <v>31</v>
      </c>
      <c r="E304" s="15">
        <v>17</v>
      </c>
      <c r="F304" s="15">
        <v>11</v>
      </c>
      <c r="G304" s="15" t="s">
        <v>43</v>
      </c>
      <c r="H304" s="15" t="s">
        <v>61</v>
      </c>
      <c r="I304" s="15" t="s">
        <v>502</v>
      </c>
      <c r="J304" s="15">
        <v>76</v>
      </c>
      <c r="K304" s="59" t="str">
        <f t="shared" si="4"/>
        <v>Pass</v>
      </c>
    </row>
    <row r="305" spans="1:11" x14ac:dyDescent="0.3">
      <c r="A305" s="15" t="s">
        <v>602</v>
      </c>
      <c r="B305" s="15" t="s">
        <v>23</v>
      </c>
      <c r="C305" s="15" t="s">
        <v>19</v>
      </c>
      <c r="D305" s="15" t="s">
        <v>13</v>
      </c>
      <c r="E305" s="15">
        <v>15</v>
      </c>
      <c r="F305" s="15">
        <v>12</v>
      </c>
      <c r="G305" s="15" t="s">
        <v>14</v>
      </c>
      <c r="H305" s="15" t="s">
        <v>61</v>
      </c>
      <c r="I305" s="15" t="s">
        <v>603</v>
      </c>
      <c r="J305" s="15">
        <v>54</v>
      </c>
      <c r="K305" s="59" t="str">
        <f t="shared" si="4"/>
        <v>Pass</v>
      </c>
    </row>
    <row r="306" spans="1:11" x14ac:dyDescent="0.3">
      <c r="A306" s="15" t="s">
        <v>604</v>
      </c>
      <c r="B306" s="15" t="s">
        <v>51</v>
      </c>
      <c r="C306" s="15" t="s">
        <v>85</v>
      </c>
      <c r="D306" s="15" t="s">
        <v>31</v>
      </c>
      <c r="E306" s="15">
        <v>20</v>
      </c>
      <c r="F306" s="15">
        <v>12</v>
      </c>
      <c r="G306" s="15" t="s">
        <v>25</v>
      </c>
      <c r="H306" s="15" t="s">
        <v>26</v>
      </c>
      <c r="I306" s="15" t="s">
        <v>299</v>
      </c>
      <c r="J306" s="15">
        <v>69</v>
      </c>
      <c r="K306" s="59" t="str">
        <f t="shared" si="4"/>
        <v>Pass</v>
      </c>
    </row>
    <row r="307" spans="1:11" x14ac:dyDescent="0.3">
      <c r="A307" s="15" t="s">
        <v>605</v>
      </c>
      <c r="B307" s="15" t="s">
        <v>54</v>
      </c>
      <c r="C307" s="15" t="s">
        <v>19</v>
      </c>
      <c r="D307" s="15" t="s">
        <v>31</v>
      </c>
      <c r="E307" s="15">
        <v>20</v>
      </c>
      <c r="F307" s="15">
        <v>10</v>
      </c>
      <c r="G307" s="15" t="s">
        <v>43</v>
      </c>
      <c r="H307" s="15" t="s">
        <v>37</v>
      </c>
      <c r="I307" s="15" t="s">
        <v>606</v>
      </c>
      <c r="J307" s="15">
        <v>99</v>
      </c>
      <c r="K307" s="59" t="str">
        <f t="shared" si="4"/>
        <v>Pass</v>
      </c>
    </row>
    <row r="308" spans="1:11" x14ac:dyDescent="0.3">
      <c r="A308" s="15" t="s">
        <v>607</v>
      </c>
      <c r="B308" s="15" t="s">
        <v>68</v>
      </c>
      <c r="C308" s="15" t="s">
        <v>55</v>
      </c>
      <c r="D308" s="15" t="s">
        <v>13</v>
      </c>
      <c r="E308" s="15">
        <v>19</v>
      </c>
      <c r="F308" s="15">
        <v>11</v>
      </c>
      <c r="G308" s="15" t="s">
        <v>25</v>
      </c>
      <c r="H308" s="15" t="s">
        <v>20</v>
      </c>
      <c r="I308" s="15" t="s">
        <v>608</v>
      </c>
      <c r="J308" s="15">
        <v>43</v>
      </c>
      <c r="K308" s="59" t="str">
        <f t="shared" si="4"/>
        <v>Pass</v>
      </c>
    </row>
    <row r="309" spans="1:11" x14ac:dyDescent="0.3">
      <c r="A309" s="15" t="s">
        <v>609</v>
      </c>
      <c r="B309" s="15" t="s">
        <v>68</v>
      </c>
      <c r="C309" s="15" t="s">
        <v>58</v>
      </c>
      <c r="D309" s="15" t="s">
        <v>13</v>
      </c>
      <c r="E309" s="15">
        <v>14</v>
      </c>
      <c r="F309" s="15">
        <v>10</v>
      </c>
      <c r="G309" s="15" t="s">
        <v>25</v>
      </c>
      <c r="H309" s="15" t="s">
        <v>37</v>
      </c>
      <c r="I309" s="15" t="s">
        <v>610</v>
      </c>
      <c r="J309" s="15">
        <v>90</v>
      </c>
      <c r="K309" s="59" t="str">
        <f t="shared" si="4"/>
        <v>Pass</v>
      </c>
    </row>
    <row r="310" spans="1:11" x14ac:dyDescent="0.3">
      <c r="A310" s="15" t="s">
        <v>611</v>
      </c>
      <c r="B310" s="15" t="s">
        <v>18</v>
      </c>
      <c r="C310" s="15" t="s">
        <v>24</v>
      </c>
      <c r="D310" s="15" t="s">
        <v>31</v>
      </c>
      <c r="E310" s="15">
        <v>19</v>
      </c>
      <c r="F310" s="15">
        <v>12</v>
      </c>
      <c r="G310" s="15" t="s">
        <v>43</v>
      </c>
      <c r="H310" s="15" t="s">
        <v>26</v>
      </c>
      <c r="I310" s="15" t="s">
        <v>612</v>
      </c>
      <c r="J310" s="15">
        <v>82</v>
      </c>
      <c r="K310" s="59" t="str">
        <f t="shared" si="4"/>
        <v>Pass</v>
      </c>
    </row>
    <row r="311" spans="1:11" x14ac:dyDescent="0.3">
      <c r="A311" s="15" t="s">
        <v>613</v>
      </c>
      <c r="B311" s="15" t="s">
        <v>68</v>
      </c>
      <c r="C311" s="15" t="s">
        <v>85</v>
      </c>
      <c r="D311" s="15" t="s">
        <v>31</v>
      </c>
      <c r="E311" s="15">
        <v>15</v>
      </c>
      <c r="F311" s="15">
        <v>9</v>
      </c>
      <c r="G311" s="15" t="s">
        <v>32</v>
      </c>
      <c r="H311" s="15" t="s">
        <v>37</v>
      </c>
      <c r="I311" s="15" t="s">
        <v>614</v>
      </c>
      <c r="J311" s="15">
        <v>39</v>
      </c>
      <c r="K311" s="59" t="str">
        <f t="shared" si="4"/>
        <v>Fail</v>
      </c>
    </row>
    <row r="312" spans="1:11" x14ac:dyDescent="0.3">
      <c r="A312" s="15" t="s">
        <v>615</v>
      </c>
      <c r="B312" s="15" t="s">
        <v>18</v>
      </c>
      <c r="C312" s="15" t="s">
        <v>12</v>
      </c>
      <c r="D312" s="15" t="s">
        <v>13</v>
      </c>
      <c r="E312" s="15">
        <v>17</v>
      </c>
      <c r="F312" s="15">
        <v>12</v>
      </c>
      <c r="G312" s="15" t="s">
        <v>14</v>
      </c>
      <c r="H312" s="15" t="s">
        <v>61</v>
      </c>
      <c r="I312" s="15" t="s">
        <v>616</v>
      </c>
      <c r="J312" s="15">
        <v>99</v>
      </c>
      <c r="K312" s="59" t="str">
        <f t="shared" si="4"/>
        <v>Pass</v>
      </c>
    </row>
    <row r="313" spans="1:11" x14ac:dyDescent="0.3">
      <c r="A313" s="15" t="s">
        <v>617</v>
      </c>
      <c r="B313" s="15" t="s">
        <v>35</v>
      </c>
      <c r="C313" s="15" t="s">
        <v>12</v>
      </c>
      <c r="D313" s="15" t="s">
        <v>13</v>
      </c>
      <c r="E313" s="15">
        <v>15</v>
      </c>
      <c r="F313" s="15">
        <v>9</v>
      </c>
      <c r="G313" s="15" t="s">
        <v>25</v>
      </c>
      <c r="H313" s="15" t="s">
        <v>46</v>
      </c>
      <c r="I313" s="15" t="s">
        <v>155</v>
      </c>
      <c r="J313" s="15">
        <v>85</v>
      </c>
      <c r="K313" s="59" t="str">
        <f t="shared" si="4"/>
        <v>Pass</v>
      </c>
    </row>
    <row r="314" spans="1:11" x14ac:dyDescent="0.3">
      <c r="A314" s="15" t="s">
        <v>618</v>
      </c>
      <c r="B314" s="15" t="s">
        <v>73</v>
      </c>
      <c r="C314" s="15" t="s">
        <v>85</v>
      </c>
      <c r="D314" s="15" t="s">
        <v>31</v>
      </c>
      <c r="E314" s="15">
        <v>14</v>
      </c>
      <c r="F314" s="15">
        <v>11</v>
      </c>
      <c r="G314" s="15" t="s">
        <v>25</v>
      </c>
      <c r="H314" s="15" t="s">
        <v>20</v>
      </c>
      <c r="I314" s="15" t="s">
        <v>619</v>
      </c>
      <c r="J314" s="15">
        <v>67</v>
      </c>
      <c r="K314" s="59" t="str">
        <f t="shared" si="4"/>
        <v>Pass</v>
      </c>
    </row>
    <row r="315" spans="1:11" x14ac:dyDescent="0.3">
      <c r="A315" s="15" t="s">
        <v>620</v>
      </c>
      <c r="B315" s="15" t="s">
        <v>84</v>
      </c>
      <c r="C315" s="15" t="s">
        <v>24</v>
      </c>
      <c r="D315" s="15" t="s">
        <v>31</v>
      </c>
      <c r="E315" s="15">
        <v>19</v>
      </c>
      <c r="F315" s="15">
        <v>12</v>
      </c>
      <c r="G315" s="15" t="s">
        <v>14</v>
      </c>
      <c r="H315" s="15" t="s">
        <v>61</v>
      </c>
      <c r="I315" s="15" t="s">
        <v>621</v>
      </c>
      <c r="J315" s="15">
        <v>77</v>
      </c>
      <c r="K315" s="59" t="str">
        <f t="shared" si="4"/>
        <v>Pass</v>
      </c>
    </row>
    <row r="316" spans="1:11" x14ac:dyDescent="0.3">
      <c r="A316" s="15" t="s">
        <v>622</v>
      </c>
      <c r="B316" s="15" t="s">
        <v>23</v>
      </c>
      <c r="C316" s="15" t="s">
        <v>96</v>
      </c>
      <c r="D316" s="15" t="s">
        <v>31</v>
      </c>
      <c r="E316" s="15">
        <v>17</v>
      </c>
      <c r="F316" s="15">
        <v>12</v>
      </c>
      <c r="G316" s="15" t="s">
        <v>43</v>
      </c>
      <c r="H316" s="15" t="s">
        <v>46</v>
      </c>
      <c r="I316" s="15" t="s">
        <v>170</v>
      </c>
      <c r="J316" s="15">
        <v>62</v>
      </c>
      <c r="K316" s="59" t="str">
        <f t="shared" si="4"/>
        <v>Pass</v>
      </c>
    </row>
    <row r="317" spans="1:11" x14ac:dyDescent="0.3">
      <c r="A317" s="15" t="s">
        <v>623</v>
      </c>
      <c r="B317" s="15" t="s">
        <v>29</v>
      </c>
      <c r="C317" s="15" t="s">
        <v>12</v>
      </c>
      <c r="D317" s="15" t="s">
        <v>31</v>
      </c>
      <c r="E317" s="15">
        <v>19</v>
      </c>
      <c r="F317" s="15">
        <v>11</v>
      </c>
      <c r="G317" s="15" t="s">
        <v>25</v>
      </c>
      <c r="H317" s="15" t="s">
        <v>76</v>
      </c>
      <c r="I317" s="15" t="s">
        <v>624</v>
      </c>
      <c r="J317" s="15">
        <v>49</v>
      </c>
      <c r="K317" s="59" t="str">
        <f t="shared" si="4"/>
        <v>Pass</v>
      </c>
    </row>
    <row r="318" spans="1:11" x14ac:dyDescent="0.3">
      <c r="A318" s="15" t="s">
        <v>625</v>
      </c>
      <c r="B318" s="15" t="s">
        <v>68</v>
      </c>
      <c r="C318" s="15" t="s">
        <v>96</v>
      </c>
      <c r="D318" s="15" t="s">
        <v>31</v>
      </c>
      <c r="E318" s="15">
        <v>19</v>
      </c>
      <c r="F318" s="15">
        <v>12</v>
      </c>
      <c r="G318" s="15" t="s">
        <v>32</v>
      </c>
      <c r="H318" s="15" t="s">
        <v>15</v>
      </c>
      <c r="I318" s="15" t="s">
        <v>626</v>
      </c>
      <c r="J318" s="15">
        <v>86</v>
      </c>
      <c r="K318" s="59" t="str">
        <f t="shared" si="4"/>
        <v>Pass</v>
      </c>
    </row>
    <row r="319" spans="1:11" x14ac:dyDescent="0.3">
      <c r="A319" s="15" t="s">
        <v>627</v>
      </c>
      <c r="B319" s="15" t="s">
        <v>35</v>
      </c>
      <c r="C319" s="15" t="s">
        <v>85</v>
      </c>
      <c r="D319" s="15" t="s">
        <v>31</v>
      </c>
      <c r="E319" s="15">
        <v>16</v>
      </c>
      <c r="F319" s="15">
        <v>9</v>
      </c>
      <c r="G319" s="15" t="s">
        <v>43</v>
      </c>
      <c r="H319" s="15" t="s">
        <v>20</v>
      </c>
      <c r="I319" s="15" t="s">
        <v>628</v>
      </c>
      <c r="J319" s="15">
        <v>84</v>
      </c>
      <c r="K319" s="59" t="str">
        <f t="shared" si="4"/>
        <v>Pass</v>
      </c>
    </row>
    <row r="320" spans="1:11" x14ac:dyDescent="0.3">
      <c r="A320" s="15" t="s">
        <v>629</v>
      </c>
      <c r="B320" s="15" t="s">
        <v>35</v>
      </c>
      <c r="C320" s="15" t="s">
        <v>58</v>
      </c>
      <c r="D320" s="15" t="s">
        <v>13</v>
      </c>
      <c r="E320" s="15">
        <v>18</v>
      </c>
      <c r="F320" s="15">
        <v>9</v>
      </c>
      <c r="G320" s="15" t="s">
        <v>25</v>
      </c>
      <c r="H320" s="15" t="s">
        <v>76</v>
      </c>
      <c r="I320" s="15" t="s">
        <v>105</v>
      </c>
      <c r="J320" s="15">
        <v>82</v>
      </c>
      <c r="K320" s="59" t="str">
        <f t="shared" si="4"/>
        <v>Pass</v>
      </c>
    </row>
    <row r="321" spans="1:11" x14ac:dyDescent="0.3">
      <c r="A321" s="15" t="s">
        <v>630</v>
      </c>
      <c r="B321" s="15" t="s">
        <v>84</v>
      </c>
      <c r="C321" s="15" t="s">
        <v>96</v>
      </c>
      <c r="D321" s="15" t="s">
        <v>31</v>
      </c>
      <c r="E321" s="15">
        <v>19</v>
      </c>
      <c r="F321" s="15">
        <v>10</v>
      </c>
      <c r="G321" s="15" t="s">
        <v>43</v>
      </c>
      <c r="H321" s="15" t="s">
        <v>20</v>
      </c>
      <c r="I321" s="15" t="s">
        <v>631</v>
      </c>
      <c r="J321" s="15">
        <v>63</v>
      </c>
      <c r="K321" s="59" t="str">
        <f t="shared" si="4"/>
        <v>Pass</v>
      </c>
    </row>
    <row r="322" spans="1:11" x14ac:dyDescent="0.3">
      <c r="A322" s="15" t="s">
        <v>632</v>
      </c>
      <c r="B322" s="15" t="s">
        <v>54</v>
      </c>
      <c r="C322" s="15" t="s">
        <v>55</v>
      </c>
      <c r="D322" s="15" t="s">
        <v>31</v>
      </c>
      <c r="E322" s="15">
        <v>19</v>
      </c>
      <c r="F322" s="15">
        <v>11</v>
      </c>
      <c r="G322" s="15" t="s">
        <v>25</v>
      </c>
      <c r="H322" s="15" t="s">
        <v>61</v>
      </c>
      <c r="I322" s="15" t="s">
        <v>633</v>
      </c>
      <c r="J322" s="15">
        <v>82</v>
      </c>
      <c r="K322" s="59" t="str">
        <f t="shared" si="4"/>
        <v>Pass</v>
      </c>
    </row>
    <row r="323" spans="1:11" x14ac:dyDescent="0.3">
      <c r="A323" s="15" t="s">
        <v>634</v>
      </c>
      <c r="B323" s="15" t="s">
        <v>54</v>
      </c>
      <c r="C323" s="15" t="s">
        <v>30</v>
      </c>
      <c r="D323" s="15" t="s">
        <v>31</v>
      </c>
      <c r="E323" s="15">
        <v>15</v>
      </c>
      <c r="F323" s="15">
        <v>9</v>
      </c>
      <c r="G323" s="15" t="s">
        <v>25</v>
      </c>
      <c r="H323" s="15" t="s">
        <v>40</v>
      </c>
      <c r="I323" s="15" t="s">
        <v>635</v>
      </c>
      <c r="J323" s="15">
        <v>53</v>
      </c>
      <c r="K323" s="59" t="str">
        <f t="shared" si="4"/>
        <v>Pass</v>
      </c>
    </row>
    <row r="324" spans="1:11" x14ac:dyDescent="0.3">
      <c r="A324" s="15" t="s">
        <v>636</v>
      </c>
      <c r="B324" s="15" t="s">
        <v>11</v>
      </c>
      <c r="C324" s="15" t="s">
        <v>79</v>
      </c>
      <c r="D324" s="15" t="s">
        <v>13</v>
      </c>
      <c r="E324" s="15">
        <v>19</v>
      </c>
      <c r="F324" s="15">
        <v>9</v>
      </c>
      <c r="G324" s="15" t="s">
        <v>32</v>
      </c>
      <c r="H324" s="15" t="s">
        <v>76</v>
      </c>
      <c r="I324" s="15" t="s">
        <v>637</v>
      </c>
      <c r="J324" s="15">
        <v>97</v>
      </c>
      <c r="K324" s="59" t="str">
        <f t="shared" si="4"/>
        <v>Pass</v>
      </c>
    </row>
    <row r="325" spans="1:11" x14ac:dyDescent="0.3">
      <c r="A325" s="15" t="s">
        <v>638</v>
      </c>
      <c r="B325" s="15" t="s">
        <v>54</v>
      </c>
      <c r="C325" s="15" t="s">
        <v>12</v>
      </c>
      <c r="D325" s="15" t="s">
        <v>31</v>
      </c>
      <c r="E325" s="15">
        <v>15</v>
      </c>
      <c r="F325" s="15">
        <v>12</v>
      </c>
      <c r="G325" s="15" t="s">
        <v>43</v>
      </c>
      <c r="H325" s="15" t="s">
        <v>76</v>
      </c>
      <c r="I325" s="15" t="s">
        <v>639</v>
      </c>
      <c r="J325" s="15">
        <v>51</v>
      </c>
      <c r="K325" s="59" t="str">
        <f t="shared" ref="K325:K388" si="5">IF(J325&gt;=40,"Pass","Fail")</f>
        <v>Pass</v>
      </c>
    </row>
    <row r="326" spans="1:11" x14ac:dyDescent="0.3">
      <c r="A326" s="15" t="s">
        <v>640</v>
      </c>
      <c r="B326" s="15" t="s">
        <v>84</v>
      </c>
      <c r="C326" s="15" t="s">
        <v>79</v>
      </c>
      <c r="D326" s="15" t="s">
        <v>31</v>
      </c>
      <c r="E326" s="15">
        <v>14</v>
      </c>
      <c r="F326" s="15">
        <v>9</v>
      </c>
      <c r="G326" s="15" t="s">
        <v>14</v>
      </c>
      <c r="H326" s="15" t="s">
        <v>37</v>
      </c>
      <c r="I326" s="15" t="s">
        <v>641</v>
      </c>
      <c r="J326" s="15">
        <v>43</v>
      </c>
      <c r="K326" s="59" t="str">
        <f t="shared" si="5"/>
        <v>Pass</v>
      </c>
    </row>
    <row r="327" spans="1:11" x14ac:dyDescent="0.3">
      <c r="A327" s="15" t="s">
        <v>642</v>
      </c>
      <c r="B327" s="15" t="s">
        <v>18</v>
      </c>
      <c r="C327" s="15" t="s">
        <v>19</v>
      </c>
      <c r="D327" s="15" t="s">
        <v>13</v>
      </c>
      <c r="E327" s="15">
        <v>14</v>
      </c>
      <c r="F327" s="15">
        <v>9</v>
      </c>
      <c r="G327" s="15" t="s">
        <v>43</v>
      </c>
      <c r="H327" s="15" t="s">
        <v>20</v>
      </c>
      <c r="I327" s="15" t="s">
        <v>643</v>
      </c>
      <c r="J327" s="15">
        <v>57</v>
      </c>
      <c r="K327" s="59" t="str">
        <f t="shared" si="5"/>
        <v>Pass</v>
      </c>
    </row>
    <row r="328" spans="1:11" x14ac:dyDescent="0.3">
      <c r="A328" s="15" t="s">
        <v>644</v>
      </c>
      <c r="B328" s="15" t="s">
        <v>51</v>
      </c>
      <c r="C328" s="15" t="s">
        <v>36</v>
      </c>
      <c r="D328" s="15" t="s">
        <v>31</v>
      </c>
      <c r="E328" s="15">
        <v>16</v>
      </c>
      <c r="F328" s="15">
        <v>11</v>
      </c>
      <c r="G328" s="15" t="s">
        <v>43</v>
      </c>
      <c r="H328" s="15" t="s">
        <v>20</v>
      </c>
      <c r="I328" s="15" t="s">
        <v>645</v>
      </c>
      <c r="J328" s="15">
        <v>81</v>
      </c>
      <c r="K328" s="59" t="str">
        <f t="shared" si="5"/>
        <v>Pass</v>
      </c>
    </row>
    <row r="329" spans="1:11" x14ac:dyDescent="0.3">
      <c r="A329" s="15" t="s">
        <v>646</v>
      </c>
      <c r="B329" s="15" t="s">
        <v>84</v>
      </c>
      <c r="C329" s="15" t="s">
        <v>12</v>
      </c>
      <c r="D329" s="15" t="s">
        <v>31</v>
      </c>
      <c r="E329" s="15">
        <v>17</v>
      </c>
      <c r="F329" s="15">
        <v>12</v>
      </c>
      <c r="G329" s="15" t="s">
        <v>25</v>
      </c>
      <c r="H329" s="15" t="s">
        <v>76</v>
      </c>
      <c r="I329" s="15" t="s">
        <v>647</v>
      </c>
      <c r="J329" s="15">
        <v>83</v>
      </c>
      <c r="K329" s="59" t="str">
        <f t="shared" si="5"/>
        <v>Pass</v>
      </c>
    </row>
    <row r="330" spans="1:11" x14ac:dyDescent="0.3">
      <c r="A330" s="15" t="s">
        <v>648</v>
      </c>
      <c r="B330" s="15" t="s">
        <v>51</v>
      </c>
      <c r="C330" s="15" t="s">
        <v>79</v>
      </c>
      <c r="D330" s="15" t="s">
        <v>13</v>
      </c>
      <c r="E330" s="15">
        <v>14</v>
      </c>
      <c r="F330" s="15">
        <v>9</v>
      </c>
      <c r="G330" s="15" t="s">
        <v>25</v>
      </c>
      <c r="H330" s="15" t="s">
        <v>15</v>
      </c>
      <c r="I330" s="15" t="s">
        <v>649</v>
      </c>
      <c r="J330" s="15">
        <v>77</v>
      </c>
      <c r="K330" s="59" t="str">
        <f t="shared" si="5"/>
        <v>Pass</v>
      </c>
    </row>
    <row r="331" spans="1:11" x14ac:dyDescent="0.3">
      <c r="A331" s="15" t="s">
        <v>650</v>
      </c>
      <c r="B331" s="15" t="s">
        <v>23</v>
      </c>
      <c r="C331" s="15" t="s">
        <v>24</v>
      </c>
      <c r="D331" s="15" t="s">
        <v>13</v>
      </c>
      <c r="E331" s="15">
        <v>17</v>
      </c>
      <c r="F331" s="15">
        <v>12</v>
      </c>
      <c r="G331" s="15" t="s">
        <v>25</v>
      </c>
      <c r="H331" s="15" t="s">
        <v>46</v>
      </c>
      <c r="I331" s="15" t="s">
        <v>651</v>
      </c>
      <c r="J331" s="15">
        <v>45</v>
      </c>
      <c r="K331" s="59" t="str">
        <f t="shared" si="5"/>
        <v>Pass</v>
      </c>
    </row>
    <row r="332" spans="1:11" x14ac:dyDescent="0.3">
      <c r="A332" s="15" t="s">
        <v>652</v>
      </c>
      <c r="B332" s="15" t="s">
        <v>51</v>
      </c>
      <c r="C332" s="15" t="s">
        <v>55</v>
      </c>
      <c r="D332" s="15" t="s">
        <v>13</v>
      </c>
      <c r="E332" s="15">
        <v>16</v>
      </c>
      <c r="F332" s="15">
        <v>12</v>
      </c>
      <c r="G332" s="15" t="s">
        <v>32</v>
      </c>
      <c r="H332" s="15" t="s">
        <v>61</v>
      </c>
      <c r="I332" s="15" t="s">
        <v>653</v>
      </c>
      <c r="J332" s="15">
        <v>45</v>
      </c>
      <c r="K332" s="59" t="str">
        <f t="shared" si="5"/>
        <v>Pass</v>
      </c>
    </row>
    <row r="333" spans="1:11" x14ac:dyDescent="0.3">
      <c r="A333" s="15" t="s">
        <v>654</v>
      </c>
      <c r="B333" s="15" t="s">
        <v>18</v>
      </c>
      <c r="C333" s="15" t="s">
        <v>24</v>
      </c>
      <c r="D333" s="15" t="s">
        <v>31</v>
      </c>
      <c r="E333" s="15">
        <v>14</v>
      </c>
      <c r="F333" s="15">
        <v>12</v>
      </c>
      <c r="G333" s="15" t="s">
        <v>14</v>
      </c>
      <c r="H333" s="15" t="s">
        <v>46</v>
      </c>
      <c r="I333" s="15" t="s">
        <v>655</v>
      </c>
      <c r="J333" s="15">
        <v>42</v>
      </c>
      <c r="K333" s="59" t="str">
        <f t="shared" si="5"/>
        <v>Pass</v>
      </c>
    </row>
    <row r="334" spans="1:11" x14ac:dyDescent="0.3">
      <c r="A334" s="15" t="s">
        <v>656</v>
      </c>
      <c r="B334" s="15" t="s">
        <v>29</v>
      </c>
      <c r="C334" s="15" t="s">
        <v>30</v>
      </c>
      <c r="D334" s="15" t="s">
        <v>13</v>
      </c>
      <c r="E334" s="15">
        <v>19</v>
      </c>
      <c r="F334" s="15">
        <v>10</v>
      </c>
      <c r="G334" s="15" t="s">
        <v>43</v>
      </c>
      <c r="H334" s="15" t="s">
        <v>15</v>
      </c>
      <c r="I334" s="15" t="s">
        <v>657</v>
      </c>
      <c r="J334" s="15">
        <v>85</v>
      </c>
      <c r="K334" s="59" t="str">
        <f t="shared" si="5"/>
        <v>Pass</v>
      </c>
    </row>
    <row r="335" spans="1:11" x14ac:dyDescent="0.3">
      <c r="A335" s="15" t="s">
        <v>658</v>
      </c>
      <c r="B335" s="15" t="s">
        <v>11</v>
      </c>
      <c r="C335" s="15" t="s">
        <v>96</v>
      </c>
      <c r="D335" s="15" t="s">
        <v>31</v>
      </c>
      <c r="E335" s="15">
        <v>20</v>
      </c>
      <c r="F335" s="15">
        <v>10</v>
      </c>
      <c r="G335" s="15" t="s">
        <v>43</v>
      </c>
      <c r="H335" s="15" t="s">
        <v>37</v>
      </c>
      <c r="I335" s="15" t="s">
        <v>659</v>
      </c>
      <c r="J335" s="15">
        <v>62</v>
      </c>
      <c r="K335" s="59" t="str">
        <f t="shared" si="5"/>
        <v>Pass</v>
      </c>
    </row>
    <row r="336" spans="1:11" x14ac:dyDescent="0.3">
      <c r="A336" s="15" t="s">
        <v>660</v>
      </c>
      <c r="B336" s="15" t="s">
        <v>23</v>
      </c>
      <c r="C336" s="15" t="s">
        <v>12</v>
      </c>
      <c r="D336" s="15" t="s">
        <v>13</v>
      </c>
      <c r="E336" s="15">
        <v>16</v>
      </c>
      <c r="F336" s="15">
        <v>11</v>
      </c>
      <c r="G336" s="15" t="s">
        <v>25</v>
      </c>
      <c r="H336" s="15" t="s">
        <v>40</v>
      </c>
      <c r="I336" s="15" t="s">
        <v>41</v>
      </c>
      <c r="J336" s="15">
        <v>86</v>
      </c>
      <c r="K336" s="59" t="str">
        <f t="shared" si="5"/>
        <v>Pass</v>
      </c>
    </row>
    <row r="337" spans="1:11" x14ac:dyDescent="0.3">
      <c r="A337" s="15" t="s">
        <v>661</v>
      </c>
      <c r="B337" s="15" t="s">
        <v>54</v>
      </c>
      <c r="C337" s="15" t="s">
        <v>12</v>
      </c>
      <c r="D337" s="15" t="s">
        <v>31</v>
      </c>
      <c r="E337" s="15">
        <v>19</v>
      </c>
      <c r="F337" s="15">
        <v>10</v>
      </c>
      <c r="G337" s="15" t="s">
        <v>14</v>
      </c>
      <c r="H337" s="15" t="s">
        <v>76</v>
      </c>
      <c r="I337" s="15" t="s">
        <v>662</v>
      </c>
      <c r="J337" s="15">
        <v>54</v>
      </c>
      <c r="K337" s="59" t="str">
        <f t="shared" si="5"/>
        <v>Pass</v>
      </c>
    </row>
    <row r="338" spans="1:11" x14ac:dyDescent="0.3">
      <c r="A338" s="15" t="s">
        <v>663</v>
      </c>
      <c r="B338" s="15" t="s">
        <v>73</v>
      </c>
      <c r="C338" s="15" t="s">
        <v>36</v>
      </c>
      <c r="D338" s="15" t="s">
        <v>13</v>
      </c>
      <c r="E338" s="15">
        <v>20</v>
      </c>
      <c r="F338" s="15">
        <v>12</v>
      </c>
      <c r="G338" s="15" t="s">
        <v>25</v>
      </c>
      <c r="H338" s="15" t="s">
        <v>40</v>
      </c>
      <c r="I338" s="15" t="s">
        <v>664</v>
      </c>
      <c r="J338" s="15">
        <v>50</v>
      </c>
      <c r="K338" s="59" t="str">
        <f t="shared" si="5"/>
        <v>Pass</v>
      </c>
    </row>
    <row r="339" spans="1:11" x14ac:dyDescent="0.3">
      <c r="A339" s="15" t="s">
        <v>665</v>
      </c>
      <c r="B339" s="15" t="s">
        <v>51</v>
      </c>
      <c r="C339" s="15" t="s">
        <v>96</v>
      </c>
      <c r="D339" s="15" t="s">
        <v>13</v>
      </c>
      <c r="E339" s="15">
        <v>14</v>
      </c>
      <c r="F339" s="15">
        <v>10</v>
      </c>
      <c r="G339" s="15" t="s">
        <v>14</v>
      </c>
      <c r="H339" s="15" t="s">
        <v>37</v>
      </c>
      <c r="I339" s="15" t="s">
        <v>666</v>
      </c>
      <c r="J339" s="15">
        <v>68</v>
      </c>
      <c r="K339" s="59" t="str">
        <f t="shared" si="5"/>
        <v>Pass</v>
      </c>
    </row>
    <row r="340" spans="1:11" x14ac:dyDescent="0.3">
      <c r="A340" s="15" t="s">
        <v>667</v>
      </c>
      <c r="B340" s="15" t="s">
        <v>35</v>
      </c>
      <c r="C340" s="15" t="s">
        <v>12</v>
      </c>
      <c r="D340" s="15" t="s">
        <v>31</v>
      </c>
      <c r="E340" s="15">
        <v>15</v>
      </c>
      <c r="F340" s="15">
        <v>12</v>
      </c>
      <c r="G340" s="15" t="s">
        <v>14</v>
      </c>
      <c r="H340" s="15" t="s">
        <v>46</v>
      </c>
      <c r="I340" s="15" t="s">
        <v>668</v>
      </c>
      <c r="J340" s="15">
        <v>82</v>
      </c>
      <c r="K340" s="59" t="str">
        <f t="shared" si="5"/>
        <v>Pass</v>
      </c>
    </row>
    <row r="341" spans="1:11" x14ac:dyDescent="0.3">
      <c r="A341" s="15" t="s">
        <v>669</v>
      </c>
      <c r="B341" s="15" t="s">
        <v>11</v>
      </c>
      <c r="C341" s="15" t="s">
        <v>24</v>
      </c>
      <c r="D341" s="15" t="s">
        <v>13</v>
      </c>
      <c r="E341" s="15">
        <v>19</v>
      </c>
      <c r="F341" s="15">
        <v>9</v>
      </c>
      <c r="G341" s="15" t="s">
        <v>32</v>
      </c>
      <c r="H341" s="15" t="s">
        <v>40</v>
      </c>
      <c r="I341" s="15" t="s">
        <v>670</v>
      </c>
      <c r="J341" s="15">
        <v>51</v>
      </c>
      <c r="K341" s="59" t="str">
        <f t="shared" si="5"/>
        <v>Pass</v>
      </c>
    </row>
    <row r="342" spans="1:11" x14ac:dyDescent="0.3">
      <c r="A342" s="15" t="s">
        <v>671</v>
      </c>
      <c r="B342" s="15" t="s">
        <v>11</v>
      </c>
      <c r="C342" s="15" t="s">
        <v>36</v>
      </c>
      <c r="D342" s="15" t="s">
        <v>13</v>
      </c>
      <c r="E342" s="15">
        <v>14</v>
      </c>
      <c r="F342" s="15">
        <v>10</v>
      </c>
      <c r="G342" s="15" t="s">
        <v>32</v>
      </c>
      <c r="H342" s="15" t="s">
        <v>40</v>
      </c>
      <c r="I342" s="15" t="s">
        <v>672</v>
      </c>
      <c r="J342" s="15">
        <v>64</v>
      </c>
      <c r="K342" s="59" t="str">
        <f t="shared" si="5"/>
        <v>Pass</v>
      </c>
    </row>
    <row r="343" spans="1:11" x14ac:dyDescent="0.3">
      <c r="A343" s="15" t="s">
        <v>673</v>
      </c>
      <c r="B343" s="15" t="s">
        <v>11</v>
      </c>
      <c r="C343" s="15" t="s">
        <v>19</v>
      </c>
      <c r="D343" s="15" t="s">
        <v>31</v>
      </c>
      <c r="E343" s="15">
        <v>17</v>
      </c>
      <c r="F343" s="15">
        <v>10</v>
      </c>
      <c r="G343" s="15" t="s">
        <v>32</v>
      </c>
      <c r="H343" s="15" t="s">
        <v>46</v>
      </c>
      <c r="I343" s="15" t="s">
        <v>674</v>
      </c>
      <c r="J343" s="15">
        <v>85</v>
      </c>
      <c r="K343" s="59" t="str">
        <f t="shared" si="5"/>
        <v>Pass</v>
      </c>
    </row>
    <row r="344" spans="1:11" x14ac:dyDescent="0.3">
      <c r="A344" s="15" t="s">
        <v>675</v>
      </c>
      <c r="B344" s="15" t="s">
        <v>73</v>
      </c>
      <c r="C344" s="15" t="s">
        <v>24</v>
      </c>
      <c r="D344" s="15" t="s">
        <v>13</v>
      </c>
      <c r="E344" s="15">
        <v>19</v>
      </c>
      <c r="F344" s="15">
        <v>11</v>
      </c>
      <c r="G344" s="15" t="s">
        <v>14</v>
      </c>
      <c r="H344" s="15" t="s">
        <v>37</v>
      </c>
      <c r="I344" s="15" t="s">
        <v>676</v>
      </c>
      <c r="J344" s="15">
        <v>51</v>
      </c>
      <c r="K344" s="59" t="str">
        <f t="shared" si="5"/>
        <v>Pass</v>
      </c>
    </row>
    <row r="345" spans="1:11" x14ac:dyDescent="0.3">
      <c r="A345" s="15" t="s">
        <v>677</v>
      </c>
      <c r="B345" s="15" t="s">
        <v>23</v>
      </c>
      <c r="C345" s="15" t="s">
        <v>85</v>
      </c>
      <c r="D345" s="15" t="s">
        <v>13</v>
      </c>
      <c r="E345" s="15">
        <v>20</v>
      </c>
      <c r="F345" s="15">
        <v>10</v>
      </c>
      <c r="G345" s="15" t="s">
        <v>32</v>
      </c>
      <c r="H345" s="15" t="s">
        <v>40</v>
      </c>
      <c r="I345" s="15" t="s">
        <v>678</v>
      </c>
      <c r="J345" s="15">
        <v>56</v>
      </c>
      <c r="K345" s="59" t="str">
        <f t="shared" si="5"/>
        <v>Pass</v>
      </c>
    </row>
    <row r="346" spans="1:11" x14ac:dyDescent="0.3">
      <c r="A346" s="15" t="s">
        <v>679</v>
      </c>
      <c r="B346" s="15" t="s">
        <v>18</v>
      </c>
      <c r="C346" s="15" t="s">
        <v>96</v>
      </c>
      <c r="D346" s="15" t="s">
        <v>13</v>
      </c>
      <c r="E346" s="15">
        <v>14</v>
      </c>
      <c r="F346" s="15">
        <v>12</v>
      </c>
      <c r="G346" s="15" t="s">
        <v>32</v>
      </c>
      <c r="H346" s="15" t="s">
        <v>46</v>
      </c>
      <c r="I346" s="15" t="s">
        <v>680</v>
      </c>
      <c r="J346" s="15">
        <v>44</v>
      </c>
      <c r="K346" s="59" t="str">
        <f t="shared" si="5"/>
        <v>Pass</v>
      </c>
    </row>
    <row r="347" spans="1:11" x14ac:dyDescent="0.3">
      <c r="A347" s="15" t="s">
        <v>681</v>
      </c>
      <c r="B347" s="15" t="s">
        <v>35</v>
      </c>
      <c r="C347" s="15" t="s">
        <v>36</v>
      </c>
      <c r="D347" s="15" t="s">
        <v>13</v>
      </c>
      <c r="E347" s="15">
        <v>14</v>
      </c>
      <c r="F347" s="15">
        <v>9</v>
      </c>
      <c r="G347" s="15" t="s">
        <v>43</v>
      </c>
      <c r="H347" s="15" t="s">
        <v>46</v>
      </c>
      <c r="I347" s="15" t="s">
        <v>682</v>
      </c>
      <c r="J347" s="15">
        <v>67</v>
      </c>
      <c r="K347" s="59" t="str">
        <f t="shared" si="5"/>
        <v>Pass</v>
      </c>
    </row>
    <row r="348" spans="1:11" x14ac:dyDescent="0.3">
      <c r="A348" s="15" t="s">
        <v>683</v>
      </c>
      <c r="B348" s="15" t="s">
        <v>84</v>
      </c>
      <c r="C348" s="15" t="s">
        <v>55</v>
      </c>
      <c r="D348" s="15" t="s">
        <v>31</v>
      </c>
      <c r="E348" s="15">
        <v>16</v>
      </c>
      <c r="F348" s="15">
        <v>12</v>
      </c>
      <c r="G348" s="15" t="s">
        <v>14</v>
      </c>
      <c r="H348" s="15" t="s">
        <v>76</v>
      </c>
      <c r="I348" s="15" t="s">
        <v>125</v>
      </c>
      <c r="J348" s="15">
        <v>60</v>
      </c>
      <c r="K348" s="59" t="str">
        <f t="shared" si="5"/>
        <v>Pass</v>
      </c>
    </row>
    <row r="349" spans="1:11" x14ac:dyDescent="0.3">
      <c r="A349" s="15" t="s">
        <v>684</v>
      </c>
      <c r="B349" s="15" t="s">
        <v>54</v>
      </c>
      <c r="C349" s="15" t="s">
        <v>24</v>
      </c>
      <c r="D349" s="15" t="s">
        <v>31</v>
      </c>
      <c r="E349" s="15">
        <v>17</v>
      </c>
      <c r="F349" s="15">
        <v>10</v>
      </c>
      <c r="G349" s="15" t="s">
        <v>43</v>
      </c>
      <c r="H349" s="15" t="s">
        <v>46</v>
      </c>
      <c r="I349" s="15" t="s">
        <v>685</v>
      </c>
      <c r="J349" s="15">
        <v>74</v>
      </c>
      <c r="K349" s="59" t="str">
        <f t="shared" si="5"/>
        <v>Pass</v>
      </c>
    </row>
    <row r="350" spans="1:11" x14ac:dyDescent="0.3">
      <c r="A350" s="15" t="s">
        <v>686</v>
      </c>
      <c r="B350" s="15" t="s">
        <v>23</v>
      </c>
      <c r="C350" s="15" t="s">
        <v>96</v>
      </c>
      <c r="D350" s="15" t="s">
        <v>31</v>
      </c>
      <c r="E350" s="15">
        <v>16</v>
      </c>
      <c r="F350" s="15">
        <v>9</v>
      </c>
      <c r="G350" s="15" t="s">
        <v>25</v>
      </c>
      <c r="H350" s="15" t="s">
        <v>20</v>
      </c>
      <c r="I350" s="15" t="s">
        <v>277</v>
      </c>
      <c r="J350" s="15">
        <v>71</v>
      </c>
      <c r="K350" s="59" t="str">
        <f t="shared" si="5"/>
        <v>Pass</v>
      </c>
    </row>
    <row r="351" spans="1:11" x14ac:dyDescent="0.3">
      <c r="A351" s="15" t="s">
        <v>687</v>
      </c>
      <c r="B351" s="15" t="s">
        <v>84</v>
      </c>
      <c r="C351" s="15" t="s">
        <v>19</v>
      </c>
      <c r="D351" s="15" t="s">
        <v>13</v>
      </c>
      <c r="E351" s="15">
        <v>16</v>
      </c>
      <c r="F351" s="15">
        <v>10</v>
      </c>
      <c r="G351" s="15" t="s">
        <v>25</v>
      </c>
      <c r="H351" s="15" t="s">
        <v>46</v>
      </c>
      <c r="I351" s="15" t="s">
        <v>564</v>
      </c>
      <c r="J351" s="15">
        <v>52</v>
      </c>
      <c r="K351" s="59" t="str">
        <f t="shared" si="5"/>
        <v>Pass</v>
      </c>
    </row>
    <row r="352" spans="1:11" x14ac:dyDescent="0.3">
      <c r="A352" s="15" t="s">
        <v>688</v>
      </c>
      <c r="B352" s="15" t="s">
        <v>23</v>
      </c>
      <c r="C352" s="15" t="s">
        <v>96</v>
      </c>
      <c r="D352" s="15" t="s">
        <v>31</v>
      </c>
      <c r="E352" s="15">
        <v>19</v>
      </c>
      <c r="F352" s="15">
        <v>10</v>
      </c>
      <c r="G352" s="15" t="s">
        <v>25</v>
      </c>
      <c r="H352" s="15" t="s">
        <v>40</v>
      </c>
      <c r="I352" s="15" t="s">
        <v>195</v>
      </c>
      <c r="J352" s="15">
        <v>55</v>
      </c>
      <c r="K352" s="59" t="str">
        <f t="shared" si="5"/>
        <v>Pass</v>
      </c>
    </row>
    <row r="353" spans="1:11" x14ac:dyDescent="0.3">
      <c r="A353" s="15" t="s">
        <v>689</v>
      </c>
      <c r="B353" s="15" t="s">
        <v>68</v>
      </c>
      <c r="C353" s="15" t="s">
        <v>96</v>
      </c>
      <c r="D353" s="15" t="s">
        <v>13</v>
      </c>
      <c r="E353" s="15">
        <v>20</v>
      </c>
      <c r="F353" s="15">
        <v>12</v>
      </c>
      <c r="G353" s="15" t="s">
        <v>43</v>
      </c>
      <c r="H353" s="15" t="s">
        <v>20</v>
      </c>
      <c r="I353" s="15" t="s">
        <v>626</v>
      </c>
      <c r="J353" s="15">
        <v>48</v>
      </c>
      <c r="K353" s="59" t="str">
        <f t="shared" si="5"/>
        <v>Pass</v>
      </c>
    </row>
    <row r="354" spans="1:11" x14ac:dyDescent="0.3">
      <c r="A354" s="15" t="s">
        <v>690</v>
      </c>
      <c r="B354" s="15" t="s">
        <v>23</v>
      </c>
      <c r="C354" s="15" t="s">
        <v>85</v>
      </c>
      <c r="D354" s="15" t="s">
        <v>13</v>
      </c>
      <c r="E354" s="15">
        <v>19</v>
      </c>
      <c r="F354" s="15">
        <v>9</v>
      </c>
      <c r="G354" s="15" t="s">
        <v>14</v>
      </c>
      <c r="H354" s="15" t="s">
        <v>76</v>
      </c>
      <c r="I354" s="15" t="s">
        <v>635</v>
      </c>
      <c r="J354" s="15">
        <v>91</v>
      </c>
      <c r="K354" s="59" t="str">
        <f t="shared" si="5"/>
        <v>Pass</v>
      </c>
    </row>
    <row r="355" spans="1:11" x14ac:dyDescent="0.3">
      <c r="A355" s="15" t="s">
        <v>691</v>
      </c>
      <c r="B355" s="15" t="s">
        <v>84</v>
      </c>
      <c r="C355" s="15" t="s">
        <v>55</v>
      </c>
      <c r="D355" s="15" t="s">
        <v>13</v>
      </c>
      <c r="E355" s="15">
        <v>16</v>
      </c>
      <c r="F355" s="15">
        <v>10</v>
      </c>
      <c r="G355" s="15" t="s">
        <v>43</v>
      </c>
      <c r="H355" s="15" t="s">
        <v>46</v>
      </c>
      <c r="I355" s="15" t="s">
        <v>692</v>
      </c>
      <c r="J355" s="15">
        <v>91</v>
      </c>
      <c r="K355" s="59" t="str">
        <f t="shared" si="5"/>
        <v>Pass</v>
      </c>
    </row>
    <row r="356" spans="1:11" x14ac:dyDescent="0.3">
      <c r="A356" s="15" t="s">
        <v>693</v>
      </c>
      <c r="B356" s="15" t="s">
        <v>73</v>
      </c>
      <c r="C356" s="15" t="s">
        <v>58</v>
      </c>
      <c r="D356" s="15" t="s">
        <v>31</v>
      </c>
      <c r="E356" s="15">
        <v>16</v>
      </c>
      <c r="F356" s="15">
        <v>11</v>
      </c>
      <c r="G356" s="15" t="s">
        <v>25</v>
      </c>
      <c r="H356" s="15" t="s">
        <v>37</v>
      </c>
      <c r="I356" s="15" t="s">
        <v>694</v>
      </c>
      <c r="J356" s="15">
        <v>65</v>
      </c>
      <c r="K356" s="59" t="str">
        <f t="shared" si="5"/>
        <v>Pass</v>
      </c>
    </row>
    <row r="357" spans="1:11" x14ac:dyDescent="0.3">
      <c r="A357" s="15" t="s">
        <v>695</v>
      </c>
      <c r="B357" s="15" t="s">
        <v>51</v>
      </c>
      <c r="C357" s="15" t="s">
        <v>24</v>
      </c>
      <c r="D357" s="15" t="s">
        <v>13</v>
      </c>
      <c r="E357" s="15">
        <v>17</v>
      </c>
      <c r="F357" s="15">
        <v>9</v>
      </c>
      <c r="G357" s="15" t="s">
        <v>32</v>
      </c>
      <c r="H357" s="15" t="s">
        <v>15</v>
      </c>
      <c r="I357" s="15" t="s">
        <v>696</v>
      </c>
      <c r="J357" s="15">
        <v>69</v>
      </c>
      <c r="K357" s="59" t="str">
        <f t="shared" si="5"/>
        <v>Pass</v>
      </c>
    </row>
    <row r="358" spans="1:11" x14ac:dyDescent="0.3">
      <c r="A358" s="15" t="s">
        <v>697</v>
      </c>
      <c r="B358" s="15" t="s">
        <v>29</v>
      </c>
      <c r="C358" s="15" t="s">
        <v>30</v>
      </c>
      <c r="D358" s="15" t="s">
        <v>31</v>
      </c>
      <c r="E358" s="15">
        <v>19</v>
      </c>
      <c r="F358" s="15">
        <v>10</v>
      </c>
      <c r="G358" s="15" t="s">
        <v>25</v>
      </c>
      <c r="H358" s="15" t="s">
        <v>61</v>
      </c>
      <c r="I358" s="15" t="s">
        <v>698</v>
      </c>
      <c r="J358" s="15">
        <v>75</v>
      </c>
      <c r="K358" s="59" t="str">
        <f t="shared" si="5"/>
        <v>Pass</v>
      </c>
    </row>
    <row r="359" spans="1:11" x14ac:dyDescent="0.3">
      <c r="A359" s="15" t="s">
        <v>699</v>
      </c>
      <c r="B359" s="15" t="s">
        <v>11</v>
      </c>
      <c r="C359" s="15" t="s">
        <v>30</v>
      </c>
      <c r="D359" s="15" t="s">
        <v>31</v>
      </c>
      <c r="E359" s="15">
        <v>16</v>
      </c>
      <c r="F359" s="15">
        <v>11</v>
      </c>
      <c r="G359" s="15" t="s">
        <v>43</v>
      </c>
      <c r="H359" s="15" t="s">
        <v>40</v>
      </c>
      <c r="I359" s="15" t="s">
        <v>97</v>
      </c>
      <c r="J359" s="15">
        <v>72</v>
      </c>
      <c r="K359" s="59" t="str">
        <f t="shared" si="5"/>
        <v>Pass</v>
      </c>
    </row>
    <row r="360" spans="1:11" x14ac:dyDescent="0.3">
      <c r="A360" s="15" t="s">
        <v>700</v>
      </c>
      <c r="B360" s="15" t="s">
        <v>23</v>
      </c>
      <c r="C360" s="15" t="s">
        <v>55</v>
      </c>
      <c r="D360" s="15" t="s">
        <v>31</v>
      </c>
      <c r="E360" s="15">
        <v>20</v>
      </c>
      <c r="F360" s="15">
        <v>10</v>
      </c>
      <c r="G360" s="15" t="s">
        <v>14</v>
      </c>
      <c r="H360" s="15" t="s">
        <v>15</v>
      </c>
      <c r="I360" s="15" t="s">
        <v>678</v>
      </c>
      <c r="J360" s="15">
        <v>59</v>
      </c>
      <c r="K360" s="59" t="str">
        <f t="shared" si="5"/>
        <v>Pass</v>
      </c>
    </row>
    <row r="361" spans="1:11" x14ac:dyDescent="0.3">
      <c r="A361" s="15" t="s">
        <v>701</v>
      </c>
      <c r="B361" s="15" t="s">
        <v>54</v>
      </c>
      <c r="C361" s="15" t="s">
        <v>30</v>
      </c>
      <c r="D361" s="15" t="s">
        <v>31</v>
      </c>
      <c r="E361" s="15">
        <v>15</v>
      </c>
      <c r="F361" s="15">
        <v>11</v>
      </c>
      <c r="G361" s="15" t="s">
        <v>14</v>
      </c>
      <c r="H361" s="15" t="s">
        <v>76</v>
      </c>
      <c r="I361" s="15" t="s">
        <v>702</v>
      </c>
      <c r="J361" s="15">
        <v>42</v>
      </c>
      <c r="K361" s="59" t="str">
        <f t="shared" si="5"/>
        <v>Pass</v>
      </c>
    </row>
    <row r="362" spans="1:11" x14ac:dyDescent="0.3">
      <c r="A362" s="15" t="s">
        <v>703</v>
      </c>
      <c r="B362" s="15" t="s">
        <v>73</v>
      </c>
      <c r="C362" s="15" t="s">
        <v>30</v>
      </c>
      <c r="D362" s="15" t="s">
        <v>31</v>
      </c>
      <c r="E362" s="15">
        <v>17</v>
      </c>
      <c r="F362" s="15">
        <v>12</v>
      </c>
      <c r="G362" s="15" t="s">
        <v>32</v>
      </c>
      <c r="H362" s="15" t="s">
        <v>40</v>
      </c>
      <c r="I362" s="15" t="s">
        <v>704</v>
      </c>
      <c r="J362" s="15">
        <v>93</v>
      </c>
      <c r="K362" s="59" t="str">
        <f t="shared" si="5"/>
        <v>Pass</v>
      </c>
    </row>
    <row r="363" spans="1:11" x14ac:dyDescent="0.3">
      <c r="A363" s="15" t="s">
        <v>705</v>
      </c>
      <c r="B363" s="15" t="s">
        <v>84</v>
      </c>
      <c r="C363" s="15" t="s">
        <v>55</v>
      </c>
      <c r="D363" s="15" t="s">
        <v>31</v>
      </c>
      <c r="E363" s="15">
        <v>14</v>
      </c>
      <c r="F363" s="15">
        <v>12</v>
      </c>
      <c r="G363" s="15" t="s">
        <v>43</v>
      </c>
      <c r="H363" s="15" t="s">
        <v>76</v>
      </c>
      <c r="I363" s="15" t="s">
        <v>706</v>
      </c>
      <c r="J363" s="15">
        <v>63</v>
      </c>
      <c r="K363" s="59" t="str">
        <f t="shared" si="5"/>
        <v>Pass</v>
      </c>
    </row>
    <row r="364" spans="1:11" x14ac:dyDescent="0.3">
      <c r="A364" s="15" t="s">
        <v>707</v>
      </c>
      <c r="B364" s="15" t="s">
        <v>68</v>
      </c>
      <c r="C364" s="15" t="s">
        <v>96</v>
      </c>
      <c r="D364" s="15" t="s">
        <v>31</v>
      </c>
      <c r="E364" s="15">
        <v>20</v>
      </c>
      <c r="F364" s="15">
        <v>12</v>
      </c>
      <c r="G364" s="15" t="s">
        <v>43</v>
      </c>
      <c r="H364" s="15" t="s">
        <v>37</v>
      </c>
      <c r="I364" s="15" t="s">
        <v>708</v>
      </c>
      <c r="J364" s="15">
        <v>35</v>
      </c>
      <c r="K364" s="59" t="str">
        <f t="shared" si="5"/>
        <v>Fail</v>
      </c>
    </row>
    <row r="365" spans="1:11" x14ac:dyDescent="0.3">
      <c r="A365" s="15" t="s">
        <v>709</v>
      </c>
      <c r="B365" s="15" t="s">
        <v>54</v>
      </c>
      <c r="C365" s="15" t="s">
        <v>19</v>
      </c>
      <c r="D365" s="15" t="s">
        <v>31</v>
      </c>
      <c r="E365" s="15">
        <v>18</v>
      </c>
      <c r="F365" s="15">
        <v>10</v>
      </c>
      <c r="G365" s="15" t="s">
        <v>43</v>
      </c>
      <c r="H365" s="15" t="s">
        <v>37</v>
      </c>
      <c r="I365" s="15" t="s">
        <v>710</v>
      </c>
      <c r="J365" s="15">
        <v>89</v>
      </c>
      <c r="K365" s="59" t="str">
        <f t="shared" si="5"/>
        <v>Pass</v>
      </c>
    </row>
    <row r="366" spans="1:11" x14ac:dyDescent="0.3">
      <c r="A366" s="15" t="s">
        <v>711</v>
      </c>
      <c r="B366" s="15" t="s">
        <v>29</v>
      </c>
      <c r="C366" s="15" t="s">
        <v>79</v>
      </c>
      <c r="D366" s="15" t="s">
        <v>13</v>
      </c>
      <c r="E366" s="15">
        <v>14</v>
      </c>
      <c r="F366" s="15">
        <v>9</v>
      </c>
      <c r="G366" s="15" t="s">
        <v>32</v>
      </c>
      <c r="H366" s="15" t="s">
        <v>15</v>
      </c>
      <c r="I366" s="15" t="s">
        <v>712</v>
      </c>
      <c r="J366" s="15">
        <v>72</v>
      </c>
      <c r="K366" s="59" t="str">
        <f t="shared" si="5"/>
        <v>Pass</v>
      </c>
    </row>
    <row r="367" spans="1:11" x14ac:dyDescent="0.3">
      <c r="A367" s="15" t="s">
        <v>713</v>
      </c>
      <c r="B367" s="15" t="s">
        <v>29</v>
      </c>
      <c r="C367" s="15" t="s">
        <v>24</v>
      </c>
      <c r="D367" s="15" t="s">
        <v>31</v>
      </c>
      <c r="E367" s="15">
        <v>16</v>
      </c>
      <c r="F367" s="15">
        <v>12</v>
      </c>
      <c r="G367" s="15" t="s">
        <v>32</v>
      </c>
      <c r="H367" s="15" t="s">
        <v>26</v>
      </c>
      <c r="I367" s="15" t="s">
        <v>714</v>
      </c>
      <c r="J367" s="15">
        <v>57</v>
      </c>
      <c r="K367" s="59" t="str">
        <f t="shared" si="5"/>
        <v>Pass</v>
      </c>
    </row>
    <row r="368" spans="1:11" x14ac:dyDescent="0.3">
      <c r="A368" s="15" t="s">
        <v>715</v>
      </c>
      <c r="B368" s="15" t="s">
        <v>51</v>
      </c>
      <c r="C368" s="15" t="s">
        <v>79</v>
      </c>
      <c r="D368" s="15" t="s">
        <v>13</v>
      </c>
      <c r="E368" s="15">
        <v>19</v>
      </c>
      <c r="F368" s="15">
        <v>10</v>
      </c>
      <c r="G368" s="15" t="s">
        <v>32</v>
      </c>
      <c r="H368" s="15" t="s">
        <v>40</v>
      </c>
      <c r="I368" s="15" t="s">
        <v>702</v>
      </c>
      <c r="J368" s="15">
        <v>84</v>
      </c>
      <c r="K368" s="59" t="str">
        <f t="shared" si="5"/>
        <v>Pass</v>
      </c>
    </row>
    <row r="369" spans="1:11" x14ac:dyDescent="0.3">
      <c r="A369" s="15" t="s">
        <v>716</v>
      </c>
      <c r="B369" s="15" t="s">
        <v>23</v>
      </c>
      <c r="C369" s="15" t="s">
        <v>58</v>
      </c>
      <c r="D369" s="15" t="s">
        <v>31</v>
      </c>
      <c r="E369" s="15">
        <v>17</v>
      </c>
      <c r="F369" s="15">
        <v>9</v>
      </c>
      <c r="G369" s="15" t="s">
        <v>25</v>
      </c>
      <c r="H369" s="15" t="s">
        <v>15</v>
      </c>
      <c r="I369" s="15" t="s">
        <v>717</v>
      </c>
      <c r="J369" s="15">
        <v>51</v>
      </c>
      <c r="K369" s="59" t="str">
        <f t="shared" si="5"/>
        <v>Pass</v>
      </c>
    </row>
    <row r="370" spans="1:11" x14ac:dyDescent="0.3">
      <c r="A370" s="15" t="s">
        <v>718</v>
      </c>
      <c r="B370" s="15" t="s">
        <v>84</v>
      </c>
      <c r="C370" s="15" t="s">
        <v>12</v>
      </c>
      <c r="D370" s="15" t="s">
        <v>31</v>
      </c>
      <c r="E370" s="15">
        <v>20</v>
      </c>
      <c r="F370" s="15">
        <v>10</v>
      </c>
      <c r="G370" s="15" t="s">
        <v>25</v>
      </c>
      <c r="H370" s="15" t="s">
        <v>61</v>
      </c>
      <c r="I370" s="15" t="s">
        <v>639</v>
      </c>
      <c r="J370" s="15">
        <v>35</v>
      </c>
      <c r="K370" s="59" t="str">
        <f t="shared" si="5"/>
        <v>Fail</v>
      </c>
    </row>
    <row r="371" spans="1:11" x14ac:dyDescent="0.3">
      <c r="A371" s="15" t="s">
        <v>719</v>
      </c>
      <c r="B371" s="15" t="s">
        <v>18</v>
      </c>
      <c r="C371" s="15" t="s">
        <v>24</v>
      </c>
      <c r="D371" s="15" t="s">
        <v>31</v>
      </c>
      <c r="E371" s="15">
        <v>18</v>
      </c>
      <c r="F371" s="15">
        <v>11</v>
      </c>
      <c r="G371" s="15" t="s">
        <v>43</v>
      </c>
      <c r="H371" s="15" t="s">
        <v>40</v>
      </c>
      <c r="I371" s="15" t="s">
        <v>720</v>
      </c>
      <c r="J371" s="15">
        <v>83</v>
      </c>
      <c r="K371" s="59" t="str">
        <f t="shared" si="5"/>
        <v>Pass</v>
      </c>
    </row>
    <row r="372" spans="1:11" x14ac:dyDescent="0.3">
      <c r="A372" s="15" t="s">
        <v>721</v>
      </c>
      <c r="B372" s="15" t="s">
        <v>23</v>
      </c>
      <c r="C372" s="15" t="s">
        <v>19</v>
      </c>
      <c r="D372" s="15" t="s">
        <v>31</v>
      </c>
      <c r="E372" s="15">
        <v>18</v>
      </c>
      <c r="F372" s="15">
        <v>10</v>
      </c>
      <c r="G372" s="15" t="s">
        <v>14</v>
      </c>
      <c r="H372" s="15" t="s">
        <v>26</v>
      </c>
      <c r="I372" s="15" t="s">
        <v>722</v>
      </c>
      <c r="J372" s="15">
        <v>43</v>
      </c>
      <c r="K372" s="59" t="str">
        <f t="shared" si="5"/>
        <v>Pass</v>
      </c>
    </row>
    <row r="373" spans="1:11" x14ac:dyDescent="0.3">
      <c r="A373" s="15" t="s">
        <v>723</v>
      </c>
      <c r="B373" s="15" t="s">
        <v>68</v>
      </c>
      <c r="C373" s="15" t="s">
        <v>79</v>
      </c>
      <c r="D373" s="15" t="s">
        <v>31</v>
      </c>
      <c r="E373" s="15">
        <v>19</v>
      </c>
      <c r="F373" s="15">
        <v>12</v>
      </c>
      <c r="G373" s="15" t="s">
        <v>25</v>
      </c>
      <c r="H373" s="15" t="s">
        <v>40</v>
      </c>
      <c r="I373" s="15" t="s">
        <v>724</v>
      </c>
      <c r="J373" s="15">
        <v>65</v>
      </c>
      <c r="K373" s="59" t="str">
        <f t="shared" si="5"/>
        <v>Pass</v>
      </c>
    </row>
    <row r="374" spans="1:11" x14ac:dyDescent="0.3">
      <c r="A374" s="15" t="s">
        <v>725</v>
      </c>
      <c r="B374" s="15" t="s">
        <v>11</v>
      </c>
      <c r="C374" s="15" t="s">
        <v>55</v>
      </c>
      <c r="D374" s="15" t="s">
        <v>31</v>
      </c>
      <c r="E374" s="15">
        <v>15</v>
      </c>
      <c r="F374" s="15">
        <v>9</v>
      </c>
      <c r="G374" s="15" t="s">
        <v>25</v>
      </c>
      <c r="H374" s="15" t="s">
        <v>37</v>
      </c>
      <c r="I374" s="15" t="s">
        <v>726</v>
      </c>
      <c r="J374" s="15">
        <v>72</v>
      </c>
      <c r="K374" s="59" t="str">
        <f t="shared" si="5"/>
        <v>Pass</v>
      </c>
    </row>
    <row r="375" spans="1:11" x14ac:dyDescent="0.3">
      <c r="A375" s="15" t="s">
        <v>727</v>
      </c>
      <c r="B375" s="15" t="s">
        <v>68</v>
      </c>
      <c r="C375" s="15" t="s">
        <v>12</v>
      </c>
      <c r="D375" s="15" t="s">
        <v>13</v>
      </c>
      <c r="E375" s="15">
        <v>14</v>
      </c>
      <c r="F375" s="15">
        <v>9</v>
      </c>
      <c r="G375" s="15" t="s">
        <v>14</v>
      </c>
      <c r="H375" s="15" t="s">
        <v>20</v>
      </c>
      <c r="I375" s="15" t="s">
        <v>728</v>
      </c>
      <c r="J375" s="15">
        <v>68</v>
      </c>
      <c r="K375" s="59" t="str">
        <f t="shared" si="5"/>
        <v>Pass</v>
      </c>
    </row>
    <row r="376" spans="1:11" x14ac:dyDescent="0.3">
      <c r="A376" s="15" t="s">
        <v>729</v>
      </c>
      <c r="B376" s="15" t="s">
        <v>35</v>
      </c>
      <c r="C376" s="15" t="s">
        <v>79</v>
      </c>
      <c r="D376" s="15" t="s">
        <v>13</v>
      </c>
      <c r="E376" s="15">
        <v>15</v>
      </c>
      <c r="F376" s="15">
        <v>9</v>
      </c>
      <c r="G376" s="15" t="s">
        <v>43</v>
      </c>
      <c r="H376" s="15" t="s">
        <v>76</v>
      </c>
      <c r="I376" s="15" t="s">
        <v>730</v>
      </c>
      <c r="J376" s="15">
        <v>39</v>
      </c>
      <c r="K376" s="59" t="str">
        <f t="shared" si="5"/>
        <v>Fail</v>
      </c>
    </row>
    <row r="377" spans="1:11" x14ac:dyDescent="0.3">
      <c r="A377" s="15" t="s">
        <v>731</v>
      </c>
      <c r="B377" s="15" t="s">
        <v>84</v>
      </c>
      <c r="C377" s="15" t="s">
        <v>85</v>
      </c>
      <c r="D377" s="15" t="s">
        <v>31</v>
      </c>
      <c r="E377" s="15">
        <v>17</v>
      </c>
      <c r="F377" s="15">
        <v>9</v>
      </c>
      <c r="G377" s="15" t="s">
        <v>43</v>
      </c>
      <c r="H377" s="15" t="s">
        <v>76</v>
      </c>
      <c r="I377" s="15" t="s">
        <v>732</v>
      </c>
      <c r="J377" s="15">
        <v>97</v>
      </c>
      <c r="K377" s="59" t="str">
        <f t="shared" si="5"/>
        <v>Pass</v>
      </c>
    </row>
    <row r="378" spans="1:11" x14ac:dyDescent="0.3">
      <c r="A378" s="15" t="s">
        <v>733</v>
      </c>
      <c r="B378" s="15" t="s">
        <v>84</v>
      </c>
      <c r="C378" s="15" t="s">
        <v>85</v>
      </c>
      <c r="D378" s="15" t="s">
        <v>31</v>
      </c>
      <c r="E378" s="15">
        <v>17</v>
      </c>
      <c r="F378" s="15">
        <v>12</v>
      </c>
      <c r="G378" s="15" t="s">
        <v>43</v>
      </c>
      <c r="H378" s="15" t="s">
        <v>15</v>
      </c>
      <c r="I378" s="15" t="s">
        <v>734</v>
      </c>
      <c r="J378" s="15">
        <v>77</v>
      </c>
      <c r="K378" s="59" t="str">
        <f t="shared" si="5"/>
        <v>Pass</v>
      </c>
    </row>
    <row r="379" spans="1:11" x14ac:dyDescent="0.3">
      <c r="A379" s="15" t="s">
        <v>735</v>
      </c>
      <c r="B379" s="15" t="s">
        <v>68</v>
      </c>
      <c r="C379" s="15" t="s">
        <v>24</v>
      </c>
      <c r="D379" s="15" t="s">
        <v>31</v>
      </c>
      <c r="E379" s="15">
        <v>16</v>
      </c>
      <c r="F379" s="15">
        <v>12</v>
      </c>
      <c r="G379" s="15" t="s">
        <v>43</v>
      </c>
      <c r="H379" s="15" t="s">
        <v>26</v>
      </c>
      <c r="I379" s="15" t="s">
        <v>736</v>
      </c>
      <c r="J379" s="15">
        <v>85</v>
      </c>
      <c r="K379" s="59" t="str">
        <f t="shared" si="5"/>
        <v>Pass</v>
      </c>
    </row>
    <row r="380" spans="1:11" x14ac:dyDescent="0.3">
      <c r="A380" s="15" t="s">
        <v>737</v>
      </c>
      <c r="B380" s="15" t="s">
        <v>54</v>
      </c>
      <c r="C380" s="15" t="s">
        <v>96</v>
      </c>
      <c r="D380" s="15" t="s">
        <v>13</v>
      </c>
      <c r="E380" s="15">
        <v>19</v>
      </c>
      <c r="F380" s="15">
        <v>12</v>
      </c>
      <c r="G380" s="15" t="s">
        <v>25</v>
      </c>
      <c r="H380" s="15" t="s">
        <v>20</v>
      </c>
      <c r="I380" s="15" t="s">
        <v>738</v>
      </c>
      <c r="J380" s="15">
        <v>85</v>
      </c>
      <c r="K380" s="59" t="str">
        <f t="shared" si="5"/>
        <v>Pass</v>
      </c>
    </row>
    <row r="381" spans="1:11" x14ac:dyDescent="0.3">
      <c r="A381" s="15" t="s">
        <v>739</v>
      </c>
      <c r="B381" s="15" t="s">
        <v>18</v>
      </c>
      <c r="C381" s="15" t="s">
        <v>79</v>
      </c>
      <c r="D381" s="15" t="s">
        <v>31</v>
      </c>
      <c r="E381" s="15">
        <v>14</v>
      </c>
      <c r="F381" s="15">
        <v>10</v>
      </c>
      <c r="G381" s="15" t="s">
        <v>32</v>
      </c>
      <c r="H381" s="15" t="s">
        <v>20</v>
      </c>
      <c r="I381" s="15" t="s">
        <v>740</v>
      </c>
      <c r="J381" s="15">
        <v>99</v>
      </c>
      <c r="K381" s="59" t="str">
        <f t="shared" si="5"/>
        <v>Pass</v>
      </c>
    </row>
    <row r="382" spans="1:11" x14ac:dyDescent="0.3">
      <c r="A382" s="15" t="s">
        <v>741</v>
      </c>
      <c r="B382" s="15" t="s">
        <v>54</v>
      </c>
      <c r="C382" s="15" t="s">
        <v>24</v>
      </c>
      <c r="D382" s="15" t="s">
        <v>13</v>
      </c>
      <c r="E382" s="15">
        <v>14</v>
      </c>
      <c r="F382" s="15">
        <v>9</v>
      </c>
      <c r="G382" s="15" t="s">
        <v>14</v>
      </c>
      <c r="H382" s="15" t="s">
        <v>76</v>
      </c>
      <c r="I382" s="15" t="s">
        <v>742</v>
      </c>
      <c r="J382" s="15">
        <v>55</v>
      </c>
      <c r="K382" s="59" t="str">
        <f t="shared" si="5"/>
        <v>Pass</v>
      </c>
    </row>
    <row r="383" spans="1:11" x14ac:dyDescent="0.3">
      <c r="A383" s="15" t="s">
        <v>743</v>
      </c>
      <c r="B383" s="15" t="s">
        <v>84</v>
      </c>
      <c r="C383" s="15" t="s">
        <v>19</v>
      </c>
      <c r="D383" s="15" t="s">
        <v>13</v>
      </c>
      <c r="E383" s="15">
        <v>15</v>
      </c>
      <c r="F383" s="15">
        <v>10</v>
      </c>
      <c r="G383" s="15" t="s">
        <v>43</v>
      </c>
      <c r="H383" s="15" t="s">
        <v>26</v>
      </c>
      <c r="I383" s="15" t="s">
        <v>744</v>
      </c>
      <c r="J383" s="15">
        <v>60</v>
      </c>
      <c r="K383" s="59" t="str">
        <f t="shared" si="5"/>
        <v>Pass</v>
      </c>
    </row>
    <row r="384" spans="1:11" x14ac:dyDescent="0.3">
      <c r="A384" s="15" t="s">
        <v>745</v>
      </c>
      <c r="B384" s="15" t="s">
        <v>73</v>
      </c>
      <c r="C384" s="15" t="s">
        <v>36</v>
      </c>
      <c r="D384" s="15" t="s">
        <v>13</v>
      </c>
      <c r="E384" s="15">
        <v>16</v>
      </c>
      <c r="F384" s="15">
        <v>9</v>
      </c>
      <c r="G384" s="15" t="s">
        <v>32</v>
      </c>
      <c r="H384" s="15" t="s">
        <v>76</v>
      </c>
      <c r="I384" s="15" t="s">
        <v>746</v>
      </c>
      <c r="J384" s="15">
        <v>38</v>
      </c>
      <c r="K384" s="59" t="str">
        <f t="shared" si="5"/>
        <v>Fail</v>
      </c>
    </row>
    <row r="385" spans="1:11" x14ac:dyDescent="0.3">
      <c r="A385" s="15" t="s">
        <v>747</v>
      </c>
      <c r="B385" s="15" t="s">
        <v>51</v>
      </c>
      <c r="C385" s="15" t="s">
        <v>96</v>
      </c>
      <c r="D385" s="15" t="s">
        <v>13</v>
      </c>
      <c r="E385" s="15">
        <v>17</v>
      </c>
      <c r="F385" s="15">
        <v>12</v>
      </c>
      <c r="G385" s="15" t="s">
        <v>14</v>
      </c>
      <c r="H385" s="15" t="s">
        <v>26</v>
      </c>
      <c r="I385" s="15" t="s">
        <v>748</v>
      </c>
      <c r="J385" s="15">
        <v>67</v>
      </c>
      <c r="K385" s="59" t="str">
        <f t="shared" si="5"/>
        <v>Pass</v>
      </c>
    </row>
    <row r="386" spans="1:11" x14ac:dyDescent="0.3">
      <c r="A386" s="15" t="s">
        <v>749</v>
      </c>
      <c r="B386" s="15" t="s">
        <v>84</v>
      </c>
      <c r="C386" s="15" t="s">
        <v>30</v>
      </c>
      <c r="D386" s="15" t="s">
        <v>13</v>
      </c>
      <c r="E386" s="15">
        <v>15</v>
      </c>
      <c r="F386" s="15">
        <v>12</v>
      </c>
      <c r="G386" s="15" t="s">
        <v>25</v>
      </c>
      <c r="H386" s="15" t="s">
        <v>61</v>
      </c>
      <c r="I386" s="15" t="s">
        <v>750</v>
      </c>
      <c r="J386" s="15">
        <v>95</v>
      </c>
      <c r="K386" s="59" t="str">
        <f t="shared" si="5"/>
        <v>Pass</v>
      </c>
    </row>
    <row r="387" spans="1:11" x14ac:dyDescent="0.3">
      <c r="A387" s="15" t="s">
        <v>751</v>
      </c>
      <c r="B387" s="15" t="s">
        <v>73</v>
      </c>
      <c r="C387" s="15" t="s">
        <v>79</v>
      </c>
      <c r="D387" s="15" t="s">
        <v>31</v>
      </c>
      <c r="E387" s="15">
        <v>20</v>
      </c>
      <c r="F387" s="15">
        <v>12</v>
      </c>
      <c r="G387" s="15" t="s">
        <v>25</v>
      </c>
      <c r="H387" s="15" t="s">
        <v>76</v>
      </c>
      <c r="I387" s="15" t="s">
        <v>752</v>
      </c>
      <c r="J387" s="15">
        <v>91</v>
      </c>
      <c r="K387" s="59" t="str">
        <f t="shared" si="5"/>
        <v>Pass</v>
      </c>
    </row>
    <row r="388" spans="1:11" x14ac:dyDescent="0.3">
      <c r="A388" s="15" t="s">
        <v>753</v>
      </c>
      <c r="B388" s="15" t="s">
        <v>73</v>
      </c>
      <c r="C388" s="15" t="s">
        <v>24</v>
      </c>
      <c r="D388" s="15" t="s">
        <v>13</v>
      </c>
      <c r="E388" s="15">
        <v>18</v>
      </c>
      <c r="F388" s="15">
        <v>11</v>
      </c>
      <c r="G388" s="15" t="s">
        <v>32</v>
      </c>
      <c r="H388" s="15" t="s">
        <v>40</v>
      </c>
      <c r="I388" s="15" t="s">
        <v>313</v>
      </c>
      <c r="J388" s="15">
        <v>58</v>
      </c>
      <c r="K388" s="59" t="str">
        <f t="shared" si="5"/>
        <v>Pass</v>
      </c>
    </row>
    <row r="389" spans="1:11" x14ac:dyDescent="0.3">
      <c r="A389" s="15" t="s">
        <v>754</v>
      </c>
      <c r="B389" s="15" t="s">
        <v>54</v>
      </c>
      <c r="C389" s="15" t="s">
        <v>12</v>
      </c>
      <c r="D389" s="15" t="s">
        <v>13</v>
      </c>
      <c r="E389" s="15">
        <v>14</v>
      </c>
      <c r="F389" s="15">
        <v>12</v>
      </c>
      <c r="G389" s="15" t="s">
        <v>32</v>
      </c>
      <c r="H389" s="15" t="s">
        <v>20</v>
      </c>
      <c r="I389" s="15" t="s">
        <v>755</v>
      </c>
      <c r="J389" s="15">
        <v>98</v>
      </c>
      <c r="K389" s="59" t="str">
        <f t="shared" ref="K389:K452" si="6">IF(J389&gt;=40,"Pass","Fail")</f>
        <v>Pass</v>
      </c>
    </row>
    <row r="390" spans="1:11" x14ac:dyDescent="0.3">
      <c r="A390" s="15" t="s">
        <v>756</v>
      </c>
      <c r="B390" s="15" t="s">
        <v>11</v>
      </c>
      <c r="C390" s="15" t="s">
        <v>30</v>
      </c>
      <c r="D390" s="15" t="s">
        <v>13</v>
      </c>
      <c r="E390" s="15">
        <v>15</v>
      </c>
      <c r="F390" s="15">
        <v>11</v>
      </c>
      <c r="G390" s="15" t="s">
        <v>14</v>
      </c>
      <c r="H390" s="15" t="s">
        <v>76</v>
      </c>
      <c r="I390" s="15" t="s">
        <v>757</v>
      </c>
      <c r="J390" s="15">
        <v>39</v>
      </c>
      <c r="K390" s="59" t="str">
        <f t="shared" si="6"/>
        <v>Fail</v>
      </c>
    </row>
    <row r="391" spans="1:11" x14ac:dyDescent="0.3">
      <c r="A391" s="15" t="s">
        <v>758</v>
      </c>
      <c r="B391" s="15" t="s">
        <v>73</v>
      </c>
      <c r="C391" s="15" t="s">
        <v>12</v>
      </c>
      <c r="D391" s="15" t="s">
        <v>31</v>
      </c>
      <c r="E391" s="15">
        <v>16</v>
      </c>
      <c r="F391" s="15">
        <v>11</v>
      </c>
      <c r="G391" s="15" t="s">
        <v>43</v>
      </c>
      <c r="H391" s="15" t="s">
        <v>40</v>
      </c>
      <c r="I391" s="15" t="s">
        <v>759</v>
      </c>
      <c r="J391" s="15">
        <v>70</v>
      </c>
      <c r="K391" s="59" t="str">
        <f t="shared" si="6"/>
        <v>Pass</v>
      </c>
    </row>
    <row r="392" spans="1:11" x14ac:dyDescent="0.3">
      <c r="A392" s="15" t="s">
        <v>760</v>
      </c>
      <c r="B392" s="15" t="s">
        <v>84</v>
      </c>
      <c r="C392" s="15" t="s">
        <v>96</v>
      </c>
      <c r="D392" s="15" t="s">
        <v>31</v>
      </c>
      <c r="E392" s="15">
        <v>16</v>
      </c>
      <c r="F392" s="15">
        <v>11</v>
      </c>
      <c r="G392" s="15" t="s">
        <v>32</v>
      </c>
      <c r="H392" s="15" t="s">
        <v>76</v>
      </c>
      <c r="I392" s="15" t="s">
        <v>761</v>
      </c>
      <c r="J392" s="15">
        <v>83</v>
      </c>
      <c r="K392" s="59" t="str">
        <f t="shared" si="6"/>
        <v>Pass</v>
      </c>
    </row>
    <row r="393" spans="1:11" x14ac:dyDescent="0.3">
      <c r="A393" s="15" t="s">
        <v>762</v>
      </c>
      <c r="B393" s="15" t="s">
        <v>68</v>
      </c>
      <c r="C393" s="15" t="s">
        <v>85</v>
      </c>
      <c r="D393" s="15" t="s">
        <v>31</v>
      </c>
      <c r="E393" s="15">
        <v>20</v>
      </c>
      <c r="F393" s="15">
        <v>12</v>
      </c>
      <c r="G393" s="15" t="s">
        <v>43</v>
      </c>
      <c r="H393" s="15" t="s">
        <v>20</v>
      </c>
      <c r="I393" s="15" t="s">
        <v>763</v>
      </c>
      <c r="J393" s="15">
        <v>82</v>
      </c>
      <c r="K393" s="59" t="str">
        <f t="shared" si="6"/>
        <v>Pass</v>
      </c>
    </row>
    <row r="394" spans="1:11" x14ac:dyDescent="0.3">
      <c r="A394" s="15" t="s">
        <v>764</v>
      </c>
      <c r="B394" s="15" t="s">
        <v>18</v>
      </c>
      <c r="C394" s="15" t="s">
        <v>55</v>
      </c>
      <c r="D394" s="15" t="s">
        <v>13</v>
      </c>
      <c r="E394" s="15">
        <v>16</v>
      </c>
      <c r="F394" s="15">
        <v>12</v>
      </c>
      <c r="G394" s="15" t="s">
        <v>14</v>
      </c>
      <c r="H394" s="15" t="s">
        <v>40</v>
      </c>
      <c r="I394" s="15" t="s">
        <v>765</v>
      </c>
      <c r="J394" s="15">
        <v>61</v>
      </c>
      <c r="K394" s="59" t="str">
        <f t="shared" si="6"/>
        <v>Pass</v>
      </c>
    </row>
    <row r="395" spans="1:11" x14ac:dyDescent="0.3">
      <c r="A395" s="15" t="s">
        <v>766</v>
      </c>
      <c r="B395" s="15" t="s">
        <v>35</v>
      </c>
      <c r="C395" s="15" t="s">
        <v>58</v>
      </c>
      <c r="D395" s="15" t="s">
        <v>13</v>
      </c>
      <c r="E395" s="15">
        <v>20</v>
      </c>
      <c r="F395" s="15">
        <v>11</v>
      </c>
      <c r="G395" s="15" t="s">
        <v>32</v>
      </c>
      <c r="H395" s="15" t="s">
        <v>46</v>
      </c>
      <c r="I395" s="15" t="s">
        <v>767</v>
      </c>
      <c r="J395" s="15">
        <v>54</v>
      </c>
      <c r="K395" s="59" t="str">
        <f t="shared" si="6"/>
        <v>Pass</v>
      </c>
    </row>
    <row r="396" spans="1:11" x14ac:dyDescent="0.3">
      <c r="A396" s="15" t="s">
        <v>768</v>
      </c>
      <c r="B396" s="15" t="s">
        <v>23</v>
      </c>
      <c r="C396" s="15" t="s">
        <v>24</v>
      </c>
      <c r="D396" s="15" t="s">
        <v>13</v>
      </c>
      <c r="E396" s="15">
        <v>17</v>
      </c>
      <c r="F396" s="15">
        <v>11</v>
      </c>
      <c r="G396" s="15" t="s">
        <v>25</v>
      </c>
      <c r="H396" s="15" t="s">
        <v>40</v>
      </c>
      <c r="I396" s="15" t="s">
        <v>258</v>
      </c>
      <c r="J396" s="15">
        <v>61</v>
      </c>
      <c r="K396" s="59" t="str">
        <f t="shared" si="6"/>
        <v>Pass</v>
      </c>
    </row>
    <row r="397" spans="1:11" x14ac:dyDescent="0.3">
      <c r="A397" s="15" t="s">
        <v>769</v>
      </c>
      <c r="B397" s="15" t="s">
        <v>35</v>
      </c>
      <c r="C397" s="15" t="s">
        <v>30</v>
      </c>
      <c r="D397" s="15" t="s">
        <v>13</v>
      </c>
      <c r="E397" s="15">
        <v>16</v>
      </c>
      <c r="F397" s="15">
        <v>11</v>
      </c>
      <c r="G397" s="15" t="s">
        <v>32</v>
      </c>
      <c r="H397" s="15" t="s">
        <v>46</v>
      </c>
      <c r="I397" s="15" t="s">
        <v>770</v>
      </c>
      <c r="J397" s="15">
        <v>85</v>
      </c>
      <c r="K397" s="59" t="str">
        <f t="shared" si="6"/>
        <v>Pass</v>
      </c>
    </row>
    <row r="398" spans="1:11" x14ac:dyDescent="0.3">
      <c r="A398" s="15" t="s">
        <v>771</v>
      </c>
      <c r="B398" s="15" t="s">
        <v>23</v>
      </c>
      <c r="C398" s="15" t="s">
        <v>24</v>
      </c>
      <c r="D398" s="15" t="s">
        <v>31</v>
      </c>
      <c r="E398" s="15">
        <v>18</v>
      </c>
      <c r="F398" s="15">
        <v>11</v>
      </c>
      <c r="G398" s="15" t="s">
        <v>25</v>
      </c>
      <c r="H398" s="15" t="s">
        <v>46</v>
      </c>
      <c r="I398" s="15" t="s">
        <v>772</v>
      </c>
      <c r="J398" s="15">
        <v>89</v>
      </c>
      <c r="K398" s="59" t="str">
        <f t="shared" si="6"/>
        <v>Pass</v>
      </c>
    </row>
    <row r="399" spans="1:11" x14ac:dyDescent="0.3">
      <c r="A399" s="15" t="s">
        <v>773</v>
      </c>
      <c r="B399" s="15" t="s">
        <v>68</v>
      </c>
      <c r="C399" s="15" t="s">
        <v>19</v>
      </c>
      <c r="D399" s="15" t="s">
        <v>13</v>
      </c>
      <c r="E399" s="15">
        <v>14</v>
      </c>
      <c r="F399" s="15">
        <v>11</v>
      </c>
      <c r="G399" s="15" t="s">
        <v>14</v>
      </c>
      <c r="H399" s="15" t="s">
        <v>20</v>
      </c>
      <c r="I399" s="15" t="s">
        <v>774</v>
      </c>
      <c r="J399" s="15">
        <v>72</v>
      </c>
      <c r="K399" s="59" t="str">
        <f t="shared" si="6"/>
        <v>Pass</v>
      </c>
    </row>
    <row r="400" spans="1:11" x14ac:dyDescent="0.3">
      <c r="A400" s="15" t="s">
        <v>775</v>
      </c>
      <c r="B400" s="15" t="s">
        <v>29</v>
      </c>
      <c r="C400" s="15" t="s">
        <v>85</v>
      </c>
      <c r="D400" s="15" t="s">
        <v>31</v>
      </c>
      <c r="E400" s="15">
        <v>20</v>
      </c>
      <c r="F400" s="15">
        <v>10</v>
      </c>
      <c r="G400" s="15" t="s">
        <v>14</v>
      </c>
      <c r="H400" s="15" t="s">
        <v>46</v>
      </c>
      <c r="I400" s="15" t="s">
        <v>366</v>
      </c>
      <c r="J400" s="15">
        <v>100</v>
      </c>
      <c r="K400" s="59" t="str">
        <f t="shared" si="6"/>
        <v>Pass</v>
      </c>
    </row>
    <row r="401" spans="1:11" x14ac:dyDescent="0.3">
      <c r="A401" s="15" t="s">
        <v>776</v>
      </c>
      <c r="B401" s="15" t="s">
        <v>11</v>
      </c>
      <c r="C401" s="15" t="s">
        <v>12</v>
      </c>
      <c r="D401" s="15" t="s">
        <v>31</v>
      </c>
      <c r="E401" s="15">
        <v>20</v>
      </c>
      <c r="F401" s="15">
        <v>9</v>
      </c>
      <c r="G401" s="15" t="s">
        <v>14</v>
      </c>
      <c r="H401" s="15" t="s">
        <v>76</v>
      </c>
      <c r="I401" s="15" t="s">
        <v>777</v>
      </c>
      <c r="J401" s="15">
        <v>84</v>
      </c>
      <c r="K401" s="59" t="str">
        <f t="shared" si="6"/>
        <v>Pass</v>
      </c>
    </row>
    <row r="402" spans="1:11" x14ac:dyDescent="0.3">
      <c r="A402" s="15" t="s">
        <v>778</v>
      </c>
      <c r="B402" s="15" t="s">
        <v>73</v>
      </c>
      <c r="C402" s="15" t="s">
        <v>19</v>
      </c>
      <c r="D402" s="15" t="s">
        <v>13</v>
      </c>
      <c r="E402" s="15">
        <v>17</v>
      </c>
      <c r="F402" s="15">
        <v>12</v>
      </c>
      <c r="G402" s="15" t="s">
        <v>14</v>
      </c>
      <c r="H402" s="15" t="s">
        <v>37</v>
      </c>
      <c r="I402" s="15" t="s">
        <v>779</v>
      </c>
      <c r="J402" s="15">
        <v>76</v>
      </c>
      <c r="K402" s="59" t="str">
        <f t="shared" si="6"/>
        <v>Pass</v>
      </c>
    </row>
    <row r="403" spans="1:11" x14ac:dyDescent="0.3">
      <c r="A403" s="15" t="s">
        <v>780</v>
      </c>
      <c r="B403" s="15" t="s">
        <v>35</v>
      </c>
      <c r="C403" s="15" t="s">
        <v>36</v>
      </c>
      <c r="D403" s="15" t="s">
        <v>31</v>
      </c>
      <c r="E403" s="15">
        <v>14</v>
      </c>
      <c r="F403" s="15">
        <v>9</v>
      </c>
      <c r="G403" s="15" t="s">
        <v>25</v>
      </c>
      <c r="H403" s="15" t="s">
        <v>40</v>
      </c>
      <c r="I403" s="15" t="s">
        <v>781</v>
      </c>
      <c r="J403" s="15">
        <v>36</v>
      </c>
      <c r="K403" s="59" t="str">
        <f t="shared" si="6"/>
        <v>Fail</v>
      </c>
    </row>
    <row r="404" spans="1:11" x14ac:dyDescent="0.3">
      <c r="A404" s="15" t="s">
        <v>782</v>
      </c>
      <c r="B404" s="15" t="s">
        <v>84</v>
      </c>
      <c r="C404" s="15" t="s">
        <v>12</v>
      </c>
      <c r="D404" s="15" t="s">
        <v>31</v>
      </c>
      <c r="E404" s="15">
        <v>14</v>
      </c>
      <c r="F404" s="15">
        <v>11</v>
      </c>
      <c r="G404" s="15" t="s">
        <v>14</v>
      </c>
      <c r="H404" s="15" t="s">
        <v>37</v>
      </c>
      <c r="I404" s="15" t="s">
        <v>252</v>
      </c>
      <c r="J404" s="15">
        <v>95</v>
      </c>
      <c r="K404" s="59" t="str">
        <f t="shared" si="6"/>
        <v>Pass</v>
      </c>
    </row>
    <row r="405" spans="1:11" x14ac:dyDescent="0.3">
      <c r="A405" s="15" t="s">
        <v>783</v>
      </c>
      <c r="B405" s="15" t="s">
        <v>54</v>
      </c>
      <c r="C405" s="15" t="s">
        <v>79</v>
      </c>
      <c r="D405" s="15" t="s">
        <v>31</v>
      </c>
      <c r="E405" s="15">
        <v>15</v>
      </c>
      <c r="F405" s="15">
        <v>11</v>
      </c>
      <c r="G405" s="15" t="s">
        <v>25</v>
      </c>
      <c r="H405" s="15" t="s">
        <v>61</v>
      </c>
      <c r="I405" s="15" t="s">
        <v>628</v>
      </c>
      <c r="J405" s="15">
        <v>39</v>
      </c>
      <c r="K405" s="59" t="str">
        <f t="shared" si="6"/>
        <v>Fail</v>
      </c>
    </row>
    <row r="406" spans="1:11" x14ac:dyDescent="0.3">
      <c r="A406" s="15" t="s">
        <v>784</v>
      </c>
      <c r="B406" s="15" t="s">
        <v>84</v>
      </c>
      <c r="C406" s="15" t="s">
        <v>12</v>
      </c>
      <c r="D406" s="15" t="s">
        <v>13</v>
      </c>
      <c r="E406" s="15">
        <v>17</v>
      </c>
      <c r="F406" s="15">
        <v>9</v>
      </c>
      <c r="G406" s="15" t="s">
        <v>43</v>
      </c>
      <c r="H406" s="15" t="s">
        <v>76</v>
      </c>
      <c r="I406" s="15" t="s">
        <v>685</v>
      </c>
      <c r="J406" s="15">
        <v>89</v>
      </c>
      <c r="K406" s="59" t="str">
        <f t="shared" si="6"/>
        <v>Pass</v>
      </c>
    </row>
    <row r="407" spans="1:11" x14ac:dyDescent="0.3">
      <c r="A407" s="15" t="s">
        <v>785</v>
      </c>
      <c r="B407" s="15" t="s">
        <v>35</v>
      </c>
      <c r="C407" s="15" t="s">
        <v>58</v>
      </c>
      <c r="D407" s="15" t="s">
        <v>13</v>
      </c>
      <c r="E407" s="15">
        <v>18</v>
      </c>
      <c r="F407" s="15">
        <v>12</v>
      </c>
      <c r="G407" s="15" t="s">
        <v>43</v>
      </c>
      <c r="H407" s="15" t="s">
        <v>20</v>
      </c>
      <c r="I407" s="15" t="s">
        <v>786</v>
      </c>
      <c r="J407" s="15">
        <v>93</v>
      </c>
      <c r="K407" s="59" t="str">
        <f t="shared" si="6"/>
        <v>Pass</v>
      </c>
    </row>
    <row r="408" spans="1:11" x14ac:dyDescent="0.3">
      <c r="A408" s="15" t="s">
        <v>787</v>
      </c>
      <c r="B408" s="15" t="s">
        <v>18</v>
      </c>
      <c r="C408" s="15" t="s">
        <v>36</v>
      </c>
      <c r="D408" s="15" t="s">
        <v>31</v>
      </c>
      <c r="E408" s="15">
        <v>16</v>
      </c>
      <c r="F408" s="15">
        <v>9</v>
      </c>
      <c r="G408" s="15" t="s">
        <v>14</v>
      </c>
      <c r="H408" s="15" t="s">
        <v>76</v>
      </c>
      <c r="I408" s="15" t="s">
        <v>788</v>
      </c>
      <c r="J408" s="15">
        <v>88</v>
      </c>
      <c r="K408" s="59" t="str">
        <f t="shared" si="6"/>
        <v>Pass</v>
      </c>
    </row>
    <row r="409" spans="1:11" x14ac:dyDescent="0.3">
      <c r="A409" s="15" t="s">
        <v>789</v>
      </c>
      <c r="B409" s="15" t="s">
        <v>54</v>
      </c>
      <c r="C409" s="15" t="s">
        <v>12</v>
      </c>
      <c r="D409" s="15" t="s">
        <v>31</v>
      </c>
      <c r="E409" s="15">
        <v>18</v>
      </c>
      <c r="F409" s="15">
        <v>10</v>
      </c>
      <c r="G409" s="15" t="s">
        <v>25</v>
      </c>
      <c r="H409" s="15" t="s">
        <v>15</v>
      </c>
      <c r="I409" s="15" t="s">
        <v>790</v>
      </c>
      <c r="J409" s="15">
        <v>95</v>
      </c>
      <c r="K409" s="59" t="str">
        <f t="shared" si="6"/>
        <v>Pass</v>
      </c>
    </row>
    <row r="410" spans="1:11" x14ac:dyDescent="0.3">
      <c r="A410" s="15" t="s">
        <v>791</v>
      </c>
      <c r="B410" s="15" t="s">
        <v>51</v>
      </c>
      <c r="C410" s="15" t="s">
        <v>85</v>
      </c>
      <c r="D410" s="15" t="s">
        <v>13</v>
      </c>
      <c r="E410" s="15">
        <v>14</v>
      </c>
      <c r="F410" s="15">
        <v>9</v>
      </c>
      <c r="G410" s="15" t="s">
        <v>43</v>
      </c>
      <c r="H410" s="15" t="s">
        <v>61</v>
      </c>
      <c r="I410" s="15" t="s">
        <v>792</v>
      </c>
      <c r="J410" s="15">
        <v>96</v>
      </c>
      <c r="K410" s="59" t="str">
        <f t="shared" si="6"/>
        <v>Pass</v>
      </c>
    </row>
    <row r="411" spans="1:11" x14ac:dyDescent="0.3">
      <c r="A411" s="15" t="s">
        <v>793</v>
      </c>
      <c r="B411" s="15" t="s">
        <v>35</v>
      </c>
      <c r="C411" s="15" t="s">
        <v>19</v>
      </c>
      <c r="D411" s="15" t="s">
        <v>31</v>
      </c>
      <c r="E411" s="15">
        <v>20</v>
      </c>
      <c r="F411" s="15">
        <v>11</v>
      </c>
      <c r="G411" s="15" t="s">
        <v>32</v>
      </c>
      <c r="H411" s="15" t="s">
        <v>20</v>
      </c>
      <c r="I411" s="15" t="s">
        <v>794</v>
      </c>
      <c r="J411" s="15">
        <v>74</v>
      </c>
      <c r="K411" s="59" t="str">
        <f t="shared" si="6"/>
        <v>Pass</v>
      </c>
    </row>
    <row r="412" spans="1:11" x14ac:dyDescent="0.3">
      <c r="A412" s="15" t="s">
        <v>795</v>
      </c>
      <c r="B412" s="15" t="s">
        <v>54</v>
      </c>
      <c r="C412" s="15" t="s">
        <v>30</v>
      </c>
      <c r="D412" s="15" t="s">
        <v>13</v>
      </c>
      <c r="E412" s="15">
        <v>18</v>
      </c>
      <c r="F412" s="15">
        <v>12</v>
      </c>
      <c r="G412" s="15" t="s">
        <v>32</v>
      </c>
      <c r="H412" s="15" t="s">
        <v>20</v>
      </c>
      <c r="I412" s="15" t="s">
        <v>796</v>
      </c>
      <c r="J412" s="15">
        <v>55</v>
      </c>
      <c r="K412" s="59" t="str">
        <f t="shared" si="6"/>
        <v>Pass</v>
      </c>
    </row>
    <row r="413" spans="1:11" x14ac:dyDescent="0.3">
      <c r="A413" s="15" t="s">
        <v>797</v>
      </c>
      <c r="B413" s="15" t="s">
        <v>23</v>
      </c>
      <c r="C413" s="15" t="s">
        <v>85</v>
      </c>
      <c r="D413" s="15" t="s">
        <v>13</v>
      </c>
      <c r="E413" s="15">
        <v>17</v>
      </c>
      <c r="F413" s="15">
        <v>12</v>
      </c>
      <c r="G413" s="15" t="s">
        <v>14</v>
      </c>
      <c r="H413" s="15" t="s">
        <v>76</v>
      </c>
      <c r="I413" s="15" t="s">
        <v>71</v>
      </c>
      <c r="J413" s="15">
        <v>77</v>
      </c>
      <c r="K413" s="59" t="str">
        <f t="shared" si="6"/>
        <v>Pass</v>
      </c>
    </row>
    <row r="414" spans="1:11" x14ac:dyDescent="0.3">
      <c r="A414" s="15" t="s">
        <v>798</v>
      </c>
      <c r="B414" s="15" t="s">
        <v>23</v>
      </c>
      <c r="C414" s="15" t="s">
        <v>19</v>
      </c>
      <c r="D414" s="15" t="s">
        <v>13</v>
      </c>
      <c r="E414" s="15">
        <v>17</v>
      </c>
      <c r="F414" s="15">
        <v>12</v>
      </c>
      <c r="G414" s="15" t="s">
        <v>14</v>
      </c>
      <c r="H414" s="15" t="s">
        <v>40</v>
      </c>
      <c r="I414" s="15" t="s">
        <v>159</v>
      </c>
      <c r="J414" s="15">
        <v>95</v>
      </c>
      <c r="K414" s="59" t="str">
        <f t="shared" si="6"/>
        <v>Pass</v>
      </c>
    </row>
    <row r="415" spans="1:11" x14ac:dyDescent="0.3">
      <c r="A415" s="15" t="s">
        <v>799</v>
      </c>
      <c r="B415" s="15" t="s">
        <v>54</v>
      </c>
      <c r="C415" s="15" t="s">
        <v>36</v>
      </c>
      <c r="D415" s="15" t="s">
        <v>31</v>
      </c>
      <c r="E415" s="15">
        <v>17</v>
      </c>
      <c r="F415" s="15">
        <v>12</v>
      </c>
      <c r="G415" s="15" t="s">
        <v>14</v>
      </c>
      <c r="H415" s="15" t="s">
        <v>46</v>
      </c>
      <c r="I415" s="15" t="s">
        <v>533</v>
      </c>
      <c r="J415" s="15">
        <v>59</v>
      </c>
      <c r="K415" s="59" t="str">
        <f t="shared" si="6"/>
        <v>Pass</v>
      </c>
    </row>
    <row r="416" spans="1:11" x14ac:dyDescent="0.3">
      <c r="A416" s="15" t="s">
        <v>800</v>
      </c>
      <c r="B416" s="15" t="s">
        <v>23</v>
      </c>
      <c r="C416" s="15" t="s">
        <v>79</v>
      </c>
      <c r="D416" s="15" t="s">
        <v>31</v>
      </c>
      <c r="E416" s="15">
        <v>18</v>
      </c>
      <c r="F416" s="15">
        <v>11</v>
      </c>
      <c r="G416" s="15" t="s">
        <v>32</v>
      </c>
      <c r="H416" s="15" t="s">
        <v>76</v>
      </c>
      <c r="I416" s="15" t="s">
        <v>801</v>
      </c>
      <c r="J416" s="15">
        <v>97</v>
      </c>
      <c r="K416" s="59" t="str">
        <f t="shared" si="6"/>
        <v>Pass</v>
      </c>
    </row>
    <row r="417" spans="1:11" x14ac:dyDescent="0.3">
      <c r="A417" s="15" t="s">
        <v>802</v>
      </c>
      <c r="B417" s="15" t="s">
        <v>29</v>
      </c>
      <c r="C417" s="15" t="s">
        <v>96</v>
      </c>
      <c r="D417" s="15" t="s">
        <v>13</v>
      </c>
      <c r="E417" s="15">
        <v>14</v>
      </c>
      <c r="F417" s="15">
        <v>10</v>
      </c>
      <c r="G417" s="15" t="s">
        <v>25</v>
      </c>
      <c r="H417" s="15" t="s">
        <v>61</v>
      </c>
      <c r="I417" s="15" t="s">
        <v>803</v>
      </c>
      <c r="J417" s="15">
        <v>89</v>
      </c>
      <c r="K417" s="59" t="str">
        <f t="shared" si="6"/>
        <v>Pass</v>
      </c>
    </row>
    <row r="418" spans="1:11" x14ac:dyDescent="0.3">
      <c r="A418" s="15" t="s">
        <v>804</v>
      </c>
      <c r="B418" s="15" t="s">
        <v>54</v>
      </c>
      <c r="C418" s="15" t="s">
        <v>79</v>
      </c>
      <c r="D418" s="15" t="s">
        <v>13</v>
      </c>
      <c r="E418" s="15">
        <v>19</v>
      </c>
      <c r="F418" s="15">
        <v>9</v>
      </c>
      <c r="G418" s="15" t="s">
        <v>25</v>
      </c>
      <c r="H418" s="15" t="s">
        <v>61</v>
      </c>
      <c r="I418" s="15" t="s">
        <v>56</v>
      </c>
      <c r="J418" s="15">
        <v>43</v>
      </c>
      <c r="K418" s="59" t="str">
        <f t="shared" si="6"/>
        <v>Pass</v>
      </c>
    </row>
    <row r="419" spans="1:11" x14ac:dyDescent="0.3">
      <c r="A419" s="15" t="s">
        <v>805</v>
      </c>
      <c r="B419" s="15" t="s">
        <v>29</v>
      </c>
      <c r="C419" s="15" t="s">
        <v>36</v>
      </c>
      <c r="D419" s="15" t="s">
        <v>31</v>
      </c>
      <c r="E419" s="15">
        <v>17</v>
      </c>
      <c r="F419" s="15">
        <v>10</v>
      </c>
      <c r="G419" s="15" t="s">
        <v>25</v>
      </c>
      <c r="H419" s="15" t="s">
        <v>15</v>
      </c>
      <c r="I419" s="15" t="s">
        <v>806</v>
      </c>
      <c r="J419" s="15">
        <v>59</v>
      </c>
      <c r="K419" s="59" t="str">
        <f t="shared" si="6"/>
        <v>Pass</v>
      </c>
    </row>
    <row r="420" spans="1:11" x14ac:dyDescent="0.3">
      <c r="A420" s="15" t="s">
        <v>807</v>
      </c>
      <c r="B420" s="15" t="s">
        <v>68</v>
      </c>
      <c r="C420" s="15" t="s">
        <v>79</v>
      </c>
      <c r="D420" s="15" t="s">
        <v>31</v>
      </c>
      <c r="E420" s="15">
        <v>16</v>
      </c>
      <c r="F420" s="15">
        <v>10</v>
      </c>
      <c r="G420" s="15" t="s">
        <v>43</v>
      </c>
      <c r="H420" s="15" t="s">
        <v>76</v>
      </c>
      <c r="I420" s="15" t="s">
        <v>305</v>
      </c>
      <c r="J420" s="15">
        <v>40</v>
      </c>
      <c r="K420" s="59" t="str">
        <f t="shared" si="6"/>
        <v>Pass</v>
      </c>
    </row>
    <row r="421" spans="1:11" x14ac:dyDescent="0.3">
      <c r="A421" s="15" t="s">
        <v>808</v>
      </c>
      <c r="B421" s="15" t="s">
        <v>54</v>
      </c>
      <c r="C421" s="15" t="s">
        <v>24</v>
      </c>
      <c r="D421" s="15" t="s">
        <v>13</v>
      </c>
      <c r="E421" s="15">
        <v>14</v>
      </c>
      <c r="F421" s="15">
        <v>9</v>
      </c>
      <c r="G421" s="15" t="s">
        <v>25</v>
      </c>
      <c r="H421" s="15" t="s">
        <v>46</v>
      </c>
      <c r="I421" s="15" t="s">
        <v>809</v>
      </c>
      <c r="J421" s="15">
        <v>92</v>
      </c>
      <c r="K421" s="59" t="str">
        <f t="shared" si="6"/>
        <v>Pass</v>
      </c>
    </row>
    <row r="422" spans="1:11" x14ac:dyDescent="0.3">
      <c r="A422" s="15" t="s">
        <v>810</v>
      </c>
      <c r="B422" s="15" t="s">
        <v>73</v>
      </c>
      <c r="C422" s="15" t="s">
        <v>12</v>
      </c>
      <c r="D422" s="15" t="s">
        <v>13</v>
      </c>
      <c r="E422" s="15">
        <v>14</v>
      </c>
      <c r="F422" s="15">
        <v>10</v>
      </c>
      <c r="G422" s="15" t="s">
        <v>14</v>
      </c>
      <c r="H422" s="15" t="s">
        <v>46</v>
      </c>
      <c r="I422" s="15" t="s">
        <v>385</v>
      </c>
      <c r="J422" s="15">
        <v>49</v>
      </c>
      <c r="K422" s="59" t="str">
        <f t="shared" si="6"/>
        <v>Pass</v>
      </c>
    </row>
    <row r="423" spans="1:11" x14ac:dyDescent="0.3">
      <c r="A423" s="15" t="s">
        <v>811</v>
      </c>
      <c r="B423" s="15" t="s">
        <v>29</v>
      </c>
      <c r="C423" s="15" t="s">
        <v>58</v>
      </c>
      <c r="D423" s="15" t="s">
        <v>13</v>
      </c>
      <c r="E423" s="15">
        <v>20</v>
      </c>
      <c r="F423" s="15">
        <v>11</v>
      </c>
      <c r="G423" s="15" t="s">
        <v>14</v>
      </c>
      <c r="H423" s="15" t="s">
        <v>61</v>
      </c>
      <c r="I423" s="15" t="s">
        <v>358</v>
      </c>
      <c r="J423" s="15">
        <v>44</v>
      </c>
      <c r="K423" s="59" t="str">
        <f t="shared" si="6"/>
        <v>Pass</v>
      </c>
    </row>
    <row r="424" spans="1:11" x14ac:dyDescent="0.3">
      <c r="A424" s="15" t="s">
        <v>812</v>
      </c>
      <c r="B424" s="15" t="s">
        <v>51</v>
      </c>
      <c r="C424" s="15" t="s">
        <v>55</v>
      </c>
      <c r="D424" s="15" t="s">
        <v>13</v>
      </c>
      <c r="E424" s="15">
        <v>15</v>
      </c>
      <c r="F424" s="15">
        <v>10</v>
      </c>
      <c r="G424" s="15" t="s">
        <v>43</v>
      </c>
      <c r="H424" s="15" t="s">
        <v>46</v>
      </c>
      <c r="I424" s="15" t="s">
        <v>82</v>
      </c>
      <c r="J424" s="15">
        <v>62</v>
      </c>
      <c r="K424" s="59" t="str">
        <f t="shared" si="6"/>
        <v>Pass</v>
      </c>
    </row>
    <row r="425" spans="1:11" x14ac:dyDescent="0.3">
      <c r="A425" s="15" t="s">
        <v>813</v>
      </c>
      <c r="B425" s="15" t="s">
        <v>73</v>
      </c>
      <c r="C425" s="15" t="s">
        <v>58</v>
      </c>
      <c r="D425" s="15" t="s">
        <v>13</v>
      </c>
      <c r="E425" s="15">
        <v>17</v>
      </c>
      <c r="F425" s="15">
        <v>12</v>
      </c>
      <c r="G425" s="15" t="s">
        <v>32</v>
      </c>
      <c r="H425" s="15" t="s">
        <v>46</v>
      </c>
      <c r="I425" s="15" t="s">
        <v>346</v>
      </c>
      <c r="J425" s="15">
        <v>60</v>
      </c>
      <c r="K425" s="59" t="str">
        <f t="shared" si="6"/>
        <v>Pass</v>
      </c>
    </row>
    <row r="426" spans="1:11" x14ac:dyDescent="0.3">
      <c r="A426" s="15" t="s">
        <v>814</v>
      </c>
      <c r="B426" s="15" t="s">
        <v>18</v>
      </c>
      <c r="C426" s="15" t="s">
        <v>24</v>
      </c>
      <c r="D426" s="15" t="s">
        <v>31</v>
      </c>
      <c r="E426" s="15">
        <v>17</v>
      </c>
      <c r="F426" s="15">
        <v>10</v>
      </c>
      <c r="G426" s="15" t="s">
        <v>14</v>
      </c>
      <c r="H426" s="15" t="s">
        <v>76</v>
      </c>
      <c r="I426" s="15" t="s">
        <v>815</v>
      </c>
      <c r="J426" s="15">
        <v>47</v>
      </c>
      <c r="K426" s="59" t="str">
        <f t="shared" si="6"/>
        <v>Pass</v>
      </c>
    </row>
    <row r="427" spans="1:11" x14ac:dyDescent="0.3">
      <c r="A427" s="15" t="s">
        <v>816</v>
      </c>
      <c r="B427" s="15" t="s">
        <v>23</v>
      </c>
      <c r="C427" s="15" t="s">
        <v>79</v>
      </c>
      <c r="D427" s="15" t="s">
        <v>31</v>
      </c>
      <c r="E427" s="15">
        <v>15</v>
      </c>
      <c r="F427" s="15">
        <v>9</v>
      </c>
      <c r="G427" s="15" t="s">
        <v>25</v>
      </c>
      <c r="H427" s="15" t="s">
        <v>76</v>
      </c>
      <c r="I427" s="15" t="s">
        <v>149</v>
      </c>
      <c r="J427" s="15">
        <v>79</v>
      </c>
      <c r="K427" s="59" t="str">
        <f t="shared" si="6"/>
        <v>Pass</v>
      </c>
    </row>
    <row r="428" spans="1:11" x14ac:dyDescent="0.3">
      <c r="A428" s="15" t="s">
        <v>817</v>
      </c>
      <c r="B428" s="15" t="s">
        <v>51</v>
      </c>
      <c r="C428" s="15" t="s">
        <v>55</v>
      </c>
      <c r="D428" s="15" t="s">
        <v>31</v>
      </c>
      <c r="E428" s="15">
        <v>19</v>
      </c>
      <c r="F428" s="15">
        <v>11</v>
      </c>
      <c r="G428" s="15" t="s">
        <v>14</v>
      </c>
      <c r="H428" s="15" t="s">
        <v>26</v>
      </c>
      <c r="I428" s="15" t="s">
        <v>818</v>
      </c>
      <c r="J428" s="15">
        <v>56</v>
      </c>
      <c r="K428" s="59" t="str">
        <f t="shared" si="6"/>
        <v>Pass</v>
      </c>
    </row>
    <row r="429" spans="1:11" x14ac:dyDescent="0.3">
      <c r="A429" s="15" t="s">
        <v>819</v>
      </c>
      <c r="B429" s="15" t="s">
        <v>18</v>
      </c>
      <c r="C429" s="15" t="s">
        <v>36</v>
      </c>
      <c r="D429" s="15" t="s">
        <v>31</v>
      </c>
      <c r="E429" s="15">
        <v>14</v>
      </c>
      <c r="F429" s="15">
        <v>10</v>
      </c>
      <c r="G429" s="15" t="s">
        <v>43</v>
      </c>
      <c r="H429" s="15" t="s">
        <v>76</v>
      </c>
      <c r="I429" s="15" t="s">
        <v>820</v>
      </c>
      <c r="J429" s="15">
        <v>56</v>
      </c>
      <c r="K429" s="59" t="str">
        <f t="shared" si="6"/>
        <v>Pass</v>
      </c>
    </row>
    <row r="430" spans="1:11" x14ac:dyDescent="0.3">
      <c r="A430" s="15" t="s">
        <v>821</v>
      </c>
      <c r="B430" s="15" t="s">
        <v>18</v>
      </c>
      <c r="C430" s="15" t="s">
        <v>79</v>
      </c>
      <c r="D430" s="15" t="s">
        <v>13</v>
      </c>
      <c r="E430" s="15">
        <v>20</v>
      </c>
      <c r="F430" s="15">
        <v>12</v>
      </c>
      <c r="G430" s="15" t="s">
        <v>32</v>
      </c>
      <c r="H430" s="15" t="s">
        <v>26</v>
      </c>
      <c r="I430" s="15" t="s">
        <v>822</v>
      </c>
      <c r="J430" s="15">
        <v>52</v>
      </c>
      <c r="K430" s="59" t="str">
        <f t="shared" si="6"/>
        <v>Pass</v>
      </c>
    </row>
    <row r="431" spans="1:11" x14ac:dyDescent="0.3">
      <c r="A431" s="15" t="s">
        <v>823</v>
      </c>
      <c r="B431" s="15" t="s">
        <v>11</v>
      </c>
      <c r="C431" s="15" t="s">
        <v>79</v>
      </c>
      <c r="D431" s="15" t="s">
        <v>31</v>
      </c>
      <c r="E431" s="15">
        <v>18</v>
      </c>
      <c r="F431" s="15">
        <v>12</v>
      </c>
      <c r="G431" s="15" t="s">
        <v>43</v>
      </c>
      <c r="H431" s="15" t="s">
        <v>37</v>
      </c>
      <c r="I431" s="15" t="s">
        <v>292</v>
      </c>
      <c r="J431" s="15">
        <v>94</v>
      </c>
      <c r="K431" s="59" t="str">
        <f t="shared" si="6"/>
        <v>Pass</v>
      </c>
    </row>
    <row r="432" spans="1:11" x14ac:dyDescent="0.3">
      <c r="A432" s="15" t="s">
        <v>824</v>
      </c>
      <c r="B432" s="15" t="s">
        <v>54</v>
      </c>
      <c r="C432" s="15" t="s">
        <v>19</v>
      </c>
      <c r="D432" s="15" t="s">
        <v>31</v>
      </c>
      <c r="E432" s="15">
        <v>20</v>
      </c>
      <c r="F432" s="15">
        <v>9</v>
      </c>
      <c r="G432" s="15" t="s">
        <v>14</v>
      </c>
      <c r="H432" s="15" t="s">
        <v>37</v>
      </c>
      <c r="I432" s="15" t="s">
        <v>825</v>
      </c>
      <c r="J432" s="15">
        <v>43</v>
      </c>
      <c r="K432" s="59" t="str">
        <f t="shared" si="6"/>
        <v>Pass</v>
      </c>
    </row>
    <row r="433" spans="1:11" x14ac:dyDescent="0.3">
      <c r="A433" s="15" t="s">
        <v>826</v>
      </c>
      <c r="B433" s="15" t="s">
        <v>51</v>
      </c>
      <c r="C433" s="15" t="s">
        <v>55</v>
      </c>
      <c r="D433" s="15" t="s">
        <v>31</v>
      </c>
      <c r="E433" s="15">
        <v>15</v>
      </c>
      <c r="F433" s="15">
        <v>10</v>
      </c>
      <c r="G433" s="15" t="s">
        <v>43</v>
      </c>
      <c r="H433" s="15" t="s">
        <v>37</v>
      </c>
      <c r="I433" s="15" t="s">
        <v>174</v>
      </c>
      <c r="J433" s="15">
        <v>42</v>
      </c>
      <c r="K433" s="59" t="str">
        <f t="shared" si="6"/>
        <v>Pass</v>
      </c>
    </row>
    <row r="434" spans="1:11" x14ac:dyDescent="0.3">
      <c r="A434" s="15" t="s">
        <v>827</v>
      </c>
      <c r="B434" s="15" t="s">
        <v>35</v>
      </c>
      <c r="C434" s="15" t="s">
        <v>12</v>
      </c>
      <c r="D434" s="15" t="s">
        <v>13</v>
      </c>
      <c r="E434" s="15">
        <v>14</v>
      </c>
      <c r="F434" s="15">
        <v>12</v>
      </c>
      <c r="G434" s="15" t="s">
        <v>25</v>
      </c>
      <c r="H434" s="15" t="s">
        <v>61</v>
      </c>
      <c r="I434" s="15" t="s">
        <v>570</v>
      </c>
      <c r="J434" s="15">
        <v>65</v>
      </c>
      <c r="K434" s="59" t="str">
        <f t="shared" si="6"/>
        <v>Pass</v>
      </c>
    </row>
    <row r="435" spans="1:11" x14ac:dyDescent="0.3">
      <c r="A435" s="15" t="s">
        <v>828</v>
      </c>
      <c r="B435" s="15" t="s">
        <v>29</v>
      </c>
      <c r="C435" s="15" t="s">
        <v>55</v>
      </c>
      <c r="D435" s="15" t="s">
        <v>13</v>
      </c>
      <c r="E435" s="15">
        <v>15</v>
      </c>
      <c r="F435" s="15">
        <v>9</v>
      </c>
      <c r="G435" s="15" t="s">
        <v>32</v>
      </c>
      <c r="H435" s="15" t="s">
        <v>40</v>
      </c>
      <c r="I435" s="15" t="s">
        <v>829</v>
      </c>
      <c r="J435" s="15">
        <v>64</v>
      </c>
      <c r="K435" s="59" t="str">
        <f t="shared" si="6"/>
        <v>Pass</v>
      </c>
    </row>
    <row r="436" spans="1:11" x14ac:dyDescent="0.3">
      <c r="A436" s="15" t="s">
        <v>830</v>
      </c>
      <c r="B436" s="15" t="s">
        <v>23</v>
      </c>
      <c r="C436" s="15" t="s">
        <v>58</v>
      </c>
      <c r="D436" s="15" t="s">
        <v>31</v>
      </c>
      <c r="E436" s="15">
        <v>17</v>
      </c>
      <c r="F436" s="15">
        <v>9</v>
      </c>
      <c r="G436" s="15" t="s">
        <v>43</v>
      </c>
      <c r="H436" s="15" t="s">
        <v>61</v>
      </c>
      <c r="I436" s="15" t="s">
        <v>820</v>
      </c>
      <c r="J436" s="15">
        <v>59</v>
      </c>
      <c r="K436" s="59" t="str">
        <f t="shared" si="6"/>
        <v>Pass</v>
      </c>
    </row>
    <row r="437" spans="1:11" x14ac:dyDescent="0.3">
      <c r="A437" s="15" t="s">
        <v>831</v>
      </c>
      <c r="B437" s="15" t="s">
        <v>54</v>
      </c>
      <c r="C437" s="15" t="s">
        <v>36</v>
      </c>
      <c r="D437" s="15" t="s">
        <v>31</v>
      </c>
      <c r="E437" s="15">
        <v>19</v>
      </c>
      <c r="F437" s="15">
        <v>9</v>
      </c>
      <c r="G437" s="15" t="s">
        <v>32</v>
      </c>
      <c r="H437" s="15" t="s">
        <v>15</v>
      </c>
      <c r="I437" s="15" t="s">
        <v>832</v>
      </c>
      <c r="J437" s="15">
        <v>35</v>
      </c>
      <c r="K437" s="59" t="str">
        <f t="shared" si="6"/>
        <v>Fail</v>
      </c>
    </row>
    <row r="438" spans="1:11" x14ac:dyDescent="0.3">
      <c r="A438" s="15" t="s">
        <v>833</v>
      </c>
      <c r="B438" s="15" t="s">
        <v>73</v>
      </c>
      <c r="C438" s="15" t="s">
        <v>96</v>
      </c>
      <c r="D438" s="15" t="s">
        <v>31</v>
      </c>
      <c r="E438" s="15">
        <v>15</v>
      </c>
      <c r="F438" s="15">
        <v>10</v>
      </c>
      <c r="G438" s="15" t="s">
        <v>43</v>
      </c>
      <c r="H438" s="15" t="s">
        <v>76</v>
      </c>
      <c r="I438" s="15" t="s">
        <v>834</v>
      </c>
      <c r="J438" s="15">
        <v>37</v>
      </c>
      <c r="K438" s="59" t="str">
        <f t="shared" si="6"/>
        <v>Fail</v>
      </c>
    </row>
    <row r="439" spans="1:11" x14ac:dyDescent="0.3">
      <c r="A439" s="15" t="s">
        <v>835</v>
      </c>
      <c r="B439" s="15" t="s">
        <v>18</v>
      </c>
      <c r="C439" s="15" t="s">
        <v>55</v>
      </c>
      <c r="D439" s="15" t="s">
        <v>31</v>
      </c>
      <c r="E439" s="15">
        <v>16</v>
      </c>
      <c r="F439" s="15">
        <v>10</v>
      </c>
      <c r="G439" s="15" t="s">
        <v>14</v>
      </c>
      <c r="H439" s="15" t="s">
        <v>61</v>
      </c>
      <c r="I439" s="15" t="s">
        <v>411</v>
      </c>
      <c r="J439" s="15">
        <v>52</v>
      </c>
      <c r="K439" s="59" t="str">
        <f t="shared" si="6"/>
        <v>Pass</v>
      </c>
    </row>
    <row r="440" spans="1:11" x14ac:dyDescent="0.3">
      <c r="A440" s="15" t="s">
        <v>836</v>
      </c>
      <c r="B440" s="15" t="s">
        <v>18</v>
      </c>
      <c r="C440" s="15" t="s">
        <v>58</v>
      </c>
      <c r="D440" s="15" t="s">
        <v>13</v>
      </c>
      <c r="E440" s="15">
        <v>16</v>
      </c>
      <c r="F440" s="15">
        <v>9</v>
      </c>
      <c r="G440" s="15" t="s">
        <v>14</v>
      </c>
      <c r="H440" s="15" t="s">
        <v>37</v>
      </c>
      <c r="I440" s="15" t="s">
        <v>837</v>
      </c>
      <c r="J440" s="15">
        <v>64</v>
      </c>
      <c r="K440" s="59" t="str">
        <f t="shared" si="6"/>
        <v>Pass</v>
      </c>
    </row>
    <row r="441" spans="1:11" x14ac:dyDescent="0.3">
      <c r="A441" s="15" t="s">
        <v>838</v>
      </c>
      <c r="B441" s="15" t="s">
        <v>29</v>
      </c>
      <c r="C441" s="15" t="s">
        <v>36</v>
      </c>
      <c r="D441" s="15" t="s">
        <v>31</v>
      </c>
      <c r="E441" s="15">
        <v>17</v>
      </c>
      <c r="F441" s="15">
        <v>10</v>
      </c>
      <c r="G441" s="15" t="s">
        <v>25</v>
      </c>
      <c r="H441" s="15" t="s">
        <v>15</v>
      </c>
      <c r="I441" s="15" t="s">
        <v>839</v>
      </c>
      <c r="J441" s="15">
        <v>35</v>
      </c>
      <c r="K441" s="59" t="str">
        <f t="shared" si="6"/>
        <v>Fail</v>
      </c>
    </row>
    <row r="442" spans="1:11" x14ac:dyDescent="0.3">
      <c r="A442" s="15" t="s">
        <v>840</v>
      </c>
      <c r="B442" s="15" t="s">
        <v>29</v>
      </c>
      <c r="C442" s="15" t="s">
        <v>12</v>
      </c>
      <c r="D442" s="15" t="s">
        <v>31</v>
      </c>
      <c r="E442" s="15">
        <v>20</v>
      </c>
      <c r="F442" s="15">
        <v>10</v>
      </c>
      <c r="G442" s="15" t="s">
        <v>43</v>
      </c>
      <c r="H442" s="15" t="s">
        <v>15</v>
      </c>
      <c r="I442" s="15" t="s">
        <v>841</v>
      </c>
      <c r="J442" s="15">
        <v>37</v>
      </c>
      <c r="K442" s="59" t="str">
        <f t="shared" si="6"/>
        <v>Fail</v>
      </c>
    </row>
    <row r="443" spans="1:11" x14ac:dyDescent="0.3">
      <c r="A443" s="15" t="s">
        <v>842</v>
      </c>
      <c r="B443" s="15" t="s">
        <v>23</v>
      </c>
      <c r="C443" s="15" t="s">
        <v>30</v>
      </c>
      <c r="D443" s="15" t="s">
        <v>13</v>
      </c>
      <c r="E443" s="15">
        <v>15</v>
      </c>
      <c r="F443" s="15">
        <v>9</v>
      </c>
      <c r="G443" s="15" t="s">
        <v>32</v>
      </c>
      <c r="H443" s="15" t="s">
        <v>37</v>
      </c>
      <c r="I443" s="15" t="s">
        <v>477</v>
      </c>
      <c r="J443" s="15">
        <v>51</v>
      </c>
      <c r="K443" s="59" t="str">
        <f t="shared" si="6"/>
        <v>Pass</v>
      </c>
    </row>
    <row r="444" spans="1:11" x14ac:dyDescent="0.3">
      <c r="A444" s="15" t="s">
        <v>843</v>
      </c>
      <c r="B444" s="15" t="s">
        <v>54</v>
      </c>
      <c r="C444" s="15" t="s">
        <v>12</v>
      </c>
      <c r="D444" s="15" t="s">
        <v>31</v>
      </c>
      <c r="E444" s="15">
        <v>17</v>
      </c>
      <c r="F444" s="15">
        <v>10</v>
      </c>
      <c r="G444" s="15" t="s">
        <v>25</v>
      </c>
      <c r="H444" s="15" t="s">
        <v>40</v>
      </c>
      <c r="I444" s="15" t="s">
        <v>844</v>
      </c>
      <c r="J444" s="15">
        <v>43</v>
      </c>
      <c r="K444" s="59" t="str">
        <f t="shared" si="6"/>
        <v>Pass</v>
      </c>
    </row>
    <row r="445" spans="1:11" x14ac:dyDescent="0.3">
      <c r="A445" s="15" t="s">
        <v>845</v>
      </c>
      <c r="B445" s="15" t="s">
        <v>11</v>
      </c>
      <c r="C445" s="15" t="s">
        <v>19</v>
      </c>
      <c r="D445" s="15" t="s">
        <v>31</v>
      </c>
      <c r="E445" s="15">
        <v>19</v>
      </c>
      <c r="F445" s="15">
        <v>11</v>
      </c>
      <c r="G445" s="15" t="s">
        <v>43</v>
      </c>
      <c r="H445" s="15" t="s">
        <v>76</v>
      </c>
      <c r="I445" s="15" t="s">
        <v>282</v>
      </c>
      <c r="J445" s="15">
        <v>44</v>
      </c>
      <c r="K445" s="59" t="str">
        <f t="shared" si="6"/>
        <v>Pass</v>
      </c>
    </row>
    <row r="446" spans="1:11" x14ac:dyDescent="0.3">
      <c r="A446" s="15" t="s">
        <v>846</v>
      </c>
      <c r="B446" s="15" t="s">
        <v>35</v>
      </c>
      <c r="C446" s="15" t="s">
        <v>79</v>
      </c>
      <c r="D446" s="15" t="s">
        <v>13</v>
      </c>
      <c r="E446" s="15">
        <v>17</v>
      </c>
      <c r="F446" s="15">
        <v>12</v>
      </c>
      <c r="G446" s="15" t="s">
        <v>25</v>
      </c>
      <c r="H446" s="15" t="s">
        <v>46</v>
      </c>
      <c r="I446" s="15" t="s">
        <v>847</v>
      </c>
      <c r="J446" s="15">
        <v>41</v>
      </c>
      <c r="K446" s="59" t="str">
        <f t="shared" si="6"/>
        <v>Pass</v>
      </c>
    </row>
    <row r="447" spans="1:11" x14ac:dyDescent="0.3">
      <c r="A447" s="15" t="s">
        <v>848</v>
      </c>
      <c r="B447" s="15" t="s">
        <v>18</v>
      </c>
      <c r="C447" s="15" t="s">
        <v>24</v>
      </c>
      <c r="D447" s="15" t="s">
        <v>31</v>
      </c>
      <c r="E447" s="15">
        <v>16</v>
      </c>
      <c r="F447" s="15">
        <v>10</v>
      </c>
      <c r="G447" s="15" t="s">
        <v>25</v>
      </c>
      <c r="H447" s="15" t="s">
        <v>61</v>
      </c>
      <c r="I447" s="15" t="s">
        <v>849</v>
      </c>
      <c r="J447" s="15">
        <v>78</v>
      </c>
      <c r="K447" s="59" t="str">
        <f t="shared" si="6"/>
        <v>Pass</v>
      </c>
    </row>
    <row r="448" spans="1:11" x14ac:dyDescent="0.3">
      <c r="A448" s="15" t="s">
        <v>850</v>
      </c>
      <c r="B448" s="15" t="s">
        <v>51</v>
      </c>
      <c r="C448" s="15" t="s">
        <v>96</v>
      </c>
      <c r="D448" s="15" t="s">
        <v>13</v>
      </c>
      <c r="E448" s="15">
        <v>14</v>
      </c>
      <c r="F448" s="15">
        <v>9</v>
      </c>
      <c r="G448" s="15" t="s">
        <v>25</v>
      </c>
      <c r="H448" s="15" t="s">
        <v>26</v>
      </c>
      <c r="I448" s="15" t="s">
        <v>851</v>
      </c>
      <c r="J448" s="15">
        <v>90</v>
      </c>
      <c r="K448" s="59" t="str">
        <f t="shared" si="6"/>
        <v>Pass</v>
      </c>
    </row>
    <row r="449" spans="1:11" x14ac:dyDescent="0.3">
      <c r="A449" s="15" t="s">
        <v>852</v>
      </c>
      <c r="B449" s="15" t="s">
        <v>29</v>
      </c>
      <c r="C449" s="15" t="s">
        <v>55</v>
      </c>
      <c r="D449" s="15" t="s">
        <v>13</v>
      </c>
      <c r="E449" s="15">
        <v>15</v>
      </c>
      <c r="F449" s="15">
        <v>9</v>
      </c>
      <c r="G449" s="15" t="s">
        <v>14</v>
      </c>
      <c r="H449" s="15" t="s">
        <v>20</v>
      </c>
      <c r="I449" s="15" t="s">
        <v>853</v>
      </c>
      <c r="J449" s="15">
        <v>74</v>
      </c>
      <c r="K449" s="59" t="str">
        <f t="shared" si="6"/>
        <v>Pass</v>
      </c>
    </row>
    <row r="450" spans="1:11" x14ac:dyDescent="0.3">
      <c r="A450" s="15" t="s">
        <v>854</v>
      </c>
      <c r="B450" s="15" t="s">
        <v>51</v>
      </c>
      <c r="C450" s="15" t="s">
        <v>55</v>
      </c>
      <c r="D450" s="15" t="s">
        <v>13</v>
      </c>
      <c r="E450" s="15">
        <v>15</v>
      </c>
      <c r="F450" s="15">
        <v>11</v>
      </c>
      <c r="G450" s="15" t="s">
        <v>14</v>
      </c>
      <c r="H450" s="15" t="s">
        <v>61</v>
      </c>
      <c r="I450" s="15" t="s">
        <v>855</v>
      </c>
      <c r="J450" s="15">
        <v>84</v>
      </c>
      <c r="K450" s="59" t="str">
        <f t="shared" si="6"/>
        <v>Pass</v>
      </c>
    </row>
    <row r="451" spans="1:11" x14ac:dyDescent="0.3">
      <c r="A451" s="15" t="s">
        <v>856</v>
      </c>
      <c r="B451" s="15" t="s">
        <v>29</v>
      </c>
      <c r="C451" s="15" t="s">
        <v>85</v>
      </c>
      <c r="D451" s="15" t="s">
        <v>13</v>
      </c>
      <c r="E451" s="15">
        <v>16</v>
      </c>
      <c r="F451" s="15">
        <v>9</v>
      </c>
      <c r="G451" s="15" t="s">
        <v>14</v>
      </c>
      <c r="H451" s="15" t="s">
        <v>61</v>
      </c>
      <c r="I451" s="15" t="s">
        <v>262</v>
      </c>
      <c r="J451" s="15">
        <v>78</v>
      </c>
      <c r="K451" s="59" t="str">
        <f t="shared" si="6"/>
        <v>Pass</v>
      </c>
    </row>
    <row r="452" spans="1:11" x14ac:dyDescent="0.3">
      <c r="A452" s="15" t="s">
        <v>857</v>
      </c>
      <c r="B452" s="15" t="s">
        <v>18</v>
      </c>
      <c r="C452" s="15" t="s">
        <v>96</v>
      </c>
      <c r="D452" s="15" t="s">
        <v>13</v>
      </c>
      <c r="E452" s="15">
        <v>20</v>
      </c>
      <c r="F452" s="15">
        <v>11</v>
      </c>
      <c r="G452" s="15" t="s">
        <v>32</v>
      </c>
      <c r="H452" s="15" t="s">
        <v>61</v>
      </c>
      <c r="I452" s="15" t="s">
        <v>570</v>
      </c>
      <c r="J452" s="15">
        <v>94</v>
      </c>
      <c r="K452" s="59" t="str">
        <f t="shared" si="6"/>
        <v>Pass</v>
      </c>
    </row>
    <row r="453" spans="1:11" x14ac:dyDescent="0.3">
      <c r="A453" s="15" t="s">
        <v>858</v>
      </c>
      <c r="B453" s="15" t="s">
        <v>35</v>
      </c>
      <c r="C453" s="15" t="s">
        <v>12</v>
      </c>
      <c r="D453" s="15" t="s">
        <v>31</v>
      </c>
      <c r="E453" s="15">
        <v>19</v>
      </c>
      <c r="F453" s="15">
        <v>9</v>
      </c>
      <c r="G453" s="15" t="s">
        <v>43</v>
      </c>
      <c r="H453" s="15" t="s">
        <v>26</v>
      </c>
      <c r="I453" s="15" t="s">
        <v>859</v>
      </c>
      <c r="J453" s="15">
        <v>88</v>
      </c>
      <c r="K453" s="59" t="str">
        <f t="shared" ref="K453:K503" si="7">IF(J453&gt;=40,"Pass","Fail")</f>
        <v>Pass</v>
      </c>
    </row>
    <row r="454" spans="1:11" x14ac:dyDescent="0.3">
      <c r="A454" s="15" t="s">
        <v>860</v>
      </c>
      <c r="B454" s="15" t="s">
        <v>68</v>
      </c>
      <c r="C454" s="15" t="s">
        <v>12</v>
      </c>
      <c r="D454" s="15" t="s">
        <v>13</v>
      </c>
      <c r="E454" s="15">
        <v>16</v>
      </c>
      <c r="F454" s="15">
        <v>12</v>
      </c>
      <c r="G454" s="15" t="s">
        <v>14</v>
      </c>
      <c r="H454" s="15" t="s">
        <v>37</v>
      </c>
      <c r="I454" s="15" t="s">
        <v>861</v>
      </c>
      <c r="J454" s="15">
        <v>84</v>
      </c>
      <c r="K454" s="59" t="str">
        <f t="shared" si="7"/>
        <v>Pass</v>
      </c>
    </row>
    <row r="455" spans="1:11" x14ac:dyDescent="0.3">
      <c r="A455" s="15" t="s">
        <v>862</v>
      </c>
      <c r="B455" s="15" t="s">
        <v>51</v>
      </c>
      <c r="C455" s="15" t="s">
        <v>24</v>
      </c>
      <c r="D455" s="15" t="s">
        <v>13</v>
      </c>
      <c r="E455" s="15">
        <v>17</v>
      </c>
      <c r="F455" s="15">
        <v>9</v>
      </c>
      <c r="G455" s="15" t="s">
        <v>43</v>
      </c>
      <c r="H455" s="15" t="s">
        <v>15</v>
      </c>
      <c r="I455" s="15" t="s">
        <v>863</v>
      </c>
      <c r="J455" s="15">
        <v>86</v>
      </c>
      <c r="K455" s="59" t="str">
        <f t="shared" si="7"/>
        <v>Pass</v>
      </c>
    </row>
    <row r="456" spans="1:11" x14ac:dyDescent="0.3">
      <c r="A456" s="15" t="s">
        <v>864</v>
      </c>
      <c r="B456" s="15" t="s">
        <v>35</v>
      </c>
      <c r="C456" s="15" t="s">
        <v>58</v>
      </c>
      <c r="D456" s="15" t="s">
        <v>13</v>
      </c>
      <c r="E456" s="15">
        <v>17</v>
      </c>
      <c r="F456" s="15">
        <v>10</v>
      </c>
      <c r="G456" s="15" t="s">
        <v>14</v>
      </c>
      <c r="H456" s="15" t="s">
        <v>20</v>
      </c>
      <c r="I456" s="15" t="s">
        <v>865</v>
      </c>
      <c r="J456" s="15">
        <v>92</v>
      </c>
      <c r="K456" s="59" t="str">
        <f t="shared" si="7"/>
        <v>Pass</v>
      </c>
    </row>
    <row r="457" spans="1:11" x14ac:dyDescent="0.3">
      <c r="A457" s="15" t="s">
        <v>866</v>
      </c>
      <c r="B457" s="15" t="s">
        <v>18</v>
      </c>
      <c r="C457" s="15" t="s">
        <v>24</v>
      </c>
      <c r="D457" s="15" t="s">
        <v>13</v>
      </c>
      <c r="E457" s="15">
        <v>15</v>
      </c>
      <c r="F457" s="15">
        <v>11</v>
      </c>
      <c r="G457" s="15" t="s">
        <v>14</v>
      </c>
      <c r="H457" s="15" t="s">
        <v>61</v>
      </c>
      <c r="I457" s="15" t="s">
        <v>867</v>
      </c>
      <c r="J457" s="15">
        <v>97</v>
      </c>
      <c r="K457" s="59" t="str">
        <f t="shared" si="7"/>
        <v>Pass</v>
      </c>
    </row>
    <row r="458" spans="1:11" x14ac:dyDescent="0.3">
      <c r="A458" s="15" t="s">
        <v>868</v>
      </c>
      <c r="B458" s="15" t="s">
        <v>84</v>
      </c>
      <c r="C458" s="15" t="s">
        <v>30</v>
      </c>
      <c r="D458" s="15" t="s">
        <v>31</v>
      </c>
      <c r="E458" s="15">
        <v>15</v>
      </c>
      <c r="F458" s="15">
        <v>9</v>
      </c>
      <c r="G458" s="15" t="s">
        <v>43</v>
      </c>
      <c r="H458" s="15" t="s">
        <v>61</v>
      </c>
      <c r="I458" s="15" t="s">
        <v>151</v>
      </c>
      <c r="J458" s="15">
        <v>45</v>
      </c>
      <c r="K458" s="59" t="str">
        <f t="shared" si="7"/>
        <v>Pass</v>
      </c>
    </row>
    <row r="459" spans="1:11" x14ac:dyDescent="0.3">
      <c r="A459" s="15" t="s">
        <v>869</v>
      </c>
      <c r="B459" s="15" t="s">
        <v>73</v>
      </c>
      <c r="C459" s="15" t="s">
        <v>96</v>
      </c>
      <c r="D459" s="15" t="s">
        <v>31</v>
      </c>
      <c r="E459" s="15">
        <v>17</v>
      </c>
      <c r="F459" s="15">
        <v>9</v>
      </c>
      <c r="G459" s="15" t="s">
        <v>43</v>
      </c>
      <c r="H459" s="15" t="s">
        <v>26</v>
      </c>
      <c r="I459" s="15" t="s">
        <v>870</v>
      </c>
      <c r="J459" s="15">
        <v>53</v>
      </c>
      <c r="K459" s="59" t="str">
        <f t="shared" si="7"/>
        <v>Pass</v>
      </c>
    </row>
    <row r="460" spans="1:11" x14ac:dyDescent="0.3">
      <c r="A460" s="15" t="s">
        <v>871</v>
      </c>
      <c r="B460" s="15" t="s">
        <v>11</v>
      </c>
      <c r="C460" s="15" t="s">
        <v>12</v>
      </c>
      <c r="D460" s="15" t="s">
        <v>13</v>
      </c>
      <c r="E460" s="15">
        <v>20</v>
      </c>
      <c r="F460" s="15">
        <v>10</v>
      </c>
      <c r="G460" s="15" t="s">
        <v>25</v>
      </c>
      <c r="H460" s="15" t="s">
        <v>76</v>
      </c>
      <c r="I460" s="15" t="s">
        <v>872</v>
      </c>
      <c r="J460" s="15">
        <v>66</v>
      </c>
      <c r="K460" s="59" t="str">
        <f t="shared" si="7"/>
        <v>Pass</v>
      </c>
    </row>
    <row r="461" spans="1:11" x14ac:dyDescent="0.3">
      <c r="A461" s="15" t="s">
        <v>873</v>
      </c>
      <c r="B461" s="15" t="s">
        <v>18</v>
      </c>
      <c r="C461" s="15" t="s">
        <v>79</v>
      </c>
      <c r="D461" s="15" t="s">
        <v>31</v>
      </c>
      <c r="E461" s="15">
        <v>19</v>
      </c>
      <c r="F461" s="15">
        <v>12</v>
      </c>
      <c r="G461" s="15" t="s">
        <v>32</v>
      </c>
      <c r="H461" s="15" t="s">
        <v>76</v>
      </c>
      <c r="I461" s="15" t="s">
        <v>742</v>
      </c>
      <c r="J461" s="15">
        <v>83</v>
      </c>
      <c r="K461" s="59" t="str">
        <f t="shared" si="7"/>
        <v>Pass</v>
      </c>
    </row>
    <row r="462" spans="1:11" x14ac:dyDescent="0.3">
      <c r="A462" s="15" t="s">
        <v>874</v>
      </c>
      <c r="B462" s="15" t="s">
        <v>35</v>
      </c>
      <c r="C462" s="15" t="s">
        <v>36</v>
      </c>
      <c r="D462" s="15" t="s">
        <v>13</v>
      </c>
      <c r="E462" s="15">
        <v>16</v>
      </c>
      <c r="F462" s="15">
        <v>10</v>
      </c>
      <c r="G462" s="15" t="s">
        <v>14</v>
      </c>
      <c r="H462" s="15" t="s">
        <v>61</v>
      </c>
      <c r="I462" s="15" t="s">
        <v>875</v>
      </c>
      <c r="J462" s="15">
        <v>35</v>
      </c>
      <c r="K462" s="59" t="str">
        <f t="shared" si="7"/>
        <v>Fail</v>
      </c>
    </row>
    <row r="463" spans="1:11" x14ac:dyDescent="0.3">
      <c r="A463" s="15" t="s">
        <v>876</v>
      </c>
      <c r="B463" s="15" t="s">
        <v>18</v>
      </c>
      <c r="C463" s="15" t="s">
        <v>24</v>
      </c>
      <c r="D463" s="15" t="s">
        <v>31</v>
      </c>
      <c r="E463" s="15">
        <v>16</v>
      </c>
      <c r="F463" s="15">
        <v>9</v>
      </c>
      <c r="G463" s="15" t="s">
        <v>43</v>
      </c>
      <c r="H463" s="15" t="s">
        <v>26</v>
      </c>
      <c r="I463" s="15" t="s">
        <v>515</v>
      </c>
      <c r="J463" s="15">
        <v>48</v>
      </c>
      <c r="K463" s="59" t="str">
        <f t="shared" si="7"/>
        <v>Pass</v>
      </c>
    </row>
    <row r="464" spans="1:11" x14ac:dyDescent="0.3">
      <c r="A464" s="15" t="s">
        <v>877</v>
      </c>
      <c r="B464" s="15" t="s">
        <v>73</v>
      </c>
      <c r="C464" s="15" t="s">
        <v>85</v>
      </c>
      <c r="D464" s="15" t="s">
        <v>13</v>
      </c>
      <c r="E464" s="15">
        <v>19</v>
      </c>
      <c r="F464" s="15">
        <v>10</v>
      </c>
      <c r="G464" s="15" t="s">
        <v>25</v>
      </c>
      <c r="H464" s="15" t="s">
        <v>26</v>
      </c>
      <c r="I464" s="15" t="s">
        <v>878</v>
      </c>
      <c r="J464" s="15">
        <v>81</v>
      </c>
      <c r="K464" s="59" t="str">
        <f t="shared" si="7"/>
        <v>Pass</v>
      </c>
    </row>
    <row r="465" spans="1:11" x14ac:dyDescent="0.3">
      <c r="A465" s="15" t="s">
        <v>879</v>
      </c>
      <c r="B465" s="15" t="s">
        <v>18</v>
      </c>
      <c r="C465" s="15" t="s">
        <v>85</v>
      </c>
      <c r="D465" s="15" t="s">
        <v>13</v>
      </c>
      <c r="E465" s="15">
        <v>15</v>
      </c>
      <c r="F465" s="15">
        <v>11</v>
      </c>
      <c r="G465" s="15" t="s">
        <v>32</v>
      </c>
      <c r="H465" s="15" t="s">
        <v>37</v>
      </c>
      <c r="I465" s="15" t="s">
        <v>880</v>
      </c>
      <c r="J465" s="15">
        <v>86</v>
      </c>
      <c r="K465" s="59" t="str">
        <f t="shared" si="7"/>
        <v>Pass</v>
      </c>
    </row>
    <row r="466" spans="1:11" x14ac:dyDescent="0.3">
      <c r="A466" s="15" t="s">
        <v>881</v>
      </c>
      <c r="B466" s="15" t="s">
        <v>73</v>
      </c>
      <c r="C466" s="15" t="s">
        <v>24</v>
      </c>
      <c r="D466" s="15" t="s">
        <v>31</v>
      </c>
      <c r="E466" s="15">
        <v>14</v>
      </c>
      <c r="F466" s="15">
        <v>12</v>
      </c>
      <c r="G466" s="15" t="s">
        <v>25</v>
      </c>
      <c r="H466" s="15" t="s">
        <v>46</v>
      </c>
      <c r="I466" s="15" t="s">
        <v>882</v>
      </c>
      <c r="J466" s="15">
        <v>58</v>
      </c>
      <c r="K466" s="59" t="str">
        <f t="shared" si="7"/>
        <v>Pass</v>
      </c>
    </row>
    <row r="467" spans="1:11" x14ac:dyDescent="0.3">
      <c r="A467" s="15" t="s">
        <v>883</v>
      </c>
      <c r="B467" s="15" t="s">
        <v>23</v>
      </c>
      <c r="C467" s="15" t="s">
        <v>85</v>
      </c>
      <c r="D467" s="15" t="s">
        <v>13</v>
      </c>
      <c r="E467" s="15">
        <v>19</v>
      </c>
      <c r="F467" s="15">
        <v>9</v>
      </c>
      <c r="G467" s="15" t="s">
        <v>43</v>
      </c>
      <c r="H467" s="15" t="s">
        <v>20</v>
      </c>
      <c r="I467" s="15" t="s">
        <v>884</v>
      </c>
      <c r="J467" s="15">
        <v>69</v>
      </c>
      <c r="K467" s="59" t="str">
        <f t="shared" si="7"/>
        <v>Pass</v>
      </c>
    </row>
    <row r="468" spans="1:11" x14ac:dyDescent="0.3">
      <c r="A468" s="15" t="s">
        <v>885</v>
      </c>
      <c r="B468" s="15" t="s">
        <v>51</v>
      </c>
      <c r="C468" s="15" t="s">
        <v>55</v>
      </c>
      <c r="D468" s="15" t="s">
        <v>13</v>
      </c>
      <c r="E468" s="15">
        <v>16</v>
      </c>
      <c r="F468" s="15">
        <v>11</v>
      </c>
      <c r="G468" s="15" t="s">
        <v>32</v>
      </c>
      <c r="H468" s="15" t="s">
        <v>76</v>
      </c>
      <c r="I468" s="15" t="s">
        <v>886</v>
      </c>
      <c r="J468" s="15">
        <v>65</v>
      </c>
      <c r="K468" s="59" t="str">
        <f t="shared" si="7"/>
        <v>Pass</v>
      </c>
    </row>
    <row r="469" spans="1:11" x14ac:dyDescent="0.3">
      <c r="A469" s="15" t="s">
        <v>887</v>
      </c>
      <c r="B469" s="15" t="s">
        <v>11</v>
      </c>
      <c r="C469" s="15" t="s">
        <v>30</v>
      </c>
      <c r="D469" s="15" t="s">
        <v>31</v>
      </c>
      <c r="E469" s="15">
        <v>17</v>
      </c>
      <c r="F469" s="15">
        <v>9</v>
      </c>
      <c r="G469" s="15" t="s">
        <v>14</v>
      </c>
      <c r="H469" s="15" t="s">
        <v>76</v>
      </c>
      <c r="I469" s="15" t="s">
        <v>653</v>
      </c>
      <c r="J469" s="15">
        <v>53</v>
      </c>
      <c r="K469" s="59" t="str">
        <f t="shared" si="7"/>
        <v>Pass</v>
      </c>
    </row>
    <row r="470" spans="1:11" x14ac:dyDescent="0.3">
      <c r="A470" s="15" t="s">
        <v>888</v>
      </c>
      <c r="B470" s="15" t="s">
        <v>23</v>
      </c>
      <c r="C470" s="15" t="s">
        <v>58</v>
      </c>
      <c r="D470" s="15" t="s">
        <v>31</v>
      </c>
      <c r="E470" s="15">
        <v>18</v>
      </c>
      <c r="F470" s="15">
        <v>10</v>
      </c>
      <c r="G470" s="15" t="s">
        <v>14</v>
      </c>
      <c r="H470" s="15" t="s">
        <v>20</v>
      </c>
      <c r="I470" s="15" t="s">
        <v>153</v>
      </c>
      <c r="J470" s="15">
        <v>92</v>
      </c>
      <c r="K470" s="59" t="str">
        <f t="shared" si="7"/>
        <v>Pass</v>
      </c>
    </row>
    <row r="471" spans="1:11" x14ac:dyDescent="0.3">
      <c r="A471" s="15" t="s">
        <v>889</v>
      </c>
      <c r="B471" s="15" t="s">
        <v>68</v>
      </c>
      <c r="C471" s="15" t="s">
        <v>19</v>
      </c>
      <c r="D471" s="15" t="s">
        <v>31</v>
      </c>
      <c r="E471" s="15">
        <v>18</v>
      </c>
      <c r="F471" s="15">
        <v>12</v>
      </c>
      <c r="G471" s="15" t="s">
        <v>32</v>
      </c>
      <c r="H471" s="15" t="s">
        <v>46</v>
      </c>
      <c r="I471" s="15" t="s">
        <v>890</v>
      </c>
      <c r="J471" s="15">
        <v>88</v>
      </c>
      <c r="K471" s="59" t="str">
        <f t="shared" si="7"/>
        <v>Pass</v>
      </c>
    </row>
    <row r="472" spans="1:11" x14ac:dyDescent="0.3">
      <c r="A472" s="15" t="s">
        <v>891</v>
      </c>
      <c r="B472" s="15" t="s">
        <v>68</v>
      </c>
      <c r="C472" s="15" t="s">
        <v>79</v>
      </c>
      <c r="D472" s="15" t="s">
        <v>31</v>
      </c>
      <c r="E472" s="15">
        <v>17</v>
      </c>
      <c r="F472" s="15">
        <v>10</v>
      </c>
      <c r="G472" s="15" t="s">
        <v>32</v>
      </c>
      <c r="H472" s="15" t="s">
        <v>61</v>
      </c>
      <c r="I472" s="15" t="s">
        <v>892</v>
      </c>
      <c r="J472" s="15">
        <v>56</v>
      </c>
      <c r="K472" s="59" t="str">
        <f t="shared" si="7"/>
        <v>Pass</v>
      </c>
    </row>
    <row r="473" spans="1:11" x14ac:dyDescent="0.3">
      <c r="A473" s="15" t="s">
        <v>893</v>
      </c>
      <c r="B473" s="15" t="s">
        <v>29</v>
      </c>
      <c r="C473" s="15" t="s">
        <v>30</v>
      </c>
      <c r="D473" s="15" t="s">
        <v>13</v>
      </c>
      <c r="E473" s="15">
        <v>17</v>
      </c>
      <c r="F473" s="15">
        <v>9</v>
      </c>
      <c r="G473" s="15" t="s">
        <v>14</v>
      </c>
      <c r="H473" s="15" t="s">
        <v>46</v>
      </c>
      <c r="I473" s="15" t="s">
        <v>423</v>
      </c>
      <c r="J473" s="15">
        <v>46</v>
      </c>
      <c r="K473" s="59" t="str">
        <f t="shared" si="7"/>
        <v>Pass</v>
      </c>
    </row>
    <row r="474" spans="1:11" x14ac:dyDescent="0.3">
      <c r="A474" s="15" t="s">
        <v>894</v>
      </c>
      <c r="B474" s="15" t="s">
        <v>23</v>
      </c>
      <c r="C474" s="15" t="s">
        <v>79</v>
      </c>
      <c r="D474" s="15" t="s">
        <v>31</v>
      </c>
      <c r="E474" s="15">
        <v>20</v>
      </c>
      <c r="F474" s="15">
        <v>9</v>
      </c>
      <c r="G474" s="15" t="s">
        <v>14</v>
      </c>
      <c r="H474" s="15" t="s">
        <v>26</v>
      </c>
      <c r="I474" s="15" t="s">
        <v>895</v>
      </c>
      <c r="J474" s="15">
        <v>36</v>
      </c>
      <c r="K474" s="59" t="str">
        <f t="shared" si="7"/>
        <v>Fail</v>
      </c>
    </row>
    <row r="475" spans="1:11" x14ac:dyDescent="0.3">
      <c r="A475" s="15" t="s">
        <v>896</v>
      </c>
      <c r="B475" s="15" t="s">
        <v>11</v>
      </c>
      <c r="C475" s="15" t="s">
        <v>36</v>
      </c>
      <c r="D475" s="15" t="s">
        <v>13</v>
      </c>
      <c r="E475" s="15">
        <v>15</v>
      </c>
      <c r="F475" s="15">
        <v>11</v>
      </c>
      <c r="G475" s="15" t="s">
        <v>14</v>
      </c>
      <c r="H475" s="15" t="s">
        <v>26</v>
      </c>
      <c r="I475" s="15" t="s">
        <v>897</v>
      </c>
      <c r="J475" s="15">
        <v>95</v>
      </c>
      <c r="K475" s="59" t="str">
        <f t="shared" si="7"/>
        <v>Pass</v>
      </c>
    </row>
    <row r="476" spans="1:11" x14ac:dyDescent="0.3">
      <c r="A476" s="15" t="s">
        <v>898</v>
      </c>
      <c r="B476" s="15" t="s">
        <v>18</v>
      </c>
      <c r="C476" s="15" t="s">
        <v>19</v>
      </c>
      <c r="D476" s="15" t="s">
        <v>13</v>
      </c>
      <c r="E476" s="15">
        <v>17</v>
      </c>
      <c r="F476" s="15">
        <v>10</v>
      </c>
      <c r="G476" s="15" t="s">
        <v>25</v>
      </c>
      <c r="H476" s="15" t="s">
        <v>61</v>
      </c>
      <c r="I476" s="15" t="s">
        <v>471</v>
      </c>
      <c r="J476" s="15">
        <v>58</v>
      </c>
      <c r="K476" s="59" t="str">
        <f t="shared" si="7"/>
        <v>Pass</v>
      </c>
    </row>
    <row r="477" spans="1:11" x14ac:dyDescent="0.3">
      <c r="A477" s="15" t="s">
        <v>899</v>
      </c>
      <c r="B477" s="15" t="s">
        <v>11</v>
      </c>
      <c r="C477" s="15" t="s">
        <v>79</v>
      </c>
      <c r="D477" s="15" t="s">
        <v>13</v>
      </c>
      <c r="E477" s="15">
        <v>15</v>
      </c>
      <c r="F477" s="15">
        <v>10</v>
      </c>
      <c r="G477" s="15" t="s">
        <v>14</v>
      </c>
      <c r="H477" s="15" t="s">
        <v>37</v>
      </c>
      <c r="I477" s="15" t="s">
        <v>900</v>
      </c>
      <c r="J477" s="15">
        <v>88</v>
      </c>
      <c r="K477" s="59" t="str">
        <f t="shared" si="7"/>
        <v>Pass</v>
      </c>
    </row>
    <row r="478" spans="1:11" x14ac:dyDescent="0.3">
      <c r="A478" s="15" t="s">
        <v>901</v>
      </c>
      <c r="B478" s="15" t="s">
        <v>68</v>
      </c>
      <c r="C478" s="15" t="s">
        <v>19</v>
      </c>
      <c r="D478" s="15" t="s">
        <v>31</v>
      </c>
      <c r="E478" s="15">
        <v>18</v>
      </c>
      <c r="F478" s="15">
        <v>11</v>
      </c>
      <c r="G478" s="15" t="s">
        <v>14</v>
      </c>
      <c r="H478" s="15" t="s">
        <v>40</v>
      </c>
      <c r="I478" s="15" t="s">
        <v>139</v>
      </c>
      <c r="J478" s="15">
        <v>75</v>
      </c>
      <c r="K478" s="59" t="str">
        <f t="shared" si="7"/>
        <v>Pass</v>
      </c>
    </row>
    <row r="479" spans="1:11" x14ac:dyDescent="0.3">
      <c r="A479" s="15" t="s">
        <v>902</v>
      </c>
      <c r="B479" s="15" t="s">
        <v>35</v>
      </c>
      <c r="C479" s="15" t="s">
        <v>12</v>
      </c>
      <c r="D479" s="15" t="s">
        <v>31</v>
      </c>
      <c r="E479" s="15">
        <v>14</v>
      </c>
      <c r="F479" s="15">
        <v>11</v>
      </c>
      <c r="G479" s="15" t="s">
        <v>14</v>
      </c>
      <c r="H479" s="15" t="s">
        <v>37</v>
      </c>
      <c r="I479" s="15" t="s">
        <v>271</v>
      </c>
      <c r="J479" s="15">
        <v>59</v>
      </c>
      <c r="K479" s="59" t="str">
        <f t="shared" si="7"/>
        <v>Pass</v>
      </c>
    </row>
    <row r="480" spans="1:11" x14ac:dyDescent="0.3">
      <c r="A480" s="15" t="s">
        <v>903</v>
      </c>
      <c r="B480" s="15" t="s">
        <v>54</v>
      </c>
      <c r="C480" s="15" t="s">
        <v>30</v>
      </c>
      <c r="D480" s="15" t="s">
        <v>31</v>
      </c>
      <c r="E480" s="15">
        <v>20</v>
      </c>
      <c r="F480" s="15">
        <v>12</v>
      </c>
      <c r="G480" s="15" t="s">
        <v>43</v>
      </c>
      <c r="H480" s="15" t="s">
        <v>40</v>
      </c>
      <c r="I480" s="15" t="s">
        <v>904</v>
      </c>
      <c r="J480" s="15">
        <v>55</v>
      </c>
      <c r="K480" s="59" t="str">
        <f t="shared" si="7"/>
        <v>Pass</v>
      </c>
    </row>
    <row r="481" spans="1:11" x14ac:dyDescent="0.3">
      <c r="A481" s="15" t="s">
        <v>905</v>
      </c>
      <c r="B481" s="15" t="s">
        <v>54</v>
      </c>
      <c r="C481" s="15" t="s">
        <v>30</v>
      </c>
      <c r="D481" s="15" t="s">
        <v>13</v>
      </c>
      <c r="E481" s="15">
        <v>16</v>
      </c>
      <c r="F481" s="15">
        <v>12</v>
      </c>
      <c r="G481" s="15" t="s">
        <v>43</v>
      </c>
      <c r="H481" s="15" t="s">
        <v>40</v>
      </c>
      <c r="I481" s="15" t="s">
        <v>556</v>
      </c>
      <c r="J481" s="15">
        <v>81</v>
      </c>
      <c r="K481" s="59" t="str">
        <f t="shared" si="7"/>
        <v>Pass</v>
      </c>
    </row>
    <row r="482" spans="1:11" x14ac:dyDescent="0.3">
      <c r="A482" s="15" t="s">
        <v>906</v>
      </c>
      <c r="B482" s="15" t="s">
        <v>73</v>
      </c>
      <c r="C482" s="15" t="s">
        <v>36</v>
      </c>
      <c r="D482" s="15" t="s">
        <v>13</v>
      </c>
      <c r="E482" s="15">
        <v>17</v>
      </c>
      <c r="F482" s="15">
        <v>12</v>
      </c>
      <c r="G482" s="15" t="s">
        <v>25</v>
      </c>
      <c r="H482" s="15" t="s">
        <v>76</v>
      </c>
      <c r="I482" s="15" t="s">
        <v>907</v>
      </c>
      <c r="J482" s="15">
        <v>75</v>
      </c>
      <c r="K482" s="59" t="str">
        <f t="shared" si="7"/>
        <v>Pass</v>
      </c>
    </row>
    <row r="483" spans="1:11" x14ac:dyDescent="0.3">
      <c r="A483" s="15" t="s">
        <v>908</v>
      </c>
      <c r="B483" s="15" t="s">
        <v>11</v>
      </c>
      <c r="C483" s="15" t="s">
        <v>79</v>
      </c>
      <c r="D483" s="15" t="s">
        <v>31</v>
      </c>
      <c r="E483" s="15">
        <v>14</v>
      </c>
      <c r="F483" s="15">
        <v>10</v>
      </c>
      <c r="G483" s="15" t="s">
        <v>14</v>
      </c>
      <c r="H483" s="15" t="s">
        <v>46</v>
      </c>
      <c r="I483" s="15" t="s">
        <v>909</v>
      </c>
      <c r="J483" s="15">
        <v>55</v>
      </c>
      <c r="K483" s="59" t="str">
        <f t="shared" si="7"/>
        <v>Pass</v>
      </c>
    </row>
    <row r="484" spans="1:11" x14ac:dyDescent="0.3">
      <c r="A484" s="15" t="s">
        <v>910</v>
      </c>
      <c r="B484" s="15" t="s">
        <v>84</v>
      </c>
      <c r="C484" s="15" t="s">
        <v>12</v>
      </c>
      <c r="D484" s="15" t="s">
        <v>31</v>
      </c>
      <c r="E484" s="15">
        <v>18</v>
      </c>
      <c r="F484" s="15">
        <v>11</v>
      </c>
      <c r="G484" s="15" t="s">
        <v>25</v>
      </c>
      <c r="H484" s="15" t="s">
        <v>15</v>
      </c>
      <c r="I484" s="15" t="s">
        <v>911</v>
      </c>
      <c r="J484" s="15">
        <v>87</v>
      </c>
      <c r="K484" s="59" t="str">
        <f t="shared" si="7"/>
        <v>Pass</v>
      </c>
    </row>
    <row r="485" spans="1:11" x14ac:dyDescent="0.3">
      <c r="A485" s="15" t="s">
        <v>912</v>
      </c>
      <c r="B485" s="15" t="s">
        <v>23</v>
      </c>
      <c r="C485" s="15" t="s">
        <v>79</v>
      </c>
      <c r="D485" s="15" t="s">
        <v>31</v>
      </c>
      <c r="E485" s="15">
        <v>17</v>
      </c>
      <c r="F485" s="15">
        <v>12</v>
      </c>
      <c r="G485" s="15" t="s">
        <v>32</v>
      </c>
      <c r="H485" s="15" t="s">
        <v>46</v>
      </c>
      <c r="I485" s="15" t="s">
        <v>400</v>
      </c>
      <c r="J485" s="15">
        <v>70</v>
      </c>
      <c r="K485" s="59" t="str">
        <f t="shared" si="7"/>
        <v>Pass</v>
      </c>
    </row>
    <row r="486" spans="1:11" x14ac:dyDescent="0.3">
      <c r="A486" s="15" t="s">
        <v>913</v>
      </c>
      <c r="B486" s="15" t="s">
        <v>68</v>
      </c>
      <c r="C486" s="15" t="s">
        <v>58</v>
      </c>
      <c r="D486" s="15" t="s">
        <v>13</v>
      </c>
      <c r="E486" s="15">
        <v>14</v>
      </c>
      <c r="F486" s="15">
        <v>10</v>
      </c>
      <c r="G486" s="15" t="s">
        <v>14</v>
      </c>
      <c r="H486" s="15" t="s">
        <v>15</v>
      </c>
      <c r="I486" s="15" t="s">
        <v>914</v>
      </c>
      <c r="J486" s="15">
        <v>69</v>
      </c>
      <c r="K486" s="59" t="str">
        <f t="shared" si="7"/>
        <v>Pass</v>
      </c>
    </row>
    <row r="487" spans="1:11" x14ac:dyDescent="0.3">
      <c r="A487" s="15" t="s">
        <v>915</v>
      </c>
      <c r="B487" s="15" t="s">
        <v>23</v>
      </c>
      <c r="C487" s="15" t="s">
        <v>58</v>
      </c>
      <c r="D487" s="15" t="s">
        <v>31</v>
      </c>
      <c r="E487" s="15">
        <v>17</v>
      </c>
      <c r="F487" s="15">
        <v>9</v>
      </c>
      <c r="G487" s="15" t="s">
        <v>25</v>
      </c>
      <c r="H487" s="15" t="s">
        <v>46</v>
      </c>
      <c r="I487" s="15" t="s">
        <v>916</v>
      </c>
      <c r="J487" s="15">
        <v>85</v>
      </c>
      <c r="K487" s="59" t="str">
        <f t="shared" si="7"/>
        <v>Pass</v>
      </c>
    </row>
    <row r="488" spans="1:11" x14ac:dyDescent="0.3">
      <c r="A488" s="15" t="s">
        <v>917</v>
      </c>
      <c r="B488" s="15" t="s">
        <v>11</v>
      </c>
      <c r="C488" s="15" t="s">
        <v>96</v>
      </c>
      <c r="D488" s="15" t="s">
        <v>31</v>
      </c>
      <c r="E488" s="15">
        <v>19</v>
      </c>
      <c r="F488" s="15">
        <v>11</v>
      </c>
      <c r="G488" s="15" t="s">
        <v>43</v>
      </c>
      <c r="H488" s="15" t="s">
        <v>26</v>
      </c>
      <c r="I488" s="15" t="s">
        <v>918</v>
      </c>
      <c r="J488" s="15">
        <v>87</v>
      </c>
      <c r="K488" s="59" t="str">
        <f t="shared" si="7"/>
        <v>Pass</v>
      </c>
    </row>
    <row r="489" spans="1:11" x14ac:dyDescent="0.3">
      <c r="A489" s="15" t="s">
        <v>919</v>
      </c>
      <c r="B489" s="15" t="s">
        <v>23</v>
      </c>
      <c r="C489" s="15" t="s">
        <v>19</v>
      </c>
      <c r="D489" s="15" t="s">
        <v>13</v>
      </c>
      <c r="E489" s="15">
        <v>14</v>
      </c>
      <c r="F489" s="15">
        <v>12</v>
      </c>
      <c r="G489" s="15" t="s">
        <v>14</v>
      </c>
      <c r="H489" s="15" t="s">
        <v>15</v>
      </c>
      <c r="I489" s="15" t="s">
        <v>920</v>
      </c>
      <c r="J489" s="15">
        <v>92</v>
      </c>
      <c r="K489" s="59" t="str">
        <f t="shared" si="7"/>
        <v>Pass</v>
      </c>
    </row>
    <row r="490" spans="1:11" x14ac:dyDescent="0.3">
      <c r="A490" s="15" t="s">
        <v>921</v>
      </c>
      <c r="B490" s="15" t="s">
        <v>18</v>
      </c>
      <c r="C490" s="15" t="s">
        <v>24</v>
      </c>
      <c r="D490" s="15" t="s">
        <v>13</v>
      </c>
      <c r="E490" s="15">
        <v>19</v>
      </c>
      <c r="F490" s="15">
        <v>10</v>
      </c>
      <c r="G490" s="15" t="s">
        <v>14</v>
      </c>
      <c r="H490" s="15" t="s">
        <v>20</v>
      </c>
      <c r="I490" s="15" t="s">
        <v>922</v>
      </c>
      <c r="J490" s="15">
        <v>58</v>
      </c>
      <c r="K490" s="59" t="str">
        <f t="shared" si="7"/>
        <v>Pass</v>
      </c>
    </row>
    <row r="491" spans="1:11" x14ac:dyDescent="0.3">
      <c r="A491" s="15" t="s">
        <v>923</v>
      </c>
      <c r="B491" s="15" t="s">
        <v>68</v>
      </c>
      <c r="C491" s="15" t="s">
        <v>55</v>
      </c>
      <c r="D491" s="15" t="s">
        <v>31</v>
      </c>
      <c r="E491" s="15">
        <v>16</v>
      </c>
      <c r="F491" s="15">
        <v>12</v>
      </c>
      <c r="G491" s="15" t="s">
        <v>43</v>
      </c>
      <c r="H491" s="15" t="s">
        <v>37</v>
      </c>
      <c r="I491" s="15" t="s">
        <v>924</v>
      </c>
      <c r="J491" s="15">
        <v>77</v>
      </c>
      <c r="K491" s="59" t="str">
        <f t="shared" si="7"/>
        <v>Pass</v>
      </c>
    </row>
    <row r="492" spans="1:11" x14ac:dyDescent="0.3">
      <c r="A492" s="15" t="s">
        <v>925</v>
      </c>
      <c r="B492" s="15" t="s">
        <v>68</v>
      </c>
      <c r="C492" s="15" t="s">
        <v>30</v>
      </c>
      <c r="D492" s="15" t="s">
        <v>31</v>
      </c>
      <c r="E492" s="15">
        <v>18</v>
      </c>
      <c r="F492" s="15">
        <v>9</v>
      </c>
      <c r="G492" s="15" t="s">
        <v>32</v>
      </c>
      <c r="H492" s="15" t="s">
        <v>20</v>
      </c>
      <c r="I492" s="15" t="s">
        <v>732</v>
      </c>
      <c r="J492" s="15">
        <v>86</v>
      </c>
      <c r="K492" s="59" t="str">
        <f t="shared" si="7"/>
        <v>Pass</v>
      </c>
    </row>
    <row r="493" spans="1:11" x14ac:dyDescent="0.3">
      <c r="A493" s="15" t="s">
        <v>926</v>
      </c>
      <c r="B493" s="15" t="s">
        <v>73</v>
      </c>
      <c r="C493" s="15" t="s">
        <v>85</v>
      </c>
      <c r="D493" s="15" t="s">
        <v>13</v>
      </c>
      <c r="E493" s="15">
        <v>14</v>
      </c>
      <c r="F493" s="15">
        <v>9</v>
      </c>
      <c r="G493" s="15" t="s">
        <v>32</v>
      </c>
      <c r="H493" s="15" t="s">
        <v>20</v>
      </c>
      <c r="I493" s="15" t="s">
        <v>927</v>
      </c>
      <c r="J493" s="15">
        <v>94</v>
      </c>
      <c r="K493" s="59" t="str">
        <f t="shared" si="7"/>
        <v>Pass</v>
      </c>
    </row>
    <row r="494" spans="1:11" x14ac:dyDescent="0.3">
      <c r="A494" s="15" t="s">
        <v>928</v>
      </c>
      <c r="B494" s="15" t="s">
        <v>23</v>
      </c>
      <c r="C494" s="15" t="s">
        <v>55</v>
      </c>
      <c r="D494" s="15" t="s">
        <v>13</v>
      </c>
      <c r="E494" s="15">
        <v>20</v>
      </c>
      <c r="F494" s="15">
        <v>11</v>
      </c>
      <c r="G494" s="15" t="s">
        <v>14</v>
      </c>
      <c r="H494" s="15" t="s">
        <v>15</v>
      </c>
      <c r="I494" s="15" t="s">
        <v>608</v>
      </c>
      <c r="J494" s="15">
        <v>49</v>
      </c>
      <c r="K494" s="59" t="str">
        <f t="shared" si="7"/>
        <v>Pass</v>
      </c>
    </row>
    <row r="495" spans="1:11" x14ac:dyDescent="0.3">
      <c r="A495" s="15" t="s">
        <v>929</v>
      </c>
      <c r="B495" s="15" t="s">
        <v>35</v>
      </c>
      <c r="C495" s="15" t="s">
        <v>30</v>
      </c>
      <c r="D495" s="15" t="s">
        <v>13</v>
      </c>
      <c r="E495" s="15">
        <v>15</v>
      </c>
      <c r="F495" s="15">
        <v>12</v>
      </c>
      <c r="G495" s="15" t="s">
        <v>32</v>
      </c>
      <c r="H495" s="15" t="s">
        <v>26</v>
      </c>
      <c r="I495" s="15" t="s">
        <v>262</v>
      </c>
      <c r="J495" s="15">
        <v>55</v>
      </c>
      <c r="K495" s="59" t="str">
        <f t="shared" si="7"/>
        <v>Pass</v>
      </c>
    </row>
    <row r="496" spans="1:11" x14ac:dyDescent="0.3">
      <c r="A496" s="15" t="s">
        <v>930</v>
      </c>
      <c r="B496" s="15" t="s">
        <v>35</v>
      </c>
      <c r="C496" s="15" t="s">
        <v>96</v>
      </c>
      <c r="D496" s="15" t="s">
        <v>31</v>
      </c>
      <c r="E496" s="15">
        <v>20</v>
      </c>
      <c r="F496" s="15">
        <v>9</v>
      </c>
      <c r="G496" s="15" t="s">
        <v>25</v>
      </c>
      <c r="H496" s="15" t="s">
        <v>61</v>
      </c>
      <c r="I496" s="15" t="s">
        <v>342</v>
      </c>
      <c r="J496" s="15">
        <v>62</v>
      </c>
      <c r="K496" s="59" t="str">
        <f t="shared" si="7"/>
        <v>Pass</v>
      </c>
    </row>
    <row r="497" spans="1:11" x14ac:dyDescent="0.3">
      <c r="A497" s="15" t="s">
        <v>931</v>
      </c>
      <c r="B497" s="15" t="s">
        <v>23</v>
      </c>
      <c r="C497" s="15" t="s">
        <v>36</v>
      </c>
      <c r="D497" s="15" t="s">
        <v>13</v>
      </c>
      <c r="E497" s="15">
        <v>20</v>
      </c>
      <c r="F497" s="15">
        <v>9</v>
      </c>
      <c r="G497" s="15" t="s">
        <v>43</v>
      </c>
      <c r="H497" s="15" t="s">
        <v>40</v>
      </c>
      <c r="I497" s="15" t="s">
        <v>932</v>
      </c>
      <c r="J497" s="15">
        <v>85</v>
      </c>
      <c r="K497" s="59" t="str">
        <f t="shared" si="7"/>
        <v>Pass</v>
      </c>
    </row>
    <row r="498" spans="1:11" x14ac:dyDescent="0.3">
      <c r="A498" s="15" t="s">
        <v>933</v>
      </c>
      <c r="B498" s="15" t="s">
        <v>51</v>
      </c>
      <c r="C498" s="15" t="s">
        <v>96</v>
      </c>
      <c r="D498" s="15" t="s">
        <v>13</v>
      </c>
      <c r="E498" s="15">
        <v>20</v>
      </c>
      <c r="F498" s="15">
        <v>11</v>
      </c>
      <c r="G498" s="15" t="s">
        <v>25</v>
      </c>
      <c r="H498" s="15" t="s">
        <v>15</v>
      </c>
      <c r="I498" s="15" t="s">
        <v>494</v>
      </c>
      <c r="J498" s="15">
        <v>42</v>
      </c>
      <c r="K498" s="59" t="str">
        <f t="shared" si="7"/>
        <v>Pass</v>
      </c>
    </row>
    <row r="499" spans="1:11" x14ac:dyDescent="0.3">
      <c r="A499" s="15" t="s">
        <v>934</v>
      </c>
      <c r="B499" s="15" t="s">
        <v>51</v>
      </c>
      <c r="C499" s="15" t="s">
        <v>58</v>
      </c>
      <c r="D499" s="15" t="s">
        <v>31</v>
      </c>
      <c r="E499" s="15">
        <v>18</v>
      </c>
      <c r="F499" s="15">
        <v>11</v>
      </c>
      <c r="G499" s="15" t="s">
        <v>14</v>
      </c>
      <c r="H499" s="15" t="s">
        <v>37</v>
      </c>
      <c r="I499" s="15" t="s">
        <v>806</v>
      </c>
      <c r="J499" s="15">
        <v>88</v>
      </c>
      <c r="K499" s="59" t="str">
        <f t="shared" si="7"/>
        <v>Pass</v>
      </c>
    </row>
    <row r="500" spans="1:11" x14ac:dyDescent="0.3">
      <c r="A500" s="15" t="s">
        <v>935</v>
      </c>
      <c r="B500" s="15" t="s">
        <v>18</v>
      </c>
      <c r="C500" s="15" t="s">
        <v>12</v>
      </c>
      <c r="D500" s="15" t="s">
        <v>13</v>
      </c>
      <c r="E500" s="15">
        <v>20</v>
      </c>
      <c r="F500" s="15">
        <v>11</v>
      </c>
      <c r="G500" s="15" t="s">
        <v>43</v>
      </c>
      <c r="H500" s="15" t="s">
        <v>46</v>
      </c>
      <c r="I500" s="15" t="s">
        <v>936</v>
      </c>
      <c r="J500" s="15">
        <v>94</v>
      </c>
      <c r="K500" s="59" t="str">
        <f t="shared" si="7"/>
        <v>Pass</v>
      </c>
    </row>
    <row r="501" spans="1:11" x14ac:dyDescent="0.3">
      <c r="A501" s="15" t="s">
        <v>937</v>
      </c>
      <c r="B501" s="15" t="s">
        <v>73</v>
      </c>
      <c r="C501" s="15" t="s">
        <v>85</v>
      </c>
      <c r="D501" s="15" t="s">
        <v>31</v>
      </c>
      <c r="E501" s="15">
        <v>16</v>
      </c>
      <c r="F501" s="15">
        <v>10</v>
      </c>
      <c r="G501" s="15" t="s">
        <v>25</v>
      </c>
      <c r="H501" s="15" t="s">
        <v>76</v>
      </c>
      <c r="I501" s="15" t="s">
        <v>305</v>
      </c>
      <c r="J501" s="15">
        <v>90</v>
      </c>
      <c r="K501" s="59" t="str">
        <f t="shared" si="7"/>
        <v>Pass</v>
      </c>
    </row>
    <row r="502" spans="1:11" x14ac:dyDescent="0.3">
      <c r="A502" s="15" t="s">
        <v>938</v>
      </c>
      <c r="B502" s="15" t="s">
        <v>18</v>
      </c>
      <c r="C502" s="15" t="s">
        <v>58</v>
      </c>
      <c r="D502" s="15" t="s">
        <v>13</v>
      </c>
      <c r="E502" s="15">
        <v>16</v>
      </c>
      <c r="F502" s="15">
        <v>12</v>
      </c>
      <c r="G502" s="15" t="s">
        <v>25</v>
      </c>
      <c r="H502" s="15" t="s">
        <v>26</v>
      </c>
      <c r="I502" s="15" t="s">
        <v>939</v>
      </c>
      <c r="J502" s="15">
        <v>41</v>
      </c>
      <c r="K502" s="59" t="str">
        <f t="shared" si="7"/>
        <v>Pass</v>
      </c>
    </row>
    <row r="503" spans="1:11" x14ac:dyDescent="0.3">
      <c r="A503" s="15" t="s">
        <v>940</v>
      </c>
      <c r="B503" s="15" t="s">
        <v>51</v>
      </c>
      <c r="C503" s="15" t="s">
        <v>96</v>
      </c>
      <c r="D503" s="15" t="s">
        <v>31</v>
      </c>
      <c r="E503" s="15">
        <v>18</v>
      </c>
      <c r="F503" s="15">
        <v>9</v>
      </c>
      <c r="G503" s="15" t="s">
        <v>43</v>
      </c>
      <c r="H503" s="15" t="s">
        <v>76</v>
      </c>
      <c r="I503" s="15" t="s">
        <v>506</v>
      </c>
      <c r="J503" s="15">
        <v>36</v>
      </c>
      <c r="K503" s="59" t="str">
        <f t="shared" si="7"/>
        <v>Fail</v>
      </c>
    </row>
  </sheetData>
  <mergeCells count="1">
    <mergeCell ref="B1:K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9181-8FDF-40F1-BB68-B2FDAEC51B04}">
  <dimension ref="A1:N503"/>
  <sheetViews>
    <sheetView workbookViewId="0">
      <selection activeCell="S16" sqref="S16"/>
    </sheetView>
  </sheetViews>
  <sheetFormatPr defaultRowHeight="14.4" x14ac:dyDescent="0.3"/>
  <cols>
    <col min="1" max="2" width="10.44140625" bestFit="1" customWidth="1"/>
    <col min="3" max="3" width="10.33203125" bestFit="1" customWidth="1"/>
    <col min="4" max="4" width="7.109375" bestFit="1" customWidth="1"/>
    <col min="5" max="5" width="4.21875" bestFit="1" customWidth="1"/>
    <col min="6" max="6" width="5.109375" bestFit="1" customWidth="1"/>
    <col min="7" max="7" width="7.21875" bestFit="1" customWidth="1"/>
    <col min="8" max="8" width="9.77734375" bestFit="1" customWidth="1"/>
    <col min="9" max="9" width="14.6640625" bestFit="1" customWidth="1"/>
    <col min="10" max="10" width="6.21875" bestFit="1" customWidth="1"/>
    <col min="11" max="11" width="6" bestFit="1" customWidth="1"/>
    <col min="14" max="14" width="8.5546875" bestFit="1" customWidth="1"/>
    <col min="15" max="15" width="3.109375" bestFit="1" customWidth="1"/>
  </cols>
  <sheetData>
    <row r="1" spans="1:14" ht="18" x14ac:dyDescent="0.35">
      <c r="A1" s="16">
        <v>18</v>
      </c>
      <c r="B1" s="29" t="s">
        <v>974</v>
      </c>
      <c r="C1" s="29"/>
      <c r="D1" s="29"/>
      <c r="E1" s="29"/>
      <c r="F1" s="29"/>
      <c r="G1" s="29"/>
      <c r="H1" s="29"/>
      <c r="I1" s="29"/>
      <c r="J1" s="29"/>
      <c r="K1" s="29"/>
      <c r="M1" s="26" t="s">
        <v>947</v>
      </c>
      <c r="N1" s="26" t="s">
        <v>953</v>
      </c>
    </row>
    <row r="2" spans="1:14" x14ac:dyDescent="0.3">
      <c r="M2" s="26" t="s">
        <v>948</v>
      </c>
      <c r="N2" s="26" t="s">
        <v>953</v>
      </c>
    </row>
    <row r="3" spans="1:14" x14ac:dyDescent="0.3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955</v>
      </c>
      <c r="M3" s="26" t="s">
        <v>949</v>
      </c>
      <c r="N3" s="26" t="s">
        <v>14</v>
      </c>
    </row>
    <row r="4" spans="1:14" x14ac:dyDescent="0.3">
      <c r="A4" s="15" t="s">
        <v>10</v>
      </c>
      <c r="B4" s="15" t="s">
        <v>11</v>
      </c>
      <c r="C4" s="15" t="s">
        <v>12</v>
      </c>
      <c r="D4" s="15" t="s">
        <v>13</v>
      </c>
      <c r="E4" s="15">
        <v>16</v>
      </c>
      <c r="F4" s="15">
        <v>10</v>
      </c>
      <c r="G4" s="15" t="s">
        <v>14</v>
      </c>
      <c r="H4" s="15" t="s">
        <v>15</v>
      </c>
      <c r="I4" s="15" t="s">
        <v>16</v>
      </c>
      <c r="J4" s="15">
        <v>37</v>
      </c>
      <c r="K4" s="59" t="str">
        <f>_xlfn.IFS($J4&gt;=90,"A+",$J4&gt;=80,"A",$J4&gt;=70,"B",$J4&gt;=60,"C",$J4&gt;=40,"D",$J4&lt;40,"Fail")</f>
        <v>Fail</v>
      </c>
      <c r="M4" s="26" t="s">
        <v>950</v>
      </c>
      <c r="N4" s="26" t="s">
        <v>43</v>
      </c>
    </row>
    <row r="5" spans="1:14" x14ac:dyDescent="0.3">
      <c r="A5" s="15" t="s">
        <v>17</v>
      </c>
      <c r="B5" s="15" t="s">
        <v>18</v>
      </c>
      <c r="C5" s="15" t="s">
        <v>19</v>
      </c>
      <c r="D5" s="15" t="s">
        <v>13</v>
      </c>
      <c r="E5" s="15">
        <v>15</v>
      </c>
      <c r="F5" s="15">
        <v>12</v>
      </c>
      <c r="G5" s="15" t="s">
        <v>14</v>
      </c>
      <c r="H5" s="15" t="s">
        <v>20</v>
      </c>
      <c r="I5" s="15" t="s">
        <v>21</v>
      </c>
      <c r="J5" s="15">
        <v>98</v>
      </c>
      <c r="K5" s="59" t="str">
        <f t="shared" ref="K5:K68" si="0">_xlfn.IFS($J5&gt;=90,"A+",$J5&gt;=80,"A",$J5&gt;=70,"B",$J5&gt;=60,"C",$J5&gt;=40,"D",$J5&lt;40,"Fail")</f>
        <v>A+</v>
      </c>
      <c r="M5" s="26" t="s">
        <v>951</v>
      </c>
      <c r="N5" s="26" t="s">
        <v>25</v>
      </c>
    </row>
    <row r="6" spans="1:14" x14ac:dyDescent="0.3">
      <c r="A6" s="15" t="s">
        <v>22</v>
      </c>
      <c r="B6" s="15" t="s">
        <v>23</v>
      </c>
      <c r="C6" s="15" t="s">
        <v>24</v>
      </c>
      <c r="D6" s="15" t="s">
        <v>13</v>
      </c>
      <c r="E6" s="15">
        <v>14</v>
      </c>
      <c r="F6" s="15">
        <v>12</v>
      </c>
      <c r="G6" s="15" t="s">
        <v>25</v>
      </c>
      <c r="H6" s="15" t="s">
        <v>26</v>
      </c>
      <c r="I6" s="15" t="s">
        <v>27</v>
      </c>
      <c r="J6" s="15">
        <v>38</v>
      </c>
      <c r="K6" s="59" t="str">
        <f t="shared" si="0"/>
        <v>Fail</v>
      </c>
      <c r="M6" s="26" t="s">
        <v>952</v>
      </c>
      <c r="N6" s="26" t="s">
        <v>954</v>
      </c>
    </row>
    <row r="7" spans="1:14" x14ac:dyDescent="0.3">
      <c r="A7" s="15" t="s">
        <v>28</v>
      </c>
      <c r="B7" s="15" t="s">
        <v>29</v>
      </c>
      <c r="C7" s="15" t="s">
        <v>30</v>
      </c>
      <c r="D7" s="15" t="s">
        <v>31</v>
      </c>
      <c r="E7" s="15">
        <v>20</v>
      </c>
      <c r="F7" s="15">
        <v>9</v>
      </c>
      <c r="G7" s="15" t="s">
        <v>32</v>
      </c>
      <c r="H7" s="15" t="s">
        <v>26</v>
      </c>
      <c r="I7" s="15" t="s">
        <v>33</v>
      </c>
      <c r="J7" s="15">
        <v>84</v>
      </c>
      <c r="K7" s="59" t="str">
        <f t="shared" si="0"/>
        <v>A</v>
      </c>
    </row>
    <row r="8" spans="1:14" x14ac:dyDescent="0.3">
      <c r="A8" s="15" t="s">
        <v>34</v>
      </c>
      <c r="B8" s="15" t="s">
        <v>35</v>
      </c>
      <c r="C8" s="15" t="s">
        <v>36</v>
      </c>
      <c r="D8" s="15" t="s">
        <v>31</v>
      </c>
      <c r="E8" s="15">
        <v>17</v>
      </c>
      <c r="F8" s="15">
        <v>10</v>
      </c>
      <c r="G8" s="15" t="s">
        <v>32</v>
      </c>
      <c r="H8" s="15" t="s">
        <v>37</v>
      </c>
      <c r="I8" s="15" t="s">
        <v>38</v>
      </c>
      <c r="J8" s="15">
        <v>45</v>
      </c>
      <c r="K8" s="59" t="str">
        <f t="shared" si="0"/>
        <v>D</v>
      </c>
    </row>
    <row r="9" spans="1:14" x14ac:dyDescent="0.3">
      <c r="A9" s="15" t="s">
        <v>39</v>
      </c>
      <c r="B9" s="15" t="s">
        <v>11</v>
      </c>
      <c r="C9" s="15" t="s">
        <v>12</v>
      </c>
      <c r="D9" s="15" t="s">
        <v>31</v>
      </c>
      <c r="E9" s="15">
        <v>19</v>
      </c>
      <c r="F9" s="15">
        <v>10</v>
      </c>
      <c r="G9" s="15" t="s">
        <v>14</v>
      </c>
      <c r="H9" s="15" t="s">
        <v>40</v>
      </c>
      <c r="I9" s="15" t="s">
        <v>41</v>
      </c>
      <c r="J9" s="15">
        <v>36</v>
      </c>
      <c r="K9" s="59" t="str">
        <f t="shared" si="0"/>
        <v>Fail</v>
      </c>
    </row>
    <row r="10" spans="1:14" x14ac:dyDescent="0.3">
      <c r="A10" s="15" t="s">
        <v>42</v>
      </c>
      <c r="B10" s="15" t="s">
        <v>29</v>
      </c>
      <c r="C10" s="15" t="s">
        <v>24</v>
      </c>
      <c r="D10" s="15" t="s">
        <v>31</v>
      </c>
      <c r="E10" s="15">
        <v>20</v>
      </c>
      <c r="F10" s="15">
        <v>9</v>
      </c>
      <c r="G10" s="15" t="s">
        <v>43</v>
      </c>
      <c r="H10" s="15" t="s">
        <v>40</v>
      </c>
      <c r="I10" s="15" t="s">
        <v>44</v>
      </c>
      <c r="J10" s="15">
        <v>88</v>
      </c>
      <c r="K10" s="59" t="str">
        <f t="shared" si="0"/>
        <v>A</v>
      </c>
    </row>
    <row r="11" spans="1:14" x14ac:dyDescent="0.3">
      <c r="A11" s="15" t="s">
        <v>45</v>
      </c>
      <c r="B11" s="15" t="s">
        <v>35</v>
      </c>
      <c r="C11" s="15" t="s">
        <v>12</v>
      </c>
      <c r="D11" s="15" t="s">
        <v>13</v>
      </c>
      <c r="E11" s="15">
        <v>19</v>
      </c>
      <c r="F11" s="15">
        <v>12</v>
      </c>
      <c r="G11" s="15" t="s">
        <v>32</v>
      </c>
      <c r="H11" s="15" t="s">
        <v>46</v>
      </c>
      <c r="I11" s="15" t="s">
        <v>47</v>
      </c>
      <c r="J11" s="15">
        <v>60</v>
      </c>
      <c r="K11" s="59" t="str">
        <f t="shared" si="0"/>
        <v>C</v>
      </c>
    </row>
    <row r="12" spans="1:14" x14ac:dyDescent="0.3">
      <c r="A12" s="15" t="s">
        <v>48</v>
      </c>
      <c r="B12" s="15" t="s">
        <v>18</v>
      </c>
      <c r="C12" s="15" t="s">
        <v>30</v>
      </c>
      <c r="D12" s="15" t="s">
        <v>31</v>
      </c>
      <c r="E12" s="15">
        <v>19</v>
      </c>
      <c r="F12" s="15">
        <v>12</v>
      </c>
      <c r="G12" s="15" t="s">
        <v>14</v>
      </c>
      <c r="H12" s="15" t="s">
        <v>46</v>
      </c>
      <c r="I12" s="15" t="s">
        <v>49</v>
      </c>
      <c r="J12" s="15">
        <v>92</v>
      </c>
      <c r="K12" s="59" t="str">
        <f t="shared" si="0"/>
        <v>A+</v>
      </c>
    </row>
    <row r="13" spans="1:14" x14ac:dyDescent="0.3">
      <c r="A13" s="15" t="s">
        <v>50</v>
      </c>
      <c r="B13" s="15" t="s">
        <v>51</v>
      </c>
      <c r="C13" s="15" t="s">
        <v>24</v>
      </c>
      <c r="D13" s="15" t="s">
        <v>31</v>
      </c>
      <c r="E13" s="15">
        <v>15</v>
      </c>
      <c r="F13" s="15">
        <v>9</v>
      </c>
      <c r="G13" s="15" t="s">
        <v>43</v>
      </c>
      <c r="H13" s="15" t="s">
        <v>15</v>
      </c>
      <c r="I13" s="15" t="s">
        <v>52</v>
      </c>
      <c r="J13" s="15">
        <v>90</v>
      </c>
      <c r="K13" s="59" t="str">
        <f t="shared" si="0"/>
        <v>A+</v>
      </c>
    </row>
    <row r="14" spans="1:14" x14ac:dyDescent="0.3">
      <c r="A14" s="15" t="s">
        <v>53</v>
      </c>
      <c r="B14" s="15" t="s">
        <v>54</v>
      </c>
      <c r="C14" s="15" t="s">
        <v>55</v>
      </c>
      <c r="D14" s="15" t="s">
        <v>31</v>
      </c>
      <c r="E14" s="15">
        <v>20</v>
      </c>
      <c r="F14" s="15">
        <v>10</v>
      </c>
      <c r="G14" s="15" t="s">
        <v>25</v>
      </c>
      <c r="H14" s="15" t="s">
        <v>40</v>
      </c>
      <c r="I14" s="15" t="s">
        <v>56</v>
      </c>
      <c r="J14" s="15">
        <v>59</v>
      </c>
      <c r="K14" s="59" t="str">
        <f t="shared" si="0"/>
        <v>D</v>
      </c>
    </row>
    <row r="15" spans="1:14" x14ac:dyDescent="0.3">
      <c r="A15" s="15" t="s">
        <v>57</v>
      </c>
      <c r="B15" s="15" t="s">
        <v>51</v>
      </c>
      <c r="C15" s="15" t="s">
        <v>58</v>
      </c>
      <c r="D15" s="15" t="s">
        <v>13</v>
      </c>
      <c r="E15" s="15">
        <v>14</v>
      </c>
      <c r="F15" s="15">
        <v>12</v>
      </c>
      <c r="G15" s="15" t="s">
        <v>32</v>
      </c>
      <c r="H15" s="15" t="s">
        <v>40</v>
      </c>
      <c r="I15" s="15" t="s">
        <v>59</v>
      </c>
      <c r="J15" s="15">
        <v>43</v>
      </c>
      <c r="K15" s="59" t="str">
        <f t="shared" si="0"/>
        <v>D</v>
      </c>
    </row>
    <row r="16" spans="1:14" x14ac:dyDescent="0.3">
      <c r="A16" s="15" t="s">
        <v>60</v>
      </c>
      <c r="B16" s="15" t="s">
        <v>35</v>
      </c>
      <c r="C16" s="15" t="s">
        <v>55</v>
      </c>
      <c r="D16" s="15" t="s">
        <v>13</v>
      </c>
      <c r="E16" s="15">
        <v>15</v>
      </c>
      <c r="F16" s="15">
        <v>12</v>
      </c>
      <c r="G16" s="15" t="s">
        <v>14</v>
      </c>
      <c r="H16" s="15" t="s">
        <v>61</v>
      </c>
      <c r="I16" s="15" t="s">
        <v>62</v>
      </c>
      <c r="J16" s="15">
        <v>51</v>
      </c>
      <c r="K16" s="59" t="str">
        <f t="shared" si="0"/>
        <v>D</v>
      </c>
    </row>
    <row r="17" spans="1:11" x14ac:dyDescent="0.3">
      <c r="A17" s="15" t="s">
        <v>63</v>
      </c>
      <c r="B17" s="15" t="s">
        <v>11</v>
      </c>
      <c r="C17" s="15" t="s">
        <v>55</v>
      </c>
      <c r="D17" s="15" t="s">
        <v>13</v>
      </c>
      <c r="E17" s="15">
        <v>16</v>
      </c>
      <c r="F17" s="15">
        <v>10</v>
      </c>
      <c r="G17" s="15" t="s">
        <v>25</v>
      </c>
      <c r="H17" s="15" t="s">
        <v>26</v>
      </c>
      <c r="I17" s="15" t="s">
        <v>64</v>
      </c>
      <c r="J17" s="15">
        <v>42</v>
      </c>
      <c r="K17" s="59" t="str">
        <f t="shared" si="0"/>
        <v>D</v>
      </c>
    </row>
    <row r="18" spans="1:11" x14ac:dyDescent="0.3">
      <c r="A18" s="15" t="s">
        <v>65</v>
      </c>
      <c r="B18" s="15" t="s">
        <v>23</v>
      </c>
      <c r="C18" s="15" t="s">
        <v>30</v>
      </c>
      <c r="D18" s="15" t="s">
        <v>13</v>
      </c>
      <c r="E18" s="15">
        <v>20</v>
      </c>
      <c r="F18" s="15">
        <v>12</v>
      </c>
      <c r="G18" s="15" t="s">
        <v>14</v>
      </c>
      <c r="H18" s="15" t="s">
        <v>40</v>
      </c>
      <c r="I18" s="15" t="s">
        <v>66</v>
      </c>
      <c r="J18" s="15">
        <v>62</v>
      </c>
      <c r="K18" s="59" t="str">
        <f t="shared" si="0"/>
        <v>C</v>
      </c>
    </row>
    <row r="19" spans="1:11" x14ac:dyDescent="0.3">
      <c r="A19" s="15" t="s">
        <v>67</v>
      </c>
      <c r="B19" s="15" t="s">
        <v>68</v>
      </c>
      <c r="C19" s="15" t="s">
        <v>19</v>
      </c>
      <c r="D19" s="15" t="s">
        <v>13</v>
      </c>
      <c r="E19" s="15">
        <v>20</v>
      </c>
      <c r="F19" s="15">
        <v>9</v>
      </c>
      <c r="G19" s="15" t="s">
        <v>14</v>
      </c>
      <c r="H19" s="15" t="s">
        <v>20</v>
      </c>
      <c r="I19" s="15" t="s">
        <v>69</v>
      </c>
      <c r="J19" s="15">
        <v>55</v>
      </c>
      <c r="K19" s="59" t="str">
        <f t="shared" si="0"/>
        <v>D</v>
      </c>
    </row>
    <row r="20" spans="1:11" x14ac:dyDescent="0.3">
      <c r="A20" s="15" t="s">
        <v>70</v>
      </c>
      <c r="B20" s="15" t="s">
        <v>51</v>
      </c>
      <c r="C20" s="15" t="s">
        <v>36</v>
      </c>
      <c r="D20" s="15" t="s">
        <v>13</v>
      </c>
      <c r="E20" s="15">
        <v>14</v>
      </c>
      <c r="F20" s="15">
        <v>12</v>
      </c>
      <c r="G20" s="15" t="s">
        <v>25</v>
      </c>
      <c r="H20" s="15" t="s">
        <v>37</v>
      </c>
      <c r="I20" s="15" t="s">
        <v>71</v>
      </c>
      <c r="J20" s="15">
        <v>42</v>
      </c>
      <c r="K20" s="59" t="str">
        <f t="shared" si="0"/>
        <v>D</v>
      </c>
    </row>
    <row r="21" spans="1:11" x14ac:dyDescent="0.3">
      <c r="A21" s="15" t="s">
        <v>72</v>
      </c>
      <c r="B21" s="15" t="s">
        <v>73</v>
      </c>
      <c r="C21" s="15" t="s">
        <v>58</v>
      </c>
      <c r="D21" s="15" t="s">
        <v>31</v>
      </c>
      <c r="E21" s="15">
        <v>19</v>
      </c>
      <c r="F21" s="15">
        <v>9</v>
      </c>
      <c r="G21" s="15" t="s">
        <v>32</v>
      </c>
      <c r="H21" s="15" t="s">
        <v>46</v>
      </c>
      <c r="I21" s="15" t="s">
        <v>74</v>
      </c>
      <c r="J21" s="15">
        <v>76</v>
      </c>
      <c r="K21" s="59" t="str">
        <f t="shared" si="0"/>
        <v>B</v>
      </c>
    </row>
    <row r="22" spans="1:11" x14ac:dyDescent="0.3">
      <c r="A22" s="15" t="s">
        <v>75</v>
      </c>
      <c r="B22" s="15" t="s">
        <v>29</v>
      </c>
      <c r="C22" s="15" t="s">
        <v>58</v>
      </c>
      <c r="D22" s="15" t="s">
        <v>31</v>
      </c>
      <c r="E22" s="15">
        <v>17</v>
      </c>
      <c r="F22" s="15">
        <v>12</v>
      </c>
      <c r="G22" s="15" t="s">
        <v>32</v>
      </c>
      <c r="H22" s="15" t="s">
        <v>76</v>
      </c>
      <c r="I22" s="15" t="s">
        <v>77</v>
      </c>
      <c r="J22" s="15">
        <v>66</v>
      </c>
      <c r="K22" s="59" t="str">
        <f t="shared" si="0"/>
        <v>C</v>
      </c>
    </row>
    <row r="23" spans="1:11" x14ac:dyDescent="0.3">
      <c r="A23" s="15" t="s">
        <v>78</v>
      </c>
      <c r="B23" s="15" t="s">
        <v>68</v>
      </c>
      <c r="C23" s="15" t="s">
        <v>79</v>
      </c>
      <c r="D23" s="15" t="s">
        <v>31</v>
      </c>
      <c r="E23" s="15">
        <v>15</v>
      </c>
      <c r="F23" s="15">
        <v>10</v>
      </c>
      <c r="G23" s="15" t="s">
        <v>14</v>
      </c>
      <c r="H23" s="15" t="s">
        <v>20</v>
      </c>
      <c r="I23" s="15" t="s">
        <v>80</v>
      </c>
      <c r="J23" s="15">
        <v>59</v>
      </c>
      <c r="K23" s="59" t="str">
        <f t="shared" si="0"/>
        <v>D</v>
      </c>
    </row>
    <row r="24" spans="1:11" x14ac:dyDescent="0.3">
      <c r="A24" s="15" t="s">
        <v>81</v>
      </c>
      <c r="B24" s="15" t="s">
        <v>29</v>
      </c>
      <c r="C24" s="15" t="s">
        <v>58</v>
      </c>
      <c r="D24" s="15" t="s">
        <v>31</v>
      </c>
      <c r="E24" s="15">
        <v>19</v>
      </c>
      <c r="F24" s="15">
        <v>9</v>
      </c>
      <c r="G24" s="15" t="s">
        <v>14</v>
      </c>
      <c r="H24" s="15" t="s">
        <v>61</v>
      </c>
      <c r="I24" s="15" t="s">
        <v>82</v>
      </c>
      <c r="J24" s="15">
        <v>50</v>
      </c>
      <c r="K24" s="59" t="str">
        <f t="shared" si="0"/>
        <v>D</v>
      </c>
    </row>
    <row r="25" spans="1:11" x14ac:dyDescent="0.3">
      <c r="A25" s="15" t="s">
        <v>83</v>
      </c>
      <c r="B25" s="15" t="s">
        <v>84</v>
      </c>
      <c r="C25" s="15" t="s">
        <v>85</v>
      </c>
      <c r="D25" s="15" t="s">
        <v>31</v>
      </c>
      <c r="E25" s="15">
        <v>16</v>
      </c>
      <c r="F25" s="15">
        <v>9</v>
      </c>
      <c r="G25" s="15" t="s">
        <v>43</v>
      </c>
      <c r="H25" s="15" t="s">
        <v>37</v>
      </c>
      <c r="I25" s="15" t="s">
        <v>86</v>
      </c>
      <c r="J25" s="15">
        <v>52</v>
      </c>
      <c r="K25" s="59" t="str">
        <f t="shared" si="0"/>
        <v>D</v>
      </c>
    </row>
    <row r="26" spans="1:11" x14ac:dyDescent="0.3">
      <c r="A26" s="15" t="s">
        <v>87</v>
      </c>
      <c r="B26" s="15" t="s">
        <v>18</v>
      </c>
      <c r="C26" s="15" t="s">
        <v>12</v>
      </c>
      <c r="D26" s="15" t="s">
        <v>13</v>
      </c>
      <c r="E26" s="15">
        <v>20</v>
      </c>
      <c r="F26" s="15">
        <v>12</v>
      </c>
      <c r="G26" s="15" t="s">
        <v>32</v>
      </c>
      <c r="H26" s="15" t="s">
        <v>26</v>
      </c>
      <c r="I26" s="15" t="s">
        <v>88</v>
      </c>
      <c r="J26" s="15">
        <v>86</v>
      </c>
      <c r="K26" s="59" t="str">
        <f t="shared" si="0"/>
        <v>A</v>
      </c>
    </row>
    <row r="27" spans="1:11" x14ac:dyDescent="0.3">
      <c r="A27" s="15" t="s">
        <v>89</v>
      </c>
      <c r="B27" s="15" t="s">
        <v>68</v>
      </c>
      <c r="C27" s="15" t="s">
        <v>85</v>
      </c>
      <c r="D27" s="15" t="s">
        <v>31</v>
      </c>
      <c r="E27" s="15">
        <v>16</v>
      </c>
      <c r="F27" s="15">
        <v>9</v>
      </c>
      <c r="G27" s="15" t="s">
        <v>43</v>
      </c>
      <c r="H27" s="15" t="s">
        <v>20</v>
      </c>
      <c r="I27" s="15" t="s">
        <v>90</v>
      </c>
      <c r="J27" s="15">
        <v>52</v>
      </c>
      <c r="K27" s="59" t="str">
        <f t="shared" si="0"/>
        <v>D</v>
      </c>
    </row>
    <row r="28" spans="1:11" x14ac:dyDescent="0.3">
      <c r="A28" s="15" t="s">
        <v>91</v>
      </c>
      <c r="B28" s="15" t="s">
        <v>73</v>
      </c>
      <c r="C28" s="15" t="s">
        <v>12</v>
      </c>
      <c r="D28" s="15" t="s">
        <v>13</v>
      </c>
      <c r="E28" s="15">
        <v>20</v>
      </c>
      <c r="F28" s="15">
        <v>10</v>
      </c>
      <c r="G28" s="15" t="s">
        <v>43</v>
      </c>
      <c r="H28" s="15" t="s">
        <v>46</v>
      </c>
      <c r="I28" s="15" t="s">
        <v>92</v>
      </c>
      <c r="J28" s="15">
        <v>82</v>
      </c>
      <c r="K28" s="59" t="str">
        <f t="shared" si="0"/>
        <v>A</v>
      </c>
    </row>
    <row r="29" spans="1:11" x14ac:dyDescent="0.3">
      <c r="A29" s="15" t="s">
        <v>93</v>
      </c>
      <c r="B29" s="15" t="s">
        <v>29</v>
      </c>
      <c r="C29" s="15" t="s">
        <v>24</v>
      </c>
      <c r="D29" s="15" t="s">
        <v>31</v>
      </c>
      <c r="E29" s="15">
        <v>14</v>
      </c>
      <c r="F29" s="15">
        <v>12</v>
      </c>
      <c r="G29" s="15" t="s">
        <v>32</v>
      </c>
      <c r="H29" s="15" t="s">
        <v>61</v>
      </c>
      <c r="I29" s="15" t="s">
        <v>94</v>
      </c>
      <c r="J29" s="15">
        <v>72</v>
      </c>
      <c r="K29" s="59" t="str">
        <f t="shared" si="0"/>
        <v>B</v>
      </c>
    </row>
    <row r="30" spans="1:11" x14ac:dyDescent="0.3">
      <c r="A30" s="15" t="s">
        <v>95</v>
      </c>
      <c r="B30" s="15" t="s">
        <v>18</v>
      </c>
      <c r="C30" s="15" t="s">
        <v>96</v>
      </c>
      <c r="D30" s="15" t="s">
        <v>13</v>
      </c>
      <c r="E30" s="15">
        <v>19</v>
      </c>
      <c r="F30" s="15">
        <v>12</v>
      </c>
      <c r="G30" s="15" t="s">
        <v>14</v>
      </c>
      <c r="H30" s="15" t="s">
        <v>15</v>
      </c>
      <c r="I30" s="15" t="s">
        <v>97</v>
      </c>
      <c r="J30" s="15">
        <v>56</v>
      </c>
      <c r="K30" s="59" t="str">
        <f t="shared" si="0"/>
        <v>D</v>
      </c>
    </row>
    <row r="31" spans="1:11" x14ac:dyDescent="0.3">
      <c r="A31" s="15" t="s">
        <v>98</v>
      </c>
      <c r="B31" s="15" t="s">
        <v>68</v>
      </c>
      <c r="C31" s="15" t="s">
        <v>55</v>
      </c>
      <c r="D31" s="15" t="s">
        <v>13</v>
      </c>
      <c r="E31" s="15">
        <v>19</v>
      </c>
      <c r="F31" s="15">
        <v>11</v>
      </c>
      <c r="G31" s="15" t="s">
        <v>43</v>
      </c>
      <c r="H31" s="15" t="s">
        <v>15</v>
      </c>
      <c r="I31" s="15" t="s">
        <v>99</v>
      </c>
      <c r="J31" s="15">
        <v>56</v>
      </c>
      <c r="K31" s="59" t="str">
        <f t="shared" si="0"/>
        <v>D</v>
      </c>
    </row>
    <row r="32" spans="1:11" x14ac:dyDescent="0.3">
      <c r="A32" s="15" t="s">
        <v>100</v>
      </c>
      <c r="B32" s="15" t="s">
        <v>35</v>
      </c>
      <c r="C32" s="15" t="s">
        <v>12</v>
      </c>
      <c r="D32" s="15" t="s">
        <v>31</v>
      </c>
      <c r="E32" s="15">
        <v>19</v>
      </c>
      <c r="F32" s="15">
        <v>12</v>
      </c>
      <c r="G32" s="15" t="s">
        <v>25</v>
      </c>
      <c r="H32" s="15" t="s">
        <v>76</v>
      </c>
      <c r="I32" s="15" t="s">
        <v>101</v>
      </c>
      <c r="J32" s="15">
        <v>54</v>
      </c>
      <c r="K32" s="59" t="str">
        <f t="shared" si="0"/>
        <v>D</v>
      </c>
    </row>
    <row r="33" spans="1:11" x14ac:dyDescent="0.3">
      <c r="A33" s="15" t="s">
        <v>102</v>
      </c>
      <c r="B33" s="15" t="s">
        <v>35</v>
      </c>
      <c r="C33" s="15" t="s">
        <v>12</v>
      </c>
      <c r="D33" s="15" t="s">
        <v>13</v>
      </c>
      <c r="E33" s="15">
        <v>20</v>
      </c>
      <c r="F33" s="15">
        <v>11</v>
      </c>
      <c r="G33" s="15" t="s">
        <v>14</v>
      </c>
      <c r="H33" s="15" t="s">
        <v>26</v>
      </c>
      <c r="I33" s="15" t="s">
        <v>103</v>
      </c>
      <c r="J33" s="15">
        <v>70</v>
      </c>
      <c r="K33" s="59" t="str">
        <f t="shared" si="0"/>
        <v>B</v>
      </c>
    </row>
    <row r="34" spans="1:11" x14ac:dyDescent="0.3">
      <c r="A34" s="15" t="s">
        <v>104</v>
      </c>
      <c r="B34" s="15" t="s">
        <v>29</v>
      </c>
      <c r="C34" s="15" t="s">
        <v>79</v>
      </c>
      <c r="D34" s="15" t="s">
        <v>31</v>
      </c>
      <c r="E34" s="15">
        <v>18</v>
      </c>
      <c r="F34" s="15">
        <v>10</v>
      </c>
      <c r="G34" s="15" t="s">
        <v>25</v>
      </c>
      <c r="H34" s="15" t="s">
        <v>61</v>
      </c>
      <c r="I34" s="15" t="s">
        <v>105</v>
      </c>
      <c r="J34" s="15">
        <v>57</v>
      </c>
      <c r="K34" s="59" t="str">
        <f t="shared" si="0"/>
        <v>D</v>
      </c>
    </row>
    <row r="35" spans="1:11" x14ac:dyDescent="0.3">
      <c r="A35" s="15" t="s">
        <v>106</v>
      </c>
      <c r="B35" s="15" t="s">
        <v>51</v>
      </c>
      <c r="C35" s="15" t="s">
        <v>55</v>
      </c>
      <c r="D35" s="15" t="s">
        <v>13</v>
      </c>
      <c r="E35" s="15">
        <v>20</v>
      </c>
      <c r="F35" s="15">
        <v>9</v>
      </c>
      <c r="G35" s="15" t="s">
        <v>32</v>
      </c>
      <c r="H35" s="15" t="s">
        <v>26</v>
      </c>
      <c r="I35" s="15" t="s">
        <v>107</v>
      </c>
      <c r="J35" s="15">
        <v>91</v>
      </c>
      <c r="K35" s="59" t="str">
        <f t="shared" si="0"/>
        <v>A+</v>
      </c>
    </row>
    <row r="36" spans="1:11" x14ac:dyDescent="0.3">
      <c r="A36" s="15" t="s">
        <v>108</v>
      </c>
      <c r="B36" s="15" t="s">
        <v>29</v>
      </c>
      <c r="C36" s="15" t="s">
        <v>96</v>
      </c>
      <c r="D36" s="15" t="s">
        <v>31</v>
      </c>
      <c r="E36" s="15">
        <v>15</v>
      </c>
      <c r="F36" s="15">
        <v>11</v>
      </c>
      <c r="G36" s="15" t="s">
        <v>43</v>
      </c>
      <c r="H36" s="15" t="s">
        <v>26</v>
      </c>
      <c r="I36" s="15" t="s">
        <v>109</v>
      </c>
      <c r="J36" s="15">
        <v>77</v>
      </c>
      <c r="K36" s="59" t="str">
        <f t="shared" si="0"/>
        <v>B</v>
      </c>
    </row>
    <row r="37" spans="1:11" x14ac:dyDescent="0.3">
      <c r="A37" s="15" t="s">
        <v>110</v>
      </c>
      <c r="B37" s="15" t="s">
        <v>51</v>
      </c>
      <c r="C37" s="15" t="s">
        <v>58</v>
      </c>
      <c r="D37" s="15" t="s">
        <v>31</v>
      </c>
      <c r="E37" s="15">
        <v>14</v>
      </c>
      <c r="F37" s="15">
        <v>10</v>
      </c>
      <c r="G37" s="15" t="s">
        <v>32</v>
      </c>
      <c r="H37" s="15" t="s">
        <v>76</v>
      </c>
      <c r="I37" s="15" t="s">
        <v>111</v>
      </c>
      <c r="J37" s="15">
        <v>60</v>
      </c>
      <c r="K37" s="59" t="str">
        <f t="shared" si="0"/>
        <v>C</v>
      </c>
    </row>
    <row r="38" spans="1:11" x14ac:dyDescent="0.3">
      <c r="A38" s="15" t="s">
        <v>112</v>
      </c>
      <c r="B38" s="15" t="s">
        <v>73</v>
      </c>
      <c r="C38" s="15" t="s">
        <v>30</v>
      </c>
      <c r="D38" s="15" t="s">
        <v>13</v>
      </c>
      <c r="E38" s="15">
        <v>15</v>
      </c>
      <c r="F38" s="15">
        <v>9</v>
      </c>
      <c r="G38" s="15" t="s">
        <v>14</v>
      </c>
      <c r="H38" s="15" t="s">
        <v>26</v>
      </c>
      <c r="I38" s="15" t="s">
        <v>113</v>
      </c>
      <c r="J38" s="15">
        <v>58</v>
      </c>
      <c r="K38" s="59" t="str">
        <f t="shared" si="0"/>
        <v>D</v>
      </c>
    </row>
    <row r="39" spans="1:11" x14ac:dyDescent="0.3">
      <c r="A39" s="15" t="s">
        <v>114</v>
      </c>
      <c r="B39" s="15" t="s">
        <v>73</v>
      </c>
      <c r="C39" s="15" t="s">
        <v>58</v>
      </c>
      <c r="D39" s="15" t="s">
        <v>13</v>
      </c>
      <c r="E39" s="15">
        <v>20</v>
      </c>
      <c r="F39" s="15">
        <v>9</v>
      </c>
      <c r="G39" s="15" t="s">
        <v>25</v>
      </c>
      <c r="H39" s="15" t="s">
        <v>46</v>
      </c>
      <c r="I39" s="15" t="s">
        <v>115</v>
      </c>
      <c r="J39" s="15">
        <v>40</v>
      </c>
      <c r="K39" s="59" t="str">
        <f t="shared" si="0"/>
        <v>D</v>
      </c>
    </row>
    <row r="40" spans="1:11" x14ac:dyDescent="0.3">
      <c r="A40" s="15" t="s">
        <v>116</v>
      </c>
      <c r="B40" s="15" t="s">
        <v>84</v>
      </c>
      <c r="C40" s="15" t="s">
        <v>19</v>
      </c>
      <c r="D40" s="15" t="s">
        <v>13</v>
      </c>
      <c r="E40" s="15">
        <v>19</v>
      </c>
      <c r="F40" s="15">
        <v>12</v>
      </c>
      <c r="G40" s="15" t="s">
        <v>14</v>
      </c>
      <c r="H40" s="15" t="s">
        <v>20</v>
      </c>
      <c r="I40" s="15" t="s">
        <v>117</v>
      </c>
      <c r="J40" s="15">
        <v>56</v>
      </c>
      <c r="K40" s="59" t="str">
        <f t="shared" si="0"/>
        <v>D</v>
      </c>
    </row>
    <row r="41" spans="1:11" x14ac:dyDescent="0.3">
      <c r="A41" s="15" t="s">
        <v>118</v>
      </c>
      <c r="B41" s="15" t="s">
        <v>84</v>
      </c>
      <c r="C41" s="15" t="s">
        <v>58</v>
      </c>
      <c r="D41" s="15" t="s">
        <v>31</v>
      </c>
      <c r="E41" s="15">
        <v>20</v>
      </c>
      <c r="F41" s="15">
        <v>10</v>
      </c>
      <c r="G41" s="15" t="s">
        <v>32</v>
      </c>
      <c r="H41" s="15" t="s">
        <v>26</v>
      </c>
      <c r="I41" s="15" t="s">
        <v>119</v>
      </c>
      <c r="J41" s="15">
        <v>52</v>
      </c>
      <c r="K41" s="59" t="str">
        <f t="shared" si="0"/>
        <v>D</v>
      </c>
    </row>
    <row r="42" spans="1:11" x14ac:dyDescent="0.3">
      <c r="A42" s="15" t="s">
        <v>120</v>
      </c>
      <c r="B42" s="15" t="s">
        <v>35</v>
      </c>
      <c r="C42" s="15" t="s">
        <v>36</v>
      </c>
      <c r="D42" s="15" t="s">
        <v>31</v>
      </c>
      <c r="E42" s="15">
        <v>20</v>
      </c>
      <c r="F42" s="15">
        <v>10</v>
      </c>
      <c r="G42" s="15" t="s">
        <v>43</v>
      </c>
      <c r="H42" s="15" t="s">
        <v>61</v>
      </c>
      <c r="I42" s="15" t="s">
        <v>121</v>
      </c>
      <c r="J42" s="15">
        <v>37</v>
      </c>
      <c r="K42" s="59" t="str">
        <f t="shared" si="0"/>
        <v>Fail</v>
      </c>
    </row>
    <row r="43" spans="1:11" x14ac:dyDescent="0.3">
      <c r="A43" s="15" t="s">
        <v>122</v>
      </c>
      <c r="B43" s="15" t="s">
        <v>18</v>
      </c>
      <c r="C43" s="15" t="s">
        <v>19</v>
      </c>
      <c r="D43" s="15" t="s">
        <v>13</v>
      </c>
      <c r="E43" s="15">
        <v>15</v>
      </c>
      <c r="F43" s="15">
        <v>10</v>
      </c>
      <c r="G43" s="15" t="s">
        <v>32</v>
      </c>
      <c r="H43" s="15" t="s">
        <v>20</v>
      </c>
      <c r="I43" s="15" t="s">
        <v>123</v>
      </c>
      <c r="J43" s="15">
        <v>51</v>
      </c>
      <c r="K43" s="59" t="str">
        <f t="shared" si="0"/>
        <v>D</v>
      </c>
    </row>
    <row r="44" spans="1:11" x14ac:dyDescent="0.3">
      <c r="A44" s="15" t="s">
        <v>124</v>
      </c>
      <c r="B44" s="15" t="s">
        <v>68</v>
      </c>
      <c r="C44" s="15" t="s">
        <v>36</v>
      </c>
      <c r="D44" s="15" t="s">
        <v>13</v>
      </c>
      <c r="E44" s="15">
        <v>18</v>
      </c>
      <c r="F44" s="15">
        <v>10</v>
      </c>
      <c r="G44" s="15" t="s">
        <v>43</v>
      </c>
      <c r="H44" s="15" t="s">
        <v>20</v>
      </c>
      <c r="I44" s="15" t="s">
        <v>125</v>
      </c>
      <c r="J44" s="15">
        <v>66</v>
      </c>
      <c r="K44" s="59" t="str">
        <f t="shared" si="0"/>
        <v>C</v>
      </c>
    </row>
    <row r="45" spans="1:11" x14ac:dyDescent="0.3">
      <c r="A45" s="15" t="s">
        <v>126</v>
      </c>
      <c r="B45" s="15" t="s">
        <v>18</v>
      </c>
      <c r="C45" s="15" t="s">
        <v>24</v>
      </c>
      <c r="D45" s="15" t="s">
        <v>13</v>
      </c>
      <c r="E45" s="15">
        <v>15</v>
      </c>
      <c r="F45" s="15">
        <v>9</v>
      </c>
      <c r="G45" s="15" t="s">
        <v>25</v>
      </c>
      <c r="H45" s="15" t="s">
        <v>76</v>
      </c>
      <c r="I45" s="15" t="s">
        <v>127</v>
      </c>
      <c r="J45" s="15">
        <v>59</v>
      </c>
      <c r="K45" s="59" t="str">
        <f t="shared" si="0"/>
        <v>D</v>
      </c>
    </row>
    <row r="46" spans="1:11" x14ac:dyDescent="0.3">
      <c r="A46" s="15" t="s">
        <v>128</v>
      </c>
      <c r="B46" s="15" t="s">
        <v>11</v>
      </c>
      <c r="C46" s="15" t="s">
        <v>24</v>
      </c>
      <c r="D46" s="15" t="s">
        <v>31</v>
      </c>
      <c r="E46" s="15">
        <v>17</v>
      </c>
      <c r="F46" s="15">
        <v>12</v>
      </c>
      <c r="G46" s="15" t="s">
        <v>32</v>
      </c>
      <c r="H46" s="15" t="s">
        <v>15</v>
      </c>
      <c r="I46" s="15" t="s">
        <v>129</v>
      </c>
      <c r="J46" s="15">
        <v>68</v>
      </c>
      <c r="K46" s="59" t="str">
        <f t="shared" si="0"/>
        <v>C</v>
      </c>
    </row>
    <row r="47" spans="1:11" x14ac:dyDescent="0.3">
      <c r="A47" s="15" t="s">
        <v>130</v>
      </c>
      <c r="B47" s="15" t="s">
        <v>73</v>
      </c>
      <c r="C47" s="15" t="s">
        <v>30</v>
      </c>
      <c r="D47" s="15" t="s">
        <v>13</v>
      </c>
      <c r="E47" s="15">
        <v>17</v>
      </c>
      <c r="F47" s="15">
        <v>12</v>
      </c>
      <c r="G47" s="15" t="s">
        <v>25</v>
      </c>
      <c r="H47" s="15" t="s">
        <v>40</v>
      </c>
      <c r="I47" s="15" t="s">
        <v>131</v>
      </c>
      <c r="J47" s="15">
        <v>82</v>
      </c>
      <c r="K47" s="59" t="str">
        <f t="shared" si="0"/>
        <v>A</v>
      </c>
    </row>
    <row r="48" spans="1:11" x14ac:dyDescent="0.3">
      <c r="A48" s="15" t="s">
        <v>132</v>
      </c>
      <c r="B48" s="15" t="s">
        <v>29</v>
      </c>
      <c r="C48" s="15" t="s">
        <v>12</v>
      </c>
      <c r="D48" s="15" t="s">
        <v>13</v>
      </c>
      <c r="E48" s="15">
        <v>17</v>
      </c>
      <c r="F48" s="15">
        <v>10</v>
      </c>
      <c r="G48" s="15" t="s">
        <v>25</v>
      </c>
      <c r="H48" s="15" t="s">
        <v>37</v>
      </c>
      <c r="I48" s="15" t="s">
        <v>133</v>
      </c>
      <c r="J48" s="15">
        <v>88</v>
      </c>
      <c r="K48" s="59" t="str">
        <f t="shared" si="0"/>
        <v>A</v>
      </c>
    </row>
    <row r="49" spans="1:11" x14ac:dyDescent="0.3">
      <c r="A49" s="15" t="s">
        <v>134</v>
      </c>
      <c r="B49" s="15" t="s">
        <v>23</v>
      </c>
      <c r="C49" s="15" t="s">
        <v>30</v>
      </c>
      <c r="D49" s="15" t="s">
        <v>31</v>
      </c>
      <c r="E49" s="15">
        <v>20</v>
      </c>
      <c r="F49" s="15">
        <v>9</v>
      </c>
      <c r="G49" s="15" t="s">
        <v>14</v>
      </c>
      <c r="H49" s="15" t="s">
        <v>15</v>
      </c>
      <c r="I49" s="15" t="s">
        <v>135</v>
      </c>
      <c r="J49" s="15">
        <v>50</v>
      </c>
      <c r="K49" s="59" t="str">
        <f t="shared" si="0"/>
        <v>D</v>
      </c>
    </row>
    <row r="50" spans="1:11" x14ac:dyDescent="0.3">
      <c r="A50" s="15" t="s">
        <v>136</v>
      </c>
      <c r="B50" s="15" t="s">
        <v>11</v>
      </c>
      <c r="C50" s="15" t="s">
        <v>79</v>
      </c>
      <c r="D50" s="15" t="s">
        <v>13</v>
      </c>
      <c r="E50" s="15">
        <v>14</v>
      </c>
      <c r="F50" s="15">
        <v>10</v>
      </c>
      <c r="G50" s="15" t="s">
        <v>43</v>
      </c>
      <c r="H50" s="15" t="s">
        <v>61</v>
      </c>
      <c r="I50" s="15" t="s">
        <v>137</v>
      </c>
      <c r="J50" s="15">
        <v>65</v>
      </c>
      <c r="K50" s="59" t="str">
        <f t="shared" si="0"/>
        <v>C</v>
      </c>
    </row>
    <row r="51" spans="1:11" x14ac:dyDescent="0.3">
      <c r="A51" s="15" t="s">
        <v>138</v>
      </c>
      <c r="B51" s="15" t="s">
        <v>51</v>
      </c>
      <c r="C51" s="15" t="s">
        <v>85</v>
      </c>
      <c r="D51" s="15" t="s">
        <v>13</v>
      </c>
      <c r="E51" s="15">
        <v>18</v>
      </c>
      <c r="F51" s="15">
        <v>11</v>
      </c>
      <c r="G51" s="15" t="s">
        <v>43</v>
      </c>
      <c r="H51" s="15" t="s">
        <v>61</v>
      </c>
      <c r="I51" s="15" t="s">
        <v>139</v>
      </c>
      <c r="J51" s="15">
        <v>100</v>
      </c>
      <c r="K51" s="59" t="str">
        <f t="shared" si="0"/>
        <v>A+</v>
      </c>
    </row>
    <row r="52" spans="1:11" x14ac:dyDescent="0.3">
      <c r="A52" s="15" t="s">
        <v>140</v>
      </c>
      <c r="B52" s="15" t="s">
        <v>35</v>
      </c>
      <c r="C52" s="15" t="s">
        <v>30</v>
      </c>
      <c r="D52" s="15" t="s">
        <v>31</v>
      </c>
      <c r="E52" s="15">
        <v>19</v>
      </c>
      <c r="F52" s="15">
        <v>10</v>
      </c>
      <c r="G52" s="15" t="s">
        <v>32</v>
      </c>
      <c r="H52" s="15" t="s">
        <v>76</v>
      </c>
      <c r="I52" s="15" t="s">
        <v>141</v>
      </c>
      <c r="J52" s="15">
        <v>93</v>
      </c>
      <c r="K52" s="59" t="str">
        <f t="shared" si="0"/>
        <v>A+</v>
      </c>
    </row>
    <row r="53" spans="1:11" x14ac:dyDescent="0.3">
      <c r="A53" s="15" t="s">
        <v>142</v>
      </c>
      <c r="B53" s="15" t="s">
        <v>29</v>
      </c>
      <c r="C53" s="15" t="s">
        <v>96</v>
      </c>
      <c r="D53" s="15" t="s">
        <v>31</v>
      </c>
      <c r="E53" s="15">
        <v>16</v>
      </c>
      <c r="F53" s="15">
        <v>12</v>
      </c>
      <c r="G53" s="15" t="s">
        <v>14</v>
      </c>
      <c r="H53" s="15" t="s">
        <v>37</v>
      </c>
      <c r="I53" s="15" t="s">
        <v>143</v>
      </c>
      <c r="J53" s="15">
        <v>85</v>
      </c>
      <c r="K53" s="59" t="str">
        <f t="shared" si="0"/>
        <v>A</v>
      </c>
    </row>
    <row r="54" spans="1:11" x14ac:dyDescent="0.3">
      <c r="A54" s="15" t="s">
        <v>144</v>
      </c>
      <c r="B54" s="15" t="s">
        <v>73</v>
      </c>
      <c r="C54" s="15" t="s">
        <v>12</v>
      </c>
      <c r="D54" s="15" t="s">
        <v>31</v>
      </c>
      <c r="E54" s="15">
        <v>20</v>
      </c>
      <c r="F54" s="15">
        <v>10</v>
      </c>
      <c r="G54" s="15" t="s">
        <v>14</v>
      </c>
      <c r="H54" s="15" t="s">
        <v>26</v>
      </c>
      <c r="I54" s="15" t="s">
        <v>145</v>
      </c>
      <c r="J54" s="15">
        <v>71</v>
      </c>
      <c r="K54" s="59" t="str">
        <f t="shared" si="0"/>
        <v>B</v>
      </c>
    </row>
    <row r="55" spans="1:11" x14ac:dyDescent="0.3">
      <c r="A55" s="15" t="s">
        <v>146</v>
      </c>
      <c r="B55" s="15" t="s">
        <v>35</v>
      </c>
      <c r="C55" s="15" t="s">
        <v>30</v>
      </c>
      <c r="D55" s="15" t="s">
        <v>31</v>
      </c>
      <c r="E55" s="15">
        <v>20</v>
      </c>
      <c r="F55" s="15">
        <v>9</v>
      </c>
      <c r="G55" s="15" t="s">
        <v>43</v>
      </c>
      <c r="H55" s="15" t="s">
        <v>15</v>
      </c>
      <c r="I55" s="15" t="s">
        <v>147</v>
      </c>
      <c r="J55" s="15">
        <v>40</v>
      </c>
      <c r="K55" s="59" t="str">
        <f t="shared" si="0"/>
        <v>D</v>
      </c>
    </row>
    <row r="56" spans="1:11" x14ac:dyDescent="0.3">
      <c r="A56" s="15" t="s">
        <v>148</v>
      </c>
      <c r="B56" s="15" t="s">
        <v>51</v>
      </c>
      <c r="C56" s="15" t="s">
        <v>96</v>
      </c>
      <c r="D56" s="15" t="s">
        <v>13</v>
      </c>
      <c r="E56" s="15">
        <v>19</v>
      </c>
      <c r="F56" s="15">
        <v>11</v>
      </c>
      <c r="G56" s="15" t="s">
        <v>14</v>
      </c>
      <c r="H56" s="15" t="s">
        <v>76</v>
      </c>
      <c r="I56" s="15" t="s">
        <v>149</v>
      </c>
      <c r="J56" s="15">
        <v>83</v>
      </c>
      <c r="K56" s="59" t="str">
        <f t="shared" si="0"/>
        <v>A</v>
      </c>
    </row>
    <row r="57" spans="1:11" x14ac:dyDescent="0.3">
      <c r="A57" s="15" t="s">
        <v>150</v>
      </c>
      <c r="B57" s="15" t="s">
        <v>23</v>
      </c>
      <c r="C57" s="15" t="s">
        <v>55</v>
      </c>
      <c r="D57" s="15" t="s">
        <v>31</v>
      </c>
      <c r="E57" s="15">
        <v>17</v>
      </c>
      <c r="F57" s="15">
        <v>9</v>
      </c>
      <c r="G57" s="15" t="s">
        <v>25</v>
      </c>
      <c r="H57" s="15" t="s">
        <v>20</v>
      </c>
      <c r="I57" s="15" t="s">
        <v>151</v>
      </c>
      <c r="J57" s="15">
        <v>55</v>
      </c>
      <c r="K57" s="59" t="str">
        <f t="shared" si="0"/>
        <v>D</v>
      </c>
    </row>
    <row r="58" spans="1:11" x14ac:dyDescent="0.3">
      <c r="A58" s="15" t="s">
        <v>152</v>
      </c>
      <c r="B58" s="15" t="s">
        <v>23</v>
      </c>
      <c r="C58" s="15" t="s">
        <v>55</v>
      </c>
      <c r="D58" s="15" t="s">
        <v>13</v>
      </c>
      <c r="E58" s="15">
        <v>17</v>
      </c>
      <c r="F58" s="15">
        <v>12</v>
      </c>
      <c r="G58" s="15" t="s">
        <v>32</v>
      </c>
      <c r="H58" s="15" t="s">
        <v>46</v>
      </c>
      <c r="I58" s="15" t="s">
        <v>153</v>
      </c>
      <c r="J58" s="15">
        <v>39</v>
      </c>
      <c r="K58" s="59" t="str">
        <f t="shared" si="0"/>
        <v>Fail</v>
      </c>
    </row>
    <row r="59" spans="1:11" x14ac:dyDescent="0.3">
      <c r="A59" s="15" t="s">
        <v>154</v>
      </c>
      <c r="B59" s="15" t="s">
        <v>51</v>
      </c>
      <c r="C59" s="15" t="s">
        <v>36</v>
      </c>
      <c r="D59" s="15" t="s">
        <v>31</v>
      </c>
      <c r="E59" s="15">
        <v>18</v>
      </c>
      <c r="F59" s="15">
        <v>12</v>
      </c>
      <c r="G59" s="15" t="s">
        <v>43</v>
      </c>
      <c r="H59" s="15" t="s">
        <v>76</v>
      </c>
      <c r="I59" s="15" t="s">
        <v>155</v>
      </c>
      <c r="J59" s="15">
        <v>77</v>
      </c>
      <c r="K59" s="59" t="str">
        <f t="shared" si="0"/>
        <v>B</v>
      </c>
    </row>
    <row r="60" spans="1:11" x14ac:dyDescent="0.3">
      <c r="A60" s="15" t="s">
        <v>156</v>
      </c>
      <c r="B60" s="15" t="s">
        <v>35</v>
      </c>
      <c r="C60" s="15" t="s">
        <v>55</v>
      </c>
      <c r="D60" s="15" t="s">
        <v>13</v>
      </c>
      <c r="E60" s="15">
        <v>19</v>
      </c>
      <c r="F60" s="15">
        <v>11</v>
      </c>
      <c r="G60" s="15" t="s">
        <v>14</v>
      </c>
      <c r="H60" s="15" t="s">
        <v>40</v>
      </c>
      <c r="I60" s="15" t="s">
        <v>157</v>
      </c>
      <c r="J60" s="15">
        <v>63</v>
      </c>
      <c r="K60" s="59" t="str">
        <f t="shared" si="0"/>
        <v>C</v>
      </c>
    </row>
    <row r="61" spans="1:11" x14ac:dyDescent="0.3">
      <c r="A61" s="15" t="s">
        <v>158</v>
      </c>
      <c r="B61" s="15" t="s">
        <v>18</v>
      </c>
      <c r="C61" s="15" t="s">
        <v>19</v>
      </c>
      <c r="D61" s="15" t="s">
        <v>13</v>
      </c>
      <c r="E61" s="15">
        <v>16</v>
      </c>
      <c r="F61" s="15">
        <v>12</v>
      </c>
      <c r="G61" s="15" t="s">
        <v>43</v>
      </c>
      <c r="H61" s="15" t="s">
        <v>40</v>
      </c>
      <c r="I61" s="15" t="s">
        <v>159</v>
      </c>
      <c r="J61" s="15">
        <v>36</v>
      </c>
      <c r="K61" s="59" t="str">
        <f t="shared" si="0"/>
        <v>Fail</v>
      </c>
    </row>
    <row r="62" spans="1:11" x14ac:dyDescent="0.3">
      <c r="A62" s="15" t="s">
        <v>160</v>
      </c>
      <c r="B62" s="15" t="s">
        <v>51</v>
      </c>
      <c r="C62" s="15" t="s">
        <v>85</v>
      </c>
      <c r="D62" s="15" t="s">
        <v>31</v>
      </c>
      <c r="E62" s="15">
        <v>17</v>
      </c>
      <c r="F62" s="15">
        <v>11</v>
      </c>
      <c r="G62" s="15" t="s">
        <v>43</v>
      </c>
      <c r="H62" s="15" t="s">
        <v>37</v>
      </c>
      <c r="I62" s="15" t="s">
        <v>161</v>
      </c>
      <c r="J62" s="15">
        <v>99</v>
      </c>
      <c r="K62" s="59" t="str">
        <f t="shared" si="0"/>
        <v>A+</v>
      </c>
    </row>
    <row r="63" spans="1:11" x14ac:dyDescent="0.3">
      <c r="A63" s="15" t="s">
        <v>162</v>
      </c>
      <c r="B63" s="15" t="s">
        <v>73</v>
      </c>
      <c r="C63" s="15" t="s">
        <v>36</v>
      </c>
      <c r="D63" s="15" t="s">
        <v>31</v>
      </c>
      <c r="E63" s="15">
        <v>20</v>
      </c>
      <c r="F63" s="15">
        <v>9</v>
      </c>
      <c r="G63" s="15" t="s">
        <v>32</v>
      </c>
      <c r="H63" s="15" t="s">
        <v>20</v>
      </c>
      <c r="I63" s="15" t="s">
        <v>163</v>
      </c>
      <c r="J63" s="15">
        <v>49</v>
      </c>
      <c r="K63" s="59" t="str">
        <f t="shared" si="0"/>
        <v>D</v>
      </c>
    </row>
    <row r="64" spans="1:11" x14ac:dyDescent="0.3">
      <c r="A64" s="15" t="s">
        <v>164</v>
      </c>
      <c r="B64" s="15" t="s">
        <v>23</v>
      </c>
      <c r="C64" s="15" t="s">
        <v>19</v>
      </c>
      <c r="D64" s="15" t="s">
        <v>31</v>
      </c>
      <c r="E64" s="15">
        <v>17</v>
      </c>
      <c r="F64" s="15">
        <v>9</v>
      </c>
      <c r="G64" s="15" t="s">
        <v>25</v>
      </c>
      <c r="H64" s="15" t="s">
        <v>15</v>
      </c>
      <c r="I64" s="15" t="s">
        <v>165</v>
      </c>
      <c r="J64" s="15">
        <v>64</v>
      </c>
      <c r="K64" s="59" t="str">
        <f t="shared" si="0"/>
        <v>C</v>
      </c>
    </row>
    <row r="65" spans="1:11" x14ac:dyDescent="0.3">
      <c r="A65" s="15" t="s">
        <v>166</v>
      </c>
      <c r="B65" s="15" t="s">
        <v>84</v>
      </c>
      <c r="C65" s="15" t="s">
        <v>24</v>
      </c>
      <c r="D65" s="15" t="s">
        <v>13</v>
      </c>
      <c r="E65" s="15">
        <v>14</v>
      </c>
      <c r="F65" s="15">
        <v>10</v>
      </c>
      <c r="G65" s="15" t="s">
        <v>43</v>
      </c>
      <c r="H65" s="15" t="s">
        <v>15</v>
      </c>
      <c r="I65" s="15" t="s">
        <v>167</v>
      </c>
      <c r="J65" s="15">
        <v>45</v>
      </c>
      <c r="K65" s="59" t="str">
        <f t="shared" si="0"/>
        <v>D</v>
      </c>
    </row>
    <row r="66" spans="1:11" x14ac:dyDescent="0.3">
      <c r="A66" s="15" t="s">
        <v>168</v>
      </c>
      <c r="B66" s="15" t="s">
        <v>18</v>
      </c>
      <c r="C66" s="15" t="s">
        <v>79</v>
      </c>
      <c r="D66" s="15" t="s">
        <v>13</v>
      </c>
      <c r="E66" s="15">
        <v>17</v>
      </c>
      <c r="F66" s="15">
        <v>12</v>
      </c>
      <c r="G66" s="15" t="s">
        <v>25</v>
      </c>
      <c r="H66" s="15" t="s">
        <v>26</v>
      </c>
      <c r="I66" s="15" t="s">
        <v>137</v>
      </c>
      <c r="J66" s="15">
        <v>82</v>
      </c>
      <c r="K66" s="59" t="str">
        <f t="shared" si="0"/>
        <v>A</v>
      </c>
    </row>
    <row r="67" spans="1:11" x14ac:dyDescent="0.3">
      <c r="A67" s="15" t="s">
        <v>169</v>
      </c>
      <c r="B67" s="15" t="s">
        <v>11</v>
      </c>
      <c r="C67" s="15" t="s">
        <v>30</v>
      </c>
      <c r="D67" s="15" t="s">
        <v>31</v>
      </c>
      <c r="E67" s="15">
        <v>18</v>
      </c>
      <c r="F67" s="15">
        <v>9</v>
      </c>
      <c r="G67" s="15" t="s">
        <v>25</v>
      </c>
      <c r="H67" s="15" t="s">
        <v>46</v>
      </c>
      <c r="I67" s="15" t="s">
        <v>170</v>
      </c>
      <c r="J67" s="15">
        <v>60</v>
      </c>
      <c r="K67" s="59" t="str">
        <f t="shared" si="0"/>
        <v>C</v>
      </c>
    </row>
    <row r="68" spans="1:11" x14ac:dyDescent="0.3">
      <c r="A68" s="15" t="s">
        <v>171</v>
      </c>
      <c r="B68" s="15" t="s">
        <v>29</v>
      </c>
      <c r="C68" s="15" t="s">
        <v>85</v>
      </c>
      <c r="D68" s="15" t="s">
        <v>13</v>
      </c>
      <c r="E68" s="15">
        <v>14</v>
      </c>
      <c r="F68" s="15">
        <v>10</v>
      </c>
      <c r="G68" s="15" t="s">
        <v>32</v>
      </c>
      <c r="H68" s="15" t="s">
        <v>61</v>
      </c>
      <c r="I68" s="15" t="s">
        <v>172</v>
      </c>
      <c r="J68" s="15">
        <v>51</v>
      </c>
      <c r="K68" s="59" t="str">
        <f t="shared" si="0"/>
        <v>D</v>
      </c>
    </row>
    <row r="69" spans="1:11" x14ac:dyDescent="0.3">
      <c r="A69" s="15" t="s">
        <v>173</v>
      </c>
      <c r="B69" s="15" t="s">
        <v>54</v>
      </c>
      <c r="C69" s="15" t="s">
        <v>30</v>
      </c>
      <c r="D69" s="15" t="s">
        <v>31</v>
      </c>
      <c r="E69" s="15">
        <v>18</v>
      </c>
      <c r="F69" s="15">
        <v>9</v>
      </c>
      <c r="G69" s="15" t="s">
        <v>32</v>
      </c>
      <c r="H69" s="15" t="s">
        <v>40</v>
      </c>
      <c r="I69" s="15" t="s">
        <v>174</v>
      </c>
      <c r="J69" s="15">
        <v>54</v>
      </c>
      <c r="K69" s="59" t="str">
        <f t="shared" ref="K69:K132" si="1">_xlfn.IFS($J69&gt;=90,"A+",$J69&gt;=80,"A",$J69&gt;=70,"B",$J69&gt;=60,"C",$J69&gt;=40,"D",$J69&lt;40,"Fail")</f>
        <v>D</v>
      </c>
    </row>
    <row r="70" spans="1:11" x14ac:dyDescent="0.3">
      <c r="A70" s="15" t="s">
        <v>175</v>
      </c>
      <c r="B70" s="15" t="s">
        <v>35</v>
      </c>
      <c r="C70" s="15" t="s">
        <v>30</v>
      </c>
      <c r="D70" s="15" t="s">
        <v>31</v>
      </c>
      <c r="E70" s="15">
        <v>20</v>
      </c>
      <c r="F70" s="15">
        <v>9</v>
      </c>
      <c r="G70" s="15" t="s">
        <v>14</v>
      </c>
      <c r="H70" s="15" t="s">
        <v>61</v>
      </c>
      <c r="I70" s="15" t="s">
        <v>176</v>
      </c>
      <c r="J70" s="15">
        <v>76</v>
      </c>
      <c r="K70" s="59" t="str">
        <f t="shared" si="1"/>
        <v>B</v>
      </c>
    </row>
    <row r="71" spans="1:11" x14ac:dyDescent="0.3">
      <c r="A71" s="15" t="s">
        <v>177</v>
      </c>
      <c r="B71" s="15" t="s">
        <v>29</v>
      </c>
      <c r="C71" s="15" t="s">
        <v>58</v>
      </c>
      <c r="D71" s="15" t="s">
        <v>31</v>
      </c>
      <c r="E71" s="15">
        <v>19</v>
      </c>
      <c r="F71" s="15">
        <v>12</v>
      </c>
      <c r="G71" s="15" t="s">
        <v>43</v>
      </c>
      <c r="H71" s="15" t="s">
        <v>61</v>
      </c>
      <c r="I71" s="15" t="s">
        <v>178</v>
      </c>
      <c r="J71" s="15">
        <v>99</v>
      </c>
      <c r="K71" s="59" t="str">
        <f t="shared" si="1"/>
        <v>A+</v>
      </c>
    </row>
    <row r="72" spans="1:11" x14ac:dyDescent="0.3">
      <c r="A72" s="15" t="s">
        <v>179</v>
      </c>
      <c r="B72" s="15" t="s">
        <v>29</v>
      </c>
      <c r="C72" s="15" t="s">
        <v>58</v>
      </c>
      <c r="D72" s="15" t="s">
        <v>31</v>
      </c>
      <c r="E72" s="15">
        <v>16</v>
      </c>
      <c r="F72" s="15">
        <v>11</v>
      </c>
      <c r="G72" s="15" t="s">
        <v>25</v>
      </c>
      <c r="H72" s="15" t="s">
        <v>26</v>
      </c>
      <c r="I72" s="15" t="s">
        <v>180</v>
      </c>
      <c r="J72" s="15">
        <v>75</v>
      </c>
      <c r="K72" s="59" t="str">
        <f t="shared" si="1"/>
        <v>B</v>
      </c>
    </row>
    <row r="73" spans="1:11" x14ac:dyDescent="0.3">
      <c r="A73" s="15" t="s">
        <v>181</v>
      </c>
      <c r="B73" s="15" t="s">
        <v>11</v>
      </c>
      <c r="C73" s="15" t="s">
        <v>55</v>
      </c>
      <c r="D73" s="15" t="s">
        <v>31</v>
      </c>
      <c r="E73" s="15">
        <v>18</v>
      </c>
      <c r="F73" s="15">
        <v>10</v>
      </c>
      <c r="G73" s="15" t="s">
        <v>25</v>
      </c>
      <c r="H73" s="15" t="s">
        <v>46</v>
      </c>
      <c r="I73" s="15" t="s">
        <v>182</v>
      </c>
      <c r="J73" s="15">
        <v>98</v>
      </c>
      <c r="K73" s="59" t="str">
        <f t="shared" si="1"/>
        <v>A+</v>
      </c>
    </row>
    <row r="74" spans="1:11" x14ac:dyDescent="0.3">
      <c r="A74" s="15" t="s">
        <v>183</v>
      </c>
      <c r="B74" s="15" t="s">
        <v>11</v>
      </c>
      <c r="C74" s="15" t="s">
        <v>30</v>
      </c>
      <c r="D74" s="15" t="s">
        <v>31</v>
      </c>
      <c r="E74" s="15">
        <v>17</v>
      </c>
      <c r="F74" s="15">
        <v>12</v>
      </c>
      <c r="G74" s="15" t="s">
        <v>14</v>
      </c>
      <c r="H74" s="15" t="s">
        <v>37</v>
      </c>
      <c r="I74" s="15" t="s">
        <v>184</v>
      </c>
      <c r="J74" s="15">
        <v>49</v>
      </c>
      <c r="K74" s="59" t="str">
        <f t="shared" si="1"/>
        <v>D</v>
      </c>
    </row>
    <row r="75" spans="1:11" x14ac:dyDescent="0.3">
      <c r="A75" s="15" t="s">
        <v>185</v>
      </c>
      <c r="B75" s="15" t="s">
        <v>35</v>
      </c>
      <c r="C75" s="15" t="s">
        <v>30</v>
      </c>
      <c r="D75" s="15" t="s">
        <v>31</v>
      </c>
      <c r="E75" s="15">
        <v>14</v>
      </c>
      <c r="F75" s="15">
        <v>12</v>
      </c>
      <c r="G75" s="15" t="s">
        <v>43</v>
      </c>
      <c r="H75" s="15" t="s">
        <v>61</v>
      </c>
      <c r="I75" s="15" t="s">
        <v>186</v>
      </c>
      <c r="J75" s="15">
        <v>45</v>
      </c>
      <c r="K75" s="59" t="str">
        <f t="shared" si="1"/>
        <v>D</v>
      </c>
    </row>
    <row r="76" spans="1:11" x14ac:dyDescent="0.3">
      <c r="A76" s="15" t="s">
        <v>187</v>
      </c>
      <c r="B76" s="15" t="s">
        <v>51</v>
      </c>
      <c r="C76" s="15" t="s">
        <v>12</v>
      </c>
      <c r="D76" s="15" t="s">
        <v>31</v>
      </c>
      <c r="E76" s="15">
        <v>17</v>
      </c>
      <c r="F76" s="15">
        <v>10</v>
      </c>
      <c r="G76" s="15" t="s">
        <v>43</v>
      </c>
      <c r="H76" s="15" t="s">
        <v>46</v>
      </c>
      <c r="I76" s="15" t="s">
        <v>101</v>
      </c>
      <c r="J76" s="15">
        <v>66</v>
      </c>
      <c r="K76" s="59" t="str">
        <f t="shared" si="1"/>
        <v>C</v>
      </c>
    </row>
    <row r="77" spans="1:11" x14ac:dyDescent="0.3">
      <c r="A77" s="15" t="s">
        <v>188</v>
      </c>
      <c r="B77" s="15" t="s">
        <v>23</v>
      </c>
      <c r="C77" s="15" t="s">
        <v>55</v>
      </c>
      <c r="D77" s="15" t="s">
        <v>31</v>
      </c>
      <c r="E77" s="15">
        <v>15</v>
      </c>
      <c r="F77" s="15">
        <v>9</v>
      </c>
      <c r="G77" s="15" t="s">
        <v>43</v>
      </c>
      <c r="H77" s="15" t="s">
        <v>20</v>
      </c>
      <c r="I77" s="15" t="s">
        <v>189</v>
      </c>
      <c r="J77" s="15">
        <v>88</v>
      </c>
      <c r="K77" s="59" t="str">
        <f t="shared" si="1"/>
        <v>A</v>
      </c>
    </row>
    <row r="78" spans="1:11" x14ac:dyDescent="0.3">
      <c r="A78" s="15" t="s">
        <v>190</v>
      </c>
      <c r="B78" s="15" t="s">
        <v>18</v>
      </c>
      <c r="C78" s="15" t="s">
        <v>19</v>
      </c>
      <c r="D78" s="15" t="s">
        <v>31</v>
      </c>
      <c r="E78" s="15">
        <v>14</v>
      </c>
      <c r="F78" s="15">
        <v>12</v>
      </c>
      <c r="G78" s="15" t="s">
        <v>32</v>
      </c>
      <c r="H78" s="15" t="s">
        <v>37</v>
      </c>
      <c r="I78" s="15" t="s">
        <v>191</v>
      </c>
      <c r="J78" s="15">
        <v>63</v>
      </c>
      <c r="K78" s="59" t="str">
        <f t="shared" si="1"/>
        <v>C</v>
      </c>
    </row>
    <row r="79" spans="1:11" x14ac:dyDescent="0.3">
      <c r="A79" s="15" t="s">
        <v>192</v>
      </c>
      <c r="B79" s="15" t="s">
        <v>68</v>
      </c>
      <c r="C79" s="15" t="s">
        <v>85</v>
      </c>
      <c r="D79" s="15" t="s">
        <v>13</v>
      </c>
      <c r="E79" s="15">
        <v>19</v>
      </c>
      <c r="F79" s="15">
        <v>11</v>
      </c>
      <c r="G79" s="15" t="s">
        <v>43</v>
      </c>
      <c r="H79" s="15" t="s">
        <v>61</v>
      </c>
      <c r="I79" s="15" t="s">
        <v>193</v>
      </c>
      <c r="J79" s="15">
        <v>78</v>
      </c>
      <c r="K79" s="59" t="str">
        <f t="shared" si="1"/>
        <v>B</v>
      </c>
    </row>
    <row r="80" spans="1:11" x14ac:dyDescent="0.3">
      <c r="A80" s="15" t="s">
        <v>194</v>
      </c>
      <c r="B80" s="15" t="s">
        <v>23</v>
      </c>
      <c r="C80" s="15" t="s">
        <v>19</v>
      </c>
      <c r="D80" s="15" t="s">
        <v>31</v>
      </c>
      <c r="E80" s="15">
        <v>20</v>
      </c>
      <c r="F80" s="15">
        <v>9</v>
      </c>
      <c r="G80" s="15" t="s">
        <v>25</v>
      </c>
      <c r="H80" s="15" t="s">
        <v>76</v>
      </c>
      <c r="I80" s="15" t="s">
        <v>195</v>
      </c>
      <c r="J80" s="15">
        <v>76</v>
      </c>
      <c r="K80" s="59" t="str">
        <f t="shared" si="1"/>
        <v>B</v>
      </c>
    </row>
    <row r="81" spans="1:11" x14ac:dyDescent="0.3">
      <c r="A81" s="15" t="s">
        <v>196</v>
      </c>
      <c r="B81" s="15" t="s">
        <v>23</v>
      </c>
      <c r="C81" s="15" t="s">
        <v>79</v>
      </c>
      <c r="D81" s="15" t="s">
        <v>13</v>
      </c>
      <c r="E81" s="15">
        <v>18</v>
      </c>
      <c r="F81" s="15">
        <v>12</v>
      </c>
      <c r="G81" s="15" t="s">
        <v>43</v>
      </c>
      <c r="H81" s="15" t="s">
        <v>76</v>
      </c>
      <c r="I81" s="15" t="s">
        <v>197</v>
      </c>
      <c r="J81" s="15">
        <v>67</v>
      </c>
      <c r="K81" s="59" t="str">
        <f t="shared" si="1"/>
        <v>C</v>
      </c>
    </row>
    <row r="82" spans="1:11" x14ac:dyDescent="0.3">
      <c r="A82" s="15" t="s">
        <v>198</v>
      </c>
      <c r="B82" s="15" t="s">
        <v>11</v>
      </c>
      <c r="C82" s="15" t="s">
        <v>85</v>
      </c>
      <c r="D82" s="15" t="s">
        <v>31</v>
      </c>
      <c r="E82" s="15">
        <v>14</v>
      </c>
      <c r="F82" s="15">
        <v>10</v>
      </c>
      <c r="G82" s="15" t="s">
        <v>25</v>
      </c>
      <c r="H82" s="15" t="s">
        <v>61</v>
      </c>
      <c r="I82" s="15" t="s">
        <v>199</v>
      </c>
      <c r="J82" s="15">
        <v>97</v>
      </c>
      <c r="K82" s="59" t="str">
        <f t="shared" si="1"/>
        <v>A+</v>
      </c>
    </row>
    <row r="83" spans="1:11" x14ac:dyDescent="0.3">
      <c r="A83" s="15" t="s">
        <v>200</v>
      </c>
      <c r="B83" s="15" t="s">
        <v>29</v>
      </c>
      <c r="C83" s="15" t="s">
        <v>12</v>
      </c>
      <c r="D83" s="15" t="s">
        <v>13</v>
      </c>
      <c r="E83" s="15">
        <v>18</v>
      </c>
      <c r="F83" s="15">
        <v>12</v>
      </c>
      <c r="G83" s="15" t="s">
        <v>25</v>
      </c>
      <c r="H83" s="15" t="s">
        <v>26</v>
      </c>
      <c r="I83" s="15" t="s">
        <v>201</v>
      </c>
      <c r="J83" s="15">
        <v>89</v>
      </c>
      <c r="K83" s="59" t="str">
        <f t="shared" si="1"/>
        <v>A</v>
      </c>
    </row>
    <row r="84" spans="1:11" x14ac:dyDescent="0.3">
      <c r="A84" s="15" t="s">
        <v>202</v>
      </c>
      <c r="B84" s="15" t="s">
        <v>51</v>
      </c>
      <c r="C84" s="15" t="s">
        <v>55</v>
      </c>
      <c r="D84" s="15" t="s">
        <v>31</v>
      </c>
      <c r="E84" s="15">
        <v>15</v>
      </c>
      <c r="F84" s="15">
        <v>9</v>
      </c>
      <c r="G84" s="15" t="s">
        <v>14</v>
      </c>
      <c r="H84" s="15" t="s">
        <v>40</v>
      </c>
      <c r="I84" s="15" t="s">
        <v>111</v>
      </c>
      <c r="J84" s="15">
        <v>70</v>
      </c>
      <c r="K84" s="59" t="str">
        <f t="shared" si="1"/>
        <v>B</v>
      </c>
    </row>
    <row r="85" spans="1:11" x14ac:dyDescent="0.3">
      <c r="A85" s="15" t="s">
        <v>203</v>
      </c>
      <c r="B85" s="15" t="s">
        <v>35</v>
      </c>
      <c r="C85" s="15" t="s">
        <v>96</v>
      </c>
      <c r="D85" s="15" t="s">
        <v>13</v>
      </c>
      <c r="E85" s="15">
        <v>17</v>
      </c>
      <c r="F85" s="15">
        <v>12</v>
      </c>
      <c r="G85" s="15" t="s">
        <v>25</v>
      </c>
      <c r="H85" s="15" t="s">
        <v>20</v>
      </c>
      <c r="I85" s="15" t="s">
        <v>204</v>
      </c>
      <c r="J85" s="15">
        <v>90</v>
      </c>
      <c r="K85" s="59" t="str">
        <f t="shared" si="1"/>
        <v>A+</v>
      </c>
    </row>
    <row r="86" spans="1:11" x14ac:dyDescent="0.3">
      <c r="A86" s="15" t="s">
        <v>205</v>
      </c>
      <c r="B86" s="15" t="s">
        <v>73</v>
      </c>
      <c r="C86" s="15" t="s">
        <v>24</v>
      </c>
      <c r="D86" s="15" t="s">
        <v>13</v>
      </c>
      <c r="E86" s="15">
        <v>17</v>
      </c>
      <c r="F86" s="15">
        <v>9</v>
      </c>
      <c r="G86" s="15" t="s">
        <v>14</v>
      </c>
      <c r="H86" s="15" t="s">
        <v>46</v>
      </c>
      <c r="I86" s="15" t="s">
        <v>206</v>
      </c>
      <c r="J86" s="15">
        <v>59</v>
      </c>
      <c r="K86" s="59" t="str">
        <f t="shared" si="1"/>
        <v>D</v>
      </c>
    </row>
    <row r="87" spans="1:11" x14ac:dyDescent="0.3">
      <c r="A87" s="15" t="s">
        <v>207</v>
      </c>
      <c r="B87" s="15" t="s">
        <v>54</v>
      </c>
      <c r="C87" s="15" t="s">
        <v>19</v>
      </c>
      <c r="D87" s="15" t="s">
        <v>31</v>
      </c>
      <c r="E87" s="15">
        <v>19</v>
      </c>
      <c r="F87" s="15">
        <v>9</v>
      </c>
      <c r="G87" s="15" t="s">
        <v>14</v>
      </c>
      <c r="H87" s="15" t="s">
        <v>61</v>
      </c>
      <c r="I87" s="15" t="s">
        <v>208</v>
      </c>
      <c r="J87" s="15">
        <v>76</v>
      </c>
      <c r="K87" s="59" t="str">
        <f t="shared" si="1"/>
        <v>B</v>
      </c>
    </row>
    <row r="88" spans="1:11" x14ac:dyDescent="0.3">
      <c r="A88" s="15" t="s">
        <v>209</v>
      </c>
      <c r="B88" s="15" t="s">
        <v>29</v>
      </c>
      <c r="C88" s="15" t="s">
        <v>30</v>
      </c>
      <c r="D88" s="15" t="s">
        <v>31</v>
      </c>
      <c r="E88" s="15">
        <v>18</v>
      </c>
      <c r="F88" s="15">
        <v>11</v>
      </c>
      <c r="G88" s="15" t="s">
        <v>43</v>
      </c>
      <c r="H88" s="15" t="s">
        <v>20</v>
      </c>
      <c r="I88" s="15" t="s">
        <v>210</v>
      </c>
      <c r="J88" s="15">
        <v>78</v>
      </c>
      <c r="K88" s="59" t="str">
        <f t="shared" si="1"/>
        <v>B</v>
      </c>
    </row>
    <row r="89" spans="1:11" x14ac:dyDescent="0.3">
      <c r="A89" s="15" t="s">
        <v>211</v>
      </c>
      <c r="B89" s="15" t="s">
        <v>35</v>
      </c>
      <c r="C89" s="15" t="s">
        <v>19</v>
      </c>
      <c r="D89" s="15" t="s">
        <v>31</v>
      </c>
      <c r="E89" s="15">
        <v>16</v>
      </c>
      <c r="F89" s="15">
        <v>9</v>
      </c>
      <c r="G89" s="15" t="s">
        <v>14</v>
      </c>
      <c r="H89" s="15" t="s">
        <v>37</v>
      </c>
      <c r="I89" s="15" t="s">
        <v>212</v>
      </c>
      <c r="J89" s="15">
        <v>57</v>
      </c>
      <c r="K89" s="59" t="str">
        <f t="shared" si="1"/>
        <v>D</v>
      </c>
    </row>
    <row r="90" spans="1:11" x14ac:dyDescent="0.3">
      <c r="A90" s="15" t="s">
        <v>213</v>
      </c>
      <c r="B90" s="15" t="s">
        <v>29</v>
      </c>
      <c r="C90" s="15" t="s">
        <v>24</v>
      </c>
      <c r="D90" s="15" t="s">
        <v>31</v>
      </c>
      <c r="E90" s="15">
        <v>17</v>
      </c>
      <c r="F90" s="15">
        <v>11</v>
      </c>
      <c r="G90" s="15" t="s">
        <v>14</v>
      </c>
      <c r="H90" s="15" t="s">
        <v>76</v>
      </c>
      <c r="I90" s="15" t="s">
        <v>214</v>
      </c>
      <c r="J90" s="15">
        <v>74</v>
      </c>
      <c r="K90" s="59" t="str">
        <f t="shared" si="1"/>
        <v>B</v>
      </c>
    </row>
    <row r="91" spans="1:11" x14ac:dyDescent="0.3">
      <c r="A91" s="15" t="s">
        <v>215</v>
      </c>
      <c r="B91" s="15" t="s">
        <v>84</v>
      </c>
      <c r="C91" s="15" t="s">
        <v>36</v>
      </c>
      <c r="D91" s="15" t="s">
        <v>31</v>
      </c>
      <c r="E91" s="15">
        <v>19</v>
      </c>
      <c r="F91" s="15">
        <v>12</v>
      </c>
      <c r="G91" s="15" t="s">
        <v>14</v>
      </c>
      <c r="H91" s="15" t="s">
        <v>37</v>
      </c>
      <c r="I91" s="15" t="s">
        <v>216</v>
      </c>
      <c r="J91" s="15">
        <v>84</v>
      </c>
      <c r="K91" s="59" t="str">
        <f t="shared" si="1"/>
        <v>A</v>
      </c>
    </row>
    <row r="92" spans="1:11" x14ac:dyDescent="0.3">
      <c r="A92" s="15" t="s">
        <v>217</v>
      </c>
      <c r="B92" s="15" t="s">
        <v>84</v>
      </c>
      <c r="C92" s="15" t="s">
        <v>96</v>
      </c>
      <c r="D92" s="15" t="s">
        <v>31</v>
      </c>
      <c r="E92" s="15">
        <v>17</v>
      </c>
      <c r="F92" s="15">
        <v>10</v>
      </c>
      <c r="G92" s="15" t="s">
        <v>43</v>
      </c>
      <c r="H92" s="15" t="s">
        <v>46</v>
      </c>
      <c r="I92" s="15" t="s">
        <v>218</v>
      </c>
      <c r="J92" s="15">
        <v>46</v>
      </c>
      <c r="K92" s="59" t="str">
        <f t="shared" si="1"/>
        <v>D</v>
      </c>
    </row>
    <row r="93" spans="1:11" x14ac:dyDescent="0.3">
      <c r="A93" s="15" t="s">
        <v>219</v>
      </c>
      <c r="B93" s="15" t="s">
        <v>68</v>
      </c>
      <c r="C93" s="15" t="s">
        <v>19</v>
      </c>
      <c r="D93" s="15" t="s">
        <v>13</v>
      </c>
      <c r="E93" s="15">
        <v>19</v>
      </c>
      <c r="F93" s="15">
        <v>9</v>
      </c>
      <c r="G93" s="15" t="s">
        <v>14</v>
      </c>
      <c r="H93" s="15" t="s">
        <v>40</v>
      </c>
      <c r="I93" s="15" t="s">
        <v>220</v>
      </c>
      <c r="J93" s="15">
        <v>63</v>
      </c>
      <c r="K93" s="59" t="str">
        <f t="shared" si="1"/>
        <v>C</v>
      </c>
    </row>
    <row r="94" spans="1:11" x14ac:dyDescent="0.3">
      <c r="A94" s="15" t="s">
        <v>221</v>
      </c>
      <c r="B94" s="15" t="s">
        <v>51</v>
      </c>
      <c r="C94" s="15" t="s">
        <v>55</v>
      </c>
      <c r="D94" s="15" t="s">
        <v>13</v>
      </c>
      <c r="E94" s="15">
        <v>14</v>
      </c>
      <c r="F94" s="15">
        <v>10</v>
      </c>
      <c r="G94" s="15" t="s">
        <v>43</v>
      </c>
      <c r="H94" s="15" t="s">
        <v>61</v>
      </c>
      <c r="I94" s="15" t="s">
        <v>222</v>
      </c>
      <c r="J94" s="15">
        <v>72</v>
      </c>
      <c r="K94" s="59" t="str">
        <f t="shared" si="1"/>
        <v>B</v>
      </c>
    </row>
    <row r="95" spans="1:11" x14ac:dyDescent="0.3">
      <c r="A95" s="15" t="s">
        <v>223</v>
      </c>
      <c r="B95" s="15" t="s">
        <v>68</v>
      </c>
      <c r="C95" s="15" t="s">
        <v>24</v>
      </c>
      <c r="D95" s="15" t="s">
        <v>13</v>
      </c>
      <c r="E95" s="15">
        <v>18</v>
      </c>
      <c r="F95" s="15">
        <v>11</v>
      </c>
      <c r="G95" s="15" t="s">
        <v>32</v>
      </c>
      <c r="H95" s="15" t="s">
        <v>40</v>
      </c>
      <c r="I95" s="15" t="s">
        <v>224</v>
      </c>
      <c r="J95" s="15">
        <v>87</v>
      </c>
      <c r="K95" s="59" t="str">
        <f t="shared" si="1"/>
        <v>A</v>
      </c>
    </row>
    <row r="96" spans="1:11" x14ac:dyDescent="0.3">
      <c r="A96" s="15" t="s">
        <v>225</v>
      </c>
      <c r="B96" s="15" t="s">
        <v>35</v>
      </c>
      <c r="C96" s="15" t="s">
        <v>85</v>
      </c>
      <c r="D96" s="15" t="s">
        <v>13</v>
      </c>
      <c r="E96" s="15">
        <v>20</v>
      </c>
      <c r="F96" s="15">
        <v>9</v>
      </c>
      <c r="G96" s="15" t="s">
        <v>14</v>
      </c>
      <c r="H96" s="15" t="s">
        <v>40</v>
      </c>
      <c r="I96" s="15" t="s">
        <v>226</v>
      </c>
      <c r="J96" s="15">
        <v>55</v>
      </c>
      <c r="K96" s="59" t="str">
        <f t="shared" si="1"/>
        <v>D</v>
      </c>
    </row>
    <row r="97" spans="1:11" x14ac:dyDescent="0.3">
      <c r="A97" s="15" t="s">
        <v>227</v>
      </c>
      <c r="B97" s="15" t="s">
        <v>68</v>
      </c>
      <c r="C97" s="15" t="s">
        <v>58</v>
      </c>
      <c r="D97" s="15" t="s">
        <v>13</v>
      </c>
      <c r="E97" s="15">
        <v>17</v>
      </c>
      <c r="F97" s="15">
        <v>12</v>
      </c>
      <c r="G97" s="15" t="s">
        <v>32</v>
      </c>
      <c r="H97" s="15" t="s">
        <v>26</v>
      </c>
      <c r="I97" s="15" t="s">
        <v>228</v>
      </c>
      <c r="J97" s="15">
        <v>37</v>
      </c>
      <c r="K97" s="59" t="str">
        <f t="shared" si="1"/>
        <v>Fail</v>
      </c>
    </row>
    <row r="98" spans="1:11" x14ac:dyDescent="0.3">
      <c r="A98" s="15" t="s">
        <v>229</v>
      </c>
      <c r="B98" s="15" t="s">
        <v>68</v>
      </c>
      <c r="C98" s="15" t="s">
        <v>24</v>
      </c>
      <c r="D98" s="15" t="s">
        <v>13</v>
      </c>
      <c r="E98" s="15">
        <v>17</v>
      </c>
      <c r="F98" s="15">
        <v>11</v>
      </c>
      <c r="G98" s="15" t="s">
        <v>43</v>
      </c>
      <c r="H98" s="15" t="s">
        <v>26</v>
      </c>
      <c r="I98" s="15" t="s">
        <v>230</v>
      </c>
      <c r="J98" s="15">
        <v>53</v>
      </c>
      <c r="K98" s="59" t="str">
        <f t="shared" si="1"/>
        <v>D</v>
      </c>
    </row>
    <row r="99" spans="1:11" x14ac:dyDescent="0.3">
      <c r="A99" s="15" t="s">
        <v>231</v>
      </c>
      <c r="B99" s="15" t="s">
        <v>23</v>
      </c>
      <c r="C99" s="15" t="s">
        <v>24</v>
      </c>
      <c r="D99" s="15" t="s">
        <v>31</v>
      </c>
      <c r="E99" s="15">
        <v>18</v>
      </c>
      <c r="F99" s="15">
        <v>9</v>
      </c>
      <c r="G99" s="15" t="s">
        <v>25</v>
      </c>
      <c r="H99" s="15" t="s">
        <v>61</v>
      </c>
      <c r="I99" s="15" t="s">
        <v>232</v>
      </c>
      <c r="J99" s="15">
        <v>88</v>
      </c>
      <c r="K99" s="59" t="str">
        <f t="shared" si="1"/>
        <v>A</v>
      </c>
    </row>
    <row r="100" spans="1:11" x14ac:dyDescent="0.3">
      <c r="A100" s="15" t="s">
        <v>233</v>
      </c>
      <c r="B100" s="15" t="s">
        <v>11</v>
      </c>
      <c r="C100" s="15" t="s">
        <v>55</v>
      </c>
      <c r="D100" s="15" t="s">
        <v>13</v>
      </c>
      <c r="E100" s="15">
        <v>14</v>
      </c>
      <c r="F100" s="15">
        <v>9</v>
      </c>
      <c r="G100" s="15" t="s">
        <v>25</v>
      </c>
      <c r="H100" s="15" t="s">
        <v>37</v>
      </c>
      <c r="I100" s="15" t="s">
        <v>234</v>
      </c>
      <c r="J100" s="15">
        <v>66</v>
      </c>
      <c r="K100" s="59" t="str">
        <f t="shared" si="1"/>
        <v>C</v>
      </c>
    </row>
    <row r="101" spans="1:11" x14ac:dyDescent="0.3">
      <c r="A101" s="15" t="s">
        <v>235</v>
      </c>
      <c r="B101" s="15" t="s">
        <v>11</v>
      </c>
      <c r="C101" s="15" t="s">
        <v>36</v>
      </c>
      <c r="D101" s="15" t="s">
        <v>31</v>
      </c>
      <c r="E101" s="15">
        <v>14</v>
      </c>
      <c r="F101" s="15">
        <v>12</v>
      </c>
      <c r="G101" s="15" t="s">
        <v>43</v>
      </c>
      <c r="H101" s="15" t="s">
        <v>40</v>
      </c>
      <c r="I101" s="15" t="s">
        <v>236</v>
      </c>
      <c r="J101" s="15">
        <v>65</v>
      </c>
      <c r="K101" s="59" t="str">
        <f t="shared" si="1"/>
        <v>C</v>
      </c>
    </row>
    <row r="102" spans="1:11" x14ac:dyDescent="0.3">
      <c r="A102" s="15" t="s">
        <v>237</v>
      </c>
      <c r="B102" s="15" t="s">
        <v>23</v>
      </c>
      <c r="C102" s="15" t="s">
        <v>24</v>
      </c>
      <c r="D102" s="15" t="s">
        <v>31</v>
      </c>
      <c r="E102" s="15">
        <v>16</v>
      </c>
      <c r="F102" s="15">
        <v>10</v>
      </c>
      <c r="G102" s="15" t="s">
        <v>43</v>
      </c>
      <c r="H102" s="15" t="s">
        <v>20</v>
      </c>
      <c r="I102" s="15" t="s">
        <v>238</v>
      </c>
      <c r="J102" s="15">
        <v>71</v>
      </c>
      <c r="K102" s="59" t="str">
        <f t="shared" si="1"/>
        <v>B</v>
      </c>
    </row>
    <row r="103" spans="1:11" x14ac:dyDescent="0.3">
      <c r="A103" s="15" t="s">
        <v>239</v>
      </c>
      <c r="B103" s="15" t="s">
        <v>68</v>
      </c>
      <c r="C103" s="15" t="s">
        <v>58</v>
      </c>
      <c r="D103" s="15" t="s">
        <v>13</v>
      </c>
      <c r="E103" s="15">
        <v>18</v>
      </c>
      <c r="F103" s="15">
        <v>11</v>
      </c>
      <c r="G103" s="15" t="s">
        <v>25</v>
      </c>
      <c r="H103" s="15" t="s">
        <v>15</v>
      </c>
      <c r="I103" s="15" t="s">
        <v>240</v>
      </c>
      <c r="J103" s="15">
        <v>48</v>
      </c>
      <c r="K103" s="59" t="str">
        <f t="shared" si="1"/>
        <v>D</v>
      </c>
    </row>
    <row r="104" spans="1:11" x14ac:dyDescent="0.3">
      <c r="A104" s="15" t="s">
        <v>241</v>
      </c>
      <c r="B104" s="15" t="s">
        <v>54</v>
      </c>
      <c r="C104" s="15" t="s">
        <v>85</v>
      </c>
      <c r="D104" s="15" t="s">
        <v>31</v>
      </c>
      <c r="E104" s="15">
        <v>15</v>
      </c>
      <c r="F104" s="15">
        <v>12</v>
      </c>
      <c r="G104" s="15" t="s">
        <v>14</v>
      </c>
      <c r="H104" s="15" t="s">
        <v>40</v>
      </c>
      <c r="I104" s="15" t="s">
        <v>242</v>
      </c>
      <c r="J104" s="15">
        <v>100</v>
      </c>
      <c r="K104" s="59" t="str">
        <f t="shared" si="1"/>
        <v>A+</v>
      </c>
    </row>
    <row r="105" spans="1:11" x14ac:dyDescent="0.3">
      <c r="A105" s="15" t="s">
        <v>243</v>
      </c>
      <c r="B105" s="15" t="s">
        <v>23</v>
      </c>
      <c r="C105" s="15" t="s">
        <v>96</v>
      </c>
      <c r="D105" s="15" t="s">
        <v>31</v>
      </c>
      <c r="E105" s="15">
        <v>15</v>
      </c>
      <c r="F105" s="15">
        <v>11</v>
      </c>
      <c r="G105" s="15" t="s">
        <v>25</v>
      </c>
      <c r="H105" s="15" t="s">
        <v>61</v>
      </c>
      <c r="I105" s="15" t="s">
        <v>244</v>
      </c>
      <c r="J105" s="15">
        <v>72</v>
      </c>
      <c r="K105" s="59" t="str">
        <f t="shared" si="1"/>
        <v>B</v>
      </c>
    </row>
    <row r="106" spans="1:11" x14ac:dyDescent="0.3">
      <c r="A106" s="15" t="s">
        <v>245</v>
      </c>
      <c r="B106" s="15" t="s">
        <v>54</v>
      </c>
      <c r="C106" s="15" t="s">
        <v>19</v>
      </c>
      <c r="D106" s="15" t="s">
        <v>31</v>
      </c>
      <c r="E106" s="15">
        <v>18</v>
      </c>
      <c r="F106" s="15">
        <v>12</v>
      </c>
      <c r="G106" s="15" t="s">
        <v>32</v>
      </c>
      <c r="H106" s="15" t="s">
        <v>26</v>
      </c>
      <c r="I106" s="15" t="s">
        <v>246</v>
      </c>
      <c r="J106" s="15">
        <v>74</v>
      </c>
      <c r="K106" s="59" t="str">
        <f t="shared" si="1"/>
        <v>B</v>
      </c>
    </row>
    <row r="107" spans="1:11" x14ac:dyDescent="0.3">
      <c r="A107" s="15" t="s">
        <v>247</v>
      </c>
      <c r="B107" s="15" t="s">
        <v>29</v>
      </c>
      <c r="C107" s="15" t="s">
        <v>58</v>
      </c>
      <c r="D107" s="15" t="s">
        <v>31</v>
      </c>
      <c r="E107" s="15">
        <v>14</v>
      </c>
      <c r="F107" s="15">
        <v>12</v>
      </c>
      <c r="G107" s="15" t="s">
        <v>14</v>
      </c>
      <c r="H107" s="15" t="s">
        <v>40</v>
      </c>
      <c r="I107" s="15" t="s">
        <v>248</v>
      </c>
      <c r="J107" s="15">
        <v>66</v>
      </c>
      <c r="K107" s="59" t="str">
        <f t="shared" si="1"/>
        <v>C</v>
      </c>
    </row>
    <row r="108" spans="1:11" x14ac:dyDescent="0.3">
      <c r="A108" s="15" t="s">
        <v>249</v>
      </c>
      <c r="B108" s="15" t="s">
        <v>68</v>
      </c>
      <c r="C108" s="15" t="s">
        <v>30</v>
      </c>
      <c r="D108" s="15" t="s">
        <v>31</v>
      </c>
      <c r="E108" s="15">
        <v>16</v>
      </c>
      <c r="F108" s="15">
        <v>11</v>
      </c>
      <c r="G108" s="15" t="s">
        <v>32</v>
      </c>
      <c r="H108" s="15" t="s">
        <v>20</v>
      </c>
      <c r="I108" s="15" t="s">
        <v>250</v>
      </c>
      <c r="J108" s="15">
        <v>90</v>
      </c>
      <c r="K108" s="59" t="str">
        <f t="shared" si="1"/>
        <v>A+</v>
      </c>
    </row>
    <row r="109" spans="1:11" x14ac:dyDescent="0.3">
      <c r="A109" s="15" t="s">
        <v>251</v>
      </c>
      <c r="B109" s="15" t="s">
        <v>23</v>
      </c>
      <c r="C109" s="15" t="s">
        <v>24</v>
      </c>
      <c r="D109" s="15" t="s">
        <v>13</v>
      </c>
      <c r="E109" s="15">
        <v>16</v>
      </c>
      <c r="F109" s="15">
        <v>12</v>
      </c>
      <c r="G109" s="15" t="s">
        <v>43</v>
      </c>
      <c r="H109" s="15" t="s">
        <v>40</v>
      </c>
      <c r="I109" s="15" t="s">
        <v>252</v>
      </c>
      <c r="J109" s="15">
        <v>50</v>
      </c>
      <c r="K109" s="59" t="str">
        <f t="shared" si="1"/>
        <v>D</v>
      </c>
    </row>
    <row r="110" spans="1:11" x14ac:dyDescent="0.3">
      <c r="A110" s="15" t="s">
        <v>253</v>
      </c>
      <c r="B110" s="15" t="s">
        <v>18</v>
      </c>
      <c r="C110" s="15" t="s">
        <v>24</v>
      </c>
      <c r="D110" s="15" t="s">
        <v>13</v>
      </c>
      <c r="E110" s="15">
        <v>15</v>
      </c>
      <c r="F110" s="15">
        <v>9</v>
      </c>
      <c r="G110" s="15" t="s">
        <v>25</v>
      </c>
      <c r="H110" s="15" t="s">
        <v>20</v>
      </c>
      <c r="I110" s="15" t="s">
        <v>254</v>
      </c>
      <c r="J110" s="15">
        <v>36</v>
      </c>
      <c r="K110" s="59" t="str">
        <f t="shared" si="1"/>
        <v>Fail</v>
      </c>
    </row>
    <row r="111" spans="1:11" x14ac:dyDescent="0.3">
      <c r="A111" s="15" t="s">
        <v>255</v>
      </c>
      <c r="B111" s="15" t="s">
        <v>51</v>
      </c>
      <c r="C111" s="15" t="s">
        <v>79</v>
      </c>
      <c r="D111" s="15" t="s">
        <v>31</v>
      </c>
      <c r="E111" s="15">
        <v>20</v>
      </c>
      <c r="F111" s="15">
        <v>12</v>
      </c>
      <c r="G111" s="15" t="s">
        <v>43</v>
      </c>
      <c r="H111" s="15" t="s">
        <v>40</v>
      </c>
      <c r="I111" s="15" t="s">
        <v>256</v>
      </c>
      <c r="J111" s="15">
        <v>48</v>
      </c>
      <c r="K111" s="59" t="str">
        <f t="shared" si="1"/>
        <v>D</v>
      </c>
    </row>
    <row r="112" spans="1:11" x14ac:dyDescent="0.3">
      <c r="A112" s="15" t="s">
        <v>257</v>
      </c>
      <c r="B112" s="15" t="s">
        <v>68</v>
      </c>
      <c r="C112" s="15" t="s">
        <v>79</v>
      </c>
      <c r="D112" s="15" t="s">
        <v>31</v>
      </c>
      <c r="E112" s="15">
        <v>20</v>
      </c>
      <c r="F112" s="15">
        <v>11</v>
      </c>
      <c r="G112" s="15" t="s">
        <v>43</v>
      </c>
      <c r="H112" s="15" t="s">
        <v>46</v>
      </c>
      <c r="I112" s="15" t="s">
        <v>258</v>
      </c>
      <c r="J112" s="15">
        <v>52</v>
      </c>
      <c r="K112" s="59" t="str">
        <f t="shared" si="1"/>
        <v>D</v>
      </c>
    </row>
    <row r="113" spans="1:11" x14ac:dyDescent="0.3">
      <c r="A113" s="15" t="s">
        <v>259</v>
      </c>
      <c r="B113" s="15" t="s">
        <v>54</v>
      </c>
      <c r="C113" s="15" t="s">
        <v>85</v>
      </c>
      <c r="D113" s="15" t="s">
        <v>13</v>
      </c>
      <c r="E113" s="15">
        <v>14</v>
      </c>
      <c r="F113" s="15">
        <v>11</v>
      </c>
      <c r="G113" s="15" t="s">
        <v>43</v>
      </c>
      <c r="H113" s="15" t="s">
        <v>46</v>
      </c>
      <c r="I113" s="15" t="s">
        <v>260</v>
      </c>
      <c r="J113" s="15">
        <v>62</v>
      </c>
      <c r="K113" s="59" t="str">
        <f t="shared" si="1"/>
        <v>C</v>
      </c>
    </row>
    <row r="114" spans="1:11" x14ac:dyDescent="0.3">
      <c r="A114" s="15" t="s">
        <v>261</v>
      </c>
      <c r="B114" s="15" t="s">
        <v>23</v>
      </c>
      <c r="C114" s="15" t="s">
        <v>36</v>
      </c>
      <c r="D114" s="15" t="s">
        <v>13</v>
      </c>
      <c r="E114" s="15">
        <v>15</v>
      </c>
      <c r="F114" s="15">
        <v>11</v>
      </c>
      <c r="G114" s="15" t="s">
        <v>25</v>
      </c>
      <c r="H114" s="15" t="s">
        <v>26</v>
      </c>
      <c r="I114" s="15" t="s">
        <v>262</v>
      </c>
      <c r="J114" s="15">
        <v>63</v>
      </c>
      <c r="K114" s="59" t="str">
        <f t="shared" si="1"/>
        <v>C</v>
      </c>
    </row>
    <row r="115" spans="1:11" x14ac:dyDescent="0.3">
      <c r="A115" s="15" t="s">
        <v>263</v>
      </c>
      <c r="B115" s="15" t="s">
        <v>29</v>
      </c>
      <c r="C115" s="15" t="s">
        <v>19</v>
      </c>
      <c r="D115" s="15" t="s">
        <v>13</v>
      </c>
      <c r="E115" s="15">
        <v>15</v>
      </c>
      <c r="F115" s="15">
        <v>11</v>
      </c>
      <c r="G115" s="15" t="s">
        <v>25</v>
      </c>
      <c r="H115" s="15" t="s">
        <v>46</v>
      </c>
      <c r="I115" s="15" t="s">
        <v>264</v>
      </c>
      <c r="J115" s="15">
        <v>58</v>
      </c>
      <c r="K115" s="59" t="str">
        <f t="shared" si="1"/>
        <v>D</v>
      </c>
    </row>
    <row r="116" spans="1:11" x14ac:dyDescent="0.3">
      <c r="A116" s="15" t="s">
        <v>265</v>
      </c>
      <c r="B116" s="15" t="s">
        <v>11</v>
      </c>
      <c r="C116" s="15" t="s">
        <v>85</v>
      </c>
      <c r="D116" s="15" t="s">
        <v>31</v>
      </c>
      <c r="E116" s="15">
        <v>14</v>
      </c>
      <c r="F116" s="15">
        <v>9</v>
      </c>
      <c r="G116" s="15" t="s">
        <v>43</v>
      </c>
      <c r="H116" s="15" t="s">
        <v>61</v>
      </c>
      <c r="I116" s="15" t="s">
        <v>56</v>
      </c>
      <c r="J116" s="15">
        <v>41</v>
      </c>
      <c r="K116" s="59" t="str">
        <f t="shared" si="1"/>
        <v>D</v>
      </c>
    </row>
    <row r="117" spans="1:11" x14ac:dyDescent="0.3">
      <c r="A117" s="15" t="s">
        <v>266</v>
      </c>
      <c r="B117" s="15" t="s">
        <v>54</v>
      </c>
      <c r="C117" s="15" t="s">
        <v>58</v>
      </c>
      <c r="D117" s="15" t="s">
        <v>13</v>
      </c>
      <c r="E117" s="15">
        <v>19</v>
      </c>
      <c r="F117" s="15">
        <v>11</v>
      </c>
      <c r="G117" s="15" t="s">
        <v>14</v>
      </c>
      <c r="H117" s="15" t="s">
        <v>40</v>
      </c>
      <c r="I117" s="15" t="s">
        <v>267</v>
      </c>
      <c r="J117" s="15">
        <v>41</v>
      </c>
      <c r="K117" s="59" t="str">
        <f t="shared" si="1"/>
        <v>D</v>
      </c>
    </row>
    <row r="118" spans="1:11" x14ac:dyDescent="0.3">
      <c r="A118" s="15" t="s">
        <v>268</v>
      </c>
      <c r="B118" s="15" t="s">
        <v>68</v>
      </c>
      <c r="C118" s="15" t="s">
        <v>24</v>
      </c>
      <c r="D118" s="15" t="s">
        <v>31</v>
      </c>
      <c r="E118" s="15">
        <v>16</v>
      </c>
      <c r="F118" s="15">
        <v>12</v>
      </c>
      <c r="G118" s="15" t="s">
        <v>43</v>
      </c>
      <c r="H118" s="15" t="s">
        <v>26</v>
      </c>
      <c r="I118" s="15" t="s">
        <v>269</v>
      </c>
      <c r="J118" s="15">
        <v>47</v>
      </c>
      <c r="K118" s="59" t="str">
        <f t="shared" si="1"/>
        <v>D</v>
      </c>
    </row>
    <row r="119" spans="1:11" x14ac:dyDescent="0.3">
      <c r="A119" s="15" t="s">
        <v>270</v>
      </c>
      <c r="B119" s="15" t="s">
        <v>73</v>
      </c>
      <c r="C119" s="15" t="s">
        <v>30</v>
      </c>
      <c r="D119" s="15" t="s">
        <v>31</v>
      </c>
      <c r="E119" s="15">
        <v>15</v>
      </c>
      <c r="F119" s="15">
        <v>9</v>
      </c>
      <c r="G119" s="15" t="s">
        <v>43</v>
      </c>
      <c r="H119" s="15" t="s">
        <v>26</v>
      </c>
      <c r="I119" s="15" t="s">
        <v>271</v>
      </c>
      <c r="J119" s="15">
        <v>76</v>
      </c>
      <c r="K119" s="59" t="str">
        <f t="shared" si="1"/>
        <v>B</v>
      </c>
    </row>
    <row r="120" spans="1:11" x14ac:dyDescent="0.3">
      <c r="A120" s="15" t="s">
        <v>272</v>
      </c>
      <c r="B120" s="15" t="s">
        <v>54</v>
      </c>
      <c r="C120" s="15" t="s">
        <v>24</v>
      </c>
      <c r="D120" s="15" t="s">
        <v>13</v>
      </c>
      <c r="E120" s="15">
        <v>15</v>
      </c>
      <c r="F120" s="15">
        <v>9</v>
      </c>
      <c r="G120" s="15" t="s">
        <v>43</v>
      </c>
      <c r="H120" s="15" t="s">
        <v>20</v>
      </c>
      <c r="I120" s="15" t="s">
        <v>273</v>
      </c>
      <c r="J120" s="15">
        <v>50</v>
      </c>
      <c r="K120" s="59" t="str">
        <f t="shared" si="1"/>
        <v>D</v>
      </c>
    </row>
    <row r="121" spans="1:11" x14ac:dyDescent="0.3">
      <c r="A121" s="15" t="s">
        <v>274</v>
      </c>
      <c r="B121" s="15" t="s">
        <v>35</v>
      </c>
      <c r="C121" s="15" t="s">
        <v>36</v>
      </c>
      <c r="D121" s="15" t="s">
        <v>13</v>
      </c>
      <c r="E121" s="15">
        <v>19</v>
      </c>
      <c r="F121" s="15">
        <v>9</v>
      </c>
      <c r="G121" s="15" t="s">
        <v>32</v>
      </c>
      <c r="H121" s="15" t="s">
        <v>61</v>
      </c>
      <c r="I121" s="15" t="s">
        <v>275</v>
      </c>
      <c r="J121" s="15">
        <v>63</v>
      </c>
      <c r="K121" s="59" t="str">
        <f t="shared" si="1"/>
        <v>C</v>
      </c>
    </row>
    <row r="122" spans="1:11" x14ac:dyDescent="0.3">
      <c r="A122" s="15" t="s">
        <v>276</v>
      </c>
      <c r="B122" s="15" t="s">
        <v>84</v>
      </c>
      <c r="C122" s="15" t="s">
        <v>30</v>
      </c>
      <c r="D122" s="15" t="s">
        <v>31</v>
      </c>
      <c r="E122" s="15">
        <v>14</v>
      </c>
      <c r="F122" s="15">
        <v>12</v>
      </c>
      <c r="G122" s="15" t="s">
        <v>14</v>
      </c>
      <c r="H122" s="15" t="s">
        <v>26</v>
      </c>
      <c r="I122" s="15" t="s">
        <v>277</v>
      </c>
      <c r="J122" s="15">
        <v>62</v>
      </c>
      <c r="K122" s="59" t="str">
        <f t="shared" si="1"/>
        <v>C</v>
      </c>
    </row>
    <row r="123" spans="1:11" x14ac:dyDescent="0.3">
      <c r="A123" s="15" t="s">
        <v>278</v>
      </c>
      <c r="B123" s="15" t="s">
        <v>73</v>
      </c>
      <c r="C123" s="15" t="s">
        <v>36</v>
      </c>
      <c r="D123" s="15" t="s">
        <v>13</v>
      </c>
      <c r="E123" s="15">
        <v>14</v>
      </c>
      <c r="F123" s="15">
        <v>11</v>
      </c>
      <c r="G123" s="15" t="s">
        <v>32</v>
      </c>
      <c r="H123" s="15" t="s">
        <v>37</v>
      </c>
      <c r="I123" s="15" t="s">
        <v>279</v>
      </c>
      <c r="J123" s="15">
        <v>51</v>
      </c>
      <c r="K123" s="59" t="str">
        <f t="shared" si="1"/>
        <v>D</v>
      </c>
    </row>
    <row r="124" spans="1:11" x14ac:dyDescent="0.3">
      <c r="A124" s="15" t="s">
        <v>280</v>
      </c>
      <c r="B124" s="15" t="s">
        <v>84</v>
      </c>
      <c r="C124" s="15" t="s">
        <v>58</v>
      </c>
      <c r="D124" s="15" t="s">
        <v>13</v>
      </c>
      <c r="E124" s="15">
        <v>18</v>
      </c>
      <c r="F124" s="15">
        <v>12</v>
      </c>
      <c r="G124" s="15" t="s">
        <v>32</v>
      </c>
      <c r="H124" s="15" t="s">
        <v>76</v>
      </c>
      <c r="I124" s="15" t="s">
        <v>159</v>
      </c>
      <c r="J124" s="15">
        <v>98</v>
      </c>
      <c r="K124" s="59" t="str">
        <f t="shared" si="1"/>
        <v>A+</v>
      </c>
    </row>
    <row r="125" spans="1:11" x14ac:dyDescent="0.3">
      <c r="A125" s="15" t="s">
        <v>281</v>
      </c>
      <c r="B125" s="15" t="s">
        <v>51</v>
      </c>
      <c r="C125" s="15" t="s">
        <v>36</v>
      </c>
      <c r="D125" s="15" t="s">
        <v>31</v>
      </c>
      <c r="E125" s="15">
        <v>15</v>
      </c>
      <c r="F125" s="15">
        <v>11</v>
      </c>
      <c r="G125" s="15" t="s">
        <v>43</v>
      </c>
      <c r="H125" s="15" t="s">
        <v>37</v>
      </c>
      <c r="I125" s="15" t="s">
        <v>282</v>
      </c>
      <c r="J125" s="15">
        <v>66</v>
      </c>
      <c r="K125" s="59" t="str">
        <f t="shared" si="1"/>
        <v>C</v>
      </c>
    </row>
    <row r="126" spans="1:11" x14ac:dyDescent="0.3">
      <c r="A126" s="15" t="s">
        <v>283</v>
      </c>
      <c r="B126" s="15" t="s">
        <v>68</v>
      </c>
      <c r="C126" s="15" t="s">
        <v>79</v>
      </c>
      <c r="D126" s="15" t="s">
        <v>31</v>
      </c>
      <c r="E126" s="15">
        <v>16</v>
      </c>
      <c r="F126" s="15">
        <v>11</v>
      </c>
      <c r="G126" s="15" t="s">
        <v>32</v>
      </c>
      <c r="H126" s="15" t="s">
        <v>40</v>
      </c>
      <c r="I126" s="15" t="s">
        <v>284</v>
      </c>
      <c r="J126" s="15">
        <v>95</v>
      </c>
      <c r="K126" s="59" t="str">
        <f t="shared" si="1"/>
        <v>A+</v>
      </c>
    </row>
    <row r="127" spans="1:11" x14ac:dyDescent="0.3">
      <c r="A127" s="15" t="s">
        <v>285</v>
      </c>
      <c r="B127" s="15" t="s">
        <v>18</v>
      </c>
      <c r="C127" s="15" t="s">
        <v>36</v>
      </c>
      <c r="D127" s="15" t="s">
        <v>31</v>
      </c>
      <c r="E127" s="15">
        <v>14</v>
      </c>
      <c r="F127" s="15">
        <v>11</v>
      </c>
      <c r="G127" s="15" t="s">
        <v>25</v>
      </c>
      <c r="H127" s="15" t="s">
        <v>46</v>
      </c>
      <c r="I127" s="15" t="s">
        <v>286</v>
      </c>
      <c r="J127" s="15">
        <v>64</v>
      </c>
      <c r="K127" s="59" t="str">
        <f t="shared" si="1"/>
        <v>C</v>
      </c>
    </row>
    <row r="128" spans="1:11" x14ac:dyDescent="0.3">
      <c r="A128" s="15" t="s">
        <v>287</v>
      </c>
      <c r="B128" s="15" t="s">
        <v>54</v>
      </c>
      <c r="C128" s="15" t="s">
        <v>24</v>
      </c>
      <c r="D128" s="15" t="s">
        <v>31</v>
      </c>
      <c r="E128" s="15">
        <v>14</v>
      </c>
      <c r="F128" s="15">
        <v>12</v>
      </c>
      <c r="G128" s="15" t="s">
        <v>32</v>
      </c>
      <c r="H128" s="15" t="s">
        <v>76</v>
      </c>
      <c r="I128" s="15" t="s">
        <v>288</v>
      </c>
      <c r="J128" s="15">
        <v>48</v>
      </c>
      <c r="K128" s="59" t="str">
        <f t="shared" si="1"/>
        <v>D</v>
      </c>
    </row>
    <row r="129" spans="1:11" x14ac:dyDescent="0.3">
      <c r="A129" s="15" t="s">
        <v>289</v>
      </c>
      <c r="B129" s="15" t="s">
        <v>23</v>
      </c>
      <c r="C129" s="15" t="s">
        <v>79</v>
      </c>
      <c r="D129" s="15" t="s">
        <v>31</v>
      </c>
      <c r="E129" s="15">
        <v>17</v>
      </c>
      <c r="F129" s="15">
        <v>9</v>
      </c>
      <c r="G129" s="15" t="s">
        <v>25</v>
      </c>
      <c r="H129" s="15" t="s">
        <v>37</v>
      </c>
      <c r="I129" s="15" t="s">
        <v>290</v>
      </c>
      <c r="J129" s="15">
        <v>62</v>
      </c>
      <c r="K129" s="59" t="str">
        <f t="shared" si="1"/>
        <v>C</v>
      </c>
    </row>
    <row r="130" spans="1:11" x14ac:dyDescent="0.3">
      <c r="A130" s="15" t="s">
        <v>291</v>
      </c>
      <c r="B130" s="15" t="s">
        <v>11</v>
      </c>
      <c r="C130" s="15" t="s">
        <v>30</v>
      </c>
      <c r="D130" s="15" t="s">
        <v>31</v>
      </c>
      <c r="E130" s="15">
        <v>16</v>
      </c>
      <c r="F130" s="15">
        <v>9</v>
      </c>
      <c r="G130" s="15" t="s">
        <v>25</v>
      </c>
      <c r="H130" s="15" t="s">
        <v>61</v>
      </c>
      <c r="I130" s="15" t="s">
        <v>292</v>
      </c>
      <c r="J130" s="15">
        <v>97</v>
      </c>
      <c r="K130" s="59" t="str">
        <f t="shared" si="1"/>
        <v>A+</v>
      </c>
    </row>
    <row r="131" spans="1:11" x14ac:dyDescent="0.3">
      <c r="A131" s="15" t="s">
        <v>293</v>
      </c>
      <c r="B131" s="15" t="s">
        <v>73</v>
      </c>
      <c r="C131" s="15" t="s">
        <v>96</v>
      </c>
      <c r="D131" s="15" t="s">
        <v>31</v>
      </c>
      <c r="E131" s="15">
        <v>20</v>
      </c>
      <c r="F131" s="15">
        <v>9</v>
      </c>
      <c r="G131" s="15" t="s">
        <v>43</v>
      </c>
      <c r="H131" s="15" t="s">
        <v>26</v>
      </c>
      <c r="I131" s="15" t="s">
        <v>74</v>
      </c>
      <c r="J131" s="15">
        <v>100</v>
      </c>
      <c r="K131" s="59" t="str">
        <f t="shared" si="1"/>
        <v>A+</v>
      </c>
    </row>
    <row r="132" spans="1:11" x14ac:dyDescent="0.3">
      <c r="A132" s="15" t="s">
        <v>294</v>
      </c>
      <c r="B132" s="15" t="s">
        <v>35</v>
      </c>
      <c r="C132" s="15" t="s">
        <v>55</v>
      </c>
      <c r="D132" s="15" t="s">
        <v>13</v>
      </c>
      <c r="E132" s="15">
        <v>20</v>
      </c>
      <c r="F132" s="15">
        <v>9</v>
      </c>
      <c r="G132" s="15" t="s">
        <v>25</v>
      </c>
      <c r="H132" s="15" t="s">
        <v>46</v>
      </c>
      <c r="I132" s="15" t="s">
        <v>295</v>
      </c>
      <c r="J132" s="15">
        <v>99</v>
      </c>
      <c r="K132" s="59" t="str">
        <f t="shared" si="1"/>
        <v>A+</v>
      </c>
    </row>
    <row r="133" spans="1:11" x14ac:dyDescent="0.3">
      <c r="A133" s="15" t="s">
        <v>296</v>
      </c>
      <c r="B133" s="15" t="s">
        <v>84</v>
      </c>
      <c r="C133" s="15" t="s">
        <v>19</v>
      </c>
      <c r="D133" s="15" t="s">
        <v>31</v>
      </c>
      <c r="E133" s="15">
        <v>20</v>
      </c>
      <c r="F133" s="15">
        <v>10</v>
      </c>
      <c r="G133" s="15" t="s">
        <v>43</v>
      </c>
      <c r="H133" s="15" t="s">
        <v>20</v>
      </c>
      <c r="I133" s="15" t="s">
        <v>297</v>
      </c>
      <c r="J133" s="15">
        <v>100</v>
      </c>
      <c r="K133" s="59" t="str">
        <f t="shared" ref="K133:K196" si="2">_xlfn.IFS($J133&gt;=90,"A+",$J133&gt;=80,"A",$J133&gt;=70,"B",$J133&gt;=60,"C",$J133&gt;=40,"D",$J133&lt;40,"Fail")</f>
        <v>A+</v>
      </c>
    </row>
    <row r="134" spans="1:11" x14ac:dyDescent="0.3">
      <c r="A134" s="15" t="s">
        <v>298</v>
      </c>
      <c r="B134" s="15" t="s">
        <v>29</v>
      </c>
      <c r="C134" s="15" t="s">
        <v>96</v>
      </c>
      <c r="D134" s="15" t="s">
        <v>31</v>
      </c>
      <c r="E134" s="15">
        <v>20</v>
      </c>
      <c r="F134" s="15">
        <v>10</v>
      </c>
      <c r="G134" s="15" t="s">
        <v>32</v>
      </c>
      <c r="H134" s="15" t="s">
        <v>26</v>
      </c>
      <c r="I134" s="15" t="s">
        <v>299</v>
      </c>
      <c r="J134" s="15">
        <v>56</v>
      </c>
      <c r="K134" s="59" t="str">
        <f t="shared" si="2"/>
        <v>D</v>
      </c>
    </row>
    <row r="135" spans="1:11" x14ac:dyDescent="0.3">
      <c r="A135" s="15" t="s">
        <v>300</v>
      </c>
      <c r="B135" s="15" t="s">
        <v>11</v>
      </c>
      <c r="C135" s="15" t="s">
        <v>79</v>
      </c>
      <c r="D135" s="15" t="s">
        <v>31</v>
      </c>
      <c r="E135" s="15">
        <v>18</v>
      </c>
      <c r="F135" s="15">
        <v>9</v>
      </c>
      <c r="G135" s="15" t="s">
        <v>14</v>
      </c>
      <c r="H135" s="15" t="s">
        <v>20</v>
      </c>
      <c r="I135" s="15" t="s">
        <v>301</v>
      </c>
      <c r="J135" s="15">
        <v>66</v>
      </c>
      <c r="K135" s="59" t="str">
        <f t="shared" si="2"/>
        <v>C</v>
      </c>
    </row>
    <row r="136" spans="1:11" x14ac:dyDescent="0.3">
      <c r="A136" s="15" t="s">
        <v>302</v>
      </c>
      <c r="B136" s="15" t="s">
        <v>29</v>
      </c>
      <c r="C136" s="15" t="s">
        <v>79</v>
      </c>
      <c r="D136" s="15" t="s">
        <v>13</v>
      </c>
      <c r="E136" s="15">
        <v>14</v>
      </c>
      <c r="F136" s="15">
        <v>12</v>
      </c>
      <c r="G136" s="15" t="s">
        <v>14</v>
      </c>
      <c r="H136" s="15" t="s">
        <v>20</v>
      </c>
      <c r="I136" s="15" t="s">
        <v>303</v>
      </c>
      <c r="J136" s="15">
        <v>66</v>
      </c>
      <c r="K136" s="59" t="str">
        <f t="shared" si="2"/>
        <v>C</v>
      </c>
    </row>
    <row r="137" spans="1:11" x14ac:dyDescent="0.3">
      <c r="A137" s="15" t="s">
        <v>304</v>
      </c>
      <c r="B137" s="15" t="s">
        <v>51</v>
      </c>
      <c r="C137" s="15" t="s">
        <v>36</v>
      </c>
      <c r="D137" s="15" t="s">
        <v>31</v>
      </c>
      <c r="E137" s="15">
        <v>15</v>
      </c>
      <c r="F137" s="15">
        <v>12</v>
      </c>
      <c r="G137" s="15" t="s">
        <v>32</v>
      </c>
      <c r="H137" s="15" t="s">
        <v>46</v>
      </c>
      <c r="I137" s="15" t="s">
        <v>305</v>
      </c>
      <c r="J137" s="15">
        <v>77</v>
      </c>
      <c r="K137" s="59" t="str">
        <f t="shared" si="2"/>
        <v>B</v>
      </c>
    </row>
    <row r="138" spans="1:11" x14ac:dyDescent="0.3">
      <c r="A138" s="15" t="s">
        <v>306</v>
      </c>
      <c r="B138" s="15" t="s">
        <v>23</v>
      </c>
      <c r="C138" s="15" t="s">
        <v>19</v>
      </c>
      <c r="D138" s="15" t="s">
        <v>31</v>
      </c>
      <c r="E138" s="15">
        <v>16</v>
      </c>
      <c r="F138" s="15">
        <v>10</v>
      </c>
      <c r="G138" s="15" t="s">
        <v>43</v>
      </c>
      <c r="H138" s="15" t="s">
        <v>61</v>
      </c>
      <c r="I138" s="15" t="s">
        <v>307</v>
      </c>
      <c r="J138" s="15">
        <v>47</v>
      </c>
      <c r="K138" s="59" t="str">
        <f t="shared" si="2"/>
        <v>D</v>
      </c>
    </row>
    <row r="139" spans="1:11" x14ac:dyDescent="0.3">
      <c r="A139" s="15" t="s">
        <v>308</v>
      </c>
      <c r="B139" s="15" t="s">
        <v>23</v>
      </c>
      <c r="C139" s="15" t="s">
        <v>36</v>
      </c>
      <c r="D139" s="15" t="s">
        <v>13</v>
      </c>
      <c r="E139" s="15">
        <v>18</v>
      </c>
      <c r="F139" s="15">
        <v>10</v>
      </c>
      <c r="G139" s="15" t="s">
        <v>43</v>
      </c>
      <c r="H139" s="15" t="s">
        <v>40</v>
      </c>
      <c r="I139" s="15" t="s">
        <v>309</v>
      </c>
      <c r="J139" s="15">
        <v>57</v>
      </c>
      <c r="K139" s="59" t="str">
        <f t="shared" si="2"/>
        <v>D</v>
      </c>
    </row>
    <row r="140" spans="1:11" x14ac:dyDescent="0.3">
      <c r="A140" s="15" t="s">
        <v>310</v>
      </c>
      <c r="B140" s="15" t="s">
        <v>29</v>
      </c>
      <c r="C140" s="15" t="s">
        <v>96</v>
      </c>
      <c r="D140" s="15" t="s">
        <v>31</v>
      </c>
      <c r="E140" s="15">
        <v>16</v>
      </c>
      <c r="F140" s="15">
        <v>9</v>
      </c>
      <c r="G140" s="15" t="s">
        <v>32</v>
      </c>
      <c r="H140" s="15" t="s">
        <v>46</v>
      </c>
      <c r="I140" s="15" t="s">
        <v>311</v>
      </c>
      <c r="J140" s="15">
        <v>67</v>
      </c>
      <c r="K140" s="59" t="str">
        <f t="shared" si="2"/>
        <v>C</v>
      </c>
    </row>
    <row r="141" spans="1:11" x14ac:dyDescent="0.3">
      <c r="A141" s="15" t="s">
        <v>312</v>
      </c>
      <c r="B141" s="15" t="s">
        <v>29</v>
      </c>
      <c r="C141" s="15" t="s">
        <v>12</v>
      </c>
      <c r="D141" s="15" t="s">
        <v>31</v>
      </c>
      <c r="E141" s="15">
        <v>14</v>
      </c>
      <c r="F141" s="15">
        <v>12</v>
      </c>
      <c r="G141" s="15" t="s">
        <v>43</v>
      </c>
      <c r="H141" s="15" t="s">
        <v>61</v>
      </c>
      <c r="I141" s="15" t="s">
        <v>313</v>
      </c>
      <c r="J141" s="15">
        <v>44</v>
      </c>
      <c r="K141" s="59" t="str">
        <f t="shared" si="2"/>
        <v>D</v>
      </c>
    </row>
    <row r="142" spans="1:11" x14ac:dyDescent="0.3">
      <c r="A142" s="15" t="s">
        <v>314</v>
      </c>
      <c r="B142" s="15" t="s">
        <v>68</v>
      </c>
      <c r="C142" s="15" t="s">
        <v>79</v>
      </c>
      <c r="D142" s="15" t="s">
        <v>13</v>
      </c>
      <c r="E142" s="15">
        <v>15</v>
      </c>
      <c r="F142" s="15">
        <v>11</v>
      </c>
      <c r="G142" s="15" t="s">
        <v>14</v>
      </c>
      <c r="H142" s="15" t="s">
        <v>46</v>
      </c>
      <c r="I142" s="15" t="s">
        <v>315</v>
      </c>
      <c r="J142" s="15">
        <v>35</v>
      </c>
      <c r="K142" s="59" t="str">
        <f t="shared" si="2"/>
        <v>Fail</v>
      </c>
    </row>
    <row r="143" spans="1:11" x14ac:dyDescent="0.3">
      <c r="A143" s="15" t="s">
        <v>316</v>
      </c>
      <c r="B143" s="15" t="s">
        <v>23</v>
      </c>
      <c r="C143" s="15" t="s">
        <v>36</v>
      </c>
      <c r="D143" s="15" t="s">
        <v>31</v>
      </c>
      <c r="E143" s="15">
        <v>20</v>
      </c>
      <c r="F143" s="15">
        <v>11</v>
      </c>
      <c r="G143" s="15" t="s">
        <v>14</v>
      </c>
      <c r="H143" s="15" t="s">
        <v>37</v>
      </c>
      <c r="I143" s="15" t="s">
        <v>317</v>
      </c>
      <c r="J143" s="15">
        <v>52</v>
      </c>
      <c r="K143" s="59" t="str">
        <f t="shared" si="2"/>
        <v>D</v>
      </c>
    </row>
    <row r="144" spans="1:11" x14ac:dyDescent="0.3">
      <c r="A144" s="15" t="s">
        <v>318</v>
      </c>
      <c r="B144" s="15" t="s">
        <v>54</v>
      </c>
      <c r="C144" s="15" t="s">
        <v>96</v>
      </c>
      <c r="D144" s="15" t="s">
        <v>13</v>
      </c>
      <c r="E144" s="15">
        <v>18</v>
      </c>
      <c r="F144" s="15">
        <v>9</v>
      </c>
      <c r="G144" s="15" t="s">
        <v>32</v>
      </c>
      <c r="H144" s="15" t="s">
        <v>76</v>
      </c>
      <c r="I144" s="15" t="s">
        <v>319</v>
      </c>
      <c r="J144" s="15">
        <v>86</v>
      </c>
      <c r="K144" s="59" t="str">
        <f t="shared" si="2"/>
        <v>A</v>
      </c>
    </row>
    <row r="145" spans="1:11" x14ac:dyDescent="0.3">
      <c r="A145" s="15" t="s">
        <v>320</v>
      </c>
      <c r="B145" s="15" t="s">
        <v>84</v>
      </c>
      <c r="C145" s="15" t="s">
        <v>55</v>
      </c>
      <c r="D145" s="15" t="s">
        <v>31</v>
      </c>
      <c r="E145" s="15">
        <v>16</v>
      </c>
      <c r="F145" s="15">
        <v>12</v>
      </c>
      <c r="G145" s="15" t="s">
        <v>32</v>
      </c>
      <c r="H145" s="15" t="s">
        <v>76</v>
      </c>
      <c r="I145" s="15" t="s">
        <v>321</v>
      </c>
      <c r="J145" s="15">
        <v>66</v>
      </c>
      <c r="K145" s="59" t="str">
        <f t="shared" si="2"/>
        <v>C</v>
      </c>
    </row>
    <row r="146" spans="1:11" x14ac:dyDescent="0.3">
      <c r="A146" s="15" t="s">
        <v>322</v>
      </c>
      <c r="B146" s="15" t="s">
        <v>35</v>
      </c>
      <c r="C146" s="15" t="s">
        <v>12</v>
      </c>
      <c r="D146" s="15" t="s">
        <v>13</v>
      </c>
      <c r="E146" s="15">
        <v>14</v>
      </c>
      <c r="F146" s="15">
        <v>11</v>
      </c>
      <c r="G146" s="15" t="s">
        <v>14</v>
      </c>
      <c r="H146" s="15" t="s">
        <v>26</v>
      </c>
      <c r="I146" s="15" t="s">
        <v>323</v>
      </c>
      <c r="J146" s="15">
        <v>93</v>
      </c>
      <c r="K146" s="59" t="str">
        <f t="shared" si="2"/>
        <v>A+</v>
      </c>
    </row>
    <row r="147" spans="1:11" x14ac:dyDescent="0.3">
      <c r="A147" s="15" t="s">
        <v>324</v>
      </c>
      <c r="B147" s="15" t="s">
        <v>23</v>
      </c>
      <c r="C147" s="15" t="s">
        <v>85</v>
      </c>
      <c r="D147" s="15" t="s">
        <v>31</v>
      </c>
      <c r="E147" s="15">
        <v>16</v>
      </c>
      <c r="F147" s="15">
        <v>9</v>
      </c>
      <c r="G147" s="15" t="s">
        <v>32</v>
      </c>
      <c r="H147" s="15" t="s">
        <v>61</v>
      </c>
      <c r="I147" s="15" t="s">
        <v>325</v>
      </c>
      <c r="J147" s="15">
        <v>54</v>
      </c>
      <c r="K147" s="59" t="str">
        <f t="shared" si="2"/>
        <v>D</v>
      </c>
    </row>
    <row r="148" spans="1:11" x14ac:dyDescent="0.3">
      <c r="A148" s="15" t="s">
        <v>326</v>
      </c>
      <c r="B148" s="15" t="s">
        <v>54</v>
      </c>
      <c r="C148" s="15" t="s">
        <v>55</v>
      </c>
      <c r="D148" s="15" t="s">
        <v>13</v>
      </c>
      <c r="E148" s="15">
        <v>20</v>
      </c>
      <c r="F148" s="15">
        <v>9</v>
      </c>
      <c r="G148" s="15" t="s">
        <v>32</v>
      </c>
      <c r="H148" s="15" t="s">
        <v>15</v>
      </c>
      <c r="I148" s="15" t="s">
        <v>77</v>
      </c>
      <c r="J148" s="15">
        <v>75</v>
      </c>
      <c r="K148" s="59" t="str">
        <f t="shared" si="2"/>
        <v>B</v>
      </c>
    </row>
    <row r="149" spans="1:11" x14ac:dyDescent="0.3">
      <c r="A149" s="15" t="s">
        <v>327</v>
      </c>
      <c r="B149" s="15" t="s">
        <v>73</v>
      </c>
      <c r="C149" s="15" t="s">
        <v>96</v>
      </c>
      <c r="D149" s="15" t="s">
        <v>13</v>
      </c>
      <c r="E149" s="15">
        <v>20</v>
      </c>
      <c r="F149" s="15">
        <v>9</v>
      </c>
      <c r="G149" s="15" t="s">
        <v>32</v>
      </c>
      <c r="H149" s="15" t="s">
        <v>61</v>
      </c>
      <c r="I149" s="15" t="s">
        <v>328</v>
      </c>
      <c r="J149" s="15">
        <v>40</v>
      </c>
      <c r="K149" s="59" t="str">
        <f t="shared" si="2"/>
        <v>D</v>
      </c>
    </row>
    <row r="150" spans="1:11" x14ac:dyDescent="0.3">
      <c r="A150" s="15" t="s">
        <v>329</v>
      </c>
      <c r="B150" s="15" t="s">
        <v>11</v>
      </c>
      <c r="C150" s="15" t="s">
        <v>24</v>
      </c>
      <c r="D150" s="15" t="s">
        <v>31</v>
      </c>
      <c r="E150" s="15">
        <v>15</v>
      </c>
      <c r="F150" s="15">
        <v>9</v>
      </c>
      <c r="G150" s="15" t="s">
        <v>43</v>
      </c>
      <c r="H150" s="15" t="s">
        <v>61</v>
      </c>
      <c r="I150" s="15" t="s">
        <v>330</v>
      </c>
      <c r="J150" s="15">
        <v>83</v>
      </c>
      <c r="K150" s="59" t="str">
        <f t="shared" si="2"/>
        <v>A</v>
      </c>
    </row>
    <row r="151" spans="1:11" x14ac:dyDescent="0.3">
      <c r="A151" s="15" t="s">
        <v>331</v>
      </c>
      <c r="B151" s="15" t="s">
        <v>73</v>
      </c>
      <c r="C151" s="15" t="s">
        <v>30</v>
      </c>
      <c r="D151" s="15" t="s">
        <v>31</v>
      </c>
      <c r="E151" s="15">
        <v>19</v>
      </c>
      <c r="F151" s="15">
        <v>10</v>
      </c>
      <c r="G151" s="15" t="s">
        <v>43</v>
      </c>
      <c r="H151" s="15" t="s">
        <v>20</v>
      </c>
      <c r="I151" s="15" t="s">
        <v>191</v>
      </c>
      <c r="J151" s="15">
        <v>93</v>
      </c>
      <c r="K151" s="59" t="str">
        <f t="shared" si="2"/>
        <v>A+</v>
      </c>
    </row>
    <row r="152" spans="1:11" x14ac:dyDescent="0.3">
      <c r="A152" s="15" t="s">
        <v>332</v>
      </c>
      <c r="B152" s="15" t="s">
        <v>29</v>
      </c>
      <c r="C152" s="15" t="s">
        <v>12</v>
      </c>
      <c r="D152" s="15" t="s">
        <v>31</v>
      </c>
      <c r="E152" s="15">
        <v>16</v>
      </c>
      <c r="F152" s="15">
        <v>11</v>
      </c>
      <c r="G152" s="15" t="s">
        <v>32</v>
      </c>
      <c r="H152" s="15" t="s">
        <v>76</v>
      </c>
      <c r="I152" s="15" t="s">
        <v>333</v>
      </c>
      <c r="J152" s="15">
        <v>42</v>
      </c>
      <c r="K152" s="59" t="str">
        <f t="shared" si="2"/>
        <v>D</v>
      </c>
    </row>
    <row r="153" spans="1:11" x14ac:dyDescent="0.3">
      <c r="A153" s="15" t="s">
        <v>334</v>
      </c>
      <c r="B153" s="15" t="s">
        <v>73</v>
      </c>
      <c r="C153" s="15" t="s">
        <v>12</v>
      </c>
      <c r="D153" s="15" t="s">
        <v>31</v>
      </c>
      <c r="E153" s="15">
        <v>18</v>
      </c>
      <c r="F153" s="15">
        <v>11</v>
      </c>
      <c r="G153" s="15" t="s">
        <v>32</v>
      </c>
      <c r="H153" s="15" t="s">
        <v>76</v>
      </c>
      <c r="I153" s="15" t="s">
        <v>335</v>
      </c>
      <c r="J153" s="15">
        <v>97</v>
      </c>
      <c r="K153" s="59" t="str">
        <f t="shared" si="2"/>
        <v>A+</v>
      </c>
    </row>
    <row r="154" spans="1:11" x14ac:dyDescent="0.3">
      <c r="A154" s="15" t="s">
        <v>336</v>
      </c>
      <c r="B154" s="15" t="s">
        <v>11</v>
      </c>
      <c r="C154" s="15" t="s">
        <v>58</v>
      </c>
      <c r="D154" s="15" t="s">
        <v>31</v>
      </c>
      <c r="E154" s="15">
        <v>19</v>
      </c>
      <c r="F154" s="15">
        <v>12</v>
      </c>
      <c r="G154" s="15" t="s">
        <v>25</v>
      </c>
      <c r="H154" s="15" t="s">
        <v>61</v>
      </c>
      <c r="I154" s="15" t="s">
        <v>218</v>
      </c>
      <c r="J154" s="15">
        <v>68</v>
      </c>
      <c r="K154" s="59" t="str">
        <f t="shared" si="2"/>
        <v>C</v>
      </c>
    </row>
    <row r="155" spans="1:11" x14ac:dyDescent="0.3">
      <c r="A155" s="15" t="s">
        <v>337</v>
      </c>
      <c r="B155" s="15" t="s">
        <v>23</v>
      </c>
      <c r="C155" s="15" t="s">
        <v>30</v>
      </c>
      <c r="D155" s="15" t="s">
        <v>31</v>
      </c>
      <c r="E155" s="15">
        <v>19</v>
      </c>
      <c r="F155" s="15">
        <v>9</v>
      </c>
      <c r="G155" s="15" t="s">
        <v>32</v>
      </c>
      <c r="H155" s="15" t="s">
        <v>61</v>
      </c>
      <c r="I155" s="15" t="s">
        <v>338</v>
      </c>
      <c r="J155" s="15">
        <v>51</v>
      </c>
      <c r="K155" s="59" t="str">
        <f t="shared" si="2"/>
        <v>D</v>
      </c>
    </row>
    <row r="156" spans="1:11" x14ac:dyDescent="0.3">
      <c r="A156" s="15" t="s">
        <v>339</v>
      </c>
      <c r="B156" s="15" t="s">
        <v>23</v>
      </c>
      <c r="C156" s="15" t="s">
        <v>36</v>
      </c>
      <c r="D156" s="15" t="s">
        <v>13</v>
      </c>
      <c r="E156" s="15">
        <v>18</v>
      </c>
      <c r="F156" s="15">
        <v>9</v>
      </c>
      <c r="G156" s="15" t="s">
        <v>32</v>
      </c>
      <c r="H156" s="15" t="s">
        <v>37</v>
      </c>
      <c r="I156" s="15" t="s">
        <v>340</v>
      </c>
      <c r="J156" s="15">
        <v>64</v>
      </c>
      <c r="K156" s="59" t="str">
        <f t="shared" si="2"/>
        <v>C</v>
      </c>
    </row>
    <row r="157" spans="1:11" x14ac:dyDescent="0.3">
      <c r="A157" s="15" t="s">
        <v>341</v>
      </c>
      <c r="B157" s="15" t="s">
        <v>54</v>
      </c>
      <c r="C157" s="15" t="s">
        <v>55</v>
      </c>
      <c r="D157" s="15" t="s">
        <v>13</v>
      </c>
      <c r="E157" s="15">
        <v>14</v>
      </c>
      <c r="F157" s="15">
        <v>9</v>
      </c>
      <c r="G157" s="15" t="s">
        <v>25</v>
      </c>
      <c r="H157" s="15" t="s">
        <v>37</v>
      </c>
      <c r="I157" s="15" t="s">
        <v>342</v>
      </c>
      <c r="J157" s="15">
        <v>82</v>
      </c>
      <c r="K157" s="59" t="str">
        <f t="shared" si="2"/>
        <v>A</v>
      </c>
    </row>
    <row r="158" spans="1:11" x14ac:dyDescent="0.3">
      <c r="A158" s="15" t="s">
        <v>343</v>
      </c>
      <c r="B158" s="15" t="s">
        <v>68</v>
      </c>
      <c r="C158" s="15" t="s">
        <v>79</v>
      </c>
      <c r="D158" s="15" t="s">
        <v>13</v>
      </c>
      <c r="E158" s="15">
        <v>19</v>
      </c>
      <c r="F158" s="15">
        <v>11</v>
      </c>
      <c r="G158" s="15" t="s">
        <v>14</v>
      </c>
      <c r="H158" s="15" t="s">
        <v>40</v>
      </c>
      <c r="I158" s="15" t="s">
        <v>344</v>
      </c>
      <c r="J158" s="15">
        <v>35</v>
      </c>
      <c r="K158" s="59" t="str">
        <f t="shared" si="2"/>
        <v>Fail</v>
      </c>
    </row>
    <row r="159" spans="1:11" x14ac:dyDescent="0.3">
      <c r="A159" s="15" t="s">
        <v>345</v>
      </c>
      <c r="B159" s="15" t="s">
        <v>29</v>
      </c>
      <c r="C159" s="15" t="s">
        <v>24</v>
      </c>
      <c r="D159" s="15" t="s">
        <v>31</v>
      </c>
      <c r="E159" s="15">
        <v>15</v>
      </c>
      <c r="F159" s="15">
        <v>9</v>
      </c>
      <c r="G159" s="15" t="s">
        <v>14</v>
      </c>
      <c r="H159" s="15" t="s">
        <v>26</v>
      </c>
      <c r="I159" s="15" t="s">
        <v>346</v>
      </c>
      <c r="J159" s="15">
        <v>49</v>
      </c>
      <c r="K159" s="59" t="str">
        <f t="shared" si="2"/>
        <v>D</v>
      </c>
    </row>
    <row r="160" spans="1:11" x14ac:dyDescent="0.3">
      <c r="A160" s="15" t="s">
        <v>347</v>
      </c>
      <c r="B160" s="15" t="s">
        <v>23</v>
      </c>
      <c r="C160" s="15" t="s">
        <v>85</v>
      </c>
      <c r="D160" s="15" t="s">
        <v>31</v>
      </c>
      <c r="E160" s="15">
        <v>15</v>
      </c>
      <c r="F160" s="15">
        <v>11</v>
      </c>
      <c r="G160" s="15" t="s">
        <v>32</v>
      </c>
      <c r="H160" s="15" t="s">
        <v>26</v>
      </c>
      <c r="I160" s="15" t="s">
        <v>348</v>
      </c>
      <c r="J160" s="15">
        <v>37</v>
      </c>
      <c r="K160" s="59" t="str">
        <f t="shared" si="2"/>
        <v>Fail</v>
      </c>
    </row>
    <row r="161" spans="1:11" x14ac:dyDescent="0.3">
      <c r="A161" s="15" t="s">
        <v>349</v>
      </c>
      <c r="B161" s="15" t="s">
        <v>35</v>
      </c>
      <c r="C161" s="15" t="s">
        <v>30</v>
      </c>
      <c r="D161" s="15" t="s">
        <v>31</v>
      </c>
      <c r="E161" s="15">
        <v>18</v>
      </c>
      <c r="F161" s="15">
        <v>12</v>
      </c>
      <c r="G161" s="15" t="s">
        <v>43</v>
      </c>
      <c r="H161" s="15" t="s">
        <v>37</v>
      </c>
      <c r="I161" s="15" t="s">
        <v>350</v>
      </c>
      <c r="J161" s="15">
        <v>53</v>
      </c>
      <c r="K161" s="59" t="str">
        <f t="shared" si="2"/>
        <v>D</v>
      </c>
    </row>
    <row r="162" spans="1:11" x14ac:dyDescent="0.3">
      <c r="A162" s="15" t="s">
        <v>351</v>
      </c>
      <c r="B162" s="15" t="s">
        <v>68</v>
      </c>
      <c r="C162" s="15" t="s">
        <v>96</v>
      </c>
      <c r="D162" s="15" t="s">
        <v>13</v>
      </c>
      <c r="E162" s="15">
        <v>15</v>
      </c>
      <c r="F162" s="15">
        <v>10</v>
      </c>
      <c r="G162" s="15" t="s">
        <v>25</v>
      </c>
      <c r="H162" s="15" t="s">
        <v>20</v>
      </c>
      <c r="I162" s="15" t="s">
        <v>352</v>
      </c>
      <c r="J162" s="15">
        <v>50</v>
      </c>
      <c r="K162" s="59" t="str">
        <f t="shared" si="2"/>
        <v>D</v>
      </c>
    </row>
    <row r="163" spans="1:11" x14ac:dyDescent="0.3">
      <c r="A163" s="15" t="s">
        <v>353</v>
      </c>
      <c r="B163" s="15" t="s">
        <v>51</v>
      </c>
      <c r="C163" s="15" t="s">
        <v>55</v>
      </c>
      <c r="D163" s="15" t="s">
        <v>31</v>
      </c>
      <c r="E163" s="15">
        <v>20</v>
      </c>
      <c r="F163" s="15">
        <v>9</v>
      </c>
      <c r="G163" s="15" t="s">
        <v>25</v>
      </c>
      <c r="H163" s="15" t="s">
        <v>46</v>
      </c>
      <c r="I163" s="15" t="s">
        <v>354</v>
      </c>
      <c r="J163" s="15">
        <v>53</v>
      </c>
      <c r="K163" s="59" t="str">
        <f t="shared" si="2"/>
        <v>D</v>
      </c>
    </row>
    <row r="164" spans="1:11" x14ac:dyDescent="0.3">
      <c r="A164" s="15" t="s">
        <v>355</v>
      </c>
      <c r="B164" s="15" t="s">
        <v>68</v>
      </c>
      <c r="C164" s="15" t="s">
        <v>79</v>
      </c>
      <c r="D164" s="15" t="s">
        <v>13</v>
      </c>
      <c r="E164" s="15">
        <v>15</v>
      </c>
      <c r="F164" s="15">
        <v>12</v>
      </c>
      <c r="G164" s="15" t="s">
        <v>14</v>
      </c>
      <c r="H164" s="15" t="s">
        <v>20</v>
      </c>
      <c r="I164" s="15" t="s">
        <v>356</v>
      </c>
      <c r="J164" s="15">
        <v>37</v>
      </c>
      <c r="K164" s="59" t="str">
        <f t="shared" si="2"/>
        <v>Fail</v>
      </c>
    </row>
    <row r="165" spans="1:11" x14ac:dyDescent="0.3">
      <c r="A165" s="15" t="s">
        <v>357</v>
      </c>
      <c r="B165" s="15" t="s">
        <v>23</v>
      </c>
      <c r="C165" s="15" t="s">
        <v>24</v>
      </c>
      <c r="D165" s="15" t="s">
        <v>13</v>
      </c>
      <c r="E165" s="15">
        <v>16</v>
      </c>
      <c r="F165" s="15">
        <v>9</v>
      </c>
      <c r="G165" s="15" t="s">
        <v>25</v>
      </c>
      <c r="H165" s="15" t="s">
        <v>20</v>
      </c>
      <c r="I165" s="15" t="s">
        <v>358</v>
      </c>
      <c r="J165" s="15">
        <v>66</v>
      </c>
      <c r="K165" s="59" t="str">
        <f t="shared" si="2"/>
        <v>C</v>
      </c>
    </row>
    <row r="166" spans="1:11" x14ac:dyDescent="0.3">
      <c r="A166" s="15" t="s">
        <v>359</v>
      </c>
      <c r="B166" s="15" t="s">
        <v>68</v>
      </c>
      <c r="C166" s="15" t="s">
        <v>85</v>
      </c>
      <c r="D166" s="15" t="s">
        <v>13</v>
      </c>
      <c r="E166" s="15">
        <v>19</v>
      </c>
      <c r="F166" s="15">
        <v>11</v>
      </c>
      <c r="G166" s="15" t="s">
        <v>43</v>
      </c>
      <c r="H166" s="15" t="s">
        <v>76</v>
      </c>
      <c r="I166" s="15" t="s">
        <v>360</v>
      </c>
      <c r="J166" s="15">
        <v>64</v>
      </c>
      <c r="K166" s="59" t="str">
        <f t="shared" si="2"/>
        <v>C</v>
      </c>
    </row>
    <row r="167" spans="1:11" x14ac:dyDescent="0.3">
      <c r="A167" s="15" t="s">
        <v>361</v>
      </c>
      <c r="B167" s="15" t="s">
        <v>11</v>
      </c>
      <c r="C167" s="15" t="s">
        <v>30</v>
      </c>
      <c r="D167" s="15" t="s">
        <v>13</v>
      </c>
      <c r="E167" s="15">
        <v>20</v>
      </c>
      <c r="F167" s="15">
        <v>10</v>
      </c>
      <c r="G167" s="15" t="s">
        <v>32</v>
      </c>
      <c r="H167" s="15" t="s">
        <v>15</v>
      </c>
      <c r="I167" s="15" t="s">
        <v>362</v>
      </c>
      <c r="J167" s="15">
        <v>49</v>
      </c>
      <c r="K167" s="59" t="str">
        <f t="shared" si="2"/>
        <v>D</v>
      </c>
    </row>
    <row r="168" spans="1:11" x14ac:dyDescent="0.3">
      <c r="A168" s="15" t="s">
        <v>363</v>
      </c>
      <c r="B168" s="15" t="s">
        <v>11</v>
      </c>
      <c r="C168" s="15" t="s">
        <v>85</v>
      </c>
      <c r="D168" s="15" t="s">
        <v>31</v>
      </c>
      <c r="E168" s="15">
        <v>15</v>
      </c>
      <c r="F168" s="15">
        <v>10</v>
      </c>
      <c r="G168" s="15" t="s">
        <v>14</v>
      </c>
      <c r="H168" s="15" t="s">
        <v>37</v>
      </c>
      <c r="I168" s="15" t="s">
        <v>364</v>
      </c>
      <c r="J168" s="15">
        <v>71</v>
      </c>
      <c r="K168" s="59" t="str">
        <f t="shared" si="2"/>
        <v>B</v>
      </c>
    </row>
    <row r="169" spans="1:11" x14ac:dyDescent="0.3">
      <c r="A169" s="15" t="s">
        <v>365</v>
      </c>
      <c r="B169" s="15" t="s">
        <v>11</v>
      </c>
      <c r="C169" s="15" t="s">
        <v>55</v>
      </c>
      <c r="D169" s="15" t="s">
        <v>13</v>
      </c>
      <c r="E169" s="15">
        <v>16</v>
      </c>
      <c r="F169" s="15">
        <v>10</v>
      </c>
      <c r="G169" s="15" t="s">
        <v>32</v>
      </c>
      <c r="H169" s="15" t="s">
        <v>15</v>
      </c>
      <c r="I169" s="15" t="s">
        <v>366</v>
      </c>
      <c r="J169" s="15">
        <v>72</v>
      </c>
      <c r="K169" s="59" t="str">
        <f t="shared" si="2"/>
        <v>B</v>
      </c>
    </row>
    <row r="170" spans="1:11" x14ac:dyDescent="0.3">
      <c r="A170" s="15" t="s">
        <v>367</v>
      </c>
      <c r="B170" s="15" t="s">
        <v>35</v>
      </c>
      <c r="C170" s="15" t="s">
        <v>12</v>
      </c>
      <c r="D170" s="15" t="s">
        <v>31</v>
      </c>
      <c r="E170" s="15">
        <v>15</v>
      </c>
      <c r="F170" s="15">
        <v>10</v>
      </c>
      <c r="G170" s="15" t="s">
        <v>32</v>
      </c>
      <c r="H170" s="15" t="s">
        <v>20</v>
      </c>
      <c r="I170" s="15" t="s">
        <v>368</v>
      </c>
      <c r="J170" s="15">
        <v>99</v>
      </c>
      <c r="K170" s="59" t="str">
        <f t="shared" si="2"/>
        <v>A+</v>
      </c>
    </row>
    <row r="171" spans="1:11" x14ac:dyDescent="0.3">
      <c r="A171" s="15" t="s">
        <v>369</v>
      </c>
      <c r="B171" s="15" t="s">
        <v>23</v>
      </c>
      <c r="C171" s="15" t="s">
        <v>24</v>
      </c>
      <c r="D171" s="15" t="s">
        <v>31</v>
      </c>
      <c r="E171" s="15">
        <v>17</v>
      </c>
      <c r="F171" s="15">
        <v>12</v>
      </c>
      <c r="G171" s="15" t="s">
        <v>43</v>
      </c>
      <c r="H171" s="15" t="s">
        <v>61</v>
      </c>
      <c r="I171" s="15" t="s">
        <v>370</v>
      </c>
      <c r="J171" s="15">
        <v>96</v>
      </c>
      <c r="K171" s="59" t="str">
        <f t="shared" si="2"/>
        <v>A+</v>
      </c>
    </row>
    <row r="172" spans="1:11" x14ac:dyDescent="0.3">
      <c r="A172" s="15" t="s">
        <v>371</v>
      </c>
      <c r="B172" s="15" t="s">
        <v>35</v>
      </c>
      <c r="C172" s="15" t="s">
        <v>58</v>
      </c>
      <c r="D172" s="15" t="s">
        <v>31</v>
      </c>
      <c r="E172" s="15">
        <v>19</v>
      </c>
      <c r="F172" s="15">
        <v>9</v>
      </c>
      <c r="G172" s="15" t="s">
        <v>14</v>
      </c>
      <c r="H172" s="15" t="s">
        <v>20</v>
      </c>
      <c r="I172" s="15" t="s">
        <v>372</v>
      </c>
      <c r="J172" s="15">
        <v>87</v>
      </c>
      <c r="K172" s="59" t="str">
        <f t="shared" si="2"/>
        <v>A</v>
      </c>
    </row>
    <row r="173" spans="1:11" x14ac:dyDescent="0.3">
      <c r="A173" s="15" t="s">
        <v>373</v>
      </c>
      <c r="B173" s="15" t="s">
        <v>51</v>
      </c>
      <c r="C173" s="15" t="s">
        <v>19</v>
      </c>
      <c r="D173" s="15" t="s">
        <v>13</v>
      </c>
      <c r="E173" s="15">
        <v>15</v>
      </c>
      <c r="F173" s="15">
        <v>11</v>
      </c>
      <c r="G173" s="15" t="s">
        <v>14</v>
      </c>
      <c r="H173" s="15" t="s">
        <v>61</v>
      </c>
      <c r="I173" s="15" t="s">
        <v>374</v>
      </c>
      <c r="J173" s="15">
        <v>78</v>
      </c>
      <c r="K173" s="59" t="str">
        <f t="shared" si="2"/>
        <v>B</v>
      </c>
    </row>
    <row r="174" spans="1:11" x14ac:dyDescent="0.3">
      <c r="A174" s="15" t="s">
        <v>375</v>
      </c>
      <c r="B174" s="15" t="s">
        <v>35</v>
      </c>
      <c r="C174" s="15" t="s">
        <v>36</v>
      </c>
      <c r="D174" s="15" t="s">
        <v>13</v>
      </c>
      <c r="E174" s="15">
        <v>18</v>
      </c>
      <c r="F174" s="15">
        <v>11</v>
      </c>
      <c r="G174" s="15" t="s">
        <v>25</v>
      </c>
      <c r="H174" s="15" t="s">
        <v>40</v>
      </c>
      <c r="I174" s="15" t="s">
        <v>376</v>
      </c>
      <c r="J174" s="15">
        <v>62</v>
      </c>
      <c r="K174" s="59" t="str">
        <f t="shared" si="2"/>
        <v>C</v>
      </c>
    </row>
    <row r="175" spans="1:11" x14ac:dyDescent="0.3">
      <c r="A175" s="15" t="s">
        <v>377</v>
      </c>
      <c r="B175" s="15" t="s">
        <v>35</v>
      </c>
      <c r="C175" s="15" t="s">
        <v>30</v>
      </c>
      <c r="D175" s="15" t="s">
        <v>13</v>
      </c>
      <c r="E175" s="15">
        <v>20</v>
      </c>
      <c r="F175" s="15">
        <v>11</v>
      </c>
      <c r="G175" s="15" t="s">
        <v>32</v>
      </c>
      <c r="H175" s="15" t="s">
        <v>37</v>
      </c>
      <c r="I175" s="15" t="s">
        <v>189</v>
      </c>
      <c r="J175" s="15">
        <v>79</v>
      </c>
      <c r="K175" s="59" t="str">
        <f t="shared" si="2"/>
        <v>B</v>
      </c>
    </row>
    <row r="176" spans="1:11" x14ac:dyDescent="0.3">
      <c r="A176" s="15" t="s">
        <v>378</v>
      </c>
      <c r="B176" s="15" t="s">
        <v>18</v>
      </c>
      <c r="C176" s="15" t="s">
        <v>55</v>
      </c>
      <c r="D176" s="15" t="s">
        <v>31</v>
      </c>
      <c r="E176" s="15">
        <v>17</v>
      </c>
      <c r="F176" s="15">
        <v>9</v>
      </c>
      <c r="G176" s="15" t="s">
        <v>32</v>
      </c>
      <c r="H176" s="15" t="s">
        <v>26</v>
      </c>
      <c r="I176" s="15" t="s">
        <v>379</v>
      </c>
      <c r="J176" s="15">
        <v>66</v>
      </c>
      <c r="K176" s="59" t="str">
        <f t="shared" si="2"/>
        <v>C</v>
      </c>
    </row>
    <row r="177" spans="1:11" x14ac:dyDescent="0.3">
      <c r="A177" s="15" t="s">
        <v>380</v>
      </c>
      <c r="B177" s="15" t="s">
        <v>11</v>
      </c>
      <c r="C177" s="15" t="s">
        <v>24</v>
      </c>
      <c r="D177" s="15" t="s">
        <v>31</v>
      </c>
      <c r="E177" s="15">
        <v>18</v>
      </c>
      <c r="F177" s="15">
        <v>11</v>
      </c>
      <c r="G177" s="15" t="s">
        <v>32</v>
      </c>
      <c r="H177" s="15" t="s">
        <v>61</v>
      </c>
      <c r="I177" s="15" t="s">
        <v>381</v>
      </c>
      <c r="J177" s="15">
        <v>67</v>
      </c>
      <c r="K177" s="59" t="str">
        <f t="shared" si="2"/>
        <v>C</v>
      </c>
    </row>
    <row r="178" spans="1:11" x14ac:dyDescent="0.3">
      <c r="A178" s="15" t="s">
        <v>382</v>
      </c>
      <c r="B178" s="15" t="s">
        <v>51</v>
      </c>
      <c r="C178" s="15" t="s">
        <v>85</v>
      </c>
      <c r="D178" s="15" t="s">
        <v>13</v>
      </c>
      <c r="E178" s="15">
        <v>16</v>
      </c>
      <c r="F178" s="15">
        <v>10</v>
      </c>
      <c r="G178" s="15" t="s">
        <v>43</v>
      </c>
      <c r="H178" s="15" t="s">
        <v>61</v>
      </c>
      <c r="I178" s="15" t="s">
        <v>383</v>
      </c>
      <c r="J178" s="15">
        <v>72</v>
      </c>
      <c r="K178" s="59" t="str">
        <f t="shared" si="2"/>
        <v>B</v>
      </c>
    </row>
    <row r="179" spans="1:11" x14ac:dyDescent="0.3">
      <c r="A179" s="15" t="s">
        <v>384</v>
      </c>
      <c r="B179" s="15" t="s">
        <v>54</v>
      </c>
      <c r="C179" s="15" t="s">
        <v>19</v>
      </c>
      <c r="D179" s="15" t="s">
        <v>31</v>
      </c>
      <c r="E179" s="15">
        <v>16</v>
      </c>
      <c r="F179" s="15">
        <v>12</v>
      </c>
      <c r="G179" s="15" t="s">
        <v>25</v>
      </c>
      <c r="H179" s="15" t="s">
        <v>20</v>
      </c>
      <c r="I179" s="15" t="s">
        <v>385</v>
      </c>
      <c r="J179" s="15">
        <v>39</v>
      </c>
      <c r="K179" s="59" t="str">
        <f t="shared" si="2"/>
        <v>Fail</v>
      </c>
    </row>
    <row r="180" spans="1:11" x14ac:dyDescent="0.3">
      <c r="A180" s="15" t="s">
        <v>386</v>
      </c>
      <c r="B180" s="15" t="s">
        <v>68</v>
      </c>
      <c r="C180" s="15" t="s">
        <v>96</v>
      </c>
      <c r="D180" s="15" t="s">
        <v>13</v>
      </c>
      <c r="E180" s="15">
        <v>18</v>
      </c>
      <c r="F180" s="15">
        <v>9</v>
      </c>
      <c r="G180" s="15" t="s">
        <v>25</v>
      </c>
      <c r="H180" s="15" t="s">
        <v>46</v>
      </c>
      <c r="I180" s="15" t="s">
        <v>387</v>
      </c>
      <c r="J180" s="15">
        <v>74</v>
      </c>
      <c r="K180" s="59" t="str">
        <f t="shared" si="2"/>
        <v>B</v>
      </c>
    </row>
    <row r="181" spans="1:11" x14ac:dyDescent="0.3">
      <c r="A181" s="15" t="s">
        <v>388</v>
      </c>
      <c r="B181" s="15" t="s">
        <v>73</v>
      </c>
      <c r="C181" s="15" t="s">
        <v>12</v>
      </c>
      <c r="D181" s="15" t="s">
        <v>31</v>
      </c>
      <c r="E181" s="15">
        <v>19</v>
      </c>
      <c r="F181" s="15">
        <v>11</v>
      </c>
      <c r="G181" s="15" t="s">
        <v>43</v>
      </c>
      <c r="H181" s="15" t="s">
        <v>61</v>
      </c>
      <c r="I181" s="15" t="s">
        <v>214</v>
      </c>
      <c r="J181" s="15">
        <v>88</v>
      </c>
      <c r="K181" s="59" t="str">
        <f t="shared" si="2"/>
        <v>A</v>
      </c>
    </row>
    <row r="182" spans="1:11" x14ac:dyDescent="0.3">
      <c r="A182" s="15" t="s">
        <v>389</v>
      </c>
      <c r="B182" s="15" t="s">
        <v>54</v>
      </c>
      <c r="C182" s="15" t="s">
        <v>58</v>
      </c>
      <c r="D182" s="15" t="s">
        <v>31</v>
      </c>
      <c r="E182" s="15">
        <v>14</v>
      </c>
      <c r="F182" s="15">
        <v>11</v>
      </c>
      <c r="G182" s="15" t="s">
        <v>32</v>
      </c>
      <c r="H182" s="15" t="s">
        <v>76</v>
      </c>
      <c r="I182" s="15" t="s">
        <v>390</v>
      </c>
      <c r="J182" s="15">
        <v>54</v>
      </c>
      <c r="K182" s="59" t="str">
        <f t="shared" si="2"/>
        <v>D</v>
      </c>
    </row>
    <row r="183" spans="1:11" x14ac:dyDescent="0.3">
      <c r="A183" s="15" t="s">
        <v>391</v>
      </c>
      <c r="B183" s="15" t="s">
        <v>68</v>
      </c>
      <c r="C183" s="15" t="s">
        <v>19</v>
      </c>
      <c r="D183" s="15" t="s">
        <v>13</v>
      </c>
      <c r="E183" s="15">
        <v>19</v>
      </c>
      <c r="F183" s="15">
        <v>12</v>
      </c>
      <c r="G183" s="15" t="s">
        <v>25</v>
      </c>
      <c r="H183" s="15" t="s">
        <v>46</v>
      </c>
      <c r="I183" s="15" t="s">
        <v>392</v>
      </c>
      <c r="J183" s="15">
        <v>46</v>
      </c>
      <c r="K183" s="59" t="str">
        <f t="shared" si="2"/>
        <v>D</v>
      </c>
    </row>
    <row r="184" spans="1:11" x14ac:dyDescent="0.3">
      <c r="A184" s="15" t="s">
        <v>393</v>
      </c>
      <c r="B184" s="15" t="s">
        <v>68</v>
      </c>
      <c r="C184" s="15" t="s">
        <v>85</v>
      </c>
      <c r="D184" s="15" t="s">
        <v>13</v>
      </c>
      <c r="E184" s="15">
        <v>15</v>
      </c>
      <c r="F184" s="15">
        <v>10</v>
      </c>
      <c r="G184" s="15" t="s">
        <v>32</v>
      </c>
      <c r="H184" s="15" t="s">
        <v>37</v>
      </c>
      <c r="I184" s="15" t="s">
        <v>394</v>
      </c>
      <c r="J184" s="15">
        <v>89</v>
      </c>
      <c r="K184" s="59" t="str">
        <f t="shared" si="2"/>
        <v>A</v>
      </c>
    </row>
    <row r="185" spans="1:11" x14ac:dyDescent="0.3">
      <c r="A185" s="15" t="s">
        <v>395</v>
      </c>
      <c r="B185" s="15" t="s">
        <v>11</v>
      </c>
      <c r="C185" s="15" t="s">
        <v>96</v>
      </c>
      <c r="D185" s="15" t="s">
        <v>13</v>
      </c>
      <c r="E185" s="15">
        <v>18</v>
      </c>
      <c r="F185" s="15">
        <v>11</v>
      </c>
      <c r="G185" s="15" t="s">
        <v>25</v>
      </c>
      <c r="H185" s="15" t="s">
        <v>37</v>
      </c>
      <c r="I185" s="15" t="s">
        <v>396</v>
      </c>
      <c r="J185" s="15">
        <v>65</v>
      </c>
      <c r="K185" s="59" t="str">
        <f t="shared" si="2"/>
        <v>C</v>
      </c>
    </row>
    <row r="186" spans="1:11" x14ac:dyDescent="0.3">
      <c r="A186" s="15" t="s">
        <v>397</v>
      </c>
      <c r="B186" s="15" t="s">
        <v>23</v>
      </c>
      <c r="C186" s="15" t="s">
        <v>12</v>
      </c>
      <c r="D186" s="15" t="s">
        <v>13</v>
      </c>
      <c r="E186" s="15">
        <v>20</v>
      </c>
      <c r="F186" s="15">
        <v>9</v>
      </c>
      <c r="G186" s="15" t="s">
        <v>25</v>
      </c>
      <c r="H186" s="15" t="s">
        <v>46</v>
      </c>
      <c r="I186" s="15" t="s">
        <v>398</v>
      </c>
      <c r="J186" s="15">
        <v>91</v>
      </c>
      <c r="K186" s="59" t="str">
        <f t="shared" si="2"/>
        <v>A+</v>
      </c>
    </row>
    <row r="187" spans="1:11" x14ac:dyDescent="0.3">
      <c r="A187" s="15" t="s">
        <v>399</v>
      </c>
      <c r="B187" s="15" t="s">
        <v>35</v>
      </c>
      <c r="C187" s="15" t="s">
        <v>79</v>
      </c>
      <c r="D187" s="15" t="s">
        <v>13</v>
      </c>
      <c r="E187" s="15">
        <v>17</v>
      </c>
      <c r="F187" s="15">
        <v>10</v>
      </c>
      <c r="G187" s="15" t="s">
        <v>43</v>
      </c>
      <c r="H187" s="15" t="s">
        <v>37</v>
      </c>
      <c r="I187" s="15" t="s">
        <v>400</v>
      </c>
      <c r="J187" s="15">
        <v>78</v>
      </c>
      <c r="K187" s="59" t="str">
        <f t="shared" si="2"/>
        <v>B</v>
      </c>
    </row>
    <row r="188" spans="1:11" x14ac:dyDescent="0.3">
      <c r="A188" s="15" t="s">
        <v>401</v>
      </c>
      <c r="B188" s="15" t="s">
        <v>11</v>
      </c>
      <c r="C188" s="15" t="s">
        <v>79</v>
      </c>
      <c r="D188" s="15" t="s">
        <v>31</v>
      </c>
      <c r="E188" s="15">
        <v>15</v>
      </c>
      <c r="F188" s="15">
        <v>11</v>
      </c>
      <c r="G188" s="15" t="s">
        <v>43</v>
      </c>
      <c r="H188" s="15" t="s">
        <v>40</v>
      </c>
      <c r="I188" s="15" t="s">
        <v>402</v>
      </c>
      <c r="J188" s="15">
        <v>84</v>
      </c>
      <c r="K188" s="59" t="str">
        <f t="shared" si="2"/>
        <v>A</v>
      </c>
    </row>
    <row r="189" spans="1:11" x14ac:dyDescent="0.3">
      <c r="A189" s="15" t="s">
        <v>403</v>
      </c>
      <c r="B189" s="15" t="s">
        <v>11</v>
      </c>
      <c r="C189" s="15" t="s">
        <v>12</v>
      </c>
      <c r="D189" s="15" t="s">
        <v>31</v>
      </c>
      <c r="E189" s="15">
        <v>19</v>
      </c>
      <c r="F189" s="15">
        <v>9</v>
      </c>
      <c r="G189" s="15" t="s">
        <v>43</v>
      </c>
      <c r="H189" s="15" t="s">
        <v>46</v>
      </c>
      <c r="I189" s="15" t="s">
        <v>404</v>
      </c>
      <c r="J189" s="15">
        <v>37</v>
      </c>
      <c r="K189" s="59" t="str">
        <f t="shared" si="2"/>
        <v>Fail</v>
      </c>
    </row>
    <row r="190" spans="1:11" x14ac:dyDescent="0.3">
      <c r="A190" s="15" t="s">
        <v>405</v>
      </c>
      <c r="B190" s="15" t="s">
        <v>18</v>
      </c>
      <c r="C190" s="15" t="s">
        <v>19</v>
      </c>
      <c r="D190" s="15" t="s">
        <v>31</v>
      </c>
      <c r="E190" s="15">
        <v>18</v>
      </c>
      <c r="F190" s="15">
        <v>12</v>
      </c>
      <c r="G190" s="15" t="s">
        <v>25</v>
      </c>
      <c r="H190" s="15" t="s">
        <v>37</v>
      </c>
      <c r="I190" s="15" t="s">
        <v>406</v>
      </c>
      <c r="J190" s="15">
        <v>70</v>
      </c>
      <c r="K190" s="59" t="str">
        <f t="shared" si="2"/>
        <v>B</v>
      </c>
    </row>
    <row r="191" spans="1:11" x14ac:dyDescent="0.3">
      <c r="A191" s="15" t="s">
        <v>407</v>
      </c>
      <c r="B191" s="15" t="s">
        <v>29</v>
      </c>
      <c r="C191" s="15" t="s">
        <v>12</v>
      </c>
      <c r="D191" s="15" t="s">
        <v>31</v>
      </c>
      <c r="E191" s="15">
        <v>16</v>
      </c>
      <c r="F191" s="15">
        <v>10</v>
      </c>
      <c r="G191" s="15" t="s">
        <v>14</v>
      </c>
      <c r="H191" s="15" t="s">
        <v>40</v>
      </c>
      <c r="I191" s="15" t="s">
        <v>71</v>
      </c>
      <c r="J191" s="15">
        <v>100</v>
      </c>
      <c r="K191" s="59" t="str">
        <f t="shared" si="2"/>
        <v>A+</v>
      </c>
    </row>
    <row r="192" spans="1:11" x14ac:dyDescent="0.3">
      <c r="A192" s="15" t="s">
        <v>408</v>
      </c>
      <c r="B192" s="15" t="s">
        <v>51</v>
      </c>
      <c r="C192" s="15" t="s">
        <v>85</v>
      </c>
      <c r="D192" s="15" t="s">
        <v>13</v>
      </c>
      <c r="E192" s="15">
        <v>17</v>
      </c>
      <c r="F192" s="15">
        <v>11</v>
      </c>
      <c r="G192" s="15" t="s">
        <v>25</v>
      </c>
      <c r="H192" s="15" t="s">
        <v>46</v>
      </c>
      <c r="I192" s="15" t="s">
        <v>52</v>
      </c>
      <c r="J192" s="15">
        <v>42</v>
      </c>
      <c r="K192" s="59" t="str">
        <f t="shared" si="2"/>
        <v>D</v>
      </c>
    </row>
    <row r="193" spans="1:11" x14ac:dyDescent="0.3">
      <c r="A193" s="15" t="s">
        <v>409</v>
      </c>
      <c r="B193" s="15" t="s">
        <v>84</v>
      </c>
      <c r="C193" s="15" t="s">
        <v>24</v>
      </c>
      <c r="D193" s="15" t="s">
        <v>13</v>
      </c>
      <c r="E193" s="15">
        <v>20</v>
      </c>
      <c r="F193" s="15">
        <v>9</v>
      </c>
      <c r="G193" s="15" t="s">
        <v>25</v>
      </c>
      <c r="H193" s="15" t="s">
        <v>46</v>
      </c>
      <c r="I193" s="15" t="s">
        <v>290</v>
      </c>
      <c r="J193" s="15">
        <v>68</v>
      </c>
      <c r="K193" s="59" t="str">
        <f t="shared" si="2"/>
        <v>C</v>
      </c>
    </row>
    <row r="194" spans="1:11" x14ac:dyDescent="0.3">
      <c r="A194" s="15" t="s">
        <v>410</v>
      </c>
      <c r="B194" s="15" t="s">
        <v>18</v>
      </c>
      <c r="C194" s="15" t="s">
        <v>55</v>
      </c>
      <c r="D194" s="15" t="s">
        <v>31</v>
      </c>
      <c r="E194" s="15">
        <v>20</v>
      </c>
      <c r="F194" s="15">
        <v>10</v>
      </c>
      <c r="G194" s="15" t="s">
        <v>43</v>
      </c>
      <c r="H194" s="15" t="s">
        <v>40</v>
      </c>
      <c r="I194" s="15" t="s">
        <v>411</v>
      </c>
      <c r="J194" s="15">
        <v>59</v>
      </c>
      <c r="K194" s="59" t="str">
        <f t="shared" si="2"/>
        <v>D</v>
      </c>
    </row>
    <row r="195" spans="1:11" x14ac:dyDescent="0.3">
      <c r="A195" s="15" t="s">
        <v>412</v>
      </c>
      <c r="B195" s="15" t="s">
        <v>73</v>
      </c>
      <c r="C195" s="15" t="s">
        <v>55</v>
      </c>
      <c r="D195" s="15" t="s">
        <v>13</v>
      </c>
      <c r="E195" s="15">
        <v>16</v>
      </c>
      <c r="F195" s="15">
        <v>12</v>
      </c>
      <c r="G195" s="15" t="s">
        <v>32</v>
      </c>
      <c r="H195" s="15" t="s">
        <v>46</v>
      </c>
      <c r="I195" s="15" t="s">
        <v>413</v>
      </c>
      <c r="J195" s="15">
        <v>85</v>
      </c>
      <c r="K195" s="59" t="str">
        <f t="shared" si="2"/>
        <v>A</v>
      </c>
    </row>
    <row r="196" spans="1:11" x14ac:dyDescent="0.3">
      <c r="A196" s="15" t="s">
        <v>414</v>
      </c>
      <c r="B196" s="15" t="s">
        <v>11</v>
      </c>
      <c r="C196" s="15" t="s">
        <v>55</v>
      </c>
      <c r="D196" s="15" t="s">
        <v>13</v>
      </c>
      <c r="E196" s="15">
        <v>16</v>
      </c>
      <c r="F196" s="15">
        <v>12</v>
      </c>
      <c r="G196" s="15" t="s">
        <v>32</v>
      </c>
      <c r="H196" s="15" t="s">
        <v>37</v>
      </c>
      <c r="I196" s="15" t="s">
        <v>415</v>
      </c>
      <c r="J196" s="15">
        <v>47</v>
      </c>
      <c r="K196" s="59" t="str">
        <f t="shared" si="2"/>
        <v>D</v>
      </c>
    </row>
    <row r="197" spans="1:11" x14ac:dyDescent="0.3">
      <c r="A197" s="15" t="s">
        <v>416</v>
      </c>
      <c r="B197" s="15" t="s">
        <v>18</v>
      </c>
      <c r="C197" s="15" t="s">
        <v>79</v>
      </c>
      <c r="D197" s="15" t="s">
        <v>31</v>
      </c>
      <c r="E197" s="15">
        <v>20</v>
      </c>
      <c r="F197" s="15">
        <v>9</v>
      </c>
      <c r="G197" s="15" t="s">
        <v>25</v>
      </c>
      <c r="H197" s="15" t="s">
        <v>37</v>
      </c>
      <c r="I197" s="15" t="s">
        <v>417</v>
      </c>
      <c r="J197" s="15">
        <v>53</v>
      </c>
      <c r="K197" s="59" t="str">
        <f t="shared" ref="K197:K260" si="3">_xlfn.IFS($J197&gt;=90,"A+",$J197&gt;=80,"A",$J197&gt;=70,"B",$J197&gt;=60,"C",$J197&gt;=40,"D",$J197&lt;40,"Fail")</f>
        <v>D</v>
      </c>
    </row>
    <row r="198" spans="1:11" x14ac:dyDescent="0.3">
      <c r="A198" s="15" t="s">
        <v>418</v>
      </c>
      <c r="B198" s="15" t="s">
        <v>84</v>
      </c>
      <c r="C198" s="15" t="s">
        <v>24</v>
      </c>
      <c r="D198" s="15" t="s">
        <v>13</v>
      </c>
      <c r="E198" s="15">
        <v>15</v>
      </c>
      <c r="F198" s="15">
        <v>9</v>
      </c>
      <c r="G198" s="15" t="s">
        <v>25</v>
      </c>
      <c r="H198" s="15" t="s">
        <v>20</v>
      </c>
      <c r="I198" s="15" t="s">
        <v>419</v>
      </c>
      <c r="J198" s="15">
        <v>63</v>
      </c>
      <c r="K198" s="59" t="str">
        <f t="shared" si="3"/>
        <v>C</v>
      </c>
    </row>
    <row r="199" spans="1:11" x14ac:dyDescent="0.3">
      <c r="A199" s="15" t="s">
        <v>420</v>
      </c>
      <c r="B199" s="15" t="s">
        <v>73</v>
      </c>
      <c r="C199" s="15" t="s">
        <v>85</v>
      </c>
      <c r="D199" s="15" t="s">
        <v>13</v>
      </c>
      <c r="E199" s="15">
        <v>16</v>
      </c>
      <c r="F199" s="15">
        <v>11</v>
      </c>
      <c r="G199" s="15" t="s">
        <v>43</v>
      </c>
      <c r="H199" s="15" t="s">
        <v>46</v>
      </c>
      <c r="I199" s="15" t="s">
        <v>421</v>
      </c>
      <c r="J199" s="15">
        <v>55</v>
      </c>
      <c r="K199" s="59" t="str">
        <f t="shared" si="3"/>
        <v>D</v>
      </c>
    </row>
    <row r="200" spans="1:11" x14ac:dyDescent="0.3">
      <c r="A200" s="15" t="s">
        <v>422</v>
      </c>
      <c r="B200" s="15" t="s">
        <v>73</v>
      </c>
      <c r="C200" s="15" t="s">
        <v>96</v>
      </c>
      <c r="D200" s="15" t="s">
        <v>13</v>
      </c>
      <c r="E200" s="15">
        <v>14</v>
      </c>
      <c r="F200" s="15">
        <v>10</v>
      </c>
      <c r="G200" s="15" t="s">
        <v>25</v>
      </c>
      <c r="H200" s="15" t="s">
        <v>15</v>
      </c>
      <c r="I200" s="15" t="s">
        <v>423</v>
      </c>
      <c r="J200" s="15">
        <v>99</v>
      </c>
      <c r="K200" s="59" t="str">
        <f t="shared" si="3"/>
        <v>A+</v>
      </c>
    </row>
    <row r="201" spans="1:11" x14ac:dyDescent="0.3">
      <c r="A201" s="15" t="s">
        <v>424</v>
      </c>
      <c r="B201" s="15" t="s">
        <v>29</v>
      </c>
      <c r="C201" s="15" t="s">
        <v>36</v>
      </c>
      <c r="D201" s="15" t="s">
        <v>31</v>
      </c>
      <c r="E201" s="15">
        <v>16</v>
      </c>
      <c r="F201" s="15">
        <v>12</v>
      </c>
      <c r="G201" s="15" t="s">
        <v>32</v>
      </c>
      <c r="H201" s="15" t="s">
        <v>37</v>
      </c>
      <c r="I201" s="15" t="s">
        <v>180</v>
      </c>
      <c r="J201" s="15">
        <v>89</v>
      </c>
      <c r="K201" s="59" t="str">
        <f t="shared" si="3"/>
        <v>A</v>
      </c>
    </row>
    <row r="202" spans="1:11" x14ac:dyDescent="0.3">
      <c r="A202" s="15" t="s">
        <v>425</v>
      </c>
      <c r="B202" s="15" t="s">
        <v>73</v>
      </c>
      <c r="C202" s="15" t="s">
        <v>30</v>
      </c>
      <c r="D202" s="15" t="s">
        <v>31</v>
      </c>
      <c r="E202" s="15">
        <v>15</v>
      </c>
      <c r="F202" s="15">
        <v>9</v>
      </c>
      <c r="G202" s="15" t="s">
        <v>14</v>
      </c>
      <c r="H202" s="15" t="s">
        <v>76</v>
      </c>
      <c r="I202" s="15" t="s">
        <v>149</v>
      </c>
      <c r="J202" s="15">
        <v>54</v>
      </c>
      <c r="K202" s="59" t="str">
        <f t="shared" si="3"/>
        <v>D</v>
      </c>
    </row>
    <row r="203" spans="1:11" x14ac:dyDescent="0.3">
      <c r="A203" s="15" t="s">
        <v>426</v>
      </c>
      <c r="B203" s="15" t="s">
        <v>54</v>
      </c>
      <c r="C203" s="15" t="s">
        <v>96</v>
      </c>
      <c r="D203" s="15" t="s">
        <v>31</v>
      </c>
      <c r="E203" s="15">
        <v>16</v>
      </c>
      <c r="F203" s="15">
        <v>12</v>
      </c>
      <c r="G203" s="15" t="s">
        <v>25</v>
      </c>
      <c r="H203" s="15" t="s">
        <v>20</v>
      </c>
      <c r="I203" s="15" t="s">
        <v>427</v>
      </c>
      <c r="J203" s="15">
        <v>82</v>
      </c>
      <c r="K203" s="59" t="str">
        <f t="shared" si="3"/>
        <v>A</v>
      </c>
    </row>
    <row r="204" spans="1:11" x14ac:dyDescent="0.3">
      <c r="A204" s="15" t="s">
        <v>428</v>
      </c>
      <c r="B204" s="15" t="s">
        <v>54</v>
      </c>
      <c r="C204" s="15" t="s">
        <v>55</v>
      </c>
      <c r="D204" s="15" t="s">
        <v>13</v>
      </c>
      <c r="E204" s="15">
        <v>16</v>
      </c>
      <c r="F204" s="15">
        <v>11</v>
      </c>
      <c r="G204" s="15" t="s">
        <v>25</v>
      </c>
      <c r="H204" s="15" t="s">
        <v>15</v>
      </c>
      <c r="I204" s="15" t="s">
        <v>429</v>
      </c>
      <c r="J204" s="15">
        <v>86</v>
      </c>
      <c r="K204" s="59" t="str">
        <f t="shared" si="3"/>
        <v>A</v>
      </c>
    </row>
    <row r="205" spans="1:11" x14ac:dyDescent="0.3">
      <c r="A205" s="15" t="s">
        <v>430</v>
      </c>
      <c r="B205" s="15" t="s">
        <v>54</v>
      </c>
      <c r="C205" s="15" t="s">
        <v>30</v>
      </c>
      <c r="D205" s="15" t="s">
        <v>13</v>
      </c>
      <c r="E205" s="15">
        <v>18</v>
      </c>
      <c r="F205" s="15">
        <v>11</v>
      </c>
      <c r="G205" s="15" t="s">
        <v>25</v>
      </c>
      <c r="H205" s="15" t="s">
        <v>26</v>
      </c>
      <c r="I205" s="15" t="s">
        <v>431</v>
      </c>
      <c r="J205" s="15">
        <v>91</v>
      </c>
      <c r="K205" s="59" t="str">
        <f t="shared" si="3"/>
        <v>A+</v>
      </c>
    </row>
    <row r="206" spans="1:11" x14ac:dyDescent="0.3">
      <c r="A206" s="15" t="s">
        <v>432</v>
      </c>
      <c r="B206" s="15" t="s">
        <v>51</v>
      </c>
      <c r="C206" s="15" t="s">
        <v>24</v>
      </c>
      <c r="D206" s="15" t="s">
        <v>31</v>
      </c>
      <c r="E206" s="15">
        <v>17</v>
      </c>
      <c r="F206" s="15">
        <v>11</v>
      </c>
      <c r="G206" s="15" t="s">
        <v>43</v>
      </c>
      <c r="H206" s="15" t="s">
        <v>15</v>
      </c>
      <c r="I206" s="15" t="s">
        <v>400</v>
      </c>
      <c r="J206" s="15">
        <v>53</v>
      </c>
      <c r="K206" s="59" t="str">
        <f t="shared" si="3"/>
        <v>D</v>
      </c>
    </row>
    <row r="207" spans="1:11" x14ac:dyDescent="0.3">
      <c r="A207" s="15" t="s">
        <v>433</v>
      </c>
      <c r="B207" s="15" t="s">
        <v>84</v>
      </c>
      <c r="C207" s="15" t="s">
        <v>36</v>
      </c>
      <c r="D207" s="15" t="s">
        <v>13</v>
      </c>
      <c r="E207" s="15">
        <v>14</v>
      </c>
      <c r="F207" s="15">
        <v>9</v>
      </c>
      <c r="G207" s="15" t="s">
        <v>32</v>
      </c>
      <c r="H207" s="15" t="s">
        <v>15</v>
      </c>
      <c r="I207" s="15" t="s">
        <v>434</v>
      </c>
      <c r="J207" s="15">
        <v>47</v>
      </c>
      <c r="K207" s="59" t="str">
        <f t="shared" si="3"/>
        <v>D</v>
      </c>
    </row>
    <row r="208" spans="1:11" x14ac:dyDescent="0.3">
      <c r="A208" s="15" t="s">
        <v>435</v>
      </c>
      <c r="B208" s="15" t="s">
        <v>29</v>
      </c>
      <c r="C208" s="15" t="s">
        <v>30</v>
      </c>
      <c r="D208" s="15" t="s">
        <v>31</v>
      </c>
      <c r="E208" s="15">
        <v>20</v>
      </c>
      <c r="F208" s="15">
        <v>12</v>
      </c>
      <c r="G208" s="15" t="s">
        <v>43</v>
      </c>
      <c r="H208" s="15" t="s">
        <v>26</v>
      </c>
      <c r="I208" s="15" t="s">
        <v>436</v>
      </c>
      <c r="J208" s="15">
        <v>36</v>
      </c>
      <c r="K208" s="59" t="str">
        <f t="shared" si="3"/>
        <v>Fail</v>
      </c>
    </row>
    <row r="209" spans="1:11" x14ac:dyDescent="0.3">
      <c r="A209" s="15" t="s">
        <v>437</v>
      </c>
      <c r="B209" s="15" t="s">
        <v>73</v>
      </c>
      <c r="C209" s="15" t="s">
        <v>30</v>
      </c>
      <c r="D209" s="15" t="s">
        <v>13</v>
      </c>
      <c r="E209" s="15">
        <v>14</v>
      </c>
      <c r="F209" s="15">
        <v>11</v>
      </c>
      <c r="G209" s="15" t="s">
        <v>32</v>
      </c>
      <c r="H209" s="15" t="s">
        <v>76</v>
      </c>
      <c r="I209" s="15" t="s">
        <v>438</v>
      </c>
      <c r="J209" s="15">
        <v>62</v>
      </c>
      <c r="K209" s="59" t="str">
        <f t="shared" si="3"/>
        <v>C</v>
      </c>
    </row>
    <row r="210" spans="1:11" x14ac:dyDescent="0.3">
      <c r="A210" s="15" t="s">
        <v>439</v>
      </c>
      <c r="B210" s="15" t="s">
        <v>11</v>
      </c>
      <c r="C210" s="15" t="s">
        <v>12</v>
      </c>
      <c r="D210" s="15" t="s">
        <v>13</v>
      </c>
      <c r="E210" s="15">
        <v>15</v>
      </c>
      <c r="F210" s="15">
        <v>9</v>
      </c>
      <c r="G210" s="15" t="s">
        <v>25</v>
      </c>
      <c r="H210" s="15" t="s">
        <v>15</v>
      </c>
      <c r="I210" s="15" t="s">
        <v>440</v>
      </c>
      <c r="J210" s="15">
        <v>90</v>
      </c>
      <c r="K210" s="59" t="str">
        <f t="shared" si="3"/>
        <v>A+</v>
      </c>
    </row>
    <row r="211" spans="1:11" x14ac:dyDescent="0.3">
      <c r="A211" s="15" t="s">
        <v>441</v>
      </c>
      <c r="B211" s="15" t="s">
        <v>35</v>
      </c>
      <c r="C211" s="15" t="s">
        <v>12</v>
      </c>
      <c r="D211" s="15" t="s">
        <v>13</v>
      </c>
      <c r="E211" s="15">
        <v>17</v>
      </c>
      <c r="F211" s="15">
        <v>10</v>
      </c>
      <c r="G211" s="15" t="s">
        <v>32</v>
      </c>
      <c r="H211" s="15" t="s">
        <v>15</v>
      </c>
      <c r="I211" s="15" t="s">
        <v>442</v>
      </c>
      <c r="J211" s="15">
        <v>91</v>
      </c>
      <c r="K211" s="59" t="str">
        <f t="shared" si="3"/>
        <v>A+</v>
      </c>
    </row>
    <row r="212" spans="1:11" x14ac:dyDescent="0.3">
      <c r="A212" s="15" t="s">
        <v>443</v>
      </c>
      <c r="B212" s="15" t="s">
        <v>18</v>
      </c>
      <c r="C212" s="15" t="s">
        <v>96</v>
      </c>
      <c r="D212" s="15" t="s">
        <v>13</v>
      </c>
      <c r="E212" s="15">
        <v>17</v>
      </c>
      <c r="F212" s="15">
        <v>9</v>
      </c>
      <c r="G212" s="15" t="s">
        <v>43</v>
      </c>
      <c r="H212" s="15" t="s">
        <v>37</v>
      </c>
      <c r="I212" s="15" t="s">
        <v>444</v>
      </c>
      <c r="J212" s="15">
        <v>60</v>
      </c>
      <c r="K212" s="59" t="str">
        <f t="shared" si="3"/>
        <v>C</v>
      </c>
    </row>
    <row r="213" spans="1:11" x14ac:dyDescent="0.3">
      <c r="A213" s="15" t="s">
        <v>445</v>
      </c>
      <c r="B213" s="15" t="s">
        <v>54</v>
      </c>
      <c r="C213" s="15" t="s">
        <v>96</v>
      </c>
      <c r="D213" s="15" t="s">
        <v>13</v>
      </c>
      <c r="E213" s="15">
        <v>20</v>
      </c>
      <c r="F213" s="15">
        <v>10</v>
      </c>
      <c r="G213" s="15" t="s">
        <v>32</v>
      </c>
      <c r="H213" s="15" t="s">
        <v>46</v>
      </c>
      <c r="I213" s="15" t="s">
        <v>182</v>
      </c>
      <c r="J213" s="15">
        <v>85</v>
      </c>
      <c r="K213" s="59" t="str">
        <f t="shared" si="3"/>
        <v>A</v>
      </c>
    </row>
    <row r="214" spans="1:11" x14ac:dyDescent="0.3">
      <c r="A214" s="15" t="s">
        <v>446</v>
      </c>
      <c r="B214" s="15" t="s">
        <v>73</v>
      </c>
      <c r="C214" s="15" t="s">
        <v>24</v>
      </c>
      <c r="D214" s="15" t="s">
        <v>13</v>
      </c>
      <c r="E214" s="15">
        <v>17</v>
      </c>
      <c r="F214" s="15">
        <v>10</v>
      </c>
      <c r="G214" s="15" t="s">
        <v>14</v>
      </c>
      <c r="H214" s="15" t="s">
        <v>20</v>
      </c>
      <c r="I214" s="15" t="s">
        <v>447</v>
      </c>
      <c r="J214" s="15">
        <v>58</v>
      </c>
      <c r="K214" s="59" t="str">
        <f t="shared" si="3"/>
        <v>D</v>
      </c>
    </row>
    <row r="215" spans="1:11" x14ac:dyDescent="0.3">
      <c r="A215" s="15" t="s">
        <v>448</v>
      </c>
      <c r="B215" s="15" t="s">
        <v>73</v>
      </c>
      <c r="C215" s="15" t="s">
        <v>36</v>
      </c>
      <c r="D215" s="15" t="s">
        <v>31</v>
      </c>
      <c r="E215" s="15">
        <v>19</v>
      </c>
      <c r="F215" s="15">
        <v>12</v>
      </c>
      <c r="G215" s="15" t="s">
        <v>14</v>
      </c>
      <c r="H215" s="15" t="s">
        <v>37</v>
      </c>
      <c r="I215" s="15" t="s">
        <v>449</v>
      </c>
      <c r="J215" s="15">
        <v>65</v>
      </c>
      <c r="K215" s="59" t="str">
        <f t="shared" si="3"/>
        <v>C</v>
      </c>
    </row>
    <row r="216" spans="1:11" x14ac:dyDescent="0.3">
      <c r="A216" s="15" t="s">
        <v>450</v>
      </c>
      <c r="B216" s="15" t="s">
        <v>54</v>
      </c>
      <c r="C216" s="15" t="s">
        <v>55</v>
      </c>
      <c r="D216" s="15" t="s">
        <v>31</v>
      </c>
      <c r="E216" s="15">
        <v>19</v>
      </c>
      <c r="F216" s="15">
        <v>12</v>
      </c>
      <c r="G216" s="15" t="s">
        <v>43</v>
      </c>
      <c r="H216" s="15" t="s">
        <v>20</v>
      </c>
      <c r="I216" s="15" t="s">
        <v>451</v>
      </c>
      <c r="J216" s="15">
        <v>58</v>
      </c>
      <c r="K216" s="59" t="str">
        <f t="shared" si="3"/>
        <v>D</v>
      </c>
    </row>
    <row r="217" spans="1:11" x14ac:dyDescent="0.3">
      <c r="A217" s="15" t="s">
        <v>452</v>
      </c>
      <c r="B217" s="15" t="s">
        <v>51</v>
      </c>
      <c r="C217" s="15" t="s">
        <v>12</v>
      </c>
      <c r="D217" s="15" t="s">
        <v>13</v>
      </c>
      <c r="E217" s="15">
        <v>18</v>
      </c>
      <c r="F217" s="15">
        <v>9</v>
      </c>
      <c r="G217" s="15" t="s">
        <v>32</v>
      </c>
      <c r="H217" s="15" t="s">
        <v>76</v>
      </c>
      <c r="I217" s="15" t="s">
        <v>453</v>
      </c>
      <c r="J217" s="15">
        <v>35</v>
      </c>
      <c r="K217" s="59" t="str">
        <f t="shared" si="3"/>
        <v>Fail</v>
      </c>
    </row>
    <row r="218" spans="1:11" x14ac:dyDescent="0.3">
      <c r="A218" s="15" t="s">
        <v>454</v>
      </c>
      <c r="B218" s="15" t="s">
        <v>29</v>
      </c>
      <c r="C218" s="15" t="s">
        <v>12</v>
      </c>
      <c r="D218" s="15" t="s">
        <v>31</v>
      </c>
      <c r="E218" s="15">
        <v>16</v>
      </c>
      <c r="F218" s="15">
        <v>11</v>
      </c>
      <c r="G218" s="15" t="s">
        <v>43</v>
      </c>
      <c r="H218" s="15" t="s">
        <v>61</v>
      </c>
      <c r="I218" s="15" t="s">
        <v>385</v>
      </c>
      <c r="J218" s="15">
        <v>40</v>
      </c>
      <c r="K218" s="59" t="str">
        <f t="shared" si="3"/>
        <v>D</v>
      </c>
    </row>
    <row r="219" spans="1:11" x14ac:dyDescent="0.3">
      <c r="A219" s="15" t="s">
        <v>455</v>
      </c>
      <c r="B219" s="15" t="s">
        <v>29</v>
      </c>
      <c r="C219" s="15" t="s">
        <v>30</v>
      </c>
      <c r="D219" s="15" t="s">
        <v>13</v>
      </c>
      <c r="E219" s="15">
        <v>16</v>
      </c>
      <c r="F219" s="15">
        <v>9</v>
      </c>
      <c r="G219" s="15" t="s">
        <v>14</v>
      </c>
      <c r="H219" s="15" t="s">
        <v>61</v>
      </c>
      <c r="I219" s="15" t="s">
        <v>447</v>
      </c>
      <c r="J219" s="15">
        <v>60</v>
      </c>
      <c r="K219" s="59" t="str">
        <f t="shared" si="3"/>
        <v>C</v>
      </c>
    </row>
    <row r="220" spans="1:11" x14ac:dyDescent="0.3">
      <c r="A220" s="15" t="s">
        <v>456</v>
      </c>
      <c r="B220" s="15" t="s">
        <v>11</v>
      </c>
      <c r="C220" s="15" t="s">
        <v>55</v>
      </c>
      <c r="D220" s="15" t="s">
        <v>13</v>
      </c>
      <c r="E220" s="15">
        <v>15</v>
      </c>
      <c r="F220" s="15">
        <v>9</v>
      </c>
      <c r="G220" s="15" t="s">
        <v>32</v>
      </c>
      <c r="H220" s="15" t="s">
        <v>61</v>
      </c>
      <c r="I220" s="15" t="s">
        <v>457</v>
      </c>
      <c r="J220" s="15">
        <v>97</v>
      </c>
      <c r="K220" s="59" t="str">
        <f t="shared" si="3"/>
        <v>A+</v>
      </c>
    </row>
    <row r="221" spans="1:11" x14ac:dyDescent="0.3">
      <c r="A221" s="15" t="s">
        <v>458</v>
      </c>
      <c r="B221" s="15" t="s">
        <v>11</v>
      </c>
      <c r="C221" s="15" t="s">
        <v>55</v>
      </c>
      <c r="D221" s="15" t="s">
        <v>13</v>
      </c>
      <c r="E221" s="15">
        <v>19</v>
      </c>
      <c r="F221" s="15">
        <v>11</v>
      </c>
      <c r="G221" s="15" t="s">
        <v>14</v>
      </c>
      <c r="H221" s="15" t="s">
        <v>46</v>
      </c>
      <c r="I221" s="15" t="s">
        <v>459</v>
      </c>
      <c r="J221" s="15">
        <v>81</v>
      </c>
      <c r="K221" s="59" t="str">
        <f t="shared" si="3"/>
        <v>A</v>
      </c>
    </row>
    <row r="222" spans="1:11" x14ac:dyDescent="0.3">
      <c r="A222" s="15" t="s">
        <v>460</v>
      </c>
      <c r="B222" s="15" t="s">
        <v>51</v>
      </c>
      <c r="C222" s="15" t="s">
        <v>96</v>
      </c>
      <c r="D222" s="15" t="s">
        <v>31</v>
      </c>
      <c r="E222" s="15">
        <v>16</v>
      </c>
      <c r="F222" s="15">
        <v>12</v>
      </c>
      <c r="G222" s="15" t="s">
        <v>43</v>
      </c>
      <c r="H222" s="15" t="s">
        <v>15</v>
      </c>
      <c r="I222" s="15" t="s">
        <v>461</v>
      </c>
      <c r="J222" s="15">
        <v>65</v>
      </c>
      <c r="K222" s="59" t="str">
        <f t="shared" si="3"/>
        <v>C</v>
      </c>
    </row>
    <row r="223" spans="1:11" x14ac:dyDescent="0.3">
      <c r="A223" s="15" t="s">
        <v>462</v>
      </c>
      <c r="B223" s="15" t="s">
        <v>11</v>
      </c>
      <c r="C223" s="15" t="s">
        <v>24</v>
      </c>
      <c r="D223" s="15" t="s">
        <v>31</v>
      </c>
      <c r="E223" s="15">
        <v>19</v>
      </c>
      <c r="F223" s="15">
        <v>12</v>
      </c>
      <c r="G223" s="15" t="s">
        <v>43</v>
      </c>
      <c r="H223" s="15" t="s">
        <v>37</v>
      </c>
      <c r="I223" s="15" t="s">
        <v>463</v>
      </c>
      <c r="J223" s="15">
        <v>45</v>
      </c>
      <c r="K223" s="59" t="str">
        <f t="shared" si="3"/>
        <v>D</v>
      </c>
    </row>
    <row r="224" spans="1:11" x14ac:dyDescent="0.3">
      <c r="A224" s="15" t="s">
        <v>464</v>
      </c>
      <c r="B224" s="15" t="s">
        <v>11</v>
      </c>
      <c r="C224" s="15" t="s">
        <v>36</v>
      </c>
      <c r="D224" s="15" t="s">
        <v>13</v>
      </c>
      <c r="E224" s="15">
        <v>16</v>
      </c>
      <c r="F224" s="15">
        <v>11</v>
      </c>
      <c r="G224" s="15" t="s">
        <v>25</v>
      </c>
      <c r="H224" s="15" t="s">
        <v>40</v>
      </c>
      <c r="I224" s="15" t="s">
        <v>465</v>
      </c>
      <c r="J224" s="15">
        <v>79</v>
      </c>
      <c r="K224" s="59" t="str">
        <f t="shared" si="3"/>
        <v>B</v>
      </c>
    </row>
    <row r="225" spans="1:11" x14ac:dyDescent="0.3">
      <c r="A225" s="15" t="s">
        <v>466</v>
      </c>
      <c r="B225" s="15" t="s">
        <v>11</v>
      </c>
      <c r="C225" s="15" t="s">
        <v>55</v>
      </c>
      <c r="D225" s="15" t="s">
        <v>31</v>
      </c>
      <c r="E225" s="15">
        <v>20</v>
      </c>
      <c r="F225" s="15">
        <v>11</v>
      </c>
      <c r="G225" s="15" t="s">
        <v>32</v>
      </c>
      <c r="H225" s="15" t="s">
        <v>40</v>
      </c>
      <c r="I225" s="15" t="s">
        <v>467</v>
      </c>
      <c r="J225" s="15">
        <v>46</v>
      </c>
      <c r="K225" s="59" t="str">
        <f t="shared" si="3"/>
        <v>D</v>
      </c>
    </row>
    <row r="226" spans="1:11" x14ac:dyDescent="0.3">
      <c r="A226" s="15" t="s">
        <v>468</v>
      </c>
      <c r="B226" s="15" t="s">
        <v>73</v>
      </c>
      <c r="C226" s="15" t="s">
        <v>12</v>
      </c>
      <c r="D226" s="15" t="s">
        <v>13</v>
      </c>
      <c r="E226" s="15">
        <v>17</v>
      </c>
      <c r="F226" s="15">
        <v>10</v>
      </c>
      <c r="G226" s="15" t="s">
        <v>43</v>
      </c>
      <c r="H226" s="15" t="s">
        <v>15</v>
      </c>
      <c r="I226" s="15" t="s">
        <v>469</v>
      </c>
      <c r="J226" s="15">
        <v>75</v>
      </c>
      <c r="K226" s="59" t="str">
        <f t="shared" si="3"/>
        <v>B</v>
      </c>
    </row>
    <row r="227" spans="1:11" x14ac:dyDescent="0.3">
      <c r="A227" s="15" t="s">
        <v>470</v>
      </c>
      <c r="B227" s="15" t="s">
        <v>35</v>
      </c>
      <c r="C227" s="15" t="s">
        <v>96</v>
      </c>
      <c r="D227" s="15" t="s">
        <v>31</v>
      </c>
      <c r="E227" s="15">
        <v>16</v>
      </c>
      <c r="F227" s="15">
        <v>11</v>
      </c>
      <c r="G227" s="15" t="s">
        <v>32</v>
      </c>
      <c r="H227" s="15" t="s">
        <v>61</v>
      </c>
      <c r="I227" s="15" t="s">
        <v>471</v>
      </c>
      <c r="J227" s="15">
        <v>65</v>
      </c>
      <c r="K227" s="59" t="str">
        <f t="shared" si="3"/>
        <v>C</v>
      </c>
    </row>
    <row r="228" spans="1:11" x14ac:dyDescent="0.3">
      <c r="A228" s="15" t="s">
        <v>472</v>
      </c>
      <c r="B228" s="15" t="s">
        <v>84</v>
      </c>
      <c r="C228" s="15" t="s">
        <v>79</v>
      </c>
      <c r="D228" s="15" t="s">
        <v>31</v>
      </c>
      <c r="E228" s="15">
        <v>15</v>
      </c>
      <c r="F228" s="15">
        <v>11</v>
      </c>
      <c r="G228" s="15" t="s">
        <v>14</v>
      </c>
      <c r="H228" s="15" t="s">
        <v>40</v>
      </c>
      <c r="I228" s="15" t="s">
        <v>317</v>
      </c>
      <c r="J228" s="15">
        <v>72</v>
      </c>
      <c r="K228" s="59" t="str">
        <f t="shared" si="3"/>
        <v>B</v>
      </c>
    </row>
    <row r="229" spans="1:11" x14ac:dyDescent="0.3">
      <c r="A229" s="15" t="s">
        <v>473</v>
      </c>
      <c r="B229" s="15" t="s">
        <v>18</v>
      </c>
      <c r="C229" s="15" t="s">
        <v>19</v>
      </c>
      <c r="D229" s="15" t="s">
        <v>31</v>
      </c>
      <c r="E229" s="15">
        <v>16</v>
      </c>
      <c r="F229" s="15">
        <v>11</v>
      </c>
      <c r="G229" s="15" t="s">
        <v>14</v>
      </c>
      <c r="H229" s="15" t="s">
        <v>61</v>
      </c>
      <c r="I229" s="15" t="s">
        <v>474</v>
      </c>
      <c r="J229" s="15">
        <v>75</v>
      </c>
      <c r="K229" s="59" t="str">
        <f t="shared" si="3"/>
        <v>B</v>
      </c>
    </row>
    <row r="230" spans="1:11" x14ac:dyDescent="0.3">
      <c r="A230" s="15" t="s">
        <v>475</v>
      </c>
      <c r="B230" s="15" t="s">
        <v>35</v>
      </c>
      <c r="C230" s="15" t="s">
        <v>79</v>
      </c>
      <c r="D230" s="15" t="s">
        <v>13</v>
      </c>
      <c r="E230" s="15">
        <v>17</v>
      </c>
      <c r="F230" s="15">
        <v>9</v>
      </c>
      <c r="G230" s="15" t="s">
        <v>32</v>
      </c>
      <c r="H230" s="15" t="s">
        <v>15</v>
      </c>
      <c r="I230" s="15" t="s">
        <v>248</v>
      </c>
      <c r="J230" s="15">
        <v>50</v>
      </c>
      <c r="K230" s="59" t="str">
        <f t="shared" si="3"/>
        <v>D</v>
      </c>
    </row>
    <row r="231" spans="1:11" x14ac:dyDescent="0.3">
      <c r="A231" s="15" t="s">
        <v>476</v>
      </c>
      <c r="B231" s="15" t="s">
        <v>29</v>
      </c>
      <c r="C231" s="15" t="s">
        <v>55</v>
      </c>
      <c r="D231" s="15" t="s">
        <v>13</v>
      </c>
      <c r="E231" s="15">
        <v>19</v>
      </c>
      <c r="F231" s="15">
        <v>10</v>
      </c>
      <c r="G231" s="15" t="s">
        <v>43</v>
      </c>
      <c r="H231" s="15" t="s">
        <v>26</v>
      </c>
      <c r="I231" s="15" t="s">
        <v>477</v>
      </c>
      <c r="J231" s="15">
        <v>88</v>
      </c>
      <c r="K231" s="59" t="str">
        <f t="shared" si="3"/>
        <v>A</v>
      </c>
    </row>
    <row r="232" spans="1:11" x14ac:dyDescent="0.3">
      <c r="A232" s="15" t="s">
        <v>478</v>
      </c>
      <c r="B232" s="15" t="s">
        <v>11</v>
      </c>
      <c r="C232" s="15" t="s">
        <v>36</v>
      </c>
      <c r="D232" s="15" t="s">
        <v>13</v>
      </c>
      <c r="E232" s="15">
        <v>17</v>
      </c>
      <c r="F232" s="15">
        <v>12</v>
      </c>
      <c r="G232" s="15" t="s">
        <v>14</v>
      </c>
      <c r="H232" s="15" t="s">
        <v>37</v>
      </c>
      <c r="I232" s="15" t="s">
        <v>479</v>
      </c>
      <c r="J232" s="15">
        <v>63</v>
      </c>
      <c r="K232" s="59" t="str">
        <f t="shared" si="3"/>
        <v>C</v>
      </c>
    </row>
    <row r="233" spans="1:11" x14ac:dyDescent="0.3">
      <c r="A233" s="15" t="s">
        <v>480</v>
      </c>
      <c r="B233" s="15" t="s">
        <v>35</v>
      </c>
      <c r="C233" s="15" t="s">
        <v>12</v>
      </c>
      <c r="D233" s="15" t="s">
        <v>31</v>
      </c>
      <c r="E233" s="15">
        <v>18</v>
      </c>
      <c r="F233" s="15">
        <v>10</v>
      </c>
      <c r="G233" s="15" t="s">
        <v>14</v>
      </c>
      <c r="H233" s="15" t="s">
        <v>37</v>
      </c>
      <c r="I233" s="15" t="s">
        <v>481</v>
      </c>
      <c r="J233" s="15">
        <v>36</v>
      </c>
      <c r="K233" s="59" t="str">
        <f t="shared" si="3"/>
        <v>Fail</v>
      </c>
    </row>
    <row r="234" spans="1:11" x14ac:dyDescent="0.3">
      <c r="A234" s="15" t="s">
        <v>482</v>
      </c>
      <c r="B234" s="15" t="s">
        <v>35</v>
      </c>
      <c r="C234" s="15" t="s">
        <v>24</v>
      </c>
      <c r="D234" s="15" t="s">
        <v>13</v>
      </c>
      <c r="E234" s="15">
        <v>18</v>
      </c>
      <c r="F234" s="15">
        <v>11</v>
      </c>
      <c r="G234" s="15" t="s">
        <v>14</v>
      </c>
      <c r="H234" s="15" t="s">
        <v>61</v>
      </c>
      <c r="I234" s="15" t="s">
        <v>483</v>
      </c>
      <c r="J234" s="15">
        <v>86</v>
      </c>
      <c r="K234" s="59" t="str">
        <f t="shared" si="3"/>
        <v>A</v>
      </c>
    </row>
    <row r="235" spans="1:11" x14ac:dyDescent="0.3">
      <c r="A235" s="15" t="s">
        <v>484</v>
      </c>
      <c r="B235" s="15" t="s">
        <v>29</v>
      </c>
      <c r="C235" s="15" t="s">
        <v>79</v>
      </c>
      <c r="D235" s="15" t="s">
        <v>31</v>
      </c>
      <c r="E235" s="15">
        <v>14</v>
      </c>
      <c r="F235" s="15">
        <v>11</v>
      </c>
      <c r="G235" s="15" t="s">
        <v>32</v>
      </c>
      <c r="H235" s="15" t="s">
        <v>40</v>
      </c>
      <c r="I235" s="15" t="s">
        <v>184</v>
      </c>
      <c r="J235" s="15">
        <v>42</v>
      </c>
      <c r="K235" s="59" t="str">
        <f t="shared" si="3"/>
        <v>D</v>
      </c>
    </row>
    <row r="236" spans="1:11" x14ac:dyDescent="0.3">
      <c r="A236" s="15" t="s">
        <v>485</v>
      </c>
      <c r="B236" s="15" t="s">
        <v>18</v>
      </c>
      <c r="C236" s="15" t="s">
        <v>12</v>
      </c>
      <c r="D236" s="15" t="s">
        <v>31</v>
      </c>
      <c r="E236" s="15">
        <v>16</v>
      </c>
      <c r="F236" s="15">
        <v>12</v>
      </c>
      <c r="G236" s="15" t="s">
        <v>14</v>
      </c>
      <c r="H236" s="15" t="s">
        <v>76</v>
      </c>
      <c r="I236" s="15" t="s">
        <v>486</v>
      </c>
      <c r="J236" s="15">
        <v>70</v>
      </c>
      <c r="K236" s="59" t="str">
        <f t="shared" si="3"/>
        <v>B</v>
      </c>
    </row>
    <row r="237" spans="1:11" x14ac:dyDescent="0.3">
      <c r="A237" s="15" t="s">
        <v>487</v>
      </c>
      <c r="B237" s="15" t="s">
        <v>18</v>
      </c>
      <c r="C237" s="15" t="s">
        <v>79</v>
      </c>
      <c r="D237" s="15" t="s">
        <v>13</v>
      </c>
      <c r="E237" s="15">
        <v>16</v>
      </c>
      <c r="F237" s="15">
        <v>11</v>
      </c>
      <c r="G237" s="15" t="s">
        <v>43</v>
      </c>
      <c r="H237" s="15" t="s">
        <v>61</v>
      </c>
      <c r="I237" s="15" t="s">
        <v>488</v>
      </c>
      <c r="J237" s="15">
        <v>86</v>
      </c>
      <c r="K237" s="59" t="str">
        <f t="shared" si="3"/>
        <v>A</v>
      </c>
    </row>
    <row r="238" spans="1:11" x14ac:dyDescent="0.3">
      <c r="A238" s="15" t="s">
        <v>489</v>
      </c>
      <c r="B238" s="15" t="s">
        <v>68</v>
      </c>
      <c r="C238" s="15" t="s">
        <v>58</v>
      </c>
      <c r="D238" s="15" t="s">
        <v>31</v>
      </c>
      <c r="E238" s="15">
        <v>20</v>
      </c>
      <c r="F238" s="15">
        <v>10</v>
      </c>
      <c r="G238" s="15" t="s">
        <v>32</v>
      </c>
      <c r="H238" s="15" t="s">
        <v>20</v>
      </c>
      <c r="I238" s="15" t="s">
        <v>370</v>
      </c>
      <c r="J238" s="15">
        <v>93</v>
      </c>
      <c r="K238" s="59" t="str">
        <f t="shared" si="3"/>
        <v>A+</v>
      </c>
    </row>
    <row r="239" spans="1:11" x14ac:dyDescent="0.3">
      <c r="A239" s="15" t="s">
        <v>490</v>
      </c>
      <c r="B239" s="15" t="s">
        <v>73</v>
      </c>
      <c r="C239" s="15" t="s">
        <v>96</v>
      </c>
      <c r="D239" s="15" t="s">
        <v>13</v>
      </c>
      <c r="E239" s="15">
        <v>17</v>
      </c>
      <c r="F239" s="15">
        <v>10</v>
      </c>
      <c r="G239" s="15" t="s">
        <v>32</v>
      </c>
      <c r="H239" s="15" t="s">
        <v>61</v>
      </c>
      <c r="I239" s="15" t="s">
        <v>491</v>
      </c>
      <c r="J239" s="15">
        <v>60</v>
      </c>
      <c r="K239" s="59" t="str">
        <f t="shared" si="3"/>
        <v>C</v>
      </c>
    </row>
    <row r="240" spans="1:11" x14ac:dyDescent="0.3">
      <c r="A240" s="15" t="s">
        <v>492</v>
      </c>
      <c r="B240" s="15" t="s">
        <v>18</v>
      </c>
      <c r="C240" s="15" t="s">
        <v>85</v>
      </c>
      <c r="D240" s="15" t="s">
        <v>31</v>
      </c>
      <c r="E240" s="15">
        <v>19</v>
      </c>
      <c r="F240" s="15">
        <v>11</v>
      </c>
      <c r="G240" s="15" t="s">
        <v>43</v>
      </c>
      <c r="H240" s="15" t="s">
        <v>15</v>
      </c>
      <c r="I240" s="15" t="s">
        <v>394</v>
      </c>
      <c r="J240" s="15">
        <v>50</v>
      </c>
      <c r="K240" s="59" t="str">
        <f t="shared" si="3"/>
        <v>D</v>
      </c>
    </row>
    <row r="241" spans="1:11" x14ac:dyDescent="0.3">
      <c r="A241" s="15" t="s">
        <v>493</v>
      </c>
      <c r="B241" s="15" t="s">
        <v>51</v>
      </c>
      <c r="C241" s="15" t="s">
        <v>96</v>
      </c>
      <c r="D241" s="15" t="s">
        <v>31</v>
      </c>
      <c r="E241" s="15">
        <v>14</v>
      </c>
      <c r="F241" s="15">
        <v>12</v>
      </c>
      <c r="G241" s="15" t="s">
        <v>14</v>
      </c>
      <c r="H241" s="15" t="s">
        <v>26</v>
      </c>
      <c r="I241" s="15" t="s">
        <v>494</v>
      </c>
      <c r="J241" s="15">
        <v>47</v>
      </c>
      <c r="K241" s="59" t="str">
        <f t="shared" si="3"/>
        <v>D</v>
      </c>
    </row>
    <row r="242" spans="1:11" x14ac:dyDescent="0.3">
      <c r="A242" s="15" t="s">
        <v>495</v>
      </c>
      <c r="B242" s="15" t="s">
        <v>35</v>
      </c>
      <c r="C242" s="15" t="s">
        <v>12</v>
      </c>
      <c r="D242" s="15" t="s">
        <v>13</v>
      </c>
      <c r="E242" s="15">
        <v>15</v>
      </c>
      <c r="F242" s="15">
        <v>12</v>
      </c>
      <c r="G242" s="15" t="s">
        <v>43</v>
      </c>
      <c r="H242" s="15" t="s">
        <v>20</v>
      </c>
      <c r="I242" s="15" t="s">
        <v>496</v>
      </c>
      <c r="J242" s="15">
        <v>49</v>
      </c>
      <c r="K242" s="59" t="str">
        <f t="shared" si="3"/>
        <v>D</v>
      </c>
    </row>
    <row r="243" spans="1:11" x14ac:dyDescent="0.3">
      <c r="A243" s="15" t="s">
        <v>497</v>
      </c>
      <c r="B243" s="15" t="s">
        <v>51</v>
      </c>
      <c r="C243" s="15" t="s">
        <v>96</v>
      </c>
      <c r="D243" s="15" t="s">
        <v>13</v>
      </c>
      <c r="E243" s="15">
        <v>16</v>
      </c>
      <c r="F243" s="15">
        <v>9</v>
      </c>
      <c r="G243" s="15" t="s">
        <v>25</v>
      </c>
      <c r="H243" s="15" t="s">
        <v>26</v>
      </c>
      <c r="I243" s="15" t="s">
        <v>498</v>
      </c>
      <c r="J243" s="15">
        <v>42</v>
      </c>
      <c r="K243" s="59" t="str">
        <f t="shared" si="3"/>
        <v>D</v>
      </c>
    </row>
    <row r="244" spans="1:11" x14ac:dyDescent="0.3">
      <c r="A244" s="15" t="s">
        <v>499</v>
      </c>
      <c r="B244" s="15" t="s">
        <v>54</v>
      </c>
      <c r="C244" s="15" t="s">
        <v>19</v>
      </c>
      <c r="D244" s="15" t="s">
        <v>31</v>
      </c>
      <c r="E244" s="15">
        <v>20</v>
      </c>
      <c r="F244" s="15">
        <v>9</v>
      </c>
      <c r="G244" s="15" t="s">
        <v>32</v>
      </c>
      <c r="H244" s="15" t="s">
        <v>46</v>
      </c>
      <c r="I244" s="15" t="s">
        <v>500</v>
      </c>
      <c r="J244" s="15">
        <v>42</v>
      </c>
      <c r="K244" s="59" t="str">
        <f t="shared" si="3"/>
        <v>D</v>
      </c>
    </row>
    <row r="245" spans="1:11" x14ac:dyDescent="0.3">
      <c r="A245" s="15" t="s">
        <v>501</v>
      </c>
      <c r="B245" s="15" t="s">
        <v>84</v>
      </c>
      <c r="C245" s="15" t="s">
        <v>19</v>
      </c>
      <c r="D245" s="15" t="s">
        <v>13</v>
      </c>
      <c r="E245" s="15">
        <v>18</v>
      </c>
      <c r="F245" s="15">
        <v>10</v>
      </c>
      <c r="G245" s="15" t="s">
        <v>14</v>
      </c>
      <c r="H245" s="15" t="s">
        <v>61</v>
      </c>
      <c r="I245" s="15" t="s">
        <v>502</v>
      </c>
      <c r="J245" s="15">
        <v>76</v>
      </c>
      <c r="K245" s="59" t="str">
        <f t="shared" si="3"/>
        <v>B</v>
      </c>
    </row>
    <row r="246" spans="1:11" x14ac:dyDescent="0.3">
      <c r="A246" s="15" t="s">
        <v>503</v>
      </c>
      <c r="B246" s="15" t="s">
        <v>84</v>
      </c>
      <c r="C246" s="15" t="s">
        <v>19</v>
      </c>
      <c r="D246" s="15" t="s">
        <v>31</v>
      </c>
      <c r="E246" s="15">
        <v>15</v>
      </c>
      <c r="F246" s="15">
        <v>10</v>
      </c>
      <c r="G246" s="15" t="s">
        <v>43</v>
      </c>
      <c r="H246" s="15" t="s">
        <v>61</v>
      </c>
      <c r="I246" s="15" t="s">
        <v>504</v>
      </c>
      <c r="J246" s="15">
        <v>44</v>
      </c>
      <c r="K246" s="59" t="str">
        <f t="shared" si="3"/>
        <v>D</v>
      </c>
    </row>
    <row r="247" spans="1:11" x14ac:dyDescent="0.3">
      <c r="A247" s="15" t="s">
        <v>505</v>
      </c>
      <c r="B247" s="15" t="s">
        <v>11</v>
      </c>
      <c r="C247" s="15" t="s">
        <v>12</v>
      </c>
      <c r="D247" s="15" t="s">
        <v>31</v>
      </c>
      <c r="E247" s="15">
        <v>19</v>
      </c>
      <c r="F247" s="15">
        <v>10</v>
      </c>
      <c r="G247" s="15" t="s">
        <v>14</v>
      </c>
      <c r="H247" s="15" t="s">
        <v>40</v>
      </c>
      <c r="I247" s="15" t="s">
        <v>506</v>
      </c>
      <c r="J247" s="15">
        <v>77</v>
      </c>
      <c r="K247" s="59" t="str">
        <f t="shared" si="3"/>
        <v>B</v>
      </c>
    </row>
    <row r="248" spans="1:11" x14ac:dyDescent="0.3">
      <c r="A248" s="15" t="s">
        <v>507</v>
      </c>
      <c r="B248" s="15" t="s">
        <v>54</v>
      </c>
      <c r="C248" s="15" t="s">
        <v>12</v>
      </c>
      <c r="D248" s="15" t="s">
        <v>31</v>
      </c>
      <c r="E248" s="15">
        <v>16</v>
      </c>
      <c r="F248" s="15">
        <v>12</v>
      </c>
      <c r="G248" s="15" t="s">
        <v>43</v>
      </c>
      <c r="H248" s="15" t="s">
        <v>61</v>
      </c>
      <c r="I248" s="15" t="s">
        <v>483</v>
      </c>
      <c r="J248" s="15">
        <v>45</v>
      </c>
      <c r="K248" s="59" t="str">
        <f t="shared" si="3"/>
        <v>D</v>
      </c>
    </row>
    <row r="249" spans="1:11" x14ac:dyDescent="0.3">
      <c r="A249" s="15" t="s">
        <v>508</v>
      </c>
      <c r="B249" s="15" t="s">
        <v>73</v>
      </c>
      <c r="C249" s="15" t="s">
        <v>55</v>
      </c>
      <c r="D249" s="15" t="s">
        <v>13</v>
      </c>
      <c r="E249" s="15">
        <v>15</v>
      </c>
      <c r="F249" s="15">
        <v>11</v>
      </c>
      <c r="G249" s="15" t="s">
        <v>43</v>
      </c>
      <c r="H249" s="15" t="s">
        <v>46</v>
      </c>
      <c r="I249" s="15" t="s">
        <v>509</v>
      </c>
      <c r="J249" s="15">
        <v>54</v>
      </c>
      <c r="K249" s="59" t="str">
        <f t="shared" si="3"/>
        <v>D</v>
      </c>
    </row>
    <row r="250" spans="1:11" x14ac:dyDescent="0.3">
      <c r="A250" s="15" t="s">
        <v>510</v>
      </c>
      <c r="B250" s="15" t="s">
        <v>54</v>
      </c>
      <c r="C250" s="15" t="s">
        <v>79</v>
      </c>
      <c r="D250" s="15" t="s">
        <v>31</v>
      </c>
      <c r="E250" s="15">
        <v>15</v>
      </c>
      <c r="F250" s="15">
        <v>9</v>
      </c>
      <c r="G250" s="15" t="s">
        <v>14</v>
      </c>
      <c r="H250" s="15" t="s">
        <v>40</v>
      </c>
      <c r="I250" s="15" t="s">
        <v>479</v>
      </c>
      <c r="J250" s="15">
        <v>66</v>
      </c>
      <c r="K250" s="59" t="str">
        <f t="shared" si="3"/>
        <v>C</v>
      </c>
    </row>
    <row r="251" spans="1:11" x14ac:dyDescent="0.3">
      <c r="A251" s="15" t="s">
        <v>511</v>
      </c>
      <c r="B251" s="15" t="s">
        <v>35</v>
      </c>
      <c r="C251" s="15" t="s">
        <v>19</v>
      </c>
      <c r="D251" s="15" t="s">
        <v>31</v>
      </c>
      <c r="E251" s="15">
        <v>15</v>
      </c>
      <c r="F251" s="15">
        <v>9</v>
      </c>
      <c r="G251" s="15" t="s">
        <v>25</v>
      </c>
      <c r="H251" s="15" t="s">
        <v>15</v>
      </c>
      <c r="I251" s="15" t="s">
        <v>512</v>
      </c>
      <c r="J251" s="15">
        <v>95</v>
      </c>
      <c r="K251" s="59" t="str">
        <f t="shared" si="3"/>
        <v>A+</v>
      </c>
    </row>
    <row r="252" spans="1:11" x14ac:dyDescent="0.3">
      <c r="A252" s="15" t="s">
        <v>513</v>
      </c>
      <c r="B252" s="15" t="s">
        <v>11</v>
      </c>
      <c r="C252" s="15" t="s">
        <v>19</v>
      </c>
      <c r="D252" s="15" t="s">
        <v>31</v>
      </c>
      <c r="E252" s="15">
        <v>14</v>
      </c>
      <c r="F252" s="15">
        <v>12</v>
      </c>
      <c r="G252" s="15" t="s">
        <v>32</v>
      </c>
      <c r="H252" s="15" t="s">
        <v>15</v>
      </c>
      <c r="I252" s="15" t="s">
        <v>381</v>
      </c>
      <c r="J252" s="15">
        <v>65</v>
      </c>
      <c r="K252" s="59" t="str">
        <f t="shared" si="3"/>
        <v>C</v>
      </c>
    </row>
    <row r="253" spans="1:11" x14ac:dyDescent="0.3">
      <c r="A253" s="15" t="s">
        <v>514</v>
      </c>
      <c r="B253" s="15" t="s">
        <v>11</v>
      </c>
      <c r="C253" s="15" t="s">
        <v>12</v>
      </c>
      <c r="D253" s="15" t="s">
        <v>31</v>
      </c>
      <c r="E253" s="15">
        <v>15</v>
      </c>
      <c r="F253" s="15">
        <v>11</v>
      </c>
      <c r="G253" s="15" t="s">
        <v>25</v>
      </c>
      <c r="H253" s="15" t="s">
        <v>20</v>
      </c>
      <c r="I253" s="15" t="s">
        <v>515</v>
      </c>
      <c r="J253" s="15">
        <v>61</v>
      </c>
      <c r="K253" s="59" t="str">
        <f t="shared" si="3"/>
        <v>C</v>
      </c>
    </row>
    <row r="254" spans="1:11" x14ac:dyDescent="0.3">
      <c r="A254" s="15" t="s">
        <v>516</v>
      </c>
      <c r="B254" s="15" t="s">
        <v>18</v>
      </c>
      <c r="C254" s="15" t="s">
        <v>96</v>
      </c>
      <c r="D254" s="15" t="s">
        <v>31</v>
      </c>
      <c r="E254" s="15">
        <v>14</v>
      </c>
      <c r="F254" s="15">
        <v>11</v>
      </c>
      <c r="G254" s="15" t="s">
        <v>32</v>
      </c>
      <c r="H254" s="15" t="s">
        <v>46</v>
      </c>
      <c r="I254" s="15" t="s">
        <v>517</v>
      </c>
      <c r="J254" s="15">
        <v>86</v>
      </c>
      <c r="K254" s="59" t="str">
        <f t="shared" si="3"/>
        <v>A</v>
      </c>
    </row>
    <row r="255" spans="1:11" x14ac:dyDescent="0.3">
      <c r="A255" s="15" t="s">
        <v>518</v>
      </c>
      <c r="B255" s="15" t="s">
        <v>51</v>
      </c>
      <c r="C255" s="15" t="s">
        <v>96</v>
      </c>
      <c r="D255" s="15" t="s">
        <v>31</v>
      </c>
      <c r="E255" s="15">
        <v>17</v>
      </c>
      <c r="F255" s="15">
        <v>11</v>
      </c>
      <c r="G255" s="15" t="s">
        <v>25</v>
      </c>
      <c r="H255" s="15" t="s">
        <v>61</v>
      </c>
      <c r="I255" s="15" t="s">
        <v>519</v>
      </c>
      <c r="J255" s="15">
        <v>52</v>
      </c>
      <c r="K255" s="59" t="str">
        <f t="shared" si="3"/>
        <v>D</v>
      </c>
    </row>
    <row r="256" spans="1:11" x14ac:dyDescent="0.3">
      <c r="A256" s="15" t="s">
        <v>520</v>
      </c>
      <c r="B256" s="15" t="s">
        <v>68</v>
      </c>
      <c r="C256" s="15" t="s">
        <v>12</v>
      </c>
      <c r="D256" s="15" t="s">
        <v>31</v>
      </c>
      <c r="E256" s="15">
        <v>20</v>
      </c>
      <c r="F256" s="15">
        <v>10</v>
      </c>
      <c r="G256" s="15" t="s">
        <v>32</v>
      </c>
      <c r="H256" s="15" t="s">
        <v>26</v>
      </c>
      <c r="I256" s="15" t="s">
        <v>521</v>
      </c>
      <c r="J256" s="15">
        <v>42</v>
      </c>
      <c r="K256" s="59" t="str">
        <f t="shared" si="3"/>
        <v>D</v>
      </c>
    </row>
    <row r="257" spans="1:11" x14ac:dyDescent="0.3">
      <c r="A257" s="15" t="s">
        <v>522</v>
      </c>
      <c r="B257" s="15" t="s">
        <v>54</v>
      </c>
      <c r="C257" s="15" t="s">
        <v>79</v>
      </c>
      <c r="D257" s="15" t="s">
        <v>31</v>
      </c>
      <c r="E257" s="15">
        <v>18</v>
      </c>
      <c r="F257" s="15">
        <v>10</v>
      </c>
      <c r="G257" s="15" t="s">
        <v>14</v>
      </c>
      <c r="H257" s="15" t="s">
        <v>61</v>
      </c>
      <c r="I257" s="15" t="s">
        <v>523</v>
      </c>
      <c r="J257" s="15">
        <v>82</v>
      </c>
      <c r="K257" s="59" t="str">
        <f t="shared" si="3"/>
        <v>A</v>
      </c>
    </row>
    <row r="258" spans="1:11" x14ac:dyDescent="0.3">
      <c r="A258" s="15" t="s">
        <v>524</v>
      </c>
      <c r="B258" s="15" t="s">
        <v>35</v>
      </c>
      <c r="C258" s="15" t="s">
        <v>85</v>
      </c>
      <c r="D258" s="15" t="s">
        <v>13</v>
      </c>
      <c r="E258" s="15">
        <v>20</v>
      </c>
      <c r="F258" s="15">
        <v>10</v>
      </c>
      <c r="G258" s="15" t="s">
        <v>14</v>
      </c>
      <c r="H258" s="15" t="s">
        <v>40</v>
      </c>
      <c r="I258" s="15" t="s">
        <v>525</v>
      </c>
      <c r="J258" s="15">
        <v>92</v>
      </c>
      <c r="K258" s="59" t="str">
        <f t="shared" si="3"/>
        <v>A+</v>
      </c>
    </row>
    <row r="259" spans="1:11" x14ac:dyDescent="0.3">
      <c r="A259" s="15" t="s">
        <v>526</v>
      </c>
      <c r="B259" s="15" t="s">
        <v>18</v>
      </c>
      <c r="C259" s="15" t="s">
        <v>12</v>
      </c>
      <c r="D259" s="15" t="s">
        <v>31</v>
      </c>
      <c r="E259" s="15">
        <v>18</v>
      </c>
      <c r="F259" s="15">
        <v>9</v>
      </c>
      <c r="G259" s="15" t="s">
        <v>14</v>
      </c>
      <c r="H259" s="15" t="s">
        <v>15</v>
      </c>
      <c r="I259" s="15" t="s">
        <v>346</v>
      </c>
      <c r="J259" s="15">
        <v>59</v>
      </c>
      <c r="K259" s="59" t="str">
        <f t="shared" si="3"/>
        <v>D</v>
      </c>
    </row>
    <row r="260" spans="1:11" x14ac:dyDescent="0.3">
      <c r="A260" s="15" t="s">
        <v>527</v>
      </c>
      <c r="B260" s="15" t="s">
        <v>11</v>
      </c>
      <c r="C260" s="15" t="s">
        <v>85</v>
      </c>
      <c r="D260" s="15" t="s">
        <v>13</v>
      </c>
      <c r="E260" s="15">
        <v>20</v>
      </c>
      <c r="F260" s="15">
        <v>12</v>
      </c>
      <c r="G260" s="15" t="s">
        <v>25</v>
      </c>
      <c r="H260" s="15" t="s">
        <v>46</v>
      </c>
      <c r="I260" s="15" t="s">
        <v>451</v>
      </c>
      <c r="J260" s="15">
        <v>86</v>
      </c>
      <c r="K260" s="59" t="str">
        <f t="shared" si="3"/>
        <v>A</v>
      </c>
    </row>
    <row r="261" spans="1:11" x14ac:dyDescent="0.3">
      <c r="A261" s="15" t="s">
        <v>528</v>
      </c>
      <c r="B261" s="15" t="s">
        <v>51</v>
      </c>
      <c r="C261" s="15" t="s">
        <v>19</v>
      </c>
      <c r="D261" s="15" t="s">
        <v>13</v>
      </c>
      <c r="E261" s="15">
        <v>19</v>
      </c>
      <c r="F261" s="15">
        <v>9</v>
      </c>
      <c r="G261" s="15" t="s">
        <v>43</v>
      </c>
      <c r="H261" s="15" t="s">
        <v>46</v>
      </c>
      <c r="I261" s="15" t="s">
        <v>222</v>
      </c>
      <c r="J261" s="15">
        <v>46</v>
      </c>
      <c r="K261" s="59" t="str">
        <f t="shared" ref="K261:K324" si="4">_xlfn.IFS($J261&gt;=90,"A+",$J261&gt;=80,"A",$J261&gt;=70,"B",$J261&gt;=60,"C",$J261&gt;=40,"D",$J261&lt;40,"Fail")</f>
        <v>D</v>
      </c>
    </row>
    <row r="262" spans="1:11" x14ac:dyDescent="0.3">
      <c r="A262" s="15" t="s">
        <v>529</v>
      </c>
      <c r="B262" s="15" t="s">
        <v>84</v>
      </c>
      <c r="C262" s="15" t="s">
        <v>24</v>
      </c>
      <c r="D262" s="15" t="s">
        <v>31</v>
      </c>
      <c r="E262" s="15">
        <v>20</v>
      </c>
      <c r="F262" s="15">
        <v>12</v>
      </c>
      <c r="G262" s="15" t="s">
        <v>25</v>
      </c>
      <c r="H262" s="15" t="s">
        <v>76</v>
      </c>
      <c r="I262" s="15" t="s">
        <v>186</v>
      </c>
      <c r="J262" s="15">
        <v>51</v>
      </c>
      <c r="K262" s="59" t="str">
        <f t="shared" si="4"/>
        <v>D</v>
      </c>
    </row>
    <row r="263" spans="1:11" x14ac:dyDescent="0.3">
      <c r="A263" s="15" t="s">
        <v>530</v>
      </c>
      <c r="B263" s="15" t="s">
        <v>54</v>
      </c>
      <c r="C263" s="15" t="s">
        <v>58</v>
      </c>
      <c r="D263" s="15" t="s">
        <v>13</v>
      </c>
      <c r="E263" s="15">
        <v>17</v>
      </c>
      <c r="F263" s="15">
        <v>10</v>
      </c>
      <c r="G263" s="15" t="s">
        <v>32</v>
      </c>
      <c r="H263" s="15" t="s">
        <v>15</v>
      </c>
      <c r="I263" s="15" t="s">
        <v>64</v>
      </c>
      <c r="J263" s="15">
        <v>46</v>
      </c>
      <c r="K263" s="59" t="str">
        <f t="shared" si="4"/>
        <v>D</v>
      </c>
    </row>
    <row r="264" spans="1:11" x14ac:dyDescent="0.3">
      <c r="A264" s="15" t="s">
        <v>531</v>
      </c>
      <c r="B264" s="15" t="s">
        <v>23</v>
      </c>
      <c r="C264" s="15" t="s">
        <v>36</v>
      </c>
      <c r="D264" s="15" t="s">
        <v>13</v>
      </c>
      <c r="E264" s="15">
        <v>20</v>
      </c>
      <c r="F264" s="15">
        <v>11</v>
      </c>
      <c r="G264" s="15" t="s">
        <v>43</v>
      </c>
      <c r="H264" s="15" t="s">
        <v>20</v>
      </c>
      <c r="I264" s="15" t="s">
        <v>178</v>
      </c>
      <c r="J264" s="15">
        <v>44</v>
      </c>
      <c r="K264" s="59" t="str">
        <f t="shared" si="4"/>
        <v>D</v>
      </c>
    </row>
    <row r="265" spans="1:11" x14ac:dyDescent="0.3">
      <c r="A265" s="15" t="s">
        <v>532</v>
      </c>
      <c r="B265" s="15" t="s">
        <v>51</v>
      </c>
      <c r="C265" s="15" t="s">
        <v>19</v>
      </c>
      <c r="D265" s="15" t="s">
        <v>31</v>
      </c>
      <c r="E265" s="15">
        <v>14</v>
      </c>
      <c r="F265" s="15">
        <v>11</v>
      </c>
      <c r="G265" s="15" t="s">
        <v>43</v>
      </c>
      <c r="H265" s="15" t="s">
        <v>20</v>
      </c>
      <c r="I265" s="15" t="s">
        <v>533</v>
      </c>
      <c r="J265" s="15">
        <v>93</v>
      </c>
      <c r="K265" s="59" t="str">
        <f t="shared" si="4"/>
        <v>A+</v>
      </c>
    </row>
    <row r="266" spans="1:11" x14ac:dyDescent="0.3">
      <c r="A266" s="15" t="s">
        <v>534</v>
      </c>
      <c r="B266" s="15" t="s">
        <v>23</v>
      </c>
      <c r="C266" s="15" t="s">
        <v>19</v>
      </c>
      <c r="D266" s="15" t="s">
        <v>13</v>
      </c>
      <c r="E266" s="15">
        <v>20</v>
      </c>
      <c r="F266" s="15">
        <v>11</v>
      </c>
      <c r="G266" s="15" t="s">
        <v>32</v>
      </c>
      <c r="H266" s="15" t="s">
        <v>76</v>
      </c>
      <c r="I266" s="15" t="s">
        <v>358</v>
      </c>
      <c r="J266" s="15">
        <v>41</v>
      </c>
      <c r="K266" s="59" t="str">
        <f t="shared" si="4"/>
        <v>D</v>
      </c>
    </row>
    <row r="267" spans="1:11" x14ac:dyDescent="0.3">
      <c r="A267" s="15" t="s">
        <v>535</v>
      </c>
      <c r="B267" s="15" t="s">
        <v>84</v>
      </c>
      <c r="C267" s="15" t="s">
        <v>58</v>
      </c>
      <c r="D267" s="15" t="s">
        <v>13</v>
      </c>
      <c r="E267" s="15">
        <v>20</v>
      </c>
      <c r="F267" s="15">
        <v>9</v>
      </c>
      <c r="G267" s="15" t="s">
        <v>25</v>
      </c>
      <c r="H267" s="15" t="s">
        <v>46</v>
      </c>
      <c r="I267" s="15" t="s">
        <v>536</v>
      </c>
      <c r="J267" s="15">
        <v>58</v>
      </c>
      <c r="K267" s="59" t="str">
        <f t="shared" si="4"/>
        <v>D</v>
      </c>
    </row>
    <row r="268" spans="1:11" x14ac:dyDescent="0.3">
      <c r="A268" s="15" t="s">
        <v>537</v>
      </c>
      <c r="B268" s="15" t="s">
        <v>68</v>
      </c>
      <c r="C268" s="15" t="s">
        <v>36</v>
      </c>
      <c r="D268" s="15" t="s">
        <v>31</v>
      </c>
      <c r="E268" s="15">
        <v>16</v>
      </c>
      <c r="F268" s="15">
        <v>12</v>
      </c>
      <c r="G268" s="15" t="s">
        <v>25</v>
      </c>
      <c r="H268" s="15" t="s">
        <v>26</v>
      </c>
      <c r="I268" s="15" t="s">
        <v>538</v>
      </c>
      <c r="J268" s="15">
        <v>42</v>
      </c>
      <c r="K268" s="59" t="str">
        <f t="shared" si="4"/>
        <v>D</v>
      </c>
    </row>
    <row r="269" spans="1:11" x14ac:dyDescent="0.3">
      <c r="A269" s="15" t="s">
        <v>539</v>
      </c>
      <c r="B269" s="15" t="s">
        <v>73</v>
      </c>
      <c r="C269" s="15" t="s">
        <v>36</v>
      </c>
      <c r="D269" s="15" t="s">
        <v>31</v>
      </c>
      <c r="E269" s="15">
        <v>14</v>
      </c>
      <c r="F269" s="15">
        <v>12</v>
      </c>
      <c r="G269" s="15" t="s">
        <v>43</v>
      </c>
      <c r="H269" s="15" t="s">
        <v>61</v>
      </c>
      <c r="I269" s="15" t="s">
        <v>387</v>
      </c>
      <c r="J269" s="15">
        <v>37</v>
      </c>
      <c r="K269" s="59" t="str">
        <f t="shared" si="4"/>
        <v>Fail</v>
      </c>
    </row>
    <row r="270" spans="1:11" x14ac:dyDescent="0.3">
      <c r="A270" s="15" t="s">
        <v>540</v>
      </c>
      <c r="B270" s="15" t="s">
        <v>51</v>
      </c>
      <c r="C270" s="15" t="s">
        <v>85</v>
      </c>
      <c r="D270" s="15" t="s">
        <v>13</v>
      </c>
      <c r="E270" s="15">
        <v>18</v>
      </c>
      <c r="F270" s="15">
        <v>10</v>
      </c>
      <c r="G270" s="15" t="s">
        <v>14</v>
      </c>
      <c r="H270" s="15" t="s">
        <v>46</v>
      </c>
      <c r="I270" s="15" t="s">
        <v>541</v>
      </c>
      <c r="J270" s="15">
        <v>63</v>
      </c>
      <c r="K270" s="59" t="str">
        <f t="shared" si="4"/>
        <v>C</v>
      </c>
    </row>
    <row r="271" spans="1:11" x14ac:dyDescent="0.3">
      <c r="A271" s="15" t="s">
        <v>542</v>
      </c>
      <c r="B271" s="15" t="s">
        <v>84</v>
      </c>
      <c r="C271" s="15" t="s">
        <v>55</v>
      </c>
      <c r="D271" s="15" t="s">
        <v>31</v>
      </c>
      <c r="E271" s="15">
        <v>18</v>
      </c>
      <c r="F271" s="15">
        <v>12</v>
      </c>
      <c r="G271" s="15" t="s">
        <v>32</v>
      </c>
      <c r="H271" s="15" t="s">
        <v>40</v>
      </c>
      <c r="I271" s="15" t="s">
        <v>543</v>
      </c>
      <c r="J271" s="15">
        <v>51</v>
      </c>
      <c r="K271" s="59" t="str">
        <f t="shared" si="4"/>
        <v>D</v>
      </c>
    </row>
    <row r="272" spans="1:11" x14ac:dyDescent="0.3">
      <c r="A272" s="15" t="s">
        <v>544</v>
      </c>
      <c r="B272" s="15" t="s">
        <v>68</v>
      </c>
      <c r="C272" s="15" t="s">
        <v>19</v>
      </c>
      <c r="D272" s="15" t="s">
        <v>31</v>
      </c>
      <c r="E272" s="15">
        <v>16</v>
      </c>
      <c r="F272" s="15">
        <v>9</v>
      </c>
      <c r="G272" s="15" t="s">
        <v>14</v>
      </c>
      <c r="H272" s="15" t="s">
        <v>40</v>
      </c>
      <c r="I272" s="15" t="s">
        <v>545</v>
      </c>
      <c r="J272" s="15">
        <v>37</v>
      </c>
      <c r="K272" s="59" t="str">
        <f t="shared" si="4"/>
        <v>Fail</v>
      </c>
    </row>
    <row r="273" spans="1:11" x14ac:dyDescent="0.3">
      <c r="A273" s="15" t="s">
        <v>546</v>
      </c>
      <c r="B273" s="15" t="s">
        <v>51</v>
      </c>
      <c r="C273" s="15" t="s">
        <v>36</v>
      </c>
      <c r="D273" s="15" t="s">
        <v>31</v>
      </c>
      <c r="E273" s="15">
        <v>14</v>
      </c>
      <c r="F273" s="15">
        <v>9</v>
      </c>
      <c r="G273" s="15" t="s">
        <v>14</v>
      </c>
      <c r="H273" s="15" t="s">
        <v>46</v>
      </c>
      <c r="I273" s="15" t="s">
        <v>547</v>
      </c>
      <c r="J273" s="15">
        <v>81</v>
      </c>
      <c r="K273" s="59" t="str">
        <f t="shared" si="4"/>
        <v>A</v>
      </c>
    </row>
    <row r="274" spans="1:11" x14ac:dyDescent="0.3">
      <c r="A274" s="15" t="s">
        <v>548</v>
      </c>
      <c r="B274" s="15" t="s">
        <v>51</v>
      </c>
      <c r="C274" s="15" t="s">
        <v>24</v>
      </c>
      <c r="D274" s="15" t="s">
        <v>31</v>
      </c>
      <c r="E274" s="15">
        <v>15</v>
      </c>
      <c r="F274" s="15">
        <v>11</v>
      </c>
      <c r="G274" s="15" t="s">
        <v>32</v>
      </c>
      <c r="H274" s="15" t="s">
        <v>40</v>
      </c>
      <c r="I274" s="15" t="s">
        <v>549</v>
      </c>
      <c r="J274" s="15">
        <v>90</v>
      </c>
      <c r="K274" s="59" t="str">
        <f t="shared" si="4"/>
        <v>A+</v>
      </c>
    </row>
    <row r="275" spans="1:11" x14ac:dyDescent="0.3">
      <c r="A275" s="15" t="s">
        <v>550</v>
      </c>
      <c r="B275" s="15" t="s">
        <v>73</v>
      </c>
      <c r="C275" s="15" t="s">
        <v>19</v>
      </c>
      <c r="D275" s="15" t="s">
        <v>13</v>
      </c>
      <c r="E275" s="15">
        <v>14</v>
      </c>
      <c r="F275" s="15">
        <v>11</v>
      </c>
      <c r="G275" s="15" t="s">
        <v>32</v>
      </c>
      <c r="H275" s="15" t="s">
        <v>26</v>
      </c>
      <c r="I275" s="15" t="s">
        <v>551</v>
      </c>
      <c r="J275" s="15">
        <v>90</v>
      </c>
      <c r="K275" s="59" t="str">
        <f t="shared" si="4"/>
        <v>A+</v>
      </c>
    </row>
    <row r="276" spans="1:11" x14ac:dyDescent="0.3">
      <c r="A276" s="15" t="s">
        <v>552</v>
      </c>
      <c r="B276" s="15" t="s">
        <v>35</v>
      </c>
      <c r="C276" s="15" t="s">
        <v>30</v>
      </c>
      <c r="D276" s="15" t="s">
        <v>13</v>
      </c>
      <c r="E276" s="15">
        <v>19</v>
      </c>
      <c r="F276" s="15">
        <v>11</v>
      </c>
      <c r="G276" s="15" t="s">
        <v>14</v>
      </c>
      <c r="H276" s="15" t="s">
        <v>76</v>
      </c>
      <c r="I276" s="15" t="s">
        <v>553</v>
      </c>
      <c r="J276" s="15">
        <v>81</v>
      </c>
      <c r="K276" s="59" t="str">
        <f t="shared" si="4"/>
        <v>A</v>
      </c>
    </row>
    <row r="277" spans="1:11" x14ac:dyDescent="0.3">
      <c r="A277" s="15" t="s">
        <v>554</v>
      </c>
      <c r="B277" s="15" t="s">
        <v>29</v>
      </c>
      <c r="C277" s="15" t="s">
        <v>79</v>
      </c>
      <c r="D277" s="15" t="s">
        <v>13</v>
      </c>
      <c r="E277" s="15">
        <v>15</v>
      </c>
      <c r="F277" s="15">
        <v>9</v>
      </c>
      <c r="G277" s="15" t="s">
        <v>32</v>
      </c>
      <c r="H277" s="15" t="s">
        <v>76</v>
      </c>
      <c r="I277" s="15" t="s">
        <v>184</v>
      </c>
      <c r="J277" s="15">
        <v>53</v>
      </c>
      <c r="K277" s="59" t="str">
        <f t="shared" si="4"/>
        <v>D</v>
      </c>
    </row>
    <row r="278" spans="1:11" x14ac:dyDescent="0.3">
      <c r="A278" s="15" t="s">
        <v>555</v>
      </c>
      <c r="B278" s="15" t="s">
        <v>73</v>
      </c>
      <c r="C278" s="15" t="s">
        <v>55</v>
      </c>
      <c r="D278" s="15" t="s">
        <v>31</v>
      </c>
      <c r="E278" s="15">
        <v>16</v>
      </c>
      <c r="F278" s="15">
        <v>9</v>
      </c>
      <c r="G278" s="15" t="s">
        <v>14</v>
      </c>
      <c r="H278" s="15" t="s">
        <v>76</v>
      </c>
      <c r="I278" s="15" t="s">
        <v>556</v>
      </c>
      <c r="J278" s="15">
        <v>93</v>
      </c>
      <c r="K278" s="59" t="str">
        <f t="shared" si="4"/>
        <v>A+</v>
      </c>
    </row>
    <row r="279" spans="1:11" x14ac:dyDescent="0.3">
      <c r="A279" s="15" t="s">
        <v>557</v>
      </c>
      <c r="B279" s="15" t="s">
        <v>23</v>
      </c>
      <c r="C279" s="15" t="s">
        <v>96</v>
      </c>
      <c r="D279" s="15" t="s">
        <v>13</v>
      </c>
      <c r="E279" s="15">
        <v>18</v>
      </c>
      <c r="F279" s="15">
        <v>11</v>
      </c>
      <c r="G279" s="15" t="s">
        <v>25</v>
      </c>
      <c r="H279" s="15" t="s">
        <v>76</v>
      </c>
      <c r="I279" s="15" t="s">
        <v>182</v>
      </c>
      <c r="J279" s="15">
        <v>77</v>
      </c>
      <c r="K279" s="59" t="str">
        <f t="shared" si="4"/>
        <v>B</v>
      </c>
    </row>
    <row r="280" spans="1:11" x14ac:dyDescent="0.3">
      <c r="A280" s="15" t="s">
        <v>558</v>
      </c>
      <c r="B280" s="15" t="s">
        <v>54</v>
      </c>
      <c r="C280" s="15" t="s">
        <v>30</v>
      </c>
      <c r="D280" s="15" t="s">
        <v>31</v>
      </c>
      <c r="E280" s="15">
        <v>19</v>
      </c>
      <c r="F280" s="15">
        <v>10</v>
      </c>
      <c r="G280" s="15" t="s">
        <v>43</v>
      </c>
      <c r="H280" s="15" t="s">
        <v>76</v>
      </c>
      <c r="I280" s="15" t="s">
        <v>559</v>
      </c>
      <c r="J280" s="15">
        <v>40</v>
      </c>
      <c r="K280" s="59" t="str">
        <f t="shared" si="4"/>
        <v>D</v>
      </c>
    </row>
    <row r="281" spans="1:11" x14ac:dyDescent="0.3">
      <c r="A281" s="15" t="s">
        <v>560</v>
      </c>
      <c r="B281" s="15" t="s">
        <v>68</v>
      </c>
      <c r="C281" s="15" t="s">
        <v>85</v>
      </c>
      <c r="D281" s="15" t="s">
        <v>31</v>
      </c>
      <c r="E281" s="15">
        <v>15</v>
      </c>
      <c r="F281" s="15">
        <v>10</v>
      </c>
      <c r="G281" s="15" t="s">
        <v>43</v>
      </c>
      <c r="H281" s="15" t="s">
        <v>26</v>
      </c>
      <c r="I281" s="15" t="s">
        <v>561</v>
      </c>
      <c r="J281" s="15">
        <v>63</v>
      </c>
      <c r="K281" s="59" t="str">
        <f t="shared" si="4"/>
        <v>C</v>
      </c>
    </row>
    <row r="282" spans="1:11" x14ac:dyDescent="0.3">
      <c r="A282" s="15" t="s">
        <v>562</v>
      </c>
      <c r="B282" s="15" t="s">
        <v>29</v>
      </c>
      <c r="C282" s="15" t="s">
        <v>79</v>
      </c>
      <c r="D282" s="15" t="s">
        <v>31</v>
      </c>
      <c r="E282" s="15">
        <v>15</v>
      </c>
      <c r="F282" s="15">
        <v>12</v>
      </c>
      <c r="G282" s="15" t="s">
        <v>32</v>
      </c>
      <c r="H282" s="15" t="s">
        <v>46</v>
      </c>
      <c r="I282" s="15" t="s">
        <v>121</v>
      </c>
      <c r="J282" s="15">
        <v>53</v>
      </c>
      <c r="K282" s="59" t="str">
        <f t="shared" si="4"/>
        <v>D</v>
      </c>
    </row>
    <row r="283" spans="1:11" x14ac:dyDescent="0.3">
      <c r="A283" s="15" t="s">
        <v>563</v>
      </c>
      <c r="B283" s="15" t="s">
        <v>35</v>
      </c>
      <c r="C283" s="15" t="s">
        <v>55</v>
      </c>
      <c r="D283" s="15" t="s">
        <v>31</v>
      </c>
      <c r="E283" s="15">
        <v>19</v>
      </c>
      <c r="F283" s="15">
        <v>10</v>
      </c>
      <c r="G283" s="15" t="s">
        <v>43</v>
      </c>
      <c r="H283" s="15" t="s">
        <v>46</v>
      </c>
      <c r="I283" s="15" t="s">
        <v>564</v>
      </c>
      <c r="J283" s="15">
        <v>72</v>
      </c>
      <c r="K283" s="59" t="str">
        <f t="shared" si="4"/>
        <v>B</v>
      </c>
    </row>
    <row r="284" spans="1:11" x14ac:dyDescent="0.3">
      <c r="A284" s="15" t="s">
        <v>565</v>
      </c>
      <c r="B284" s="15" t="s">
        <v>54</v>
      </c>
      <c r="C284" s="15" t="s">
        <v>79</v>
      </c>
      <c r="D284" s="15" t="s">
        <v>31</v>
      </c>
      <c r="E284" s="15">
        <v>20</v>
      </c>
      <c r="F284" s="15">
        <v>9</v>
      </c>
      <c r="G284" s="15" t="s">
        <v>43</v>
      </c>
      <c r="H284" s="15" t="s">
        <v>20</v>
      </c>
      <c r="I284" s="15" t="s">
        <v>566</v>
      </c>
      <c r="J284" s="15">
        <v>67</v>
      </c>
      <c r="K284" s="59" t="str">
        <f t="shared" si="4"/>
        <v>C</v>
      </c>
    </row>
    <row r="285" spans="1:11" x14ac:dyDescent="0.3">
      <c r="A285" s="15" t="s">
        <v>567</v>
      </c>
      <c r="B285" s="15" t="s">
        <v>54</v>
      </c>
      <c r="C285" s="15" t="s">
        <v>12</v>
      </c>
      <c r="D285" s="15" t="s">
        <v>31</v>
      </c>
      <c r="E285" s="15">
        <v>18</v>
      </c>
      <c r="F285" s="15">
        <v>12</v>
      </c>
      <c r="G285" s="15" t="s">
        <v>25</v>
      </c>
      <c r="H285" s="15" t="s">
        <v>26</v>
      </c>
      <c r="I285" s="15" t="s">
        <v>568</v>
      </c>
      <c r="J285" s="15">
        <v>96</v>
      </c>
      <c r="K285" s="59" t="str">
        <f t="shared" si="4"/>
        <v>A+</v>
      </c>
    </row>
    <row r="286" spans="1:11" x14ac:dyDescent="0.3">
      <c r="A286" s="15" t="s">
        <v>569</v>
      </c>
      <c r="B286" s="15" t="s">
        <v>54</v>
      </c>
      <c r="C286" s="15" t="s">
        <v>12</v>
      </c>
      <c r="D286" s="15" t="s">
        <v>31</v>
      </c>
      <c r="E286" s="15">
        <v>17</v>
      </c>
      <c r="F286" s="15">
        <v>9</v>
      </c>
      <c r="G286" s="15" t="s">
        <v>25</v>
      </c>
      <c r="H286" s="15" t="s">
        <v>37</v>
      </c>
      <c r="I286" s="15" t="s">
        <v>570</v>
      </c>
      <c r="J286" s="15">
        <v>100</v>
      </c>
      <c r="K286" s="59" t="str">
        <f t="shared" si="4"/>
        <v>A+</v>
      </c>
    </row>
    <row r="287" spans="1:11" x14ac:dyDescent="0.3">
      <c r="A287" s="15" t="s">
        <v>571</v>
      </c>
      <c r="B287" s="15" t="s">
        <v>68</v>
      </c>
      <c r="C287" s="15" t="s">
        <v>12</v>
      </c>
      <c r="D287" s="15" t="s">
        <v>13</v>
      </c>
      <c r="E287" s="15">
        <v>16</v>
      </c>
      <c r="F287" s="15">
        <v>10</v>
      </c>
      <c r="G287" s="15" t="s">
        <v>25</v>
      </c>
      <c r="H287" s="15" t="s">
        <v>26</v>
      </c>
      <c r="I287" s="15" t="s">
        <v>434</v>
      </c>
      <c r="J287" s="15">
        <v>63</v>
      </c>
      <c r="K287" s="59" t="str">
        <f t="shared" si="4"/>
        <v>C</v>
      </c>
    </row>
    <row r="288" spans="1:11" x14ac:dyDescent="0.3">
      <c r="A288" s="15" t="s">
        <v>572</v>
      </c>
      <c r="B288" s="15" t="s">
        <v>23</v>
      </c>
      <c r="C288" s="15" t="s">
        <v>19</v>
      </c>
      <c r="D288" s="15" t="s">
        <v>31</v>
      </c>
      <c r="E288" s="15">
        <v>19</v>
      </c>
      <c r="F288" s="15">
        <v>10</v>
      </c>
      <c r="G288" s="15" t="s">
        <v>32</v>
      </c>
      <c r="H288" s="15" t="s">
        <v>20</v>
      </c>
      <c r="I288" s="15" t="s">
        <v>400</v>
      </c>
      <c r="J288" s="15">
        <v>53</v>
      </c>
      <c r="K288" s="59" t="str">
        <f t="shared" si="4"/>
        <v>D</v>
      </c>
    </row>
    <row r="289" spans="1:11" x14ac:dyDescent="0.3">
      <c r="A289" s="15" t="s">
        <v>573</v>
      </c>
      <c r="B289" s="15" t="s">
        <v>54</v>
      </c>
      <c r="C289" s="15" t="s">
        <v>24</v>
      </c>
      <c r="D289" s="15" t="s">
        <v>13</v>
      </c>
      <c r="E289" s="15">
        <v>19</v>
      </c>
      <c r="F289" s="15">
        <v>9</v>
      </c>
      <c r="G289" s="15" t="s">
        <v>43</v>
      </c>
      <c r="H289" s="15" t="s">
        <v>46</v>
      </c>
      <c r="I289" s="15" t="s">
        <v>574</v>
      </c>
      <c r="J289" s="15">
        <v>94</v>
      </c>
      <c r="K289" s="59" t="str">
        <f t="shared" si="4"/>
        <v>A+</v>
      </c>
    </row>
    <row r="290" spans="1:11" x14ac:dyDescent="0.3">
      <c r="A290" s="15" t="s">
        <v>575</v>
      </c>
      <c r="B290" s="15" t="s">
        <v>35</v>
      </c>
      <c r="C290" s="15" t="s">
        <v>30</v>
      </c>
      <c r="D290" s="15" t="s">
        <v>31</v>
      </c>
      <c r="E290" s="15">
        <v>14</v>
      </c>
      <c r="F290" s="15">
        <v>10</v>
      </c>
      <c r="G290" s="15" t="s">
        <v>32</v>
      </c>
      <c r="H290" s="15" t="s">
        <v>40</v>
      </c>
      <c r="I290" s="15" t="s">
        <v>576</v>
      </c>
      <c r="J290" s="15">
        <v>50</v>
      </c>
      <c r="K290" s="59" t="str">
        <f t="shared" si="4"/>
        <v>D</v>
      </c>
    </row>
    <row r="291" spans="1:11" x14ac:dyDescent="0.3">
      <c r="A291" s="15" t="s">
        <v>577</v>
      </c>
      <c r="B291" s="15" t="s">
        <v>84</v>
      </c>
      <c r="C291" s="15" t="s">
        <v>79</v>
      </c>
      <c r="D291" s="15" t="s">
        <v>31</v>
      </c>
      <c r="E291" s="15">
        <v>15</v>
      </c>
      <c r="F291" s="15">
        <v>11</v>
      </c>
      <c r="G291" s="15" t="s">
        <v>25</v>
      </c>
      <c r="H291" s="15" t="s">
        <v>40</v>
      </c>
      <c r="I291" s="15" t="s">
        <v>578</v>
      </c>
      <c r="J291" s="15">
        <v>72</v>
      </c>
      <c r="K291" s="59" t="str">
        <f t="shared" si="4"/>
        <v>B</v>
      </c>
    </row>
    <row r="292" spans="1:11" x14ac:dyDescent="0.3">
      <c r="A292" s="15" t="s">
        <v>579</v>
      </c>
      <c r="B292" s="15" t="s">
        <v>51</v>
      </c>
      <c r="C292" s="15" t="s">
        <v>55</v>
      </c>
      <c r="D292" s="15" t="s">
        <v>31</v>
      </c>
      <c r="E292" s="15">
        <v>20</v>
      </c>
      <c r="F292" s="15">
        <v>9</v>
      </c>
      <c r="G292" s="15" t="s">
        <v>25</v>
      </c>
      <c r="H292" s="15" t="s">
        <v>26</v>
      </c>
      <c r="I292" s="15" t="s">
        <v>212</v>
      </c>
      <c r="J292" s="15">
        <v>35</v>
      </c>
      <c r="K292" s="59" t="str">
        <f t="shared" si="4"/>
        <v>Fail</v>
      </c>
    </row>
    <row r="293" spans="1:11" x14ac:dyDescent="0.3">
      <c r="A293" s="15" t="s">
        <v>580</v>
      </c>
      <c r="B293" s="15" t="s">
        <v>29</v>
      </c>
      <c r="C293" s="15" t="s">
        <v>36</v>
      </c>
      <c r="D293" s="15" t="s">
        <v>13</v>
      </c>
      <c r="E293" s="15">
        <v>17</v>
      </c>
      <c r="F293" s="15">
        <v>10</v>
      </c>
      <c r="G293" s="15" t="s">
        <v>32</v>
      </c>
      <c r="H293" s="15" t="s">
        <v>15</v>
      </c>
      <c r="I293" s="15" t="s">
        <v>581</v>
      </c>
      <c r="J293" s="15">
        <v>37</v>
      </c>
      <c r="K293" s="59" t="str">
        <f t="shared" si="4"/>
        <v>Fail</v>
      </c>
    </row>
    <row r="294" spans="1:11" x14ac:dyDescent="0.3">
      <c r="A294" s="15" t="s">
        <v>582</v>
      </c>
      <c r="B294" s="15" t="s">
        <v>51</v>
      </c>
      <c r="C294" s="15" t="s">
        <v>55</v>
      </c>
      <c r="D294" s="15" t="s">
        <v>31</v>
      </c>
      <c r="E294" s="15">
        <v>14</v>
      </c>
      <c r="F294" s="15">
        <v>11</v>
      </c>
      <c r="G294" s="15" t="s">
        <v>25</v>
      </c>
      <c r="H294" s="15" t="s">
        <v>37</v>
      </c>
      <c r="I294" s="15" t="s">
        <v>583</v>
      </c>
      <c r="J294" s="15">
        <v>47</v>
      </c>
      <c r="K294" s="59" t="str">
        <f t="shared" si="4"/>
        <v>D</v>
      </c>
    </row>
    <row r="295" spans="1:11" x14ac:dyDescent="0.3">
      <c r="A295" s="15" t="s">
        <v>584</v>
      </c>
      <c r="B295" s="15" t="s">
        <v>68</v>
      </c>
      <c r="C295" s="15" t="s">
        <v>55</v>
      </c>
      <c r="D295" s="15" t="s">
        <v>31</v>
      </c>
      <c r="E295" s="15">
        <v>16</v>
      </c>
      <c r="F295" s="15">
        <v>9</v>
      </c>
      <c r="G295" s="15" t="s">
        <v>14</v>
      </c>
      <c r="H295" s="15" t="s">
        <v>61</v>
      </c>
      <c r="I295" s="15" t="s">
        <v>585</v>
      </c>
      <c r="J295" s="15">
        <v>59</v>
      </c>
      <c r="K295" s="59" t="str">
        <f t="shared" si="4"/>
        <v>D</v>
      </c>
    </row>
    <row r="296" spans="1:11" x14ac:dyDescent="0.3">
      <c r="A296" s="15" t="s">
        <v>586</v>
      </c>
      <c r="B296" s="15" t="s">
        <v>11</v>
      </c>
      <c r="C296" s="15" t="s">
        <v>24</v>
      </c>
      <c r="D296" s="15" t="s">
        <v>31</v>
      </c>
      <c r="E296" s="15">
        <v>17</v>
      </c>
      <c r="F296" s="15">
        <v>11</v>
      </c>
      <c r="G296" s="15" t="s">
        <v>43</v>
      </c>
      <c r="H296" s="15" t="s">
        <v>61</v>
      </c>
      <c r="I296" s="15" t="s">
        <v>587</v>
      </c>
      <c r="J296" s="15">
        <v>73</v>
      </c>
      <c r="K296" s="59" t="str">
        <f t="shared" si="4"/>
        <v>B</v>
      </c>
    </row>
    <row r="297" spans="1:11" x14ac:dyDescent="0.3">
      <c r="A297" s="15" t="s">
        <v>588</v>
      </c>
      <c r="B297" s="15" t="s">
        <v>68</v>
      </c>
      <c r="C297" s="15" t="s">
        <v>85</v>
      </c>
      <c r="D297" s="15" t="s">
        <v>31</v>
      </c>
      <c r="E297" s="15">
        <v>17</v>
      </c>
      <c r="F297" s="15">
        <v>9</v>
      </c>
      <c r="G297" s="15" t="s">
        <v>25</v>
      </c>
      <c r="H297" s="15" t="s">
        <v>61</v>
      </c>
      <c r="I297" s="15" t="s">
        <v>589</v>
      </c>
      <c r="J297" s="15">
        <v>45</v>
      </c>
      <c r="K297" s="59" t="str">
        <f t="shared" si="4"/>
        <v>D</v>
      </c>
    </row>
    <row r="298" spans="1:11" x14ac:dyDescent="0.3">
      <c r="A298" s="15" t="s">
        <v>590</v>
      </c>
      <c r="B298" s="15" t="s">
        <v>35</v>
      </c>
      <c r="C298" s="15" t="s">
        <v>12</v>
      </c>
      <c r="D298" s="15" t="s">
        <v>13</v>
      </c>
      <c r="E298" s="15">
        <v>14</v>
      </c>
      <c r="F298" s="15">
        <v>11</v>
      </c>
      <c r="G298" s="15" t="s">
        <v>25</v>
      </c>
      <c r="H298" s="15" t="s">
        <v>20</v>
      </c>
      <c r="I298" s="15" t="s">
        <v>591</v>
      </c>
      <c r="J298" s="15">
        <v>64</v>
      </c>
      <c r="K298" s="59" t="str">
        <f t="shared" si="4"/>
        <v>C</v>
      </c>
    </row>
    <row r="299" spans="1:11" x14ac:dyDescent="0.3">
      <c r="A299" s="15" t="s">
        <v>592</v>
      </c>
      <c r="B299" s="15" t="s">
        <v>51</v>
      </c>
      <c r="C299" s="15" t="s">
        <v>19</v>
      </c>
      <c r="D299" s="15" t="s">
        <v>31</v>
      </c>
      <c r="E299" s="15">
        <v>18</v>
      </c>
      <c r="F299" s="15">
        <v>10</v>
      </c>
      <c r="G299" s="15" t="s">
        <v>43</v>
      </c>
      <c r="H299" s="15" t="s">
        <v>76</v>
      </c>
      <c r="I299" s="15" t="s">
        <v>593</v>
      </c>
      <c r="J299" s="15">
        <v>98</v>
      </c>
      <c r="K299" s="59" t="str">
        <f t="shared" si="4"/>
        <v>A+</v>
      </c>
    </row>
    <row r="300" spans="1:11" x14ac:dyDescent="0.3">
      <c r="A300" s="15" t="s">
        <v>594</v>
      </c>
      <c r="B300" s="15" t="s">
        <v>54</v>
      </c>
      <c r="C300" s="15" t="s">
        <v>55</v>
      </c>
      <c r="D300" s="15" t="s">
        <v>13</v>
      </c>
      <c r="E300" s="15">
        <v>20</v>
      </c>
      <c r="F300" s="15">
        <v>11</v>
      </c>
      <c r="G300" s="15" t="s">
        <v>43</v>
      </c>
      <c r="H300" s="15" t="s">
        <v>40</v>
      </c>
      <c r="I300" s="15" t="s">
        <v>595</v>
      </c>
      <c r="J300" s="15">
        <v>84</v>
      </c>
      <c r="K300" s="59" t="str">
        <f t="shared" si="4"/>
        <v>A</v>
      </c>
    </row>
    <row r="301" spans="1:11" x14ac:dyDescent="0.3">
      <c r="A301" s="15" t="s">
        <v>596</v>
      </c>
      <c r="B301" s="15" t="s">
        <v>11</v>
      </c>
      <c r="C301" s="15" t="s">
        <v>30</v>
      </c>
      <c r="D301" s="15" t="s">
        <v>13</v>
      </c>
      <c r="E301" s="15">
        <v>14</v>
      </c>
      <c r="F301" s="15">
        <v>9</v>
      </c>
      <c r="G301" s="15" t="s">
        <v>25</v>
      </c>
      <c r="H301" s="15" t="s">
        <v>76</v>
      </c>
      <c r="I301" s="15" t="s">
        <v>447</v>
      </c>
      <c r="J301" s="15">
        <v>62</v>
      </c>
      <c r="K301" s="59" t="str">
        <f t="shared" si="4"/>
        <v>C</v>
      </c>
    </row>
    <row r="302" spans="1:11" x14ac:dyDescent="0.3">
      <c r="A302" s="15" t="s">
        <v>597</v>
      </c>
      <c r="B302" s="15" t="s">
        <v>18</v>
      </c>
      <c r="C302" s="15" t="s">
        <v>85</v>
      </c>
      <c r="D302" s="15" t="s">
        <v>31</v>
      </c>
      <c r="E302" s="15">
        <v>18</v>
      </c>
      <c r="F302" s="15">
        <v>11</v>
      </c>
      <c r="G302" s="15" t="s">
        <v>43</v>
      </c>
      <c r="H302" s="15" t="s">
        <v>40</v>
      </c>
      <c r="I302" s="15" t="s">
        <v>598</v>
      </c>
      <c r="J302" s="15">
        <v>55</v>
      </c>
      <c r="K302" s="59" t="str">
        <f t="shared" si="4"/>
        <v>D</v>
      </c>
    </row>
    <row r="303" spans="1:11" x14ac:dyDescent="0.3">
      <c r="A303" s="15" t="s">
        <v>599</v>
      </c>
      <c r="B303" s="15" t="s">
        <v>84</v>
      </c>
      <c r="C303" s="15" t="s">
        <v>30</v>
      </c>
      <c r="D303" s="15" t="s">
        <v>13</v>
      </c>
      <c r="E303" s="15">
        <v>17</v>
      </c>
      <c r="F303" s="15">
        <v>11</v>
      </c>
      <c r="G303" s="15" t="s">
        <v>43</v>
      </c>
      <c r="H303" s="15" t="s">
        <v>15</v>
      </c>
      <c r="I303" s="15" t="s">
        <v>600</v>
      </c>
      <c r="J303" s="15">
        <v>73</v>
      </c>
      <c r="K303" s="59" t="str">
        <f t="shared" si="4"/>
        <v>B</v>
      </c>
    </row>
    <row r="304" spans="1:11" x14ac:dyDescent="0.3">
      <c r="A304" s="15" t="s">
        <v>601</v>
      </c>
      <c r="B304" s="15" t="s">
        <v>73</v>
      </c>
      <c r="C304" s="15" t="s">
        <v>55</v>
      </c>
      <c r="D304" s="15" t="s">
        <v>31</v>
      </c>
      <c r="E304" s="15">
        <v>17</v>
      </c>
      <c r="F304" s="15">
        <v>11</v>
      </c>
      <c r="G304" s="15" t="s">
        <v>43</v>
      </c>
      <c r="H304" s="15" t="s">
        <v>61</v>
      </c>
      <c r="I304" s="15" t="s">
        <v>502</v>
      </c>
      <c r="J304" s="15">
        <v>76</v>
      </c>
      <c r="K304" s="59" t="str">
        <f t="shared" si="4"/>
        <v>B</v>
      </c>
    </row>
    <row r="305" spans="1:11" x14ac:dyDescent="0.3">
      <c r="A305" s="15" t="s">
        <v>602</v>
      </c>
      <c r="B305" s="15" t="s">
        <v>23</v>
      </c>
      <c r="C305" s="15" t="s">
        <v>19</v>
      </c>
      <c r="D305" s="15" t="s">
        <v>13</v>
      </c>
      <c r="E305" s="15">
        <v>15</v>
      </c>
      <c r="F305" s="15">
        <v>12</v>
      </c>
      <c r="G305" s="15" t="s">
        <v>14</v>
      </c>
      <c r="H305" s="15" t="s">
        <v>61</v>
      </c>
      <c r="I305" s="15" t="s">
        <v>603</v>
      </c>
      <c r="J305" s="15">
        <v>54</v>
      </c>
      <c r="K305" s="59" t="str">
        <f t="shared" si="4"/>
        <v>D</v>
      </c>
    </row>
    <row r="306" spans="1:11" x14ac:dyDescent="0.3">
      <c r="A306" s="15" t="s">
        <v>604</v>
      </c>
      <c r="B306" s="15" t="s">
        <v>51</v>
      </c>
      <c r="C306" s="15" t="s">
        <v>85</v>
      </c>
      <c r="D306" s="15" t="s">
        <v>31</v>
      </c>
      <c r="E306" s="15">
        <v>20</v>
      </c>
      <c r="F306" s="15">
        <v>12</v>
      </c>
      <c r="G306" s="15" t="s">
        <v>25</v>
      </c>
      <c r="H306" s="15" t="s">
        <v>26</v>
      </c>
      <c r="I306" s="15" t="s">
        <v>299</v>
      </c>
      <c r="J306" s="15">
        <v>69</v>
      </c>
      <c r="K306" s="59" t="str">
        <f t="shared" si="4"/>
        <v>C</v>
      </c>
    </row>
    <row r="307" spans="1:11" x14ac:dyDescent="0.3">
      <c r="A307" s="15" t="s">
        <v>605</v>
      </c>
      <c r="B307" s="15" t="s">
        <v>54</v>
      </c>
      <c r="C307" s="15" t="s">
        <v>19</v>
      </c>
      <c r="D307" s="15" t="s">
        <v>31</v>
      </c>
      <c r="E307" s="15">
        <v>20</v>
      </c>
      <c r="F307" s="15">
        <v>10</v>
      </c>
      <c r="G307" s="15" t="s">
        <v>43</v>
      </c>
      <c r="H307" s="15" t="s">
        <v>37</v>
      </c>
      <c r="I307" s="15" t="s">
        <v>606</v>
      </c>
      <c r="J307" s="15">
        <v>99</v>
      </c>
      <c r="K307" s="59" t="str">
        <f t="shared" si="4"/>
        <v>A+</v>
      </c>
    </row>
    <row r="308" spans="1:11" x14ac:dyDescent="0.3">
      <c r="A308" s="15" t="s">
        <v>607</v>
      </c>
      <c r="B308" s="15" t="s">
        <v>68</v>
      </c>
      <c r="C308" s="15" t="s">
        <v>55</v>
      </c>
      <c r="D308" s="15" t="s">
        <v>13</v>
      </c>
      <c r="E308" s="15">
        <v>19</v>
      </c>
      <c r="F308" s="15">
        <v>11</v>
      </c>
      <c r="G308" s="15" t="s">
        <v>25</v>
      </c>
      <c r="H308" s="15" t="s">
        <v>20</v>
      </c>
      <c r="I308" s="15" t="s">
        <v>608</v>
      </c>
      <c r="J308" s="15">
        <v>43</v>
      </c>
      <c r="K308" s="59" t="str">
        <f t="shared" si="4"/>
        <v>D</v>
      </c>
    </row>
    <row r="309" spans="1:11" x14ac:dyDescent="0.3">
      <c r="A309" s="15" t="s">
        <v>609</v>
      </c>
      <c r="B309" s="15" t="s">
        <v>68</v>
      </c>
      <c r="C309" s="15" t="s">
        <v>58</v>
      </c>
      <c r="D309" s="15" t="s">
        <v>13</v>
      </c>
      <c r="E309" s="15">
        <v>14</v>
      </c>
      <c r="F309" s="15">
        <v>10</v>
      </c>
      <c r="G309" s="15" t="s">
        <v>25</v>
      </c>
      <c r="H309" s="15" t="s">
        <v>37</v>
      </c>
      <c r="I309" s="15" t="s">
        <v>610</v>
      </c>
      <c r="J309" s="15">
        <v>90</v>
      </c>
      <c r="K309" s="59" t="str">
        <f t="shared" si="4"/>
        <v>A+</v>
      </c>
    </row>
    <row r="310" spans="1:11" x14ac:dyDescent="0.3">
      <c r="A310" s="15" t="s">
        <v>611</v>
      </c>
      <c r="B310" s="15" t="s">
        <v>18</v>
      </c>
      <c r="C310" s="15" t="s">
        <v>24</v>
      </c>
      <c r="D310" s="15" t="s">
        <v>31</v>
      </c>
      <c r="E310" s="15">
        <v>19</v>
      </c>
      <c r="F310" s="15">
        <v>12</v>
      </c>
      <c r="G310" s="15" t="s">
        <v>43</v>
      </c>
      <c r="H310" s="15" t="s">
        <v>26</v>
      </c>
      <c r="I310" s="15" t="s">
        <v>612</v>
      </c>
      <c r="J310" s="15">
        <v>82</v>
      </c>
      <c r="K310" s="59" t="str">
        <f t="shared" si="4"/>
        <v>A</v>
      </c>
    </row>
    <row r="311" spans="1:11" x14ac:dyDescent="0.3">
      <c r="A311" s="15" t="s">
        <v>613</v>
      </c>
      <c r="B311" s="15" t="s">
        <v>68</v>
      </c>
      <c r="C311" s="15" t="s">
        <v>85</v>
      </c>
      <c r="D311" s="15" t="s">
        <v>31</v>
      </c>
      <c r="E311" s="15">
        <v>15</v>
      </c>
      <c r="F311" s="15">
        <v>9</v>
      </c>
      <c r="G311" s="15" t="s">
        <v>32</v>
      </c>
      <c r="H311" s="15" t="s">
        <v>37</v>
      </c>
      <c r="I311" s="15" t="s">
        <v>614</v>
      </c>
      <c r="J311" s="15">
        <v>39</v>
      </c>
      <c r="K311" s="59" t="str">
        <f t="shared" si="4"/>
        <v>Fail</v>
      </c>
    </row>
    <row r="312" spans="1:11" x14ac:dyDescent="0.3">
      <c r="A312" s="15" t="s">
        <v>615</v>
      </c>
      <c r="B312" s="15" t="s">
        <v>18</v>
      </c>
      <c r="C312" s="15" t="s">
        <v>12</v>
      </c>
      <c r="D312" s="15" t="s">
        <v>13</v>
      </c>
      <c r="E312" s="15">
        <v>17</v>
      </c>
      <c r="F312" s="15">
        <v>12</v>
      </c>
      <c r="G312" s="15" t="s">
        <v>14</v>
      </c>
      <c r="H312" s="15" t="s">
        <v>61</v>
      </c>
      <c r="I312" s="15" t="s">
        <v>616</v>
      </c>
      <c r="J312" s="15">
        <v>99</v>
      </c>
      <c r="K312" s="59" t="str">
        <f t="shared" si="4"/>
        <v>A+</v>
      </c>
    </row>
    <row r="313" spans="1:11" x14ac:dyDescent="0.3">
      <c r="A313" s="15" t="s">
        <v>617</v>
      </c>
      <c r="B313" s="15" t="s">
        <v>35</v>
      </c>
      <c r="C313" s="15" t="s">
        <v>12</v>
      </c>
      <c r="D313" s="15" t="s">
        <v>13</v>
      </c>
      <c r="E313" s="15">
        <v>15</v>
      </c>
      <c r="F313" s="15">
        <v>9</v>
      </c>
      <c r="G313" s="15" t="s">
        <v>25</v>
      </c>
      <c r="H313" s="15" t="s">
        <v>46</v>
      </c>
      <c r="I313" s="15" t="s">
        <v>155</v>
      </c>
      <c r="J313" s="15">
        <v>85</v>
      </c>
      <c r="K313" s="59" t="str">
        <f t="shared" si="4"/>
        <v>A</v>
      </c>
    </row>
    <row r="314" spans="1:11" x14ac:dyDescent="0.3">
      <c r="A314" s="15" t="s">
        <v>618</v>
      </c>
      <c r="B314" s="15" t="s">
        <v>73</v>
      </c>
      <c r="C314" s="15" t="s">
        <v>85</v>
      </c>
      <c r="D314" s="15" t="s">
        <v>31</v>
      </c>
      <c r="E314" s="15">
        <v>14</v>
      </c>
      <c r="F314" s="15">
        <v>11</v>
      </c>
      <c r="G314" s="15" t="s">
        <v>25</v>
      </c>
      <c r="H314" s="15" t="s">
        <v>20</v>
      </c>
      <c r="I314" s="15" t="s">
        <v>619</v>
      </c>
      <c r="J314" s="15">
        <v>67</v>
      </c>
      <c r="K314" s="59" t="str">
        <f t="shared" si="4"/>
        <v>C</v>
      </c>
    </row>
    <row r="315" spans="1:11" x14ac:dyDescent="0.3">
      <c r="A315" s="15" t="s">
        <v>620</v>
      </c>
      <c r="B315" s="15" t="s">
        <v>84</v>
      </c>
      <c r="C315" s="15" t="s">
        <v>24</v>
      </c>
      <c r="D315" s="15" t="s">
        <v>31</v>
      </c>
      <c r="E315" s="15">
        <v>19</v>
      </c>
      <c r="F315" s="15">
        <v>12</v>
      </c>
      <c r="G315" s="15" t="s">
        <v>14</v>
      </c>
      <c r="H315" s="15" t="s">
        <v>61</v>
      </c>
      <c r="I315" s="15" t="s">
        <v>621</v>
      </c>
      <c r="J315" s="15">
        <v>77</v>
      </c>
      <c r="K315" s="59" t="str">
        <f t="shared" si="4"/>
        <v>B</v>
      </c>
    </row>
    <row r="316" spans="1:11" x14ac:dyDescent="0.3">
      <c r="A316" s="15" t="s">
        <v>622</v>
      </c>
      <c r="B316" s="15" t="s">
        <v>23</v>
      </c>
      <c r="C316" s="15" t="s">
        <v>96</v>
      </c>
      <c r="D316" s="15" t="s">
        <v>31</v>
      </c>
      <c r="E316" s="15">
        <v>17</v>
      </c>
      <c r="F316" s="15">
        <v>12</v>
      </c>
      <c r="G316" s="15" t="s">
        <v>43</v>
      </c>
      <c r="H316" s="15" t="s">
        <v>46</v>
      </c>
      <c r="I316" s="15" t="s">
        <v>170</v>
      </c>
      <c r="J316" s="15">
        <v>62</v>
      </c>
      <c r="K316" s="59" t="str">
        <f t="shared" si="4"/>
        <v>C</v>
      </c>
    </row>
    <row r="317" spans="1:11" x14ac:dyDescent="0.3">
      <c r="A317" s="15" t="s">
        <v>623</v>
      </c>
      <c r="B317" s="15" t="s">
        <v>29</v>
      </c>
      <c r="C317" s="15" t="s">
        <v>12</v>
      </c>
      <c r="D317" s="15" t="s">
        <v>31</v>
      </c>
      <c r="E317" s="15">
        <v>19</v>
      </c>
      <c r="F317" s="15">
        <v>11</v>
      </c>
      <c r="G317" s="15" t="s">
        <v>25</v>
      </c>
      <c r="H317" s="15" t="s">
        <v>76</v>
      </c>
      <c r="I317" s="15" t="s">
        <v>624</v>
      </c>
      <c r="J317" s="15">
        <v>49</v>
      </c>
      <c r="K317" s="59" t="str">
        <f t="shared" si="4"/>
        <v>D</v>
      </c>
    </row>
    <row r="318" spans="1:11" x14ac:dyDescent="0.3">
      <c r="A318" s="15" t="s">
        <v>625</v>
      </c>
      <c r="B318" s="15" t="s">
        <v>68</v>
      </c>
      <c r="C318" s="15" t="s">
        <v>96</v>
      </c>
      <c r="D318" s="15" t="s">
        <v>31</v>
      </c>
      <c r="E318" s="15">
        <v>19</v>
      </c>
      <c r="F318" s="15">
        <v>12</v>
      </c>
      <c r="G318" s="15" t="s">
        <v>32</v>
      </c>
      <c r="H318" s="15" t="s">
        <v>15</v>
      </c>
      <c r="I318" s="15" t="s">
        <v>626</v>
      </c>
      <c r="J318" s="15">
        <v>86</v>
      </c>
      <c r="K318" s="59" t="str">
        <f t="shared" si="4"/>
        <v>A</v>
      </c>
    </row>
    <row r="319" spans="1:11" x14ac:dyDescent="0.3">
      <c r="A319" s="15" t="s">
        <v>627</v>
      </c>
      <c r="B319" s="15" t="s">
        <v>35</v>
      </c>
      <c r="C319" s="15" t="s">
        <v>85</v>
      </c>
      <c r="D319" s="15" t="s">
        <v>31</v>
      </c>
      <c r="E319" s="15">
        <v>16</v>
      </c>
      <c r="F319" s="15">
        <v>9</v>
      </c>
      <c r="G319" s="15" t="s">
        <v>43</v>
      </c>
      <c r="H319" s="15" t="s">
        <v>20</v>
      </c>
      <c r="I319" s="15" t="s">
        <v>628</v>
      </c>
      <c r="J319" s="15">
        <v>84</v>
      </c>
      <c r="K319" s="59" t="str">
        <f t="shared" si="4"/>
        <v>A</v>
      </c>
    </row>
    <row r="320" spans="1:11" x14ac:dyDescent="0.3">
      <c r="A320" s="15" t="s">
        <v>629</v>
      </c>
      <c r="B320" s="15" t="s">
        <v>35</v>
      </c>
      <c r="C320" s="15" t="s">
        <v>58</v>
      </c>
      <c r="D320" s="15" t="s">
        <v>13</v>
      </c>
      <c r="E320" s="15">
        <v>18</v>
      </c>
      <c r="F320" s="15">
        <v>9</v>
      </c>
      <c r="G320" s="15" t="s">
        <v>25</v>
      </c>
      <c r="H320" s="15" t="s">
        <v>76</v>
      </c>
      <c r="I320" s="15" t="s">
        <v>105</v>
      </c>
      <c r="J320" s="15">
        <v>82</v>
      </c>
      <c r="K320" s="59" t="str">
        <f t="shared" si="4"/>
        <v>A</v>
      </c>
    </row>
    <row r="321" spans="1:11" x14ac:dyDescent="0.3">
      <c r="A321" s="15" t="s">
        <v>630</v>
      </c>
      <c r="B321" s="15" t="s">
        <v>84</v>
      </c>
      <c r="C321" s="15" t="s">
        <v>96</v>
      </c>
      <c r="D321" s="15" t="s">
        <v>31</v>
      </c>
      <c r="E321" s="15">
        <v>19</v>
      </c>
      <c r="F321" s="15">
        <v>10</v>
      </c>
      <c r="G321" s="15" t="s">
        <v>43</v>
      </c>
      <c r="H321" s="15" t="s">
        <v>20</v>
      </c>
      <c r="I321" s="15" t="s">
        <v>631</v>
      </c>
      <c r="J321" s="15">
        <v>63</v>
      </c>
      <c r="K321" s="59" t="str">
        <f t="shared" si="4"/>
        <v>C</v>
      </c>
    </row>
    <row r="322" spans="1:11" x14ac:dyDescent="0.3">
      <c r="A322" s="15" t="s">
        <v>632</v>
      </c>
      <c r="B322" s="15" t="s">
        <v>54</v>
      </c>
      <c r="C322" s="15" t="s">
        <v>55</v>
      </c>
      <c r="D322" s="15" t="s">
        <v>31</v>
      </c>
      <c r="E322" s="15">
        <v>19</v>
      </c>
      <c r="F322" s="15">
        <v>11</v>
      </c>
      <c r="G322" s="15" t="s">
        <v>25</v>
      </c>
      <c r="H322" s="15" t="s">
        <v>61</v>
      </c>
      <c r="I322" s="15" t="s">
        <v>633</v>
      </c>
      <c r="J322" s="15">
        <v>82</v>
      </c>
      <c r="K322" s="59" t="str">
        <f t="shared" si="4"/>
        <v>A</v>
      </c>
    </row>
    <row r="323" spans="1:11" x14ac:dyDescent="0.3">
      <c r="A323" s="15" t="s">
        <v>634</v>
      </c>
      <c r="B323" s="15" t="s">
        <v>54</v>
      </c>
      <c r="C323" s="15" t="s">
        <v>30</v>
      </c>
      <c r="D323" s="15" t="s">
        <v>31</v>
      </c>
      <c r="E323" s="15">
        <v>15</v>
      </c>
      <c r="F323" s="15">
        <v>9</v>
      </c>
      <c r="G323" s="15" t="s">
        <v>25</v>
      </c>
      <c r="H323" s="15" t="s">
        <v>40</v>
      </c>
      <c r="I323" s="15" t="s">
        <v>635</v>
      </c>
      <c r="J323" s="15">
        <v>53</v>
      </c>
      <c r="K323" s="59" t="str">
        <f t="shared" si="4"/>
        <v>D</v>
      </c>
    </row>
    <row r="324" spans="1:11" x14ac:dyDescent="0.3">
      <c r="A324" s="15" t="s">
        <v>636</v>
      </c>
      <c r="B324" s="15" t="s">
        <v>11</v>
      </c>
      <c r="C324" s="15" t="s">
        <v>79</v>
      </c>
      <c r="D324" s="15" t="s">
        <v>13</v>
      </c>
      <c r="E324" s="15">
        <v>19</v>
      </c>
      <c r="F324" s="15">
        <v>9</v>
      </c>
      <c r="G324" s="15" t="s">
        <v>32</v>
      </c>
      <c r="H324" s="15" t="s">
        <v>76</v>
      </c>
      <c r="I324" s="15" t="s">
        <v>637</v>
      </c>
      <c r="J324" s="15">
        <v>97</v>
      </c>
      <c r="K324" s="59" t="str">
        <f t="shared" si="4"/>
        <v>A+</v>
      </c>
    </row>
    <row r="325" spans="1:11" x14ac:dyDescent="0.3">
      <c r="A325" s="15" t="s">
        <v>638</v>
      </c>
      <c r="B325" s="15" t="s">
        <v>54</v>
      </c>
      <c r="C325" s="15" t="s">
        <v>12</v>
      </c>
      <c r="D325" s="15" t="s">
        <v>31</v>
      </c>
      <c r="E325" s="15">
        <v>15</v>
      </c>
      <c r="F325" s="15">
        <v>12</v>
      </c>
      <c r="G325" s="15" t="s">
        <v>43</v>
      </c>
      <c r="H325" s="15" t="s">
        <v>76</v>
      </c>
      <c r="I325" s="15" t="s">
        <v>639</v>
      </c>
      <c r="J325" s="15">
        <v>51</v>
      </c>
      <c r="K325" s="59" t="str">
        <f t="shared" ref="K325:K388" si="5">_xlfn.IFS($J325&gt;=90,"A+",$J325&gt;=80,"A",$J325&gt;=70,"B",$J325&gt;=60,"C",$J325&gt;=40,"D",$J325&lt;40,"Fail")</f>
        <v>D</v>
      </c>
    </row>
    <row r="326" spans="1:11" x14ac:dyDescent="0.3">
      <c r="A326" s="15" t="s">
        <v>640</v>
      </c>
      <c r="B326" s="15" t="s">
        <v>84</v>
      </c>
      <c r="C326" s="15" t="s">
        <v>79</v>
      </c>
      <c r="D326" s="15" t="s">
        <v>31</v>
      </c>
      <c r="E326" s="15">
        <v>14</v>
      </c>
      <c r="F326" s="15">
        <v>9</v>
      </c>
      <c r="G326" s="15" t="s">
        <v>14</v>
      </c>
      <c r="H326" s="15" t="s">
        <v>37</v>
      </c>
      <c r="I326" s="15" t="s">
        <v>641</v>
      </c>
      <c r="J326" s="15">
        <v>43</v>
      </c>
      <c r="K326" s="59" t="str">
        <f t="shared" si="5"/>
        <v>D</v>
      </c>
    </row>
    <row r="327" spans="1:11" x14ac:dyDescent="0.3">
      <c r="A327" s="15" t="s">
        <v>642</v>
      </c>
      <c r="B327" s="15" t="s">
        <v>18</v>
      </c>
      <c r="C327" s="15" t="s">
        <v>19</v>
      </c>
      <c r="D327" s="15" t="s">
        <v>13</v>
      </c>
      <c r="E327" s="15">
        <v>14</v>
      </c>
      <c r="F327" s="15">
        <v>9</v>
      </c>
      <c r="G327" s="15" t="s">
        <v>43</v>
      </c>
      <c r="H327" s="15" t="s">
        <v>20</v>
      </c>
      <c r="I327" s="15" t="s">
        <v>643</v>
      </c>
      <c r="J327" s="15">
        <v>57</v>
      </c>
      <c r="K327" s="59" t="str">
        <f t="shared" si="5"/>
        <v>D</v>
      </c>
    </row>
    <row r="328" spans="1:11" x14ac:dyDescent="0.3">
      <c r="A328" s="15" t="s">
        <v>644</v>
      </c>
      <c r="B328" s="15" t="s">
        <v>51</v>
      </c>
      <c r="C328" s="15" t="s">
        <v>36</v>
      </c>
      <c r="D328" s="15" t="s">
        <v>31</v>
      </c>
      <c r="E328" s="15">
        <v>16</v>
      </c>
      <c r="F328" s="15">
        <v>11</v>
      </c>
      <c r="G328" s="15" t="s">
        <v>43</v>
      </c>
      <c r="H328" s="15" t="s">
        <v>20</v>
      </c>
      <c r="I328" s="15" t="s">
        <v>645</v>
      </c>
      <c r="J328" s="15">
        <v>81</v>
      </c>
      <c r="K328" s="59" t="str">
        <f t="shared" si="5"/>
        <v>A</v>
      </c>
    </row>
    <row r="329" spans="1:11" x14ac:dyDescent="0.3">
      <c r="A329" s="15" t="s">
        <v>646</v>
      </c>
      <c r="B329" s="15" t="s">
        <v>84</v>
      </c>
      <c r="C329" s="15" t="s">
        <v>12</v>
      </c>
      <c r="D329" s="15" t="s">
        <v>31</v>
      </c>
      <c r="E329" s="15">
        <v>17</v>
      </c>
      <c r="F329" s="15">
        <v>12</v>
      </c>
      <c r="G329" s="15" t="s">
        <v>25</v>
      </c>
      <c r="H329" s="15" t="s">
        <v>76</v>
      </c>
      <c r="I329" s="15" t="s">
        <v>647</v>
      </c>
      <c r="J329" s="15">
        <v>83</v>
      </c>
      <c r="K329" s="59" t="str">
        <f t="shared" si="5"/>
        <v>A</v>
      </c>
    </row>
    <row r="330" spans="1:11" x14ac:dyDescent="0.3">
      <c r="A330" s="15" t="s">
        <v>648</v>
      </c>
      <c r="B330" s="15" t="s">
        <v>51</v>
      </c>
      <c r="C330" s="15" t="s">
        <v>79</v>
      </c>
      <c r="D330" s="15" t="s">
        <v>13</v>
      </c>
      <c r="E330" s="15">
        <v>14</v>
      </c>
      <c r="F330" s="15">
        <v>9</v>
      </c>
      <c r="G330" s="15" t="s">
        <v>25</v>
      </c>
      <c r="H330" s="15" t="s">
        <v>15</v>
      </c>
      <c r="I330" s="15" t="s">
        <v>649</v>
      </c>
      <c r="J330" s="15">
        <v>77</v>
      </c>
      <c r="K330" s="59" t="str">
        <f t="shared" si="5"/>
        <v>B</v>
      </c>
    </row>
    <row r="331" spans="1:11" x14ac:dyDescent="0.3">
      <c r="A331" s="15" t="s">
        <v>650</v>
      </c>
      <c r="B331" s="15" t="s">
        <v>23</v>
      </c>
      <c r="C331" s="15" t="s">
        <v>24</v>
      </c>
      <c r="D331" s="15" t="s">
        <v>13</v>
      </c>
      <c r="E331" s="15">
        <v>17</v>
      </c>
      <c r="F331" s="15">
        <v>12</v>
      </c>
      <c r="G331" s="15" t="s">
        <v>25</v>
      </c>
      <c r="H331" s="15" t="s">
        <v>46</v>
      </c>
      <c r="I331" s="15" t="s">
        <v>651</v>
      </c>
      <c r="J331" s="15">
        <v>45</v>
      </c>
      <c r="K331" s="59" t="str">
        <f t="shared" si="5"/>
        <v>D</v>
      </c>
    </row>
    <row r="332" spans="1:11" x14ac:dyDescent="0.3">
      <c r="A332" s="15" t="s">
        <v>652</v>
      </c>
      <c r="B332" s="15" t="s">
        <v>51</v>
      </c>
      <c r="C332" s="15" t="s">
        <v>55</v>
      </c>
      <c r="D332" s="15" t="s">
        <v>13</v>
      </c>
      <c r="E332" s="15">
        <v>16</v>
      </c>
      <c r="F332" s="15">
        <v>12</v>
      </c>
      <c r="G332" s="15" t="s">
        <v>32</v>
      </c>
      <c r="H332" s="15" t="s">
        <v>61</v>
      </c>
      <c r="I332" s="15" t="s">
        <v>653</v>
      </c>
      <c r="J332" s="15">
        <v>45</v>
      </c>
      <c r="K332" s="59" t="str">
        <f t="shared" si="5"/>
        <v>D</v>
      </c>
    </row>
    <row r="333" spans="1:11" x14ac:dyDescent="0.3">
      <c r="A333" s="15" t="s">
        <v>654</v>
      </c>
      <c r="B333" s="15" t="s">
        <v>18</v>
      </c>
      <c r="C333" s="15" t="s">
        <v>24</v>
      </c>
      <c r="D333" s="15" t="s">
        <v>31</v>
      </c>
      <c r="E333" s="15">
        <v>14</v>
      </c>
      <c r="F333" s="15">
        <v>12</v>
      </c>
      <c r="G333" s="15" t="s">
        <v>14</v>
      </c>
      <c r="H333" s="15" t="s">
        <v>46</v>
      </c>
      <c r="I333" s="15" t="s">
        <v>655</v>
      </c>
      <c r="J333" s="15">
        <v>42</v>
      </c>
      <c r="K333" s="59" t="str">
        <f t="shared" si="5"/>
        <v>D</v>
      </c>
    </row>
    <row r="334" spans="1:11" x14ac:dyDescent="0.3">
      <c r="A334" s="15" t="s">
        <v>656</v>
      </c>
      <c r="B334" s="15" t="s">
        <v>29</v>
      </c>
      <c r="C334" s="15" t="s">
        <v>30</v>
      </c>
      <c r="D334" s="15" t="s">
        <v>13</v>
      </c>
      <c r="E334" s="15">
        <v>19</v>
      </c>
      <c r="F334" s="15">
        <v>10</v>
      </c>
      <c r="G334" s="15" t="s">
        <v>43</v>
      </c>
      <c r="H334" s="15" t="s">
        <v>15</v>
      </c>
      <c r="I334" s="15" t="s">
        <v>657</v>
      </c>
      <c r="J334" s="15">
        <v>85</v>
      </c>
      <c r="K334" s="59" t="str">
        <f t="shared" si="5"/>
        <v>A</v>
      </c>
    </row>
    <row r="335" spans="1:11" x14ac:dyDescent="0.3">
      <c r="A335" s="15" t="s">
        <v>658</v>
      </c>
      <c r="B335" s="15" t="s">
        <v>11</v>
      </c>
      <c r="C335" s="15" t="s">
        <v>96</v>
      </c>
      <c r="D335" s="15" t="s">
        <v>31</v>
      </c>
      <c r="E335" s="15">
        <v>20</v>
      </c>
      <c r="F335" s="15">
        <v>10</v>
      </c>
      <c r="G335" s="15" t="s">
        <v>43</v>
      </c>
      <c r="H335" s="15" t="s">
        <v>37</v>
      </c>
      <c r="I335" s="15" t="s">
        <v>659</v>
      </c>
      <c r="J335" s="15">
        <v>62</v>
      </c>
      <c r="K335" s="59" t="str">
        <f t="shared" si="5"/>
        <v>C</v>
      </c>
    </row>
    <row r="336" spans="1:11" x14ac:dyDescent="0.3">
      <c r="A336" s="15" t="s">
        <v>660</v>
      </c>
      <c r="B336" s="15" t="s">
        <v>23</v>
      </c>
      <c r="C336" s="15" t="s">
        <v>12</v>
      </c>
      <c r="D336" s="15" t="s">
        <v>13</v>
      </c>
      <c r="E336" s="15">
        <v>16</v>
      </c>
      <c r="F336" s="15">
        <v>11</v>
      </c>
      <c r="G336" s="15" t="s">
        <v>25</v>
      </c>
      <c r="H336" s="15" t="s">
        <v>40</v>
      </c>
      <c r="I336" s="15" t="s">
        <v>41</v>
      </c>
      <c r="J336" s="15">
        <v>86</v>
      </c>
      <c r="K336" s="59" t="str">
        <f t="shared" si="5"/>
        <v>A</v>
      </c>
    </row>
    <row r="337" spans="1:11" x14ac:dyDescent="0.3">
      <c r="A337" s="15" t="s">
        <v>661</v>
      </c>
      <c r="B337" s="15" t="s">
        <v>54</v>
      </c>
      <c r="C337" s="15" t="s">
        <v>12</v>
      </c>
      <c r="D337" s="15" t="s">
        <v>31</v>
      </c>
      <c r="E337" s="15">
        <v>19</v>
      </c>
      <c r="F337" s="15">
        <v>10</v>
      </c>
      <c r="G337" s="15" t="s">
        <v>14</v>
      </c>
      <c r="H337" s="15" t="s">
        <v>76</v>
      </c>
      <c r="I337" s="15" t="s">
        <v>662</v>
      </c>
      <c r="J337" s="15">
        <v>54</v>
      </c>
      <c r="K337" s="59" t="str">
        <f t="shared" si="5"/>
        <v>D</v>
      </c>
    </row>
    <row r="338" spans="1:11" x14ac:dyDescent="0.3">
      <c r="A338" s="15" t="s">
        <v>663</v>
      </c>
      <c r="B338" s="15" t="s">
        <v>73</v>
      </c>
      <c r="C338" s="15" t="s">
        <v>36</v>
      </c>
      <c r="D338" s="15" t="s">
        <v>13</v>
      </c>
      <c r="E338" s="15">
        <v>20</v>
      </c>
      <c r="F338" s="15">
        <v>12</v>
      </c>
      <c r="G338" s="15" t="s">
        <v>25</v>
      </c>
      <c r="H338" s="15" t="s">
        <v>40</v>
      </c>
      <c r="I338" s="15" t="s">
        <v>664</v>
      </c>
      <c r="J338" s="15">
        <v>50</v>
      </c>
      <c r="K338" s="59" t="str">
        <f t="shared" si="5"/>
        <v>D</v>
      </c>
    </row>
    <row r="339" spans="1:11" x14ac:dyDescent="0.3">
      <c r="A339" s="15" t="s">
        <v>665</v>
      </c>
      <c r="B339" s="15" t="s">
        <v>51</v>
      </c>
      <c r="C339" s="15" t="s">
        <v>96</v>
      </c>
      <c r="D339" s="15" t="s">
        <v>13</v>
      </c>
      <c r="E339" s="15">
        <v>14</v>
      </c>
      <c r="F339" s="15">
        <v>10</v>
      </c>
      <c r="G339" s="15" t="s">
        <v>14</v>
      </c>
      <c r="H339" s="15" t="s">
        <v>37</v>
      </c>
      <c r="I339" s="15" t="s">
        <v>666</v>
      </c>
      <c r="J339" s="15">
        <v>68</v>
      </c>
      <c r="K339" s="59" t="str">
        <f t="shared" si="5"/>
        <v>C</v>
      </c>
    </row>
    <row r="340" spans="1:11" x14ac:dyDescent="0.3">
      <c r="A340" s="15" t="s">
        <v>667</v>
      </c>
      <c r="B340" s="15" t="s">
        <v>35</v>
      </c>
      <c r="C340" s="15" t="s">
        <v>12</v>
      </c>
      <c r="D340" s="15" t="s">
        <v>31</v>
      </c>
      <c r="E340" s="15">
        <v>15</v>
      </c>
      <c r="F340" s="15">
        <v>12</v>
      </c>
      <c r="G340" s="15" t="s">
        <v>14</v>
      </c>
      <c r="H340" s="15" t="s">
        <v>46</v>
      </c>
      <c r="I340" s="15" t="s">
        <v>668</v>
      </c>
      <c r="J340" s="15">
        <v>82</v>
      </c>
      <c r="K340" s="59" t="str">
        <f t="shared" si="5"/>
        <v>A</v>
      </c>
    </row>
    <row r="341" spans="1:11" x14ac:dyDescent="0.3">
      <c r="A341" s="15" t="s">
        <v>669</v>
      </c>
      <c r="B341" s="15" t="s">
        <v>11</v>
      </c>
      <c r="C341" s="15" t="s">
        <v>24</v>
      </c>
      <c r="D341" s="15" t="s">
        <v>13</v>
      </c>
      <c r="E341" s="15">
        <v>19</v>
      </c>
      <c r="F341" s="15">
        <v>9</v>
      </c>
      <c r="G341" s="15" t="s">
        <v>32</v>
      </c>
      <c r="H341" s="15" t="s">
        <v>40</v>
      </c>
      <c r="I341" s="15" t="s">
        <v>670</v>
      </c>
      <c r="J341" s="15">
        <v>51</v>
      </c>
      <c r="K341" s="59" t="str">
        <f t="shared" si="5"/>
        <v>D</v>
      </c>
    </row>
    <row r="342" spans="1:11" x14ac:dyDescent="0.3">
      <c r="A342" s="15" t="s">
        <v>671</v>
      </c>
      <c r="B342" s="15" t="s">
        <v>11</v>
      </c>
      <c r="C342" s="15" t="s">
        <v>36</v>
      </c>
      <c r="D342" s="15" t="s">
        <v>13</v>
      </c>
      <c r="E342" s="15">
        <v>14</v>
      </c>
      <c r="F342" s="15">
        <v>10</v>
      </c>
      <c r="G342" s="15" t="s">
        <v>32</v>
      </c>
      <c r="H342" s="15" t="s">
        <v>40</v>
      </c>
      <c r="I342" s="15" t="s">
        <v>672</v>
      </c>
      <c r="J342" s="15">
        <v>64</v>
      </c>
      <c r="K342" s="59" t="str">
        <f t="shared" si="5"/>
        <v>C</v>
      </c>
    </row>
    <row r="343" spans="1:11" x14ac:dyDescent="0.3">
      <c r="A343" s="15" t="s">
        <v>673</v>
      </c>
      <c r="B343" s="15" t="s">
        <v>11</v>
      </c>
      <c r="C343" s="15" t="s">
        <v>19</v>
      </c>
      <c r="D343" s="15" t="s">
        <v>31</v>
      </c>
      <c r="E343" s="15">
        <v>17</v>
      </c>
      <c r="F343" s="15">
        <v>10</v>
      </c>
      <c r="G343" s="15" t="s">
        <v>32</v>
      </c>
      <c r="H343" s="15" t="s">
        <v>46</v>
      </c>
      <c r="I343" s="15" t="s">
        <v>674</v>
      </c>
      <c r="J343" s="15">
        <v>85</v>
      </c>
      <c r="K343" s="59" t="str">
        <f t="shared" si="5"/>
        <v>A</v>
      </c>
    </row>
    <row r="344" spans="1:11" x14ac:dyDescent="0.3">
      <c r="A344" s="15" t="s">
        <v>675</v>
      </c>
      <c r="B344" s="15" t="s">
        <v>73</v>
      </c>
      <c r="C344" s="15" t="s">
        <v>24</v>
      </c>
      <c r="D344" s="15" t="s">
        <v>13</v>
      </c>
      <c r="E344" s="15">
        <v>19</v>
      </c>
      <c r="F344" s="15">
        <v>11</v>
      </c>
      <c r="G344" s="15" t="s">
        <v>14</v>
      </c>
      <c r="H344" s="15" t="s">
        <v>37</v>
      </c>
      <c r="I344" s="15" t="s">
        <v>676</v>
      </c>
      <c r="J344" s="15">
        <v>51</v>
      </c>
      <c r="K344" s="59" t="str">
        <f t="shared" si="5"/>
        <v>D</v>
      </c>
    </row>
    <row r="345" spans="1:11" x14ac:dyDescent="0.3">
      <c r="A345" s="15" t="s">
        <v>677</v>
      </c>
      <c r="B345" s="15" t="s">
        <v>23</v>
      </c>
      <c r="C345" s="15" t="s">
        <v>85</v>
      </c>
      <c r="D345" s="15" t="s">
        <v>13</v>
      </c>
      <c r="E345" s="15">
        <v>20</v>
      </c>
      <c r="F345" s="15">
        <v>10</v>
      </c>
      <c r="G345" s="15" t="s">
        <v>32</v>
      </c>
      <c r="H345" s="15" t="s">
        <v>40</v>
      </c>
      <c r="I345" s="15" t="s">
        <v>678</v>
      </c>
      <c r="J345" s="15">
        <v>56</v>
      </c>
      <c r="K345" s="59" t="str">
        <f t="shared" si="5"/>
        <v>D</v>
      </c>
    </row>
    <row r="346" spans="1:11" x14ac:dyDescent="0.3">
      <c r="A346" s="15" t="s">
        <v>679</v>
      </c>
      <c r="B346" s="15" t="s">
        <v>18</v>
      </c>
      <c r="C346" s="15" t="s">
        <v>96</v>
      </c>
      <c r="D346" s="15" t="s">
        <v>13</v>
      </c>
      <c r="E346" s="15">
        <v>14</v>
      </c>
      <c r="F346" s="15">
        <v>12</v>
      </c>
      <c r="G346" s="15" t="s">
        <v>32</v>
      </c>
      <c r="H346" s="15" t="s">
        <v>46</v>
      </c>
      <c r="I346" s="15" t="s">
        <v>680</v>
      </c>
      <c r="J346" s="15">
        <v>44</v>
      </c>
      <c r="K346" s="59" t="str">
        <f t="shared" si="5"/>
        <v>D</v>
      </c>
    </row>
    <row r="347" spans="1:11" x14ac:dyDescent="0.3">
      <c r="A347" s="15" t="s">
        <v>681</v>
      </c>
      <c r="B347" s="15" t="s">
        <v>35</v>
      </c>
      <c r="C347" s="15" t="s">
        <v>36</v>
      </c>
      <c r="D347" s="15" t="s">
        <v>13</v>
      </c>
      <c r="E347" s="15">
        <v>14</v>
      </c>
      <c r="F347" s="15">
        <v>9</v>
      </c>
      <c r="G347" s="15" t="s">
        <v>43</v>
      </c>
      <c r="H347" s="15" t="s">
        <v>46</v>
      </c>
      <c r="I347" s="15" t="s">
        <v>682</v>
      </c>
      <c r="J347" s="15">
        <v>67</v>
      </c>
      <c r="K347" s="59" t="str">
        <f t="shared" si="5"/>
        <v>C</v>
      </c>
    </row>
    <row r="348" spans="1:11" x14ac:dyDescent="0.3">
      <c r="A348" s="15" t="s">
        <v>683</v>
      </c>
      <c r="B348" s="15" t="s">
        <v>84</v>
      </c>
      <c r="C348" s="15" t="s">
        <v>55</v>
      </c>
      <c r="D348" s="15" t="s">
        <v>31</v>
      </c>
      <c r="E348" s="15">
        <v>16</v>
      </c>
      <c r="F348" s="15">
        <v>12</v>
      </c>
      <c r="G348" s="15" t="s">
        <v>14</v>
      </c>
      <c r="H348" s="15" t="s">
        <v>76</v>
      </c>
      <c r="I348" s="15" t="s">
        <v>125</v>
      </c>
      <c r="J348" s="15">
        <v>60</v>
      </c>
      <c r="K348" s="59" t="str">
        <f t="shared" si="5"/>
        <v>C</v>
      </c>
    </row>
    <row r="349" spans="1:11" x14ac:dyDescent="0.3">
      <c r="A349" s="15" t="s">
        <v>684</v>
      </c>
      <c r="B349" s="15" t="s">
        <v>54</v>
      </c>
      <c r="C349" s="15" t="s">
        <v>24</v>
      </c>
      <c r="D349" s="15" t="s">
        <v>31</v>
      </c>
      <c r="E349" s="15">
        <v>17</v>
      </c>
      <c r="F349" s="15">
        <v>10</v>
      </c>
      <c r="G349" s="15" t="s">
        <v>43</v>
      </c>
      <c r="H349" s="15" t="s">
        <v>46</v>
      </c>
      <c r="I349" s="15" t="s">
        <v>685</v>
      </c>
      <c r="J349" s="15">
        <v>74</v>
      </c>
      <c r="K349" s="59" t="str">
        <f t="shared" si="5"/>
        <v>B</v>
      </c>
    </row>
    <row r="350" spans="1:11" x14ac:dyDescent="0.3">
      <c r="A350" s="15" t="s">
        <v>686</v>
      </c>
      <c r="B350" s="15" t="s">
        <v>23</v>
      </c>
      <c r="C350" s="15" t="s">
        <v>96</v>
      </c>
      <c r="D350" s="15" t="s">
        <v>31</v>
      </c>
      <c r="E350" s="15">
        <v>16</v>
      </c>
      <c r="F350" s="15">
        <v>9</v>
      </c>
      <c r="G350" s="15" t="s">
        <v>25</v>
      </c>
      <c r="H350" s="15" t="s">
        <v>20</v>
      </c>
      <c r="I350" s="15" t="s">
        <v>277</v>
      </c>
      <c r="J350" s="15">
        <v>71</v>
      </c>
      <c r="K350" s="59" t="str">
        <f t="shared" si="5"/>
        <v>B</v>
      </c>
    </row>
    <row r="351" spans="1:11" x14ac:dyDescent="0.3">
      <c r="A351" s="15" t="s">
        <v>687</v>
      </c>
      <c r="B351" s="15" t="s">
        <v>84</v>
      </c>
      <c r="C351" s="15" t="s">
        <v>19</v>
      </c>
      <c r="D351" s="15" t="s">
        <v>13</v>
      </c>
      <c r="E351" s="15">
        <v>16</v>
      </c>
      <c r="F351" s="15">
        <v>10</v>
      </c>
      <c r="G351" s="15" t="s">
        <v>25</v>
      </c>
      <c r="H351" s="15" t="s">
        <v>46</v>
      </c>
      <c r="I351" s="15" t="s">
        <v>564</v>
      </c>
      <c r="J351" s="15">
        <v>52</v>
      </c>
      <c r="K351" s="59" t="str">
        <f t="shared" si="5"/>
        <v>D</v>
      </c>
    </row>
    <row r="352" spans="1:11" x14ac:dyDescent="0.3">
      <c r="A352" s="15" t="s">
        <v>688</v>
      </c>
      <c r="B352" s="15" t="s">
        <v>23</v>
      </c>
      <c r="C352" s="15" t="s">
        <v>96</v>
      </c>
      <c r="D352" s="15" t="s">
        <v>31</v>
      </c>
      <c r="E352" s="15">
        <v>19</v>
      </c>
      <c r="F352" s="15">
        <v>10</v>
      </c>
      <c r="G352" s="15" t="s">
        <v>25</v>
      </c>
      <c r="H352" s="15" t="s">
        <v>40</v>
      </c>
      <c r="I352" s="15" t="s">
        <v>195</v>
      </c>
      <c r="J352" s="15">
        <v>55</v>
      </c>
      <c r="K352" s="59" t="str">
        <f t="shared" si="5"/>
        <v>D</v>
      </c>
    </row>
    <row r="353" spans="1:11" x14ac:dyDescent="0.3">
      <c r="A353" s="15" t="s">
        <v>689</v>
      </c>
      <c r="B353" s="15" t="s">
        <v>68</v>
      </c>
      <c r="C353" s="15" t="s">
        <v>96</v>
      </c>
      <c r="D353" s="15" t="s">
        <v>13</v>
      </c>
      <c r="E353" s="15">
        <v>20</v>
      </c>
      <c r="F353" s="15">
        <v>12</v>
      </c>
      <c r="G353" s="15" t="s">
        <v>43</v>
      </c>
      <c r="H353" s="15" t="s">
        <v>20</v>
      </c>
      <c r="I353" s="15" t="s">
        <v>626</v>
      </c>
      <c r="J353" s="15">
        <v>48</v>
      </c>
      <c r="K353" s="59" t="str">
        <f t="shared" si="5"/>
        <v>D</v>
      </c>
    </row>
    <row r="354" spans="1:11" x14ac:dyDescent="0.3">
      <c r="A354" s="15" t="s">
        <v>690</v>
      </c>
      <c r="B354" s="15" t="s">
        <v>23</v>
      </c>
      <c r="C354" s="15" t="s">
        <v>85</v>
      </c>
      <c r="D354" s="15" t="s">
        <v>13</v>
      </c>
      <c r="E354" s="15">
        <v>19</v>
      </c>
      <c r="F354" s="15">
        <v>9</v>
      </c>
      <c r="G354" s="15" t="s">
        <v>14</v>
      </c>
      <c r="H354" s="15" t="s">
        <v>76</v>
      </c>
      <c r="I354" s="15" t="s">
        <v>635</v>
      </c>
      <c r="J354" s="15">
        <v>91</v>
      </c>
      <c r="K354" s="59" t="str">
        <f t="shared" si="5"/>
        <v>A+</v>
      </c>
    </row>
    <row r="355" spans="1:11" x14ac:dyDescent="0.3">
      <c r="A355" s="15" t="s">
        <v>691</v>
      </c>
      <c r="B355" s="15" t="s">
        <v>84</v>
      </c>
      <c r="C355" s="15" t="s">
        <v>55</v>
      </c>
      <c r="D355" s="15" t="s">
        <v>13</v>
      </c>
      <c r="E355" s="15">
        <v>16</v>
      </c>
      <c r="F355" s="15">
        <v>10</v>
      </c>
      <c r="G355" s="15" t="s">
        <v>43</v>
      </c>
      <c r="H355" s="15" t="s">
        <v>46</v>
      </c>
      <c r="I355" s="15" t="s">
        <v>692</v>
      </c>
      <c r="J355" s="15">
        <v>91</v>
      </c>
      <c r="K355" s="59" t="str">
        <f t="shared" si="5"/>
        <v>A+</v>
      </c>
    </row>
    <row r="356" spans="1:11" x14ac:dyDescent="0.3">
      <c r="A356" s="15" t="s">
        <v>693</v>
      </c>
      <c r="B356" s="15" t="s">
        <v>73</v>
      </c>
      <c r="C356" s="15" t="s">
        <v>58</v>
      </c>
      <c r="D356" s="15" t="s">
        <v>31</v>
      </c>
      <c r="E356" s="15">
        <v>16</v>
      </c>
      <c r="F356" s="15">
        <v>11</v>
      </c>
      <c r="G356" s="15" t="s">
        <v>25</v>
      </c>
      <c r="H356" s="15" t="s">
        <v>37</v>
      </c>
      <c r="I356" s="15" t="s">
        <v>694</v>
      </c>
      <c r="J356" s="15">
        <v>65</v>
      </c>
      <c r="K356" s="59" t="str">
        <f t="shared" si="5"/>
        <v>C</v>
      </c>
    </row>
    <row r="357" spans="1:11" x14ac:dyDescent="0.3">
      <c r="A357" s="15" t="s">
        <v>695</v>
      </c>
      <c r="B357" s="15" t="s">
        <v>51</v>
      </c>
      <c r="C357" s="15" t="s">
        <v>24</v>
      </c>
      <c r="D357" s="15" t="s">
        <v>13</v>
      </c>
      <c r="E357" s="15">
        <v>17</v>
      </c>
      <c r="F357" s="15">
        <v>9</v>
      </c>
      <c r="G357" s="15" t="s">
        <v>32</v>
      </c>
      <c r="H357" s="15" t="s">
        <v>15</v>
      </c>
      <c r="I357" s="15" t="s">
        <v>696</v>
      </c>
      <c r="J357" s="15">
        <v>69</v>
      </c>
      <c r="K357" s="59" t="str">
        <f t="shared" si="5"/>
        <v>C</v>
      </c>
    </row>
    <row r="358" spans="1:11" x14ac:dyDescent="0.3">
      <c r="A358" s="15" t="s">
        <v>697</v>
      </c>
      <c r="B358" s="15" t="s">
        <v>29</v>
      </c>
      <c r="C358" s="15" t="s">
        <v>30</v>
      </c>
      <c r="D358" s="15" t="s">
        <v>31</v>
      </c>
      <c r="E358" s="15">
        <v>19</v>
      </c>
      <c r="F358" s="15">
        <v>10</v>
      </c>
      <c r="G358" s="15" t="s">
        <v>25</v>
      </c>
      <c r="H358" s="15" t="s">
        <v>61</v>
      </c>
      <c r="I358" s="15" t="s">
        <v>698</v>
      </c>
      <c r="J358" s="15">
        <v>75</v>
      </c>
      <c r="K358" s="59" t="str">
        <f t="shared" si="5"/>
        <v>B</v>
      </c>
    </row>
    <row r="359" spans="1:11" x14ac:dyDescent="0.3">
      <c r="A359" s="15" t="s">
        <v>699</v>
      </c>
      <c r="B359" s="15" t="s">
        <v>11</v>
      </c>
      <c r="C359" s="15" t="s">
        <v>30</v>
      </c>
      <c r="D359" s="15" t="s">
        <v>31</v>
      </c>
      <c r="E359" s="15">
        <v>16</v>
      </c>
      <c r="F359" s="15">
        <v>11</v>
      </c>
      <c r="G359" s="15" t="s">
        <v>43</v>
      </c>
      <c r="H359" s="15" t="s">
        <v>40</v>
      </c>
      <c r="I359" s="15" t="s">
        <v>97</v>
      </c>
      <c r="J359" s="15">
        <v>72</v>
      </c>
      <c r="K359" s="59" t="str">
        <f t="shared" si="5"/>
        <v>B</v>
      </c>
    </row>
    <row r="360" spans="1:11" x14ac:dyDescent="0.3">
      <c r="A360" s="15" t="s">
        <v>700</v>
      </c>
      <c r="B360" s="15" t="s">
        <v>23</v>
      </c>
      <c r="C360" s="15" t="s">
        <v>55</v>
      </c>
      <c r="D360" s="15" t="s">
        <v>31</v>
      </c>
      <c r="E360" s="15">
        <v>20</v>
      </c>
      <c r="F360" s="15">
        <v>10</v>
      </c>
      <c r="G360" s="15" t="s">
        <v>14</v>
      </c>
      <c r="H360" s="15" t="s">
        <v>15</v>
      </c>
      <c r="I360" s="15" t="s">
        <v>678</v>
      </c>
      <c r="J360" s="15">
        <v>59</v>
      </c>
      <c r="K360" s="59" t="str">
        <f t="shared" si="5"/>
        <v>D</v>
      </c>
    </row>
    <row r="361" spans="1:11" x14ac:dyDescent="0.3">
      <c r="A361" s="15" t="s">
        <v>701</v>
      </c>
      <c r="B361" s="15" t="s">
        <v>54</v>
      </c>
      <c r="C361" s="15" t="s">
        <v>30</v>
      </c>
      <c r="D361" s="15" t="s">
        <v>31</v>
      </c>
      <c r="E361" s="15">
        <v>15</v>
      </c>
      <c r="F361" s="15">
        <v>11</v>
      </c>
      <c r="G361" s="15" t="s">
        <v>14</v>
      </c>
      <c r="H361" s="15" t="s">
        <v>76</v>
      </c>
      <c r="I361" s="15" t="s">
        <v>702</v>
      </c>
      <c r="J361" s="15">
        <v>42</v>
      </c>
      <c r="K361" s="59" t="str">
        <f t="shared" si="5"/>
        <v>D</v>
      </c>
    </row>
    <row r="362" spans="1:11" x14ac:dyDescent="0.3">
      <c r="A362" s="15" t="s">
        <v>703</v>
      </c>
      <c r="B362" s="15" t="s">
        <v>73</v>
      </c>
      <c r="C362" s="15" t="s">
        <v>30</v>
      </c>
      <c r="D362" s="15" t="s">
        <v>31</v>
      </c>
      <c r="E362" s="15">
        <v>17</v>
      </c>
      <c r="F362" s="15">
        <v>12</v>
      </c>
      <c r="G362" s="15" t="s">
        <v>32</v>
      </c>
      <c r="H362" s="15" t="s">
        <v>40</v>
      </c>
      <c r="I362" s="15" t="s">
        <v>704</v>
      </c>
      <c r="J362" s="15">
        <v>93</v>
      </c>
      <c r="K362" s="59" t="str">
        <f t="shared" si="5"/>
        <v>A+</v>
      </c>
    </row>
    <row r="363" spans="1:11" x14ac:dyDescent="0.3">
      <c r="A363" s="15" t="s">
        <v>705</v>
      </c>
      <c r="B363" s="15" t="s">
        <v>84</v>
      </c>
      <c r="C363" s="15" t="s">
        <v>55</v>
      </c>
      <c r="D363" s="15" t="s">
        <v>31</v>
      </c>
      <c r="E363" s="15">
        <v>14</v>
      </c>
      <c r="F363" s="15">
        <v>12</v>
      </c>
      <c r="G363" s="15" t="s">
        <v>43</v>
      </c>
      <c r="H363" s="15" t="s">
        <v>76</v>
      </c>
      <c r="I363" s="15" t="s">
        <v>706</v>
      </c>
      <c r="J363" s="15">
        <v>63</v>
      </c>
      <c r="K363" s="59" t="str">
        <f t="shared" si="5"/>
        <v>C</v>
      </c>
    </row>
    <row r="364" spans="1:11" x14ac:dyDescent="0.3">
      <c r="A364" s="15" t="s">
        <v>707</v>
      </c>
      <c r="B364" s="15" t="s">
        <v>68</v>
      </c>
      <c r="C364" s="15" t="s">
        <v>96</v>
      </c>
      <c r="D364" s="15" t="s">
        <v>31</v>
      </c>
      <c r="E364" s="15">
        <v>20</v>
      </c>
      <c r="F364" s="15">
        <v>12</v>
      </c>
      <c r="G364" s="15" t="s">
        <v>43</v>
      </c>
      <c r="H364" s="15" t="s">
        <v>37</v>
      </c>
      <c r="I364" s="15" t="s">
        <v>708</v>
      </c>
      <c r="J364" s="15">
        <v>35</v>
      </c>
      <c r="K364" s="59" t="str">
        <f t="shared" si="5"/>
        <v>Fail</v>
      </c>
    </row>
    <row r="365" spans="1:11" x14ac:dyDescent="0.3">
      <c r="A365" s="15" t="s">
        <v>709</v>
      </c>
      <c r="B365" s="15" t="s">
        <v>54</v>
      </c>
      <c r="C365" s="15" t="s">
        <v>19</v>
      </c>
      <c r="D365" s="15" t="s">
        <v>31</v>
      </c>
      <c r="E365" s="15">
        <v>18</v>
      </c>
      <c r="F365" s="15">
        <v>10</v>
      </c>
      <c r="G365" s="15" t="s">
        <v>43</v>
      </c>
      <c r="H365" s="15" t="s">
        <v>37</v>
      </c>
      <c r="I365" s="15" t="s">
        <v>710</v>
      </c>
      <c r="J365" s="15">
        <v>89</v>
      </c>
      <c r="K365" s="59" t="str">
        <f t="shared" si="5"/>
        <v>A</v>
      </c>
    </row>
    <row r="366" spans="1:11" x14ac:dyDescent="0.3">
      <c r="A366" s="15" t="s">
        <v>711</v>
      </c>
      <c r="B366" s="15" t="s">
        <v>29</v>
      </c>
      <c r="C366" s="15" t="s">
        <v>79</v>
      </c>
      <c r="D366" s="15" t="s">
        <v>13</v>
      </c>
      <c r="E366" s="15">
        <v>14</v>
      </c>
      <c r="F366" s="15">
        <v>9</v>
      </c>
      <c r="G366" s="15" t="s">
        <v>32</v>
      </c>
      <c r="H366" s="15" t="s">
        <v>15</v>
      </c>
      <c r="I366" s="15" t="s">
        <v>712</v>
      </c>
      <c r="J366" s="15">
        <v>72</v>
      </c>
      <c r="K366" s="59" t="str">
        <f t="shared" si="5"/>
        <v>B</v>
      </c>
    </row>
    <row r="367" spans="1:11" x14ac:dyDescent="0.3">
      <c r="A367" s="15" t="s">
        <v>713</v>
      </c>
      <c r="B367" s="15" t="s">
        <v>29</v>
      </c>
      <c r="C367" s="15" t="s">
        <v>24</v>
      </c>
      <c r="D367" s="15" t="s">
        <v>31</v>
      </c>
      <c r="E367" s="15">
        <v>16</v>
      </c>
      <c r="F367" s="15">
        <v>12</v>
      </c>
      <c r="G367" s="15" t="s">
        <v>32</v>
      </c>
      <c r="H367" s="15" t="s">
        <v>26</v>
      </c>
      <c r="I367" s="15" t="s">
        <v>714</v>
      </c>
      <c r="J367" s="15">
        <v>57</v>
      </c>
      <c r="K367" s="59" t="str">
        <f t="shared" si="5"/>
        <v>D</v>
      </c>
    </row>
    <row r="368" spans="1:11" x14ac:dyDescent="0.3">
      <c r="A368" s="15" t="s">
        <v>715</v>
      </c>
      <c r="B368" s="15" t="s">
        <v>51</v>
      </c>
      <c r="C368" s="15" t="s">
        <v>79</v>
      </c>
      <c r="D368" s="15" t="s">
        <v>13</v>
      </c>
      <c r="E368" s="15">
        <v>19</v>
      </c>
      <c r="F368" s="15">
        <v>10</v>
      </c>
      <c r="G368" s="15" t="s">
        <v>32</v>
      </c>
      <c r="H368" s="15" t="s">
        <v>40</v>
      </c>
      <c r="I368" s="15" t="s">
        <v>702</v>
      </c>
      <c r="J368" s="15">
        <v>84</v>
      </c>
      <c r="K368" s="59" t="str">
        <f t="shared" si="5"/>
        <v>A</v>
      </c>
    </row>
    <row r="369" spans="1:11" x14ac:dyDescent="0.3">
      <c r="A369" s="15" t="s">
        <v>716</v>
      </c>
      <c r="B369" s="15" t="s">
        <v>23</v>
      </c>
      <c r="C369" s="15" t="s">
        <v>58</v>
      </c>
      <c r="D369" s="15" t="s">
        <v>31</v>
      </c>
      <c r="E369" s="15">
        <v>17</v>
      </c>
      <c r="F369" s="15">
        <v>9</v>
      </c>
      <c r="G369" s="15" t="s">
        <v>25</v>
      </c>
      <c r="H369" s="15" t="s">
        <v>15</v>
      </c>
      <c r="I369" s="15" t="s">
        <v>717</v>
      </c>
      <c r="J369" s="15">
        <v>51</v>
      </c>
      <c r="K369" s="59" t="str">
        <f t="shared" si="5"/>
        <v>D</v>
      </c>
    </row>
    <row r="370" spans="1:11" x14ac:dyDescent="0.3">
      <c r="A370" s="15" t="s">
        <v>718</v>
      </c>
      <c r="B370" s="15" t="s">
        <v>84</v>
      </c>
      <c r="C370" s="15" t="s">
        <v>12</v>
      </c>
      <c r="D370" s="15" t="s">
        <v>31</v>
      </c>
      <c r="E370" s="15">
        <v>20</v>
      </c>
      <c r="F370" s="15">
        <v>10</v>
      </c>
      <c r="G370" s="15" t="s">
        <v>25</v>
      </c>
      <c r="H370" s="15" t="s">
        <v>61</v>
      </c>
      <c r="I370" s="15" t="s">
        <v>639</v>
      </c>
      <c r="J370" s="15">
        <v>35</v>
      </c>
      <c r="K370" s="59" t="str">
        <f t="shared" si="5"/>
        <v>Fail</v>
      </c>
    </row>
    <row r="371" spans="1:11" x14ac:dyDescent="0.3">
      <c r="A371" s="15" t="s">
        <v>719</v>
      </c>
      <c r="B371" s="15" t="s">
        <v>18</v>
      </c>
      <c r="C371" s="15" t="s">
        <v>24</v>
      </c>
      <c r="D371" s="15" t="s">
        <v>31</v>
      </c>
      <c r="E371" s="15">
        <v>18</v>
      </c>
      <c r="F371" s="15">
        <v>11</v>
      </c>
      <c r="G371" s="15" t="s">
        <v>43</v>
      </c>
      <c r="H371" s="15" t="s">
        <v>40</v>
      </c>
      <c r="I371" s="15" t="s">
        <v>720</v>
      </c>
      <c r="J371" s="15">
        <v>83</v>
      </c>
      <c r="K371" s="59" t="str">
        <f t="shared" si="5"/>
        <v>A</v>
      </c>
    </row>
    <row r="372" spans="1:11" x14ac:dyDescent="0.3">
      <c r="A372" s="15" t="s">
        <v>721</v>
      </c>
      <c r="B372" s="15" t="s">
        <v>23</v>
      </c>
      <c r="C372" s="15" t="s">
        <v>19</v>
      </c>
      <c r="D372" s="15" t="s">
        <v>31</v>
      </c>
      <c r="E372" s="15">
        <v>18</v>
      </c>
      <c r="F372" s="15">
        <v>10</v>
      </c>
      <c r="G372" s="15" t="s">
        <v>14</v>
      </c>
      <c r="H372" s="15" t="s">
        <v>26</v>
      </c>
      <c r="I372" s="15" t="s">
        <v>722</v>
      </c>
      <c r="J372" s="15">
        <v>43</v>
      </c>
      <c r="K372" s="59" t="str">
        <f t="shared" si="5"/>
        <v>D</v>
      </c>
    </row>
    <row r="373" spans="1:11" x14ac:dyDescent="0.3">
      <c r="A373" s="15" t="s">
        <v>723</v>
      </c>
      <c r="B373" s="15" t="s">
        <v>68</v>
      </c>
      <c r="C373" s="15" t="s">
        <v>79</v>
      </c>
      <c r="D373" s="15" t="s">
        <v>31</v>
      </c>
      <c r="E373" s="15">
        <v>19</v>
      </c>
      <c r="F373" s="15">
        <v>12</v>
      </c>
      <c r="G373" s="15" t="s">
        <v>25</v>
      </c>
      <c r="H373" s="15" t="s">
        <v>40</v>
      </c>
      <c r="I373" s="15" t="s">
        <v>724</v>
      </c>
      <c r="J373" s="15">
        <v>65</v>
      </c>
      <c r="K373" s="59" t="str">
        <f t="shared" si="5"/>
        <v>C</v>
      </c>
    </row>
    <row r="374" spans="1:11" x14ac:dyDescent="0.3">
      <c r="A374" s="15" t="s">
        <v>725</v>
      </c>
      <c r="B374" s="15" t="s">
        <v>11</v>
      </c>
      <c r="C374" s="15" t="s">
        <v>55</v>
      </c>
      <c r="D374" s="15" t="s">
        <v>31</v>
      </c>
      <c r="E374" s="15">
        <v>15</v>
      </c>
      <c r="F374" s="15">
        <v>9</v>
      </c>
      <c r="G374" s="15" t="s">
        <v>25</v>
      </c>
      <c r="H374" s="15" t="s">
        <v>37</v>
      </c>
      <c r="I374" s="15" t="s">
        <v>726</v>
      </c>
      <c r="J374" s="15">
        <v>72</v>
      </c>
      <c r="K374" s="59" t="str">
        <f t="shared" si="5"/>
        <v>B</v>
      </c>
    </row>
    <row r="375" spans="1:11" x14ac:dyDescent="0.3">
      <c r="A375" s="15" t="s">
        <v>727</v>
      </c>
      <c r="B375" s="15" t="s">
        <v>68</v>
      </c>
      <c r="C375" s="15" t="s">
        <v>12</v>
      </c>
      <c r="D375" s="15" t="s">
        <v>13</v>
      </c>
      <c r="E375" s="15">
        <v>14</v>
      </c>
      <c r="F375" s="15">
        <v>9</v>
      </c>
      <c r="G375" s="15" t="s">
        <v>14</v>
      </c>
      <c r="H375" s="15" t="s">
        <v>20</v>
      </c>
      <c r="I375" s="15" t="s">
        <v>728</v>
      </c>
      <c r="J375" s="15">
        <v>68</v>
      </c>
      <c r="K375" s="59" t="str">
        <f t="shared" si="5"/>
        <v>C</v>
      </c>
    </row>
    <row r="376" spans="1:11" x14ac:dyDescent="0.3">
      <c r="A376" s="15" t="s">
        <v>729</v>
      </c>
      <c r="B376" s="15" t="s">
        <v>35</v>
      </c>
      <c r="C376" s="15" t="s">
        <v>79</v>
      </c>
      <c r="D376" s="15" t="s">
        <v>13</v>
      </c>
      <c r="E376" s="15">
        <v>15</v>
      </c>
      <c r="F376" s="15">
        <v>9</v>
      </c>
      <c r="G376" s="15" t="s">
        <v>43</v>
      </c>
      <c r="H376" s="15" t="s">
        <v>76</v>
      </c>
      <c r="I376" s="15" t="s">
        <v>730</v>
      </c>
      <c r="J376" s="15">
        <v>39</v>
      </c>
      <c r="K376" s="59" t="str">
        <f t="shared" si="5"/>
        <v>Fail</v>
      </c>
    </row>
    <row r="377" spans="1:11" x14ac:dyDescent="0.3">
      <c r="A377" s="15" t="s">
        <v>731</v>
      </c>
      <c r="B377" s="15" t="s">
        <v>84</v>
      </c>
      <c r="C377" s="15" t="s">
        <v>85</v>
      </c>
      <c r="D377" s="15" t="s">
        <v>31</v>
      </c>
      <c r="E377" s="15">
        <v>17</v>
      </c>
      <c r="F377" s="15">
        <v>9</v>
      </c>
      <c r="G377" s="15" t="s">
        <v>43</v>
      </c>
      <c r="H377" s="15" t="s">
        <v>76</v>
      </c>
      <c r="I377" s="15" t="s">
        <v>732</v>
      </c>
      <c r="J377" s="15">
        <v>97</v>
      </c>
      <c r="K377" s="59" t="str">
        <f t="shared" si="5"/>
        <v>A+</v>
      </c>
    </row>
    <row r="378" spans="1:11" x14ac:dyDescent="0.3">
      <c r="A378" s="15" t="s">
        <v>733</v>
      </c>
      <c r="B378" s="15" t="s">
        <v>84</v>
      </c>
      <c r="C378" s="15" t="s">
        <v>85</v>
      </c>
      <c r="D378" s="15" t="s">
        <v>31</v>
      </c>
      <c r="E378" s="15">
        <v>17</v>
      </c>
      <c r="F378" s="15">
        <v>12</v>
      </c>
      <c r="G378" s="15" t="s">
        <v>43</v>
      </c>
      <c r="H378" s="15" t="s">
        <v>15</v>
      </c>
      <c r="I378" s="15" t="s">
        <v>734</v>
      </c>
      <c r="J378" s="15">
        <v>77</v>
      </c>
      <c r="K378" s="59" t="str">
        <f t="shared" si="5"/>
        <v>B</v>
      </c>
    </row>
    <row r="379" spans="1:11" x14ac:dyDescent="0.3">
      <c r="A379" s="15" t="s">
        <v>735</v>
      </c>
      <c r="B379" s="15" t="s">
        <v>68</v>
      </c>
      <c r="C379" s="15" t="s">
        <v>24</v>
      </c>
      <c r="D379" s="15" t="s">
        <v>31</v>
      </c>
      <c r="E379" s="15">
        <v>16</v>
      </c>
      <c r="F379" s="15">
        <v>12</v>
      </c>
      <c r="G379" s="15" t="s">
        <v>43</v>
      </c>
      <c r="H379" s="15" t="s">
        <v>26</v>
      </c>
      <c r="I379" s="15" t="s">
        <v>736</v>
      </c>
      <c r="J379" s="15">
        <v>85</v>
      </c>
      <c r="K379" s="59" t="str">
        <f t="shared" si="5"/>
        <v>A</v>
      </c>
    </row>
    <row r="380" spans="1:11" x14ac:dyDescent="0.3">
      <c r="A380" s="15" t="s">
        <v>737</v>
      </c>
      <c r="B380" s="15" t="s">
        <v>54</v>
      </c>
      <c r="C380" s="15" t="s">
        <v>96</v>
      </c>
      <c r="D380" s="15" t="s">
        <v>13</v>
      </c>
      <c r="E380" s="15">
        <v>19</v>
      </c>
      <c r="F380" s="15">
        <v>12</v>
      </c>
      <c r="G380" s="15" t="s">
        <v>25</v>
      </c>
      <c r="H380" s="15" t="s">
        <v>20</v>
      </c>
      <c r="I380" s="15" t="s">
        <v>738</v>
      </c>
      <c r="J380" s="15">
        <v>85</v>
      </c>
      <c r="K380" s="59" t="str">
        <f t="shared" si="5"/>
        <v>A</v>
      </c>
    </row>
    <row r="381" spans="1:11" x14ac:dyDescent="0.3">
      <c r="A381" s="15" t="s">
        <v>739</v>
      </c>
      <c r="B381" s="15" t="s">
        <v>18</v>
      </c>
      <c r="C381" s="15" t="s">
        <v>79</v>
      </c>
      <c r="D381" s="15" t="s">
        <v>31</v>
      </c>
      <c r="E381" s="15">
        <v>14</v>
      </c>
      <c r="F381" s="15">
        <v>10</v>
      </c>
      <c r="G381" s="15" t="s">
        <v>32</v>
      </c>
      <c r="H381" s="15" t="s">
        <v>20</v>
      </c>
      <c r="I381" s="15" t="s">
        <v>740</v>
      </c>
      <c r="J381" s="15">
        <v>99</v>
      </c>
      <c r="K381" s="59" t="str">
        <f t="shared" si="5"/>
        <v>A+</v>
      </c>
    </row>
    <row r="382" spans="1:11" x14ac:dyDescent="0.3">
      <c r="A382" s="15" t="s">
        <v>741</v>
      </c>
      <c r="B382" s="15" t="s">
        <v>54</v>
      </c>
      <c r="C382" s="15" t="s">
        <v>24</v>
      </c>
      <c r="D382" s="15" t="s">
        <v>13</v>
      </c>
      <c r="E382" s="15">
        <v>14</v>
      </c>
      <c r="F382" s="15">
        <v>9</v>
      </c>
      <c r="G382" s="15" t="s">
        <v>14</v>
      </c>
      <c r="H382" s="15" t="s">
        <v>76</v>
      </c>
      <c r="I382" s="15" t="s">
        <v>742</v>
      </c>
      <c r="J382" s="15">
        <v>55</v>
      </c>
      <c r="K382" s="59" t="str">
        <f t="shared" si="5"/>
        <v>D</v>
      </c>
    </row>
    <row r="383" spans="1:11" x14ac:dyDescent="0.3">
      <c r="A383" s="15" t="s">
        <v>743</v>
      </c>
      <c r="B383" s="15" t="s">
        <v>84</v>
      </c>
      <c r="C383" s="15" t="s">
        <v>19</v>
      </c>
      <c r="D383" s="15" t="s">
        <v>13</v>
      </c>
      <c r="E383" s="15">
        <v>15</v>
      </c>
      <c r="F383" s="15">
        <v>10</v>
      </c>
      <c r="G383" s="15" t="s">
        <v>43</v>
      </c>
      <c r="H383" s="15" t="s">
        <v>26</v>
      </c>
      <c r="I383" s="15" t="s">
        <v>744</v>
      </c>
      <c r="J383" s="15">
        <v>60</v>
      </c>
      <c r="K383" s="59" t="str">
        <f t="shared" si="5"/>
        <v>C</v>
      </c>
    </row>
    <row r="384" spans="1:11" x14ac:dyDescent="0.3">
      <c r="A384" s="15" t="s">
        <v>745</v>
      </c>
      <c r="B384" s="15" t="s">
        <v>73</v>
      </c>
      <c r="C384" s="15" t="s">
        <v>36</v>
      </c>
      <c r="D384" s="15" t="s">
        <v>13</v>
      </c>
      <c r="E384" s="15">
        <v>16</v>
      </c>
      <c r="F384" s="15">
        <v>9</v>
      </c>
      <c r="G384" s="15" t="s">
        <v>32</v>
      </c>
      <c r="H384" s="15" t="s">
        <v>76</v>
      </c>
      <c r="I384" s="15" t="s">
        <v>746</v>
      </c>
      <c r="J384" s="15">
        <v>38</v>
      </c>
      <c r="K384" s="59" t="str">
        <f t="shared" si="5"/>
        <v>Fail</v>
      </c>
    </row>
    <row r="385" spans="1:11" x14ac:dyDescent="0.3">
      <c r="A385" s="15" t="s">
        <v>747</v>
      </c>
      <c r="B385" s="15" t="s">
        <v>51</v>
      </c>
      <c r="C385" s="15" t="s">
        <v>96</v>
      </c>
      <c r="D385" s="15" t="s">
        <v>13</v>
      </c>
      <c r="E385" s="15">
        <v>17</v>
      </c>
      <c r="F385" s="15">
        <v>12</v>
      </c>
      <c r="G385" s="15" t="s">
        <v>14</v>
      </c>
      <c r="H385" s="15" t="s">
        <v>26</v>
      </c>
      <c r="I385" s="15" t="s">
        <v>748</v>
      </c>
      <c r="J385" s="15">
        <v>67</v>
      </c>
      <c r="K385" s="59" t="str">
        <f t="shared" si="5"/>
        <v>C</v>
      </c>
    </row>
    <row r="386" spans="1:11" x14ac:dyDescent="0.3">
      <c r="A386" s="15" t="s">
        <v>749</v>
      </c>
      <c r="B386" s="15" t="s">
        <v>84</v>
      </c>
      <c r="C386" s="15" t="s">
        <v>30</v>
      </c>
      <c r="D386" s="15" t="s">
        <v>13</v>
      </c>
      <c r="E386" s="15">
        <v>15</v>
      </c>
      <c r="F386" s="15">
        <v>12</v>
      </c>
      <c r="G386" s="15" t="s">
        <v>25</v>
      </c>
      <c r="H386" s="15" t="s">
        <v>61</v>
      </c>
      <c r="I386" s="15" t="s">
        <v>750</v>
      </c>
      <c r="J386" s="15">
        <v>95</v>
      </c>
      <c r="K386" s="59" t="str">
        <f t="shared" si="5"/>
        <v>A+</v>
      </c>
    </row>
    <row r="387" spans="1:11" x14ac:dyDescent="0.3">
      <c r="A387" s="15" t="s">
        <v>751</v>
      </c>
      <c r="B387" s="15" t="s">
        <v>73</v>
      </c>
      <c r="C387" s="15" t="s">
        <v>79</v>
      </c>
      <c r="D387" s="15" t="s">
        <v>31</v>
      </c>
      <c r="E387" s="15">
        <v>20</v>
      </c>
      <c r="F387" s="15">
        <v>12</v>
      </c>
      <c r="G387" s="15" t="s">
        <v>25</v>
      </c>
      <c r="H387" s="15" t="s">
        <v>76</v>
      </c>
      <c r="I387" s="15" t="s">
        <v>752</v>
      </c>
      <c r="J387" s="15">
        <v>91</v>
      </c>
      <c r="K387" s="59" t="str">
        <f t="shared" si="5"/>
        <v>A+</v>
      </c>
    </row>
    <row r="388" spans="1:11" x14ac:dyDescent="0.3">
      <c r="A388" s="15" t="s">
        <v>753</v>
      </c>
      <c r="B388" s="15" t="s">
        <v>73</v>
      </c>
      <c r="C388" s="15" t="s">
        <v>24</v>
      </c>
      <c r="D388" s="15" t="s">
        <v>13</v>
      </c>
      <c r="E388" s="15">
        <v>18</v>
      </c>
      <c r="F388" s="15">
        <v>11</v>
      </c>
      <c r="G388" s="15" t="s">
        <v>32</v>
      </c>
      <c r="H388" s="15" t="s">
        <v>40</v>
      </c>
      <c r="I388" s="15" t="s">
        <v>313</v>
      </c>
      <c r="J388" s="15">
        <v>58</v>
      </c>
      <c r="K388" s="59" t="str">
        <f t="shared" si="5"/>
        <v>D</v>
      </c>
    </row>
    <row r="389" spans="1:11" x14ac:dyDescent="0.3">
      <c r="A389" s="15" t="s">
        <v>754</v>
      </c>
      <c r="B389" s="15" t="s">
        <v>54</v>
      </c>
      <c r="C389" s="15" t="s">
        <v>12</v>
      </c>
      <c r="D389" s="15" t="s">
        <v>13</v>
      </c>
      <c r="E389" s="15">
        <v>14</v>
      </c>
      <c r="F389" s="15">
        <v>12</v>
      </c>
      <c r="G389" s="15" t="s">
        <v>32</v>
      </c>
      <c r="H389" s="15" t="s">
        <v>20</v>
      </c>
      <c r="I389" s="15" t="s">
        <v>755</v>
      </c>
      <c r="J389" s="15">
        <v>98</v>
      </c>
      <c r="K389" s="59" t="str">
        <f t="shared" ref="K389:K452" si="6">_xlfn.IFS($J389&gt;=90,"A+",$J389&gt;=80,"A",$J389&gt;=70,"B",$J389&gt;=60,"C",$J389&gt;=40,"D",$J389&lt;40,"Fail")</f>
        <v>A+</v>
      </c>
    </row>
    <row r="390" spans="1:11" x14ac:dyDescent="0.3">
      <c r="A390" s="15" t="s">
        <v>756</v>
      </c>
      <c r="B390" s="15" t="s">
        <v>11</v>
      </c>
      <c r="C390" s="15" t="s">
        <v>30</v>
      </c>
      <c r="D390" s="15" t="s">
        <v>13</v>
      </c>
      <c r="E390" s="15">
        <v>15</v>
      </c>
      <c r="F390" s="15">
        <v>11</v>
      </c>
      <c r="G390" s="15" t="s">
        <v>14</v>
      </c>
      <c r="H390" s="15" t="s">
        <v>76</v>
      </c>
      <c r="I390" s="15" t="s">
        <v>757</v>
      </c>
      <c r="J390" s="15">
        <v>39</v>
      </c>
      <c r="K390" s="59" t="str">
        <f t="shared" si="6"/>
        <v>Fail</v>
      </c>
    </row>
    <row r="391" spans="1:11" x14ac:dyDescent="0.3">
      <c r="A391" s="15" t="s">
        <v>758</v>
      </c>
      <c r="B391" s="15" t="s">
        <v>73</v>
      </c>
      <c r="C391" s="15" t="s">
        <v>12</v>
      </c>
      <c r="D391" s="15" t="s">
        <v>31</v>
      </c>
      <c r="E391" s="15">
        <v>16</v>
      </c>
      <c r="F391" s="15">
        <v>11</v>
      </c>
      <c r="G391" s="15" t="s">
        <v>43</v>
      </c>
      <c r="H391" s="15" t="s">
        <v>40</v>
      </c>
      <c r="I391" s="15" t="s">
        <v>759</v>
      </c>
      <c r="J391" s="15">
        <v>70</v>
      </c>
      <c r="K391" s="59" t="str">
        <f t="shared" si="6"/>
        <v>B</v>
      </c>
    </row>
    <row r="392" spans="1:11" x14ac:dyDescent="0.3">
      <c r="A392" s="15" t="s">
        <v>760</v>
      </c>
      <c r="B392" s="15" t="s">
        <v>84</v>
      </c>
      <c r="C392" s="15" t="s">
        <v>96</v>
      </c>
      <c r="D392" s="15" t="s">
        <v>31</v>
      </c>
      <c r="E392" s="15">
        <v>16</v>
      </c>
      <c r="F392" s="15">
        <v>11</v>
      </c>
      <c r="G392" s="15" t="s">
        <v>32</v>
      </c>
      <c r="H392" s="15" t="s">
        <v>76</v>
      </c>
      <c r="I392" s="15" t="s">
        <v>761</v>
      </c>
      <c r="J392" s="15">
        <v>83</v>
      </c>
      <c r="K392" s="59" t="str">
        <f t="shared" si="6"/>
        <v>A</v>
      </c>
    </row>
    <row r="393" spans="1:11" x14ac:dyDescent="0.3">
      <c r="A393" s="15" t="s">
        <v>762</v>
      </c>
      <c r="B393" s="15" t="s">
        <v>68</v>
      </c>
      <c r="C393" s="15" t="s">
        <v>85</v>
      </c>
      <c r="D393" s="15" t="s">
        <v>31</v>
      </c>
      <c r="E393" s="15">
        <v>20</v>
      </c>
      <c r="F393" s="15">
        <v>12</v>
      </c>
      <c r="G393" s="15" t="s">
        <v>43</v>
      </c>
      <c r="H393" s="15" t="s">
        <v>20</v>
      </c>
      <c r="I393" s="15" t="s">
        <v>763</v>
      </c>
      <c r="J393" s="15">
        <v>82</v>
      </c>
      <c r="K393" s="59" t="str">
        <f t="shared" si="6"/>
        <v>A</v>
      </c>
    </row>
    <row r="394" spans="1:11" x14ac:dyDescent="0.3">
      <c r="A394" s="15" t="s">
        <v>764</v>
      </c>
      <c r="B394" s="15" t="s">
        <v>18</v>
      </c>
      <c r="C394" s="15" t="s">
        <v>55</v>
      </c>
      <c r="D394" s="15" t="s">
        <v>13</v>
      </c>
      <c r="E394" s="15">
        <v>16</v>
      </c>
      <c r="F394" s="15">
        <v>12</v>
      </c>
      <c r="G394" s="15" t="s">
        <v>14</v>
      </c>
      <c r="H394" s="15" t="s">
        <v>40</v>
      </c>
      <c r="I394" s="15" t="s">
        <v>765</v>
      </c>
      <c r="J394" s="15">
        <v>61</v>
      </c>
      <c r="K394" s="59" t="str">
        <f t="shared" si="6"/>
        <v>C</v>
      </c>
    </row>
    <row r="395" spans="1:11" x14ac:dyDescent="0.3">
      <c r="A395" s="15" t="s">
        <v>766</v>
      </c>
      <c r="B395" s="15" t="s">
        <v>35</v>
      </c>
      <c r="C395" s="15" t="s">
        <v>58</v>
      </c>
      <c r="D395" s="15" t="s">
        <v>13</v>
      </c>
      <c r="E395" s="15">
        <v>20</v>
      </c>
      <c r="F395" s="15">
        <v>11</v>
      </c>
      <c r="G395" s="15" t="s">
        <v>32</v>
      </c>
      <c r="H395" s="15" t="s">
        <v>46</v>
      </c>
      <c r="I395" s="15" t="s">
        <v>767</v>
      </c>
      <c r="J395" s="15">
        <v>54</v>
      </c>
      <c r="K395" s="59" t="str">
        <f t="shared" si="6"/>
        <v>D</v>
      </c>
    </row>
    <row r="396" spans="1:11" x14ac:dyDescent="0.3">
      <c r="A396" s="15" t="s">
        <v>768</v>
      </c>
      <c r="B396" s="15" t="s">
        <v>23</v>
      </c>
      <c r="C396" s="15" t="s">
        <v>24</v>
      </c>
      <c r="D396" s="15" t="s">
        <v>13</v>
      </c>
      <c r="E396" s="15">
        <v>17</v>
      </c>
      <c r="F396" s="15">
        <v>11</v>
      </c>
      <c r="G396" s="15" t="s">
        <v>25</v>
      </c>
      <c r="H396" s="15" t="s">
        <v>40</v>
      </c>
      <c r="I396" s="15" t="s">
        <v>258</v>
      </c>
      <c r="J396" s="15">
        <v>61</v>
      </c>
      <c r="K396" s="59" t="str">
        <f t="shared" si="6"/>
        <v>C</v>
      </c>
    </row>
    <row r="397" spans="1:11" x14ac:dyDescent="0.3">
      <c r="A397" s="15" t="s">
        <v>769</v>
      </c>
      <c r="B397" s="15" t="s">
        <v>35</v>
      </c>
      <c r="C397" s="15" t="s">
        <v>30</v>
      </c>
      <c r="D397" s="15" t="s">
        <v>13</v>
      </c>
      <c r="E397" s="15">
        <v>16</v>
      </c>
      <c r="F397" s="15">
        <v>11</v>
      </c>
      <c r="G397" s="15" t="s">
        <v>32</v>
      </c>
      <c r="H397" s="15" t="s">
        <v>46</v>
      </c>
      <c r="I397" s="15" t="s">
        <v>770</v>
      </c>
      <c r="J397" s="15">
        <v>85</v>
      </c>
      <c r="K397" s="59" t="str">
        <f t="shared" si="6"/>
        <v>A</v>
      </c>
    </row>
    <row r="398" spans="1:11" x14ac:dyDescent="0.3">
      <c r="A398" s="15" t="s">
        <v>771</v>
      </c>
      <c r="B398" s="15" t="s">
        <v>23</v>
      </c>
      <c r="C398" s="15" t="s">
        <v>24</v>
      </c>
      <c r="D398" s="15" t="s">
        <v>31</v>
      </c>
      <c r="E398" s="15">
        <v>18</v>
      </c>
      <c r="F398" s="15">
        <v>11</v>
      </c>
      <c r="G398" s="15" t="s">
        <v>25</v>
      </c>
      <c r="H398" s="15" t="s">
        <v>46</v>
      </c>
      <c r="I398" s="15" t="s">
        <v>772</v>
      </c>
      <c r="J398" s="15">
        <v>89</v>
      </c>
      <c r="K398" s="59" t="str">
        <f t="shared" si="6"/>
        <v>A</v>
      </c>
    </row>
    <row r="399" spans="1:11" x14ac:dyDescent="0.3">
      <c r="A399" s="15" t="s">
        <v>773</v>
      </c>
      <c r="B399" s="15" t="s">
        <v>68</v>
      </c>
      <c r="C399" s="15" t="s">
        <v>19</v>
      </c>
      <c r="D399" s="15" t="s">
        <v>13</v>
      </c>
      <c r="E399" s="15">
        <v>14</v>
      </c>
      <c r="F399" s="15">
        <v>11</v>
      </c>
      <c r="G399" s="15" t="s">
        <v>14</v>
      </c>
      <c r="H399" s="15" t="s">
        <v>20</v>
      </c>
      <c r="I399" s="15" t="s">
        <v>774</v>
      </c>
      <c r="J399" s="15">
        <v>72</v>
      </c>
      <c r="K399" s="59" t="str">
        <f t="shared" si="6"/>
        <v>B</v>
      </c>
    </row>
    <row r="400" spans="1:11" x14ac:dyDescent="0.3">
      <c r="A400" s="15" t="s">
        <v>775</v>
      </c>
      <c r="B400" s="15" t="s">
        <v>29</v>
      </c>
      <c r="C400" s="15" t="s">
        <v>85</v>
      </c>
      <c r="D400" s="15" t="s">
        <v>31</v>
      </c>
      <c r="E400" s="15">
        <v>20</v>
      </c>
      <c r="F400" s="15">
        <v>10</v>
      </c>
      <c r="G400" s="15" t="s">
        <v>14</v>
      </c>
      <c r="H400" s="15" t="s">
        <v>46</v>
      </c>
      <c r="I400" s="15" t="s">
        <v>366</v>
      </c>
      <c r="J400" s="15">
        <v>100</v>
      </c>
      <c r="K400" s="59" t="str">
        <f t="shared" si="6"/>
        <v>A+</v>
      </c>
    </row>
    <row r="401" spans="1:11" x14ac:dyDescent="0.3">
      <c r="A401" s="15" t="s">
        <v>776</v>
      </c>
      <c r="B401" s="15" t="s">
        <v>11</v>
      </c>
      <c r="C401" s="15" t="s">
        <v>12</v>
      </c>
      <c r="D401" s="15" t="s">
        <v>31</v>
      </c>
      <c r="E401" s="15">
        <v>20</v>
      </c>
      <c r="F401" s="15">
        <v>9</v>
      </c>
      <c r="G401" s="15" t="s">
        <v>14</v>
      </c>
      <c r="H401" s="15" t="s">
        <v>76</v>
      </c>
      <c r="I401" s="15" t="s">
        <v>777</v>
      </c>
      <c r="J401" s="15">
        <v>84</v>
      </c>
      <c r="K401" s="59" t="str">
        <f t="shared" si="6"/>
        <v>A</v>
      </c>
    </row>
    <row r="402" spans="1:11" x14ac:dyDescent="0.3">
      <c r="A402" s="15" t="s">
        <v>778</v>
      </c>
      <c r="B402" s="15" t="s">
        <v>73</v>
      </c>
      <c r="C402" s="15" t="s">
        <v>19</v>
      </c>
      <c r="D402" s="15" t="s">
        <v>13</v>
      </c>
      <c r="E402" s="15">
        <v>17</v>
      </c>
      <c r="F402" s="15">
        <v>12</v>
      </c>
      <c r="G402" s="15" t="s">
        <v>14</v>
      </c>
      <c r="H402" s="15" t="s">
        <v>37</v>
      </c>
      <c r="I402" s="15" t="s">
        <v>779</v>
      </c>
      <c r="J402" s="15">
        <v>76</v>
      </c>
      <c r="K402" s="59" t="str">
        <f t="shared" si="6"/>
        <v>B</v>
      </c>
    </row>
    <row r="403" spans="1:11" x14ac:dyDescent="0.3">
      <c r="A403" s="15" t="s">
        <v>780</v>
      </c>
      <c r="B403" s="15" t="s">
        <v>35</v>
      </c>
      <c r="C403" s="15" t="s">
        <v>36</v>
      </c>
      <c r="D403" s="15" t="s">
        <v>31</v>
      </c>
      <c r="E403" s="15">
        <v>14</v>
      </c>
      <c r="F403" s="15">
        <v>9</v>
      </c>
      <c r="G403" s="15" t="s">
        <v>25</v>
      </c>
      <c r="H403" s="15" t="s">
        <v>40</v>
      </c>
      <c r="I403" s="15" t="s">
        <v>781</v>
      </c>
      <c r="J403" s="15">
        <v>36</v>
      </c>
      <c r="K403" s="59" t="str">
        <f t="shared" si="6"/>
        <v>Fail</v>
      </c>
    </row>
    <row r="404" spans="1:11" x14ac:dyDescent="0.3">
      <c r="A404" s="15" t="s">
        <v>782</v>
      </c>
      <c r="B404" s="15" t="s">
        <v>84</v>
      </c>
      <c r="C404" s="15" t="s">
        <v>12</v>
      </c>
      <c r="D404" s="15" t="s">
        <v>31</v>
      </c>
      <c r="E404" s="15">
        <v>14</v>
      </c>
      <c r="F404" s="15">
        <v>11</v>
      </c>
      <c r="G404" s="15" t="s">
        <v>14</v>
      </c>
      <c r="H404" s="15" t="s">
        <v>37</v>
      </c>
      <c r="I404" s="15" t="s">
        <v>252</v>
      </c>
      <c r="J404" s="15">
        <v>95</v>
      </c>
      <c r="K404" s="59" t="str">
        <f t="shared" si="6"/>
        <v>A+</v>
      </c>
    </row>
    <row r="405" spans="1:11" x14ac:dyDescent="0.3">
      <c r="A405" s="15" t="s">
        <v>783</v>
      </c>
      <c r="B405" s="15" t="s">
        <v>54</v>
      </c>
      <c r="C405" s="15" t="s">
        <v>79</v>
      </c>
      <c r="D405" s="15" t="s">
        <v>31</v>
      </c>
      <c r="E405" s="15">
        <v>15</v>
      </c>
      <c r="F405" s="15">
        <v>11</v>
      </c>
      <c r="G405" s="15" t="s">
        <v>25</v>
      </c>
      <c r="H405" s="15" t="s">
        <v>61</v>
      </c>
      <c r="I405" s="15" t="s">
        <v>628</v>
      </c>
      <c r="J405" s="15">
        <v>39</v>
      </c>
      <c r="K405" s="59" t="str">
        <f t="shared" si="6"/>
        <v>Fail</v>
      </c>
    </row>
    <row r="406" spans="1:11" x14ac:dyDescent="0.3">
      <c r="A406" s="15" t="s">
        <v>784</v>
      </c>
      <c r="B406" s="15" t="s">
        <v>84</v>
      </c>
      <c r="C406" s="15" t="s">
        <v>12</v>
      </c>
      <c r="D406" s="15" t="s">
        <v>13</v>
      </c>
      <c r="E406" s="15">
        <v>17</v>
      </c>
      <c r="F406" s="15">
        <v>9</v>
      </c>
      <c r="G406" s="15" t="s">
        <v>43</v>
      </c>
      <c r="H406" s="15" t="s">
        <v>76</v>
      </c>
      <c r="I406" s="15" t="s">
        <v>685</v>
      </c>
      <c r="J406" s="15">
        <v>89</v>
      </c>
      <c r="K406" s="59" t="str">
        <f t="shared" si="6"/>
        <v>A</v>
      </c>
    </row>
    <row r="407" spans="1:11" x14ac:dyDescent="0.3">
      <c r="A407" s="15" t="s">
        <v>785</v>
      </c>
      <c r="B407" s="15" t="s">
        <v>35</v>
      </c>
      <c r="C407" s="15" t="s">
        <v>58</v>
      </c>
      <c r="D407" s="15" t="s">
        <v>13</v>
      </c>
      <c r="E407" s="15">
        <v>18</v>
      </c>
      <c r="F407" s="15">
        <v>12</v>
      </c>
      <c r="G407" s="15" t="s">
        <v>43</v>
      </c>
      <c r="H407" s="15" t="s">
        <v>20</v>
      </c>
      <c r="I407" s="15" t="s">
        <v>786</v>
      </c>
      <c r="J407" s="15">
        <v>93</v>
      </c>
      <c r="K407" s="59" t="str">
        <f t="shared" si="6"/>
        <v>A+</v>
      </c>
    </row>
    <row r="408" spans="1:11" x14ac:dyDescent="0.3">
      <c r="A408" s="15" t="s">
        <v>787</v>
      </c>
      <c r="B408" s="15" t="s">
        <v>18</v>
      </c>
      <c r="C408" s="15" t="s">
        <v>36</v>
      </c>
      <c r="D408" s="15" t="s">
        <v>31</v>
      </c>
      <c r="E408" s="15">
        <v>16</v>
      </c>
      <c r="F408" s="15">
        <v>9</v>
      </c>
      <c r="G408" s="15" t="s">
        <v>14</v>
      </c>
      <c r="H408" s="15" t="s">
        <v>76</v>
      </c>
      <c r="I408" s="15" t="s">
        <v>788</v>
      </c>
      <c r="J408" s="15">
        <v>88</v>
      </c>
      <c r="K408" s="59" t="str">
        <f t="shared" si="6"/>
        <v>A</v>
      </c>
    </row>
    <row r="409" spans="1:11" x14ac:dyDescent="0.3">
      <c r="A409" s="15" t="s">
        <v>789</v>
      </c>
      <c r="B409" s="15" t="s">
        <v>54</v>
      </c>
      <c r="C409" s="15" t="s">
        <v>12</v>
      </c>
      <c r="D409" s="15" t="s">
        <v>31</v>
      </c>
      <c r="E409" s="15">
        <v>18</v>
      </c>
      <c r="F409" s="15">
        <v>10</v>
      </c>
      <c r="G409" s="15" t="s">
        <v>25</v>
      </c>
      <c r="H409" s="15" t="s">
        <v>15</v>
      </c>
      <c r="I409" s="15" t="s">
        <v>790</v>
      </c>
      <c r="J409" s="15">
        <v>95</v>
      </c>
      <c r="K409" s="59" t="str">
        <f t="shared" si="6"/>
        <v>A+</v>
      </c>
    </row>
    <row r="410" spans="1:11" x14ac:dyDescent="0.3">
      <c r="A410" s="15" t="s">
        <v>791</v>
      </c>
      <c r="B410" s="15" t="s">
        <v>51</v>
      </c>
      <c r="C410" s="15" t="s">
        <v>85</v>
      </c>
      <c r="D410" s="15" t="s">
        <v>13</v>
      </c>
      <c r="E410" s="15">
        <v>14</v>
      </c>
      <c r="F410" s="15">
        <v>9</v>
      </c>
      <c r="G410" s="15" t="s">
        <v>43</v>
      </c>
      <c r="H410" s="15" t="s">
        <v>61</v>
      </c>
      <c r="I410" s="15" t="s">
        <v>792</v>
      </c>
      <c r="J410" s="15">
        <v>96</v>
      </c>
      <c r="K410" s="59" t="str">
        <f t="shared" si="6"/>
        <v>A+</v>
      </c>
    </row>
    <row r="411" spans="1:11" x14ac:dyDescent="0.3">
      <c r="A411" s="15" t="s">
        <v>793</v>
      </c>
      <c r="B411" s="15" t="s">
        <v>35</v>
      </c>
      <c r="C411" s="15" t="s">
        <v>19</v>
      </c>
      <c r="D411" s="15" t="s">
        <v>31</v>
      </c>
      <c r="E411" s="15">
        <v>20</v>
      </c>
      <c r="F411" s="15">
        <v>11</v>
      </c>
      <c r="G411" s="15" t="s">
        <v>32</v>
      </c>
      <c r="H411" s="15" t="s">
        <v>20</v>
      </c>
      <c r="I411" s="15" t="s">
        <v>794</v>
      </c>
      <c r="J411" s="15">
        <v>74</v>
      </c>
      <c r="K411" s="59" t="str">
        <f t="shared" si="6"/>
        <v>B</v>
      </c>
    </row>
    <row r="412" spans="1:11" x14ac:dyDescent="0.3">
      <c r="A412" s="15" t="s">
        <v>795</v>
      </c>
      <c r="B412" s="15" t="s">
        <v>54</v>
      </c>
      <c r="C412" s="15" t="s">
        <v>30</v>
      </c>
      <c r="D412" s="15" t="s">
        <v>13</v>
      </c>
      <c r="E412" s="15">
        <v>18</v>
      </c>
      <c r="F412" s="15">
        <v>12</v>
      </c>
      <c r="G412" s="15" t="s">
        <v>32</v>
      </c>
      <c r="H412" s="15" t="s">
        <v>20</v>
      </c>
      <c r="I412" s="15" t="s">
        <v>796</v>
      </c>
      <c r="J412" s="15">
        <v>55</v>
      </c>
      <c r="K412" s="59" t="str">
        <f t="shared" si="6"/>
        <v>D</v>
      </c>
    </row>
    <row r="413" spans="1:11" x14ac:dyDescent="0.3">
      <c r="A413" s="15" t="s">
        <v>797</v>
      </c>
      <c r="B413" s="15" t="s">
        <v>23</v>
      </c>
      <c r="C413" s="15" t="s">
        <v>85</v>
      </c>
      <c r="D413" s="15" t="s">
        <v>13</v>
      </c>
      <c r="E413" s="15">
        <v>17</v>
      </c>
      <c r="F413" s="15">
        <v>12</v>
      </c>
      <c r="G413" s="15" t="s">
        <v>14</v>
      </c>
      <c r="H413" s="15" t="s">
        <v>76</v>
      </c>
      <c r="I413" s="15" t="s">
        <v>71</v>
      </c>
      <c r="J413" s="15">
        <v>77</v>
      </c>
      <c r="K413" s="59" t="str">
        <f t="shared" si="6"/>
        <v>B</v>
      </c>
    </row>
    <row r="414" spans="1:11" x14ac:dyDescent="0.3">
      <c r="A414" s="15" t="s">
        <v>798</v>
      </c>
      <c r="B414" s="15" t="s">
        <v>23</v>
      </c>
      <c r="C414" s="15" t="s">
        <v>19</v>
      </c>
      <c r="D414" s="15" t="s">
        <v>13</v>
      </c>
      <c r="E414" s="15">
        <v>17</v>
      </c>
      <c r="F414" s="15">
        <v>12</v>
      </c>
      <c r="G414" s="15" t="s">
        <v>14</v>
      </c>
      <c r="H414" s="15" t="s">
        <v>40</v>
      </c>
      <c r="I414" s="15" t="s">
        <v>159</v>
      </c>
      <c r="J414" s="15">
        <v>95</v>
      </c>
      <c r="K414" s="59" t="str">
        <f t="shared" si="6"/>
        <v>A+</v>
      </c>
    </row>
    <row r="415" spans="1:11" x14ac:dyDescent="0.3">
      <c r="A415" s="15" t="s">
        <v>799</v>
      </c>
      <c r="B415" s="15" t="s">
        <v>54</v>
      </c>
      <c r="C415" s="15" t="s">
        <v>36</v>
      </c>
      <c r="D415" s="15" t="s">
        <v>31</v>
      </c>
      <c r="E415" s="15">
        <v>17</v>
      </c>
      <c r="F415" s="15">
        <v>12</v>
      </c>
      <c r="G415" s="15" t="s">
        <v>14</v>
      </c>
      <c r="H415" s="15" t="s">
        <v>46</v>
      </c>
      <c r="I415" s="15" t="s">
        <v>533</v>
      </c>
      <c r="J415" s="15">
        <v>59</v>
      </c>
      <c r="K415" s="59" t="str">
        <f t="shared" si="6"/>
        <v>D</v>
      </c>
    </row>
    <row r="416" spans="1:11" x14ac:dyDescent="0.3">
      <c r="A416" s="15" t="s">
        <v>800</v>
      </c>
      <c r="B416" s="15" t="s">
        <v>23</v>
      </c>
      <c r="C416" s="15" t="s">
        <v>79</v>
      </c>
      <c r="D416" s="15" t="s">
        <v>31</v>
      </c>
      <c r="E416" s="15">
        <v>18</v>
      </c>
      <c r="F416" s="15">
        <v>11</v>
      </c>
      <c r="G416" s="15" t="s">
        <v>32</v>
      </c>
      <c r="H416" s="15" t="s">
        <v>76</v>
      </c>
      <c r="I416" s="15" t="s">
        <v>801</v>
      </c>
      <c r="J416" s="15">
        <v>97</v>
      </c>
      <c r="K416" s="59" t="str">
        <f t="shared" si="6"/>
        <v>A+</v>
      </c>
    </row>
    <row r="417" spans="1:11" x14ac:dyDescent="0.3">
      <c r="A417" s="15" t="s">
        <v>802</v>
      </c>
      <c r="B417" s="15" t="s">
        <v>29</v>
      </c>
      <c r="C417" s="15" t="s">
        <v>96</v>
      </c>
      <c r="D417" s="15" t="s">
        <v>13</v>
      </c>
      <c r="E417" s="15">
        <v>14</v>
      </c>
      <c r="F417" s="15">
        <v>10</v>
      </c>
      <c r="G417" s="15" t="s">
        <v>25</v>
      </c>
      <c r="H417" s="15" t="s">
        <v>61</v>
      </c>
      <c r="I417" s="15" t="s">
        <v>803</v>
      </c>
      <c r="J417" s="15">
        <v>89</v>
      </c>
      <c r="K417" s="59" t="str">
        <f t="shared" si="6"/>
        <v>A</v>
      </c>
    </row>
    <row r="418" spans="1:11" x14ac:dyDescent="0.3">
      <c r="A418" s="15" t="s">
        <v>804</v>
      </c>
      <c r="B418" s="15" t="s">
        <v>54</v>
      </c>
      <c r="C418" s="15" t="s">
        <v>79</v>
      </c>
      <c r="D418" s="15" t="s">
        <v>13</v>
      </c>
      <c r="E418" s="15">
        <v>19</v>
      </c>
      <c r="F418" s="15">
        <v>9</v>
      </c>
      <c r="G418" s="15" t="s">
        <v>25</v>
      </c>
      <c r="H418" s="15" t="s">
        <v>61</v>
      </c>
      <c r="I418" s="15" t="s">
        <v>56</v>
      </c>
      <c r="J418" s="15">
        <v>43</v>
      </c>
      <c r="K418" s="59" t="str">
        <f t="shared" si="6"/>
        <v>D</v>
      </c>
    </row>
    <row r="419" spans="1:11" x14ac:dyDescent="0.3">
      <c r="A419" s="15" t="s">
        <v>805</v>
      </c>
      <c r="B419" s="15" t="s">
        <v>29</v>
      </c>
      <c r="C419" s="15" t="s">
        <v>36</v>
      </c>
      <c r="D419" s="15" t="s">
        <v>31</v>
      </c>
      <c r="E419" s="15">
        <v>17</v>
      </c>
      <c r="F419" s="15">
        <v>10</v>
      </c>
      <c r="G419" s="15" t="s">
        <v>25</v>
      </c>
      <c r="H419" s="15" t="s">
        <v>15</v>
      </c>
      <c r="I419" s="15" t="s">
        <v>806</v>
      </c>
      <c r="J419" s="15">
        <v>59</v>
      </c>
      <c r="K419" s="59" t="str">
        <f t="shared" si="6"/>
        <v>D</v>
      </c>
    </row>
    <row r="420" spans="1:11" x14ac:dyDescent="0.3">
      <c r="A420" s="15" t="s">
        <v>807</v>
      </c>
      <c r="B420" s="15" t="s">
        <v>68</v>
      </c>
      <c r="C420" s="15" t="s">
        <v>79</v>
      </c>
      <c r="D420" s="15" t="s">
        <v>31</v>
      </c>
      <c r="E420" s="15">
        <v>16</v>
      </c>
      <c r="F420" s="15">
        <v>10</v>
      </c>
      <c r="G420" s="15" t="s">
        <v>43</v>
      </c>
      <c r="H420" s="15" t="s">
        <v>76</v>
      </c>
      <c r="I420" s="15" t="s">
        <v>305</v>
      </c>
      <c r="J420" s="15">
        <v>40</v>
      </c>
      <c r="K420" s="59" t="str">
        <f t="shared" si="6"/>
        <v>D</v>
      </c>
    </row>
    <row r="421" spans="1:11" x14ac:dyDescent="0.3">
      <c r="A421" s="15" t="s">
        <v>808</v>
      </c>
      <c r="B421" s="15" t="s">
        <v>54</v>
      </c>
      <c r="C421" s="15" t="s">
        <v>24</v>
      </c>
      <c r="D421" s="15" t="s">
        <v>13</v>
      </c>
      <c r="E421" s="15">
        <v>14</v>
      </c>
      <c r="F421" s="15">
        <v>9</v>
      </c>
      <c r="G421" s="15" t="s">
        <v>25</v>
      </c>
      <c r="H421" s="15" t="s">
        <v>46</v>
      </c>
      <c r="I421" s="15" t="s">
        <v>809</v>
      </c>
      <c r="J421" s="15">
        <v>92</v>
      </c>
      <c r="K421" s="59" t="str">
        <f t="shared" si="6"/>
        <v>A+</v>
      </c>
    </row>
    <row r="422" spans="1:11" x14ac:dyDescent="0.3">
      <c r="A422" s="15" t="s">
        <v>810</v>
      </c>
      <c r="B422" s="15" t="s">
        <v>73</v>
      </c>
      <c r="C422" s="15" t="s">
        <v>12</v>
      </c>
      <c r="D422" s="15" t="s">
        <v>13</v>
      </c>
      <c r="E422" s="15">
        <v>14</v>
      </c>
      <c r="F422" s="15">
        <v>10</v>
      </c>
      <c r="G422" s="15" t="s">
        <v>14</v>
      </c>
      <c r="H422" s="15" t="s">
        <v>46</v>
      </c>
      <c r="I422" s="15" t="s">
        <v>385</v>
      </c>
      <c r="J422" s="15">
        <v>49</v>
      </c>
      <c r="K422" s="59" t="str">
        <f t="shared" si="6"/>
        <v>D</v>
      </c>
    </row>
    <row r="423" spans="1:11" x14ac:dyDescent="0.3">
      <c r="A423" s="15" t="s">
        <v>811</v>
      </c>
      <c r="B423" s="15" t="s">
        <v>29</v>
      </c>
      <c r="C423" s="15" t="s">
        <v>58</v>
      </c>
      <c r="D423" s="15" t="s">
        <v>13</v>
      </c>
      <c r="E423" s="15">
        <v>20</v>
      </c>
      <c r="F423" s="15">
        <v>11</v>
      </c>
      <c r="G423" s="15" t="s">
        <v>14</v>
      </c>
      <c r="H423" s="15" t="s">
        <v>61</v>
      </c>
      <c r="I423" s="15" t="s">
        <v>358</v>
      </c>
      <c r="J423" s="15">
        <v>44</v>
      </c>
      <c r="K423" s="59" t="str">
        <f t="shared" si="6"/>
        <v>D</v>
      </c>
    </row>
    <row r="424" spans="1:11" x14ac:dyDescent="0.3">
      <c r="A424" s="15" t="s">
        <v>812</v>
      </c>
      <c r="B424" s="15" t="s">
        <v>51</v>
      </c>
      <c r="C424" s="15" t="s">
        <v>55</v>
      </c>
      <c r="D424" s="15" t="s">
        <v>13</v>
      </c>
      <c r="E424" s="15">
        <v>15</v>
      </c>
      <c r="F424" s="15">
        <v>10</v>
      </c>
      <c r="G424" s="15" t="s">
        <v>43</v>
      </c>
      <c r="H424" s="15" t="s">
        <v>46</v>
      </c>
      <c r="I424" s="15" t="s">
        <v>82</v>
      </c>
      <c r="J424" s="15">
        <v>62</v>
      </c>
      <c r="K424" s="59" t="str">
        <f t="shared" si="6"/>
        <v>C</v>
      </c>
    </row>
    <row r="425" spans="1:11" x14ac:dyDescent="0.3">
      <c r="A425" s="15" t="s">
        <v>813</v>
      </c>
      <c r="B425" s="15" t="s">
        <v>73</v>
      </c>
      <c r="C425" s="15" t="s">
        <v>58</v>
      </c>
      <c r="D425" s="15" t="s">
        <v>13</v>
      </c>
      <c r="E425" s="15">
        <v>17</v>
      </c>
      <c r="F425" s="15">
        <v>12</v>
      </c>
      <c r="G425" s="15" t="s">
        <v>32</v>
      </c>
      <c r="H425" s="15" t="s">
        <v>46</v>
      </c>
      <c r="I425" s="15" t="s">
        <v>346</v>
      </c>
      <c r="J425" s="15">
        <v>60</v>
      </c>
      <c r="K425" s="59" t="str">
        <f t="shared" si="6"/>
        <v>C</v>
      </c>
    </row>
    <row r="426" spans="1:11" x14ac:dyDescent="0.3">
      <c r="A426" s="15" t="s">
        <v>814</v>
      </c>
      <c r="B426" s="15" t="s">
        <v>18</v>
      </c>
      <c r="C426" s="15" t="s">
        <v>24</v>
      </c>
      <c r="D426" s="15" t="s">
        <v>31</v>
      </c>
      <c r="E426" s="15">
        <v>17</v>
      </c>
      <c r="F426" s="15">
        <v>10</v>
      </c>
      <c r="G426" s="15" t="s">
        <v>14</v>
      </c>
      <c r="H426" s="15" t="s">
        <v>76</v>
      </c>
      <c r="I426" s="15" t="s">
        <v>815</v>
      </c>
      <c r="J426" s="15">
        <v>47</v>
      </c>
      <c r="K426" s="59" t="str">
        <f t="shared" si="6"/>
        <v>D</v>
      </c>
    </row>
    <row r="427" spans="1:11" x14ac:dyDescent="0.3">
      <c r="A427" s="15" t="s">
        <v>816</v>
      </c>
      <c r="B427" s="15" t="s">
        <v>23</v>
      </c>
      <c r="C427" s="15" t="s">
        <v>79</v>
      </c>
      <c r="D427" s="15" t="s">
        <v>31</v>
      </c>
      <c r="E427" s="15">
        <v>15</v>
      </c>
      <c r="F427" s="15">
        <v>9</v>
      </c>
      <c r="G427" s="15" t="s">
        <v>25</v>
      </c>
      <c r="H427" s="15" t="s">
        <v>76</v>
      </c>
      <c r="I427" s="15" t="s">
        <v>149</v>
      </c>
      <c r="J427" s="15">
        <v>79</v>
      </c>
      <c r="K427" s="59" t="str">
        <f t="shared" si="6"/>
        <v>B</v>
      </c>
    </row>
    <row r="428" spans="1:11" x14ac:dyDescent="0.3">
      <c r="A428" s="15" t="s">
        <v>817</v>
      </c>
      <c r="B428" s="15" t="s">
        <v>51</v>
      </c>
      <c r="C428" s="15" t="s">
        <v>55</v>
      </c>
      <c r="D428" s="15" t="s">
        <v>31</v>
      </c>
      <c r="E428" s="15">
        <v>19</v>
      </c>
      <c r="F428" s="15">
        <v>11</v>
      </c>
      <c r="G428" s="15" t="s">
        <v>14</v>
      </c>
      <c r="H428" s="15" t="s">
        <v>26</v>
      </c>
      <c r="I428" s="15" t="s">
        <v>818</v>
      </c>
      <c r="J428" s="15">
        <v>56</v>
      </c>
      <c r="K428" s="59" t="str">
        <f t="shared" si="6"/>
        <v>D</v>
      </c>
    </row>
    <row r="429" spans="1:11" x14ac:dyDescent="0.3">
      <c r="A429" s="15" t="s">
        <v>819</v>
      </c>
      <c r="B429" s="15" t="s">
        <v>18</v>
      </c>
      <c r="C429" s="15" t="s">
        <v>36</v>
      </c>
      <c r="D429" s="15" t="s">
        <v>31</v>
      </c>
      <c r="E429" s="15">
        <v>14</v>
      </c>
      <c r="F429" s="15">
        <v>10</v>
      </c>
      <c r="G429" s="15" t="s">
        <v>43</v>
      </c>
      <c r="H429" s="15" t="s">
        <v>76</v>
      </c>
      <c r="I429" s="15" t="s">
        <v>820</v>
      </c>
      <c r="J429" s="15">
        <v>56</v>
      </c>
      <c r="K429" s="59" t="str">
        <f t="shared" si="6"/>
        <v>D</v>
      </c>
    </row>
    <row r="430" spans="1:11" x14ac:dyDescent="0.3">
      <c r="A430" s="15" t="s">
        <v>821</v>
      </c>
      <c r="B430" s="15" t="s">
        <v>18</v>
      </c>
      <c r="C430" s="15" t="s">
        <v>79</v>
      </c>
      <c r="D430" s="15" t="s">
        <v>13</v>
      </c>
      <c r="E430" s="15">
        <v>20</v>
      </c>
      <c r="F430" s="15">
        <v>12</v>
      </c>
      <c r="G430" s="15" t="s">
        <v>32</v>
      </c>
      <c r="H430" s="15" t="s">
        <v>26</v>
      </c>
      <c r="I430" s="15" t="s">
        <v>822</v>
      </c>
      <c r="J430" s="15">
        <v>52</v>
      </c>
      <c r="K430" s="59" t="str">
        <f t="shared" si="6"/>
        <v>D</v>
      </c>
    </row>
    <row r="431" spans="1:11" x14ac:dyDescent="0.3">
      <c r="A431" s="15" t="s">
        <v>823</v>
      </c>
      <c r="B431" s="15" t="s">
        <v>11</v>
      </c>
      <c r="C431" s="15" t="s">
        <v>79</v>
      </c>
      <c r="D431" s="15" t="s">
        <v>31</v>
      </c>
      <c r="E431" s="15">
        <v>18</v>
      </c>
      <c r="F431" s="15">
        <v>12</v>
      </c>
      <c r="G431" s="15" t="s">
        <v>43</v>
      </c>
      <c r="H431" s="15" t="s">
        <v>37</v>
      </c>
      <c r="I431" s="15" t="s">
        <v>292</v>
      </c>
      <c r="J431" s="15">
        <v>94</v>
      </c>
      <c r="K431" s="59" t="str">
        <f t="shared" si="6"/>
        <v>A+</v>
      </c>
    </row>
    <row r="432" spans="1:11" x14ac:dyDescent="0.3">
      <c r="A432" s="15" t="s">
        <v>824</v>
      </c>
      <c r="B432" s="15" t="s">
        <v>54</v>
      </c>
      <c r="C432" s="15" t="s">
        <v>19</v>
      </c>
      <c r="D432" s="15" t="s">
        <v>31</v>
      </c>
      <c r="E432" s="15">
        <v>20</v>
      </c>
      <c r="F432" s="15">
        <v>9</v>
      </c>
      <c r="G432" s="15" t="s">
        <v>14</v>
      </c>
      <c r="H432" s="15" t="s">
        <v>37</v>
      </c>
      <c r="I432" s="15" t="s">
        <v>825</v>
      </c>
      <c r="J432" s="15">
        <v>43</v>
      </c>
      <c r="K432" s="59" t="str">
        <f t="shared" si="6"/>
        <v>D</v>
      </c>
    </row>
    <row r="433" spans="1:11" x14ac:dyDescent="0.3">
      <c r="A433" s="15" t="s">
        <v>826</v>
      </c>
      <c r="B433" s="15" t="s">
        <v>51</v>
      </c>
      <c r="C433" s="15" t="s">
        <v>55</v>
      </c>
      <c r="D433" s="15" t="s">
        <v>31</v>
      </c>
      <c r="E433" s="15">
        <v>15</v>
      </c>
      <c r="F433" s="15">
        <v>10</v>
      </c>
      <c r="G433" s="15" t="s">
        <v>43</v>
      </c>
      <c r="H433" s="15" t="s">
        <v>37</v>
      </c>
      <c r="I433" s="15" t="s">
        <v>174</v>
      </c>
      <c r="J433" s="15">
        <v>42</v>
      </c>
      <c r="K433" s="59" t="str">
        <f t="shared" si="6"/>
        <v>D</v>
      </c>
    </row>
    <row r="434" spans="1:11" x14ac:dyDescent="0.3">
      <c r="A434" s="15" t="s">
        <v>827</v>
      </c>
      <c r="B434" s="15" t="s">
        <v>35</v>
      </c>
      <c r="C434" s="15" t="s">
        <v>12</v>
      </c>
      <c r="D434" s="15" t="s">
        <v>13</v>
      </c>
      <c r="E434" s="15">
        <v>14</v>
      </c>
      <c r="F434" s="15">
        <v>12</v>
      </c>
      <c r="G434" s="15" t="s">
        <v>25</v>
      </c>
      <c r="H434" s="15" t="s">
        <v>61</v>
      </c>
      <c r="I434" s="15" t="s">
        <v>570</v>
      </c>
      <c r="J434" s="15">
        <v>65</v>
      </c>
      <c r="K434" s="59" t="str">
        <f t="shared" si="6"/>
        <v>C</v>
      </c>
    </row>
    <row r="435" spans="1:11" x14ac:dyDescent="0.3">
      <c r="A435" s="15" t="s">
        <v>828</v>
      </c>
      <c r="B435" s="15" t="s">
        <v>29</v>
      </c>
      <c r="C435" s="15" t="s">
        <v>55</v>
      </c>
      <c r="D435" s="15" t="s">
        <v>13</v>
      </c>
      <c r="E435" s="15">
        <v>15</v>
      </c>
      <c r="F435" s="15">
        <v>9</v>
      </c>
      <c r="G435" s="15" t="s">
        <v>32</v>
      </c>
      <c r="H435" s="15" t="s">
        <v>40</v>
      </c>
      <c r="I435" s="15" t="s">
        <v>829</v>
      </c>
      <c r="J435" s="15">
        <v>64</v>
      </c>
      <c r="K435" s="59" t="str">
        <f t="shared" si="6"/>
        <v>C</v>
      </c>
    </row>
    <row r="436" spans="1:11" x14ac:dyDescent="0.3">
      <c r="A436" s="15" t="s">
        <v>830</v>
      </c>
      <c r="B436" s="15" t="s">
        <v>23</v>
      </c>
      <c r="C436" s="15" t="s">
        <v>58</v>
      </c>
      <c r="D436" s="15" t="s">
        <v>31</v>
      </c>
      <c r="E436" s="15">
        <v>17</v>
      </c>
      <c r="F436" s="15">
        <v>9</v>
      </c>
      <c r="G436" s="15" t="s">
        <v>43</v>
      </c>
      <c r="H436" s="15" t="s">
        <v>61</v>
      </c>
      <c r="I436" s="15" t="s">
        <v>820</v>
      </c>
      <c r="J436" s="15">
        <v>59</v>
      </c>
      <c r="K436" s="59" t="str">
        <f t="shared" si="6"/>
        <v>D</v>
      </c>
    </row>
    <row r="437" spans="1:11" x14ac:dyDescent="0.3">
      <c r="A437" s="15" t="s">
        <v>831</v>
      </c>
      <c r="B437" s="15" t="s">
        <v>54</v>
      </c>
      <c r="C437" s="15" t="s">
        <v>36</v>
      </c>
      <c r="D437" s="15" t="s">
        <v>31</v>
      </c>
      <c r="E437" s="15">
        <v>19</v>
      </c>
      <c r="F437" s="15">
        <v>9</v>
      </c>
      <c r="G437" s="15" t="s">
        <v>32</v>
      </c>
      <c r="H437" s="15" t="s">
        <v>15</v>
      </c>
      <c r="I437" s="15" t="s">
        <v>832</v>
      </c>
      <c r="J437" s="15">
        <v>35</v>
      </c>
      <c r="K437" s="59" t="str">
        <f t="shared" si="6"/>
        <v>Fail</v>
      </c>
    </row>
    <row r="438" spans="1:11" x14ac:dyDescent="0.3">
      <c r="A438" s="15" t="s">
        <v>833</v>
      </c>
      <c r="B438" s="15" t="s">
        <v>73</v>
      </c>
      <c r="C438" s="15" t="s">
        <v>96</v>
      </c>
      <c r="D438" s="15" t="s">
        <v>31</v>
      </c>
      <c r="E438" s="15">
        <v>15</v>
      </c>
      <c r="F438" s="15">
        <v>10</v>
      </c>
      <c r="G438" s="15" t="s">
        <v>43</v>
      </c>
      <c r="H438" s="15" t="s">
        <v>76</v>
      </c>
      <c r="I438" s="15" t="s">
        <v>834</v>
      </c>
      <c r="J438" s="15">
        <v>37</v>
      </c>
      <c r="K438" s="59" t="str">
        <f t="shared" si="6"/>
        <v>Fail</v>
      </c>
    </row>
    <row r="439" spans="1:11" x14ac:dyDescent="0.3">
      <c r="A439" s="15" t="s">
        <v>835</v>
      </c>
      <c r="B439" s="15" t="s">
        <v>18</v>
      </c>
      <c r="C439" s="15" t="s">
        <v>55</v>
      </c>
      <c r="D439" s="15" t="s">
        <v>31</v>
      </c>
      <c r="E439" s="15">
        <v>16</v>
      </c>
      <c r="F439" s="15">
        <v>10</v>
      </c>
      <c r="G439" s="15" t="s">
        <v>14</v>
      </c>
      <c r="H439" s="15" t="s">
        <v>61</v>
      </c>
      <c r="I439" s="15" t="s">
        <v>411</v>
      </c>
      <c r="J439" s="15">
        <v>52</v>
      </c>
      <c r="K439" s="59" t="str">
        <f t="shared" si="6"/>
        <v>D</v>
      </c>
    </row>
    <row r="440" spans="1:11" x14ac:dyDescent="0.3">
      <c r="A440" s="15" t="s">
        <v>836</v>
      </c>
      <c r="B440" s="15" t="s">
        <v>18</v>
      </c>
      <c r="C440" s="15" t="s">
        <v>58</v>
      </c>
      <c r="D440" s="15" t="s">
        <v>13</v>
      </c>
      <c r="E440" s="15">
        <v>16</v>
      </c>
      <c r="F440" s="15">
        <v>9</v>
      </c>
      <c r="G440" s="15" t="s">
        <v>14</v>
      </c>
      <c r="H440" s="15" t="s">
        <v>37</v>
      </c>
      <c r="I440" s="15" t="s">
        <v>837</v>
      </c>
      <c r="J440" s="15">
        <v>64</v>
      </c>
      <c r="K440" s="59" t="str">
        <f t="shared" si="6"/>
        <v>C</v>
      </c>
    </row>
    <row r="441" spans="1:11" x14ac:dyDescent="0.3">
      <c r="A441" s="15" t="s">
        <v>838</v>
      </c>
      <c r="B441" s="15" t="s">
        <v>29</v>
      </c>
      <c r="C441" s="15" t="s">
        <v>36</v>
      </c>
      <c r="D441" s="15" t="s">
        <v>31</v>
      </c>
      <c r="E441" s="15">
        <v>17</v>
      </c>
      <c r="F441" s="15">
        <v>10</v>
      </c>
      <c r="G441" s="15" t="s">
        <v>25</v>
      </c>
      <c r="H441" s="15" t="s">
        <v>15</v>
      </c>
      <c r="I441" s="15" t="s">
        <v>839</v>
      </c>
      <c r="J441" s="15">
        <v>35</v>
      </c>
      <c r="K441" s="59" t="str">
        <f t="shared" si="6"/>
        <v>Fail</v>
      </c>
    </row>
    <row r="442" spans="1:11" x14ac:dyDescent="0.3">
      <c r="A442" s="15" t="s">
        <v>840</v>
      </c>
      <c r="B442" s="15" t="s">
        <v>29</v>
      </c>
      <c r="C442" s="15" t="s">
        <v>12</v>
      </c>
      <c r="D442" s="15" t="s">
        <v>31</v>
      </c>
      <c r="E442" s="15">
        <v>20</v>
      </c>
      <c r="F442" s="15">
        <v>10</v>
      </c>
      <c r="G442" s="15" t="s">
        <v>43</v>
      </c>
      <c r="H442" s="15" t="s">
        <v>15</v>
      </c>
      <c r="I442" s="15" t="s">
        <v>841</v>
      </c>
      <c r="J442" s="15">
        <v>37</v>
      </c>
      <c r="K442" s="59" t="str">
        <f t="shared" si="6"/>
        <v>Fail</v>
      </c>
    </row>
    <row r="443" spans="1:11" x14ac:dyDescent="0.3">
      <c r="A443" s="15" t="s">
        <v>842</v>
      </c>
      <c r="B443" s="15" t="s">
        <v>23</v>
      </c>
      <c r="C443" s="15" t="s">
        <v>30</v>
      </c>
      <c r="D443" s="15" t="s">
        <v>13</v>
      </c>
      <c r="E443" s="15">
        <v>15</v>
      </c>
      <c r="F443" s="15">
        <v>9</v>
      </c>
      <c r="G443" s="15" t="s">
        <v>32</v>
      </c>
      <c r="H443" s="15" t="s">
        <v>37</v>
      </c>
      <c r="I443" s="15" t="s">
        <v>477</v>
      </c>
      <c r="J443" s="15">
        <v>51</v>
      </c>
      <c r="K443" s="59" t="str">
        <f t="shared" si="6"/>
        <v>D</v>
      </c>
    </row>
    <row r="444" spans="1:11" x14ac:dyDescent="0.3">
      <c r="A444" s="15" t="s">
        <v>843</v>
      </c>
      <c r="B444" s="15" t="s">
        <v>54</v>
      </c>
      <c r="C444" s="15" t="s">
        <v>12</v>
      </c>
      <c r="D444" s="15" t="s">
        <v>31</v>
      </c>
      <c r="E444" s="15">
        <v>17</v>
      </c>
      <c r="F444" s="15">
        <v>10</v>
      </c>
      <c r="G444" s="15" t="s">
        <v>25</v>
      </c>
      <c r="H444" s="15" t="s">
        <v>40</v>
      </c>
      <c r="I444" s="15" t="s">
        <v>844</v>
      </c>
      <c r="J444" s="15">
        <v>43</v>
      </c>
      <c r="K444" s="59" t="str">
        <f t="shared" si="6"/>
        <v>D</v>
      </c>
    </row>
    <row r="445" spans="1:11" x14ac:dyDescent="0.3">
      <c r="A445" s="15" t="s">
        <v>845</v>
      </c>
      <c r="B445" s="15" t="s">
        <v>11</v>
      </c>
      <c r="C445" s="15" t="s">
        <v>19</v>
      </c>
      <c r="D445" s="15" t="s">
        <v>31</v>
      </c>
      <c r="E445" s="15">
        <v>19</v>
      </c>
      <c r="F445" s="15">
        <v>11</v>
      </c>
      <c r="G445" s="15" t="s">
        <v>43</v>
      </c>
      <c r="H445" s="15" t="s">
        <v>76</v>
      </c>
      <c r="I445" s="15" t="s">
        <v>282</v>
      </c>
      <c r="J445" s="15">
        <v>44</v>
      </c>
      <c r="K445" s="59" t="str">
        <f t="shared" si="6"/>
        <v>D</v>
      </c>
    </row>
    <row r="446" spans="1:11" x14ac:dyDescent="0.3">
      <c r="A446" s="15" t="s">
        <v>846</v>
      </c>
      <c r="B446" s="15" t="s">
        <v>35</v>
      </c>
      <c r="C446" s="15" t="s">
        <v>79</v>
      </c>
      <c r="D446" s="15" t="s">
        <v>13</v>
      </c>
      <c r="E446" s="15">
        <v>17</v>
      </c>
      <c r="F446" s="15">
        <v>12</v>
      </c>
      <c r="G446" s="15" t="s">
        <v>25</v>
      </c>
      <c r="H446" s="15" t="s">
        <v>46</v>
      </c>
      <c r="I446" s="15" t="s">
        <v>847</v>
      </c>
      <c r="J446" s="15">
        <v>41</v>
      </c>
      <c r="K446" s="59" t="str">
        <f t="shared" si="6"/>
        <v>D</v>
      </c>
    </row>
    <row r="447" spans="1:11" x14ac:dyDescent="0.3">
      <c r="A447" s="15" t="s">
        <v>848</v>
      </c>
      <c r="B447" s="15" t="s">
        <v>18</v>
      </c>
      <c r="C447" s="15" t="s">
        <v>24</v>
      </c>
      <c r="D447" s="15" t="s">
        <v>31</v>
      </c>
      <c r="E447" s="15">
        <v>16</v>
      </c>
      <c r="F447" s="15">
        <v>10</v>
      </c>
      <c r="G447" s="15" t="s">
        <v>25</v>
      </c>
      <c r="H447" s="15" t="s">
        <v>61</v>
      </c>
      <c r="I447" s="15" t="s">
        <v>849</v>
      </c>
      <c r="J447" s="15">
        <v>78</v>
      </c>
      <c r="K447" s="59" t="str">
        <f t="shared" si="6"/>
        <v>B</v>
      </c>
    </row>
    <row r="448" spans="1:11" x14ac:dyDescent="0.3">
      <c r="A448" s="15" t="s">
        <v>850</v>
      </c>
      <c r="B448" s="15" t="s">
        <v>51</v>
      </c>
      <c r="C448" s="15" t="s">
        <v>96</v>
      </c>
      <c r="D448" s="15" t="s">
        <v>13</v>
      </c>
      <c r="E448" s="15">
        <v>14</v>
      </c>
      <c r="F448" s="15">
        <v>9</v>
      </c>
      <c r="G448" s="15" t="s">
        <v>25</v>
      </c>
      <c r="H448" s="15" t="s">
        <v>26</v>
      </c>
      <c r="I448" s="15" t="s">
        <v>851</v>
      </c>
      <c r="J448" s="15">
        <v>90</v>
      </c>
      <c r="K448" s="59" t="str">
        <f t="shared" si="6"/>
        <v>A+</v>
      </c>
    </row>
    <row r="449" spans="1:11" x14ac:dyDescent="0.3">
      <c r="A449" s="15" t="s">
        <v>852</v>
      </c>
      <c r="B449" s="15" t="s">
        <v>29</v>
      </c>
      <c r="C449" s="15" t="s">
        <v>55</v>
      </c>
      <c r="D449" s="15" t="s">
        <v>13</v>
      </c>
      <c r="E449" s="15">
        <v>15</v>
      </c>
      <c r="F449" s="15">
        <v>9</v>
      </c>
      <c r="G449" s="15" t="s">
        <v>14</v>
      </c>
      <c r="H449" s="15" t="s">
        <v>20</v>
      </c>
      <c r="I449" s="15" t="s">
        <v>853</v>
      </c>
      <c r="J449" s="15">
        <v>74</v>
      </c>
      <c r="K449" s="59" t="str">
        <f t="shared" si="6"/>
        <v>B</v>
      </c>
    </row>
    <row r="450" spans="1:11" x14ac:dyDescent="0.3">
      <c r="A450" s="15" t="s">
        <v>854</v>
      </c>
      <c r="B450" s="15" t="s">
        <v>51</v>
      </c>
      <c r="C450" s="15" t="s">
        <v>55</v>
      </c>
      <c r="D450" s="15" t="s">
        <v>13</v>
      </c>
      <c r="E450" s="15">
        <v>15</v>
      </c>
      <c r="F450" s="15">
        <v>11</v>
      </c>
      <c r="G450" s="15" t="s">
        <v>14</v>
      </c>
      <c r="H450" s="15" t="s">
        <v>61</v>
      </c>
      <c r="I450" s="15" t="s">
        <v>855</v>
      </c>
      <c r="J450" s="15">
        <v>84</v>
      </c>
      <c r="K450" s="59" t="str">
        <f t="shared" si="6"/>
        <v>A</v>
      </c>
    </row>
    <row r="451" spans="1:11" x14ac:dyDescent="0.3">
      <c r="A451" s="15" t="s">
        <v>856</v>
      </c>
      <c r="B451" s="15" t="s">
        <v>29</v>
      </c>
      <c r="C451" s="15" t="s">
        <v>85</v>
      </c>
      <c r="D451" s="15" t="s">
        <v>13</v>
      </c>
      <c r="E451" s="15">
        <v>16</v>
      </c>
      <c r="F451" s="15">
        <v>9</v>
      </c>
      <c r="G451" s="15" t="s">
        <v>14</v>
      </c>
      <c r="H451" s="15" t="s">
        <v>61</v>
      </c>
      <c r="I451" s="15" t="s">
        <v>262</v>
      </c>
      <c r="J451" s="15">
        <v>78</v>
      </c>
      <c r="K451" s="59" t="str">
        <f t="shared" si="6"/>
        <v>B</v>
      </c>
    </row>
    <row r="452" spans="1:11" x14ac:dyDescent="0.3">
      <c r="A452" s="15" t="s">
        <v>857</v>
      </c>
      <c r="B452" s="15" t="s">
        <v>18</v>
      </c>
      <c r="C452" s="15" t="s">
        <v>96</v>
      </c>
      <c r="D452" s="15" t="s">
        <v>13</v>
      </c>
      <c r="E452" s="15">
        <v>20</v>
      </c>
      <c r="F452" s="15">
        <v>11</v>
      </c>
      <c r="G452" s="15" t="s">
        <v>32</v>
      </c>
      <c r="H452" s="15" t="s">
        <v>61</v>
      </c>
      <c r="I452" s="15" t="s">
        <v>570</v>
      </c>
      <c r="J452" s="15">
        <v>94</v>
      </c>
      <c r="K452" s="59" t="str">
        <f t="shared" si="6"/>
        <v>A+</v>
      </c>
    </row>
    <row r="453" spans="1:11" x14ac:dyDescent="0.3">
      <c r="A453" s="15" t="s">
        <v>858</v>
      </c>
      <c r="B453" s="15" t="s">
        <v>35</v>
      </c>
      <c r="C453" s="15" t="s">
        <v>12</v>
      </c>
      <c r="D453" s="15" t="s">
        <v>31</v>
      </c>
      <c r="E453" s="15">
        <v>19</v>
      </c>
      <c r="F453" s="15">
        <v>9</v>
      </c>
      <c r="G453" s="15" t="s">
        <v>43</v>
      </c>
      <c r="H453" s="15" t="s">
        <v>26</v>
      </c>
      <c r="I453" s="15" t="s">
        <v>859</v>
      </c>
      <c r="J453" s="15">
        <v>88</v>
      </c>
      <c r="K453" s="59" t="str">
        <f t="shared" ref="K453:K503" si="7">_xlfn.IFS($J453&gt;=90,"A+",$J453&gt;=80,"A",$J453&gt;=70,"B",$J453&gt;=60,"C",$J453&gt;=40,"D",$J453&lt;40,"Fail")</f>
        <v>A</v>
      </c>
    </row>
    <row r="454" spans="1:11" x14ac:dyDescent="0.3">
      <c r="A454" s="15" t="s">
        <v>860</v>
      </c>
      <c r="B454" s="15" t="s">
        <v>68</v>
      </c>
      <c r="C454" s="15" t="s">
        <v>12</v>
      </c>
      <c r="D454" s="15" t="s">
        <v>13</v>
      </c>
      <c r="E454" s="15">
        <v>16</v>
      </c>
      <c r="F454" s="15">
        <v>12</v>
      </c>
      <c r="G454" s="15" t="s">
        <v>14</v>
      </c>
      <c r="H454" s="15" t="s">
        <v>37</v>
      </c>
      <c r="I454" s="15" t="s">
        <v>861</v>
      </c>
      <c r="J454" s="15">
        <v>84</v>
      </c>
      <c r="K454" s="59" t="str">
        <f t="shared" si="7"/>
        <v>A</v>
      </c>
    </row>
    <row r="455" spans="1:11" x14ac:dyDescent="0.3">
      <c r="A455" s="15" t="s">
        <v>862</v>
      </c>
      <c r="B455" s="15" t="s">
        <v>51</v>
      </c>
      <c r="C455" s="15" t="s">
        <v>24</v>
      </c>
      <c r="D455" s="15" t="s">
        <v>13</v>
      </c>
      <c r="E455" s="15">
        <v>17</v>
      </c>
      <c r="F455" s="15">
        <v>9</v>
      </c>
      <c r="G455" s="15" t="s">
        <v>43</v>
      </c>
      <c r="H455" s="15" t="s">
        <v>15</v>
      </c>
      <c r="I455" s="15" t="s">
        <v>863</v>
      </c>
      <c r="J455" s="15">
        <v>86</v>
      </c>
      <c r="K455" s="59" t="str">
        <f t="shared" si="7"/>
        <v>A</v>
      </c>
    </row>
    <row r="456" spans="1:11" x14ac:dyDescent="0.3">
      <c r="A456" s="15" t="s">
        <v>864</v>
      </c>
      <c r="B456" s="15" t="s">
        <v>35</v>
      </c>
      <c r="C456" s="15" t="s">
        <v>58</v>
      </c>
      <c r="D456" s="15" t="s">
        <v>13</v>
      </c>
      <c r="E456" s="15">
        <v>17</v>
      </c>
      <c r="F456" s="15">
        <v>10</v>
      </c>
      <c r="G456" s="15" t="s">
        <v>14</v>
      </c>
      <c r="H456" s="15" t="s">
        <v>20</v>
      </c>
      <c r="I456" s="15" t="s">
        <v>865</v>
      </c>
      <c r="J456" s="15">
        <v>92</v>
      </c>
      <c r="K456" s="59" t="str">
        <f t="shared" si="7"/>
        <v>A+</v>
      </c>
    </row>
    <row r="457" spans="1:11" x14ac:dyDescent="0.3">
      <c r="A457" s="15" t="s">
        <v>866</v>
      </c>
      <c r="B457" s="15" t="s">
        <v>18</v>
      </c>
      <c r="C457" s="15" t="s">
        <v>24</v>
      </c>
      <c r="D457" s="15" t="s">
        <v>13</v>
      </c>
      <c r="E457" s="15">
        <v>15</v>
      </c>
      <c r="F457" s="15">
        <v>11</v>
      </c>
      <c r="G457" s="15" t="s">
        <v>14</v>
      </c>
      <c r="H457" s="15" t="s">
        <v>61</v>
      </c>
      <c r="I457" s="15" t="s">
        <v>867</v>
      </c>
      <c r="J457" s="15">
        <v>97</v>
      </c>
      <c r="K457" s="59" t="str">
        <f t="shared" si="7"/>
        <v>A+</v>
      </c>
    </row>
    <row r="458" spans="1:11" x14ac:dyDescent="0.3">
      <c r="A458" s="15" t="s">
        <v>868</v>
      </c>
      <c r="B458" s="15" t="s">
        <v>84</v>
      </c>
      <c r="C458" s="15" t="s">
        <v>30</v>
      </c>
      <c r="D458" s="15" t="s">
        <v>31</v>
      </c>
      <c r="E458" s="15">
        <v>15</v>
      </c>
      <c r="F458" s="15">
        <v>9</v>
      </c>
      <c r="G458" s="15" t="s">
        <v>43</v>
      </c>
      <c r="H458" s="15" t="s">
        <v>61</v>
      </c>
      <c r="I458" s="15" t="s">
        <v>151</v>
      </c>
      <c r="J458" s="15">
        <v>45</v>
      </c>
      <c r="K458" s="59" t="str">
        <f t="shared" si="7"/>
        <v>D</v>
      </c>
    </row>
    <row r="459" spans="1:11" x14ac:dyDescent="0.3">
      <c r="A459" s="15" t="s">
        <v>869</v>
      </c>
      <c r="B459" s="15" t="s">
        <v>73</v>
      </c>
      <c r="C459" s="15" t="s">
        <v>96</v>
      </c>
      <c r="D459" s="15" t="s">
        <v>31</v>
      </c>
      <c r="E459" s="15">
        <v>17</v>
      </c>
      <c r="F459" s="15">
        <v>9</v>
      </c>
      <c r="G459" s="15" t="s">
        <v>43</v>
      </c>
      <c r="H459" s="15" t="s">
        <v>26</v>
      </c>
      <c r="I459" s="15" t="s">
        <v>870</v>
      </c>
      <c r="J459" s="15">
        <v>53</v>
      </c>
      <c r="K459" s="59" t="str">
        <f t="shared" si="7"/>
        <v>D</v>
      </c>
    </row>
    <row r="460" spans="1:11" x14ac:dyDescent="0.3">
      <c r="A460" s="15" t="s">
        <v>871</v>
      </c>
      <c r="B460" s="15" t="s">
        <v>11</v>
      </c>
      <c r="C460" s="15" t="s">
        <v>12</v>
      </c>
      <c r="D460" s="15" t="s">
        <v>13</v>
      </c>
      <c r="E460" s="15">
        <v>20</v>
      </c>
      <c r="F460" s="15">
        <v>10</v>
      </c>
      <c r="G460" s="15" t="s">
        <v>25</v>
      </c>
      <c r="H460" s="15" t="s">
        <v>76</v>
      </c>
      <c r="I460" s="15" t="s">
        <v>872</v>
      </c>
      <c r="J460" s="15">
        <v>66</v>
      </c>
      <c r="K460" s="59" t="str">
        <f t="shared" si="7"/>
        <v>C</v>
      </c>
    </row>
    <row r="461" spans="1:11" x14ac:dyDescent="0.3">
      <c r="A461" s="15" t="s">
        <v>873</v>
      </c>
      <c r="B461" s="15" t="s">
        <v>18</v>
      </c>
      <c r="C461" s="15" t="s">
        <v>79</v>
      </c>
      <c r="D461" s="15" t="s">
        <v>31</v>
      </c>
      <c r="E461" s="15">
        <v>19</v>
      </c>
      <c r="F461" s="15">
        <v>12</v>
      </c>
      <c r="G461" s="15" t="s">
        <v>32</v>
      </c>
      <c r="H461" s="15" t="s">
        <v>76</v>
      </c>
      <c r="I461" s="15" t="s">
        <v>742</v>
      </c>
      <c r="J461" s="15">
        <v>83</v>
      </c>
      <c r="K461" s="59" t="str">
        <f t="shared" si="7"/>
        <v>A</v>
      </c>
    </row>
    <row r="462" spans="1:11" x14ac:dyDescent="0.3">
      <c r="A462" s="15" t="s">
        <v>874</v>
      </c>
      <c r="B462" s="15" t="s">
        <v>35</v>
      </c>
      <c r="C462" s="15" t="s">
        <v>36</v>
      </c>
      <c r="D462" s="15" t="s">
        <v>13</v>
      </c>
      <c r="E462" s="15">
        <v>16</v>
      </c>
      <c r="F462" s="15">
        <v>10</v>
      </c>
      <c r="G462" s="15" t="s">
        <v>14</v>
      </c>
      <c r="H462" s="15" t="s">
        <v>61</v>
      </c>
      <c r="I462" s="15" t="s">
        <v>875</v>
      </c>
      <c r="J462" s="15">
        <v>35</v>
      </c>
      <c r="K462" s="59" t="str">
        <f t="shared" si="7"/>
        <v>Fail</v>
      </c>
    </row>
    <row r="463" spans="1:11" x14ac:dyDescent="0.3">
      <c r="A463" s="15" t="s">
        <v>876</v>
      </c>
      <c r="B463" s="15" t="s">
        <v>18</v>
      </c>
      <c r="C463" s="15" t="s">
        <v>24</v>
      </c>
      <c r="D463" s="15" t="s">
        <v>31</v>
      </c>
      <c r="E463" s="15">
        <v>16</v>
      </c>
      <c r="F463" s="15">
        <v>9</v>
      </c>
      <c r="G463" s="15" t="s">
        <v>43</v>
      </c>
      <c r="H463" s="15" t="s">
        <v>26</v>
      </c>
      <c r="I463" s="15" t="s">
        <v>515</v>
      </c>
      <c r="J463" s="15">
        <v>48</v>
      </c>
      <c r="K463" s="59" t="str">
        <f t="shared" si="7"/>
        <v>D</v>
      </c>
    </row>
    <row r="464" spans="1:11" x14ac:dyDescent="0.3">
      <c r="A464" s="15" t="s">
        <v>877</v>
      </c>
      <c r="B464" s="15" t="s">
        <v>73</v>
      </c>
      <c r="C464" s="15" t="s">
        <v>85</v>
      </c>
      <c r="D464" s="15" t="s">
        <v>13</v>
      </c>
      <c r="E464" s="15">
        <v>19</v>
      </c>
      <c r="F464" s="15">
        <v>10</v>
      </c>
      <c r="G464" s="15" t="s">
        <v>25</v>
      </c>
      <c r="H464" s="15" t="s">
        <v>26</v>
      </c>
      <c r="I464" s="15" t="s">
        <v>878</v>
      </c>
      <c r="J464" s="15">
        <v>81</v>
      </c>
      <c r="K464" s="59" t="str">
        <f t="shared" si="7"/>
        <v>A</v>
      </c>
    </row>
    <row r="465" spans="1:11" x14ac:dyDescent="0.3">
      <c r="A465" s="15" t="s">
        <v>879</v>
      </c>
      <c r="B465" s="15" t="s">
        <v>18</v>
      </c>
      <c r="C465" s="15" t="s">
        <v>85</v>
      </c>
      <c r="D465" s="15" t="s">
        <v>13</v>
      </c>
      <c r="E465" s="15">
        <v>15</v>
      </c>
      <c r="F465" s="15">
        <v>11</v>
      </c>
      <c r="G465" s="15" t="s">
        <v>32</v>
      </c>
      <c r="H465" s="15" t="s">
        <v>37</v>
      </c>
      <c r="I465" s="15" t="s">
        <v>880</v>
      </c>
      <c r="J465" s="15">
        <v>86</v>
      </c>
      <c r="K465" s="59" t="str">
        <f t="shared" si="7"/>
        <v>A</v>
      </c>
    </row>
    <row r="466" spans="1:11" x14ac:dyDescent="0.3">
      <c r="A466" s="15" t="s">
        <v>881</v>
      </c>
      <c r="B466" s="15" t="s">
        <v>73</v>
      </c>
      <c r="C466" s="15" t="s">
        <v>24</v>
      </c>
      <c r="D466" s="15" t="s">
        <v>31</v>
      </c>
      <c r="E466" s="15">
        <v>14</v>
      </c>
      <c r="F466" s="15">
        <v>12</v>
      </c>
      <c r="G466" s="15" t="s">
        <v>25</v>
      </c>
      <c r="H466" s="15" t="s">
        <v>46</v>
      </c>
      <c r="I466" s="15" t="s">
        <v>882</v>
      </c>
      <c r="J466" s="15">
        <v>58</v>
      </c>
      <c r="K466" s="59" t="str">
        <f t="shared" si="7"/>
        <v>D</v>
      </c>
    </row>
    <row r="467" spans="1:11" x14ac:dyDescent="0.3">
      <c r="A467" s="15" t="s">
        <v>883</v>
      </c>
      <c r="B467" s="15" t="s">
        <v>23</v>
      </c>
      <c r="C467" s="15" t="s">
        <v>85</v>
      </c>
      <c r="D467" s="15" t="s">
        <v>13</v>
      </c>
      <c r="E467" s="15">
        <v>19</v>
      </c>
      <c r="F467" s="15">
        <v>9</v>
      </c>
      <c r="G467" s="15" t="s">
        <v>43</v>
      </c>
      <c r="H467" s="15" t="s">
        <v>20</v>
      </c>
      <c r="I467" s="15" t="s">
        <v>884</v>
      </c>
      <c r="J467" s="15">
        <v>69</v>
      </c>
      <c r="K467" s="59" t="str">
        <f t="shared" si="7"/>
        <v>C</v>
      </c>
    </row>
    <row r="468" spans="1:11" x14ac:dyDescent="0.3">
      <c r="A468" s="15" t="s">
        <v>885</v>
      </c>
      <c r="B468" s="15" t="s">
        <v>51</v>
      </c>
      <c r="C468" s="15" t="s">
        <v>55</v>
      </c>
      <c r="D468" s="15" t="s">
        <v>13</v>
      </c>
      <c r="E468" s="15">
        <v>16</v>
      </c>
      <c r="F468" s="15">
        <v>11</v>
      </c>
      <c r="G468" s="15" t="s">
        <v>32</v>
      </c>
      <c r="H468" s="15" t="s">
        <v>76</v>
      </c>
      <c r="I468" s="15" t="s">
        <v>886</v>
      </c>
      <c r="J468" s="15">
        <v>65</v>
      </c>
      <c r="K468" s="59" t="str">
        <f t="shared" si="7"/>
        <v>C</v>
      </c>
    </row>
    <row r="469" spans="1:11" x14ac:dyDescent="0.3">
      <c r="A469" s="15" t="s">
        <v>887</v>
      </c>
      <c r="B469" s="15" t="s">
        <v>11</v>
      </c>
      <c r="C469" s="15" t="s">
        <v>30</v>
      </c>
      <c r="D469" s="15" t="s">
        <v>31</v>
      </c>
      <c r="E469" s="15">
        <v>17</v>
      </c>
      <c r="F469" s="15">
        <v>9</v>
      </c>
      <c r="G469" s="15" t="s">
        <v>14</v>
      </c>
      <c r="H469" s="15" t="s">
        <v>76</v>
      </c>
      <c r="I469" s="15" t="s">
        <v>653</v>
      </c>
      <c r="J469" s="15">
        <v>53</v>
      </c>
      <c r="K469" s="59" t="str">
        <f t="shared" si="7"/>
        <v>D</v>
      </c>
    </row>
    <row r="470" spans="1:11" x14ac:dyDescent="0.3">
      <c r="A470" s="15" t="s">
        <v>888</v>
      </c>
      <c r="B470" s="15" t="s">
        <v>23</v>
      </c>
      <c r="C470" s="15" t="s">
        <v>58</v>
      </c>
      <c r="D470" s="15" t="s">
        <v>31</v>
      </c>
      <c r="E470" s="15">
        <v>18</v>
      </c>
      <c r="F470" s="15">
        <v>10</v>
      </c>
      <c r="G470" s="15" t="s">
        <v>14</v>
      </c>
      <c r="H470" s="15" t="s">
        <v>20</v>
      </c>
      <c r="I470" s="15" t="s">
        <v>153</v>
      </c>
      <c r="J470" s="15">
        <v>92</v>
      </c>
      <c r="K470" s="59" t="str">
        <f t="shared" si="7"/>
        <v>A+</v>
      </c>
    </row>
    <row r="471" spans="1:11" x14ac:dyDescent="0.3">
      <c r="A471" s="15" t="s">
        <v>889</v>
      </c>
      <c r="B471" s="15" t="s">
        <v>68</v>
      </c>
      <c r="C471" s="15" t="s">
        <v>19</v>
      </c>
      <c r="D471" s="15" t="s">
        <v>31</v>
      </c>
      <c r="E471" s="15">
        <v>18</v>
      </c>
      <c r="F471" s="15">
        <v>12</v>
      </c>
      <c r="G471" s="15" t="s">
        <v>32</v>
      </c>
      <c r="H471" s="15" t="s">
        <v>46</v>
      </c>
      <c r="I471" s="15" t="s">
        <v>890</v>
      </c>
      <c r="J471" s="15">
        <v>88</v>
      </c>
      <c r="K471" s="59" t="str">
        <f t="shared" si="7"/>
        <v>A</v>
      </c>
    </row>
    <row r="472" spans="1:11" x14ac:dyDescent="0.3">
      <c r="A472" s="15" t="s">
        <v>891</v>
      </c>
      <c r="B472" s="15" t="s">
        <v>68</v>
      </c>
      <c r="C472" s="15" t="s">
        <v>79</v>
      </c>
      <c r="D472" s="15" t="s">
        <v>31</v>
      </c>
      <c r="E472" s="15">
        <v>17</v>
      </c>
      <c r="F472" s="15">
        <v>10</v>
      </c>
      <c r="G472" s="15" t="s">
        <v>32</v>
      </c>
      <c r="H472" s="15" t="s">
        <v>61</v>
      </c>
      <c r="I472" s="15" t="s">
        <v>892</v>
      </c>
      <c r="J472" s="15">
        <v>56</v>
      </c>
      <c r="K472" s="59" t="str">
        <f t="shared" si="7"/>
        <v>D</v>
      </c>
    </row>
    <row r="473" spans="1:11" x14ac:dyDescent="0.3">
      <c r="A473" s="15" t="s">
        <v>893</v>
      </c>
      <c r="B473" s="15" t="s">
        <v>29</v>
      </c>
      <c r="C473" s="15" t="s">
        <v>30</v>
      </c>
      <c r="D473" s="15" t="s">
        <v>13</v>
      </c>
      <c r="E473" s="15">
        <v>17</v>
      </c>
      <c r="F473" s="15">
        <v>9</v>
      </c>
      <c r="G473" s="15" t="s">
        <v>14</v>
      </c>
      <c r="H473" s="15" t="s">
        <v>46</v>
      </c>
      <c r="I473" s="15" t="s">
        <v>423</v>
      </c>
      <c r="J473" s="15">
        <v>46</v>
      </c>
      <c r="K473" s="59" t="str">
        <f t="shared" si="7"/>
        <v>D</v>
      </c>
    </row>
    <row r="474" spans="1:11" x14ac:dyDescent="0.3">
      <c r="A474" s="15" t="s">
        <v>894</v>
      </c>
      <c r="B474" s="15" t="s">
        <v>23</v>
      </c>
      <c r="C474" s="15" t="s">
        <v>79</v>
      </c>
      <c r="D474" s="15" t="s">
        <v>31</v>
      </c>
      <c r="E474" s="15">
        <v>20</v>
      </c>
      <c r="F474" s="15">
        <v>9</v>
      </c>
      <c r="G474" s="15" t="s">
        <v>14</v>
      </c>
      <c r="H474" s="15" t="s">
        <v>26</v>
      </c>
      <c r="I474" s="15" t="s">
        <v>895</v>
      </c>
      <c r="J474" s="15">
        <v>36</v>
      </c>
      <c r="K474" s="59" t="str">
        <f t="shared" si="7"/>
        <v>Fail</v>
      </c>
    </row>
    <row r="475" spans="1:11" x14ac:dyDescent="0.3">
      <c r="A475" s="15" t="s">
        <v>896</v>
      </c>
      <c r="B475" s="15" t="s">
        <v>11</v>
      </c>
      <c r="C475" s="15" t="s">
        <v>36</v>
      </c>
      <c r="D475" s="15" t="s">
        <v>13</v>
      </c>
      <c r="E475" s="15">
        <v>15</v>
      </c>
      <c r="F475" s="15">
        <v>11</v>
      </c>
      <c r="G475" s="15" t="s">
        <v>14</v>
      </c>
      <c r="H475" s="15" t="s">
        <v>26</v>
      </c>
      <c r="I475" s="15" t="s">
        <v>897</v>
      </c>
      <c r="J475" s="15">
        <v>95</v>
      </c>
      <c r="K475" s="59" t="str">
        <f t="shared" si="7"/>
        <v>A+</v>
      </c>
    </row>
    <row r="476" spans="1:11" x14ac:dyDescent="0.3">
      <c r="A476" s="15" t="s">
        <v>898</v>
      </c>
      <c r="B476" s="15" t="s">
        <v>18</v>
      </c>
      <c r="C476" s="15" t="s">
        <v>19</v>
      </c>
      <c r="D476" s="15" t="s">
        <v>13</v>
      </c>
      <c r="E476" s="15">
        <v>17</v>
      </c>
      <c r="F476" s="15">
        <v>10</v>
      </c>
      <c r="G476" s="15" t="s">
        <v>25</v>
      </c>
      <c r="H476" s="15" t="s">
        <v>61</v>
      </c>
      <c r="I476" s="15" t="s">
        <v>471</v>
      </c>
      <c r="J476" s="15">
        <v>58</v>
      </c>
      <c r="K476" s="59" t="str">
        <f t="shared" si="7"/>
        <v>D</v>
      </c>
    </row>
    <row r="477" spans="1:11" x14ac:dyDescent="0.3">
      <c r="A477" s="15" t="s">
        <v>899</v>
      </c>
      <c r="B477" s="15" t="s">
        <v>11</v>
      </c>
      <c r="C477" s="15" t="s">
        <v>79</v>
      </c>
      <c r="D477" s="15" t="s">
        <v>13</v>
      </c>
      <c r="E477" s="15">
        <v>15</v>
      </c>
      <c r="F477" s="15">
        <v>10</v>
      </c>
      <c r="G477" s="15" t="s">
        <v>14</v>
      </c>
      <c r="H477" s="15" t="s">
        <v>37</v>
      </c>
      <c r="I477" s="15" t="s">
        <v>900</v>
      </c>
      <c r="J477" s="15">
        <v>88</v>
      </c>
      <c r="K477" s="59" t="str">
        <f t="shared" si="7"/>
        <v>A</v>
      </c>
    </row>
    <row r="478" spans="1:11" x14ac:dyDescent="0.3">
      <c r="A478" s="15" t="s">
        <v>901</v>
      </c>
      <c r="B478" s="15" t="s">
        <v>68</v>
      </c>
      <c r="C478" s="15" t="s">
        <v>19</v>
      </c>
      <c r="D478" s="15" t="s">
        <v>31</v>
      </c>
      <c r="E478" s="15">
        <v>18</v>
      </c>
      <c r="F478" s="15">
        <v>11</v>
      </c>
      <c r="G478" s="15" t="s">
        <v>14</v>
      </c>
      <c r="H478" s="15" t="s">
        <v>40</v>
      </c>
      <c r="I478" s="15" t="s">
        <v>139</v>
      </c>
      <c r="J478" s="15">
        <v>75</v>
      </c>
      <c r="K478" s="59" t="str">
        <f t="shared" si="7"/>
        <v>B</v>
      </c>
    </row>
    <row r="479" spans="1:11" x14ac:dyDescent="0.3">
      <c r="A479" s="15" t="s">
        <v>902</v>
      </c>
      <c r="B479" s="15" t="s">
        <v>35</v>
      </c>
      <c r="C479" s="15" t="s">
        <v>12</v>
      </c>
      <c r="D479" s="15" t="s">
        <v>31</v>
      </c>
      <c r="E479" s="15">
        <v>14</v>
      </c>
      <c r="F479" s="15">
        <v>11</v>
      </c>
      <c r="G479" s="15" t="s">
        <v>14</v>
      </c>
      <c r="H479" s="15" t="s">
        <v>37</v>
      </c>
      <c r="I479" s="15" t="s">
        <v>271</v>
      </c>
      <c r="J479" s="15">
        <v>59</v>
      </c>
      <c r="K479" s="59" t="str">
        <f t="shared" si="7"/>
        <v>D</v>
      </c>
    </row>
    <row r="480" spans="1:11" x14ac:dyDescent="0.3">
      <c r="A480" s="15" t="s">
        <v>903</v>
      </c>
      <c r="B480" s="15" t="s">
        <v>54</v>
      </c>
      <c r="C480" s="15" t="s">
        <v>30</v>
      </c>
      <c r="D480" s="15" t="s">
        <v>31</v>
      </c>
      <c r="E480" s="15">
        <v>20</v>
      </c>
      <c r="F480" s="15">
        <v>12</v>
      </c>
      <c r="G480" s="15" t="s">
        <v>43</v>
      </c>
      <c r="H480" s="15" t="s">
        <v>40</v>
      </c>
      <c r="I480" s="15" t="s">
        <v>904</v>
      </c>
      <c r="J480" s="15">
        <v>55</v>
      </c>
      <c r="K480" s="59" t="str">
        <f t="shared" si="7"/>
        <v>D</v>
      </c>
    </row>
    <row r="481" spans="1:11" x14ac:dyDescent="0.3">
      <c r="A481" s="15" t="s">
        <v>905</v>
      </c>
      <c r="B481" s="15" t="s">
        <v>54</v>
      </c>
      <c r="C481" s="15" t="s">
        <v>30</v>
      </c>
      <c r="D481" s="15" t="s">
        <v>13</v>
      </c>
      <c r="E481" s="15">
        <v>16</v>
      </c>
      <c r="F481" s="15">
        <v>12</v>
      </c>
      <c r="G481" s="15" t="s">
        <v>43</v>
      </c>
      <c r="H481" s="15" t="s">
        <v>40</v>
      </c>
      <c r="I481" s="15" t="s">
        <v>556</v>
      </c>
      <c r="J481" s="15">
        <v>81</v>
      </c>
      <c r="K481" s="59" t="str">
        <f t="shared" si="7"/>
        <v>A</v>
      </c>
    </row>
    <row r="482" spans="1:11" x14ac:dyDescent="0.3">
      <c r="A482" s="15" t="s">
        <v>906</v>
      </c>
      <c r="B482" s="15" t="s">
        <v>73</v>
      </c>
      <c r="C482" s="15" t="s">
        <v>36</v>
      </c>
      <c r="D482" s="15" t="s">
        <v>13</v>
      </c>
      <c r="E482" s="15">
        <v>17</v>
      </c>
      <c r="F482" s="15">
        <v>12</v>
      </c>
      <c r="G482" s="15" t="s">
        <v>25</v>
      </c>
      <c r="H482" s="15" t="s">
        <v>76</v>
      </c>
      <c r="I482" s="15" t="s">
        <v>907</v>
      </c>
      <c r="J482" s="15">
        <v>75</v>
      </c>
      <c r="K482" s="59" t="str">
        <f t="shared" si="7"/>
        <v>B</v>
      </c>
    </row>
    <row r="483" spans="1:11" x14ac:dyDescent="0.3">
      <c r="A483" s="15" t="s">
        <v>908</v>
      </c>
      <c r="B483" s="15" t="s">
        <v>11</v>
      </c>
      <c r="C483" s="15" t="s">
        <v>79</v>
      </c>
      <c r="D483" s="15" t="s">
        <v>31</v>
      </c>
      <c r="E483" s="15">
        <v>14</v>
      </c>
      <c r="F483" s="15">
        <v>10</v>
      </c>
      <c r="G483" s="15" t="s">
        <v>14</v>
      </c>
      <c r="H483" s="15" t="s">
        <v>46</v>
      </c>
      <c r="I483" s="15" t="s">
        <v>909</v>
      </c>
      <c r="J483" s="15">
        <v>55</v>
      </c>
      <c r="K483" s="59" t="str">
        <f t="shared" si="7"/>
        <v>D</v>
      </c>
    </row>
    <row r="484" spans="1:11" x14ac:dyDescent="0.3">
      <c r="A484" s="15" t="s">
        <v>910</v>
      </c>
      <c r="B484" s="15" t="s">
        <v>84</v>
      </c>
      <c r="C484" s="15" t="s">
        <v>12</v>
      </c>
      <c r="D484" s="15" t="s">
        <v>31</v>
      </c>
      <c r="E484" s="15">
        <v>18</v>
      </c>
      <c r="F484" s="15">
        <v>11</v>
      </c>
      <c r="G484" s="15" t="s">
        <v>25</v>
      </c>
      <c r="H484" s="15" t="s">
        <v>15</v>
      </c>
      <c r="I484" s="15" t="s">
        <v>911</v>
      </c>
      <c r="J484" s="15">
        <v>87</v>
      </c>
      <c r="K484" s="59" t="str">
        <f t="shared" si="7"/>
        <v>A</v>
      </c>
    </row>
    <row r="485" spans="1:11" x14ac:dyDescent="0.3">
      <c r="A485" s="15" t="s">
        <v>912</v>
      </c>
      <c r="B485" s="15" t="s">
        <v>23</v>
      </c>
      <c r="C485" s="15" t="s">
        <v>79</v>
      </c>
      <c r="D485" s="15" t="s">
        <v>31</v>
      </c>
      <c r="E485" s="15">
        <v>17</v>
      </c>
      <c r="F485" s="15">
        <v>12</v>
      </c>
      <c r="G485" s="15" t="s">
        <v>32</v>
      </c>
      <c r="H485" s="15" t="s">
        <v>46</v>
      </c>
      <c r="I485" s="15" t="s">
        <v>400</v>
      </c>
      <c r="J485" s="15">
        <v>70</v>
      </c>
      <c r="K485" s="59" t="str">
        <f t="shared" si="7"/>
        <v>B</v>
      </c>
    </row>
    <row r="486" spans="1:11" x14ac:dyDescent="0.3">
      <c r="A486" s="15" t="s">
        <v>913</v>
      </c>
      <c r="B486" s="15" t="s">
        <v>68</v>
      </c>
      <c r="C486" s="15" t="s">
        <v>58</v>
      </c>
      <c r="D486" s="15" t="s">
        <v>13</v>
      </c>
      <c r="E486" s="15">
        <v>14</v>
      </c>
      <c r="F486" s="15">
        <v>10</v>
      </c>
      <c r="G486" s="15" t="s">
        <v>14</v>
      </c>
      <c r="H486" s="15" t="s">
        <v>15</v>
      </c>
      <c r="I486" s="15" t="s">
        <v>914</v>
      </c>
      <c r="J486" s="15">
        <v>69</v>
      </c>
      <c r="K486" s="59" t="str">
        <f t="shared" si="7"/>
        <v>C</v>
      </c>
    </row>
    <row r="487" spans="1:11" x14ac:dyDescent="0.3">
      <c r="A487" s="15" t="s">
        <v>915</v>
      </c>
      <c r="B487" s="15" t="s">
        <v>23</v>
      </c>
      <c r="C487" s="15" t="s">
        <v>58</v>
      </c>
      <c r="D487" s="15" t="s">
        <v>31</v>
      </c>
      <c r="E487" s="15">
        <v>17</v>
      </c>
      <c r="F487" s="15">
        <v>9</v>
      </c>
      <c r="G487" s="15" t="s">
        <v>25</v>
      </c>
      <c r="H487" s="15" t="s">
        <v>46</v>
      </c>
      <c r="I487" s="15" t="s">
        <v>916</v>
      </c>
      <c r="J487" s="15">
        <v>85</v>
      </c>
      <c r="K487" s="59" t="str">
        <f t="shared" si="7"/>
        <v>A</v>
      </c>
    </row>
    <row r="488" spans="1:11" x14ac:dyDescent="0.3">
      <c r="A488" s="15" t="s">
        <v>917</v>
      </c>
      <c r="B488" s="15" t="s">
        <v>11</v>
      </c>
      <c r="C488" s="15" t="s">
        <v>96</v>
      </c>
      <c r="D488" s="15" t="s">
        <v>31</v>
      </c>
      <c r="E488" s="15">
        <v>19</v>
      </c>
      <c r="F488" s="15">
        <v>11</v>
      </c>
      <c r="G488" s="15" t="s">
        <v>43</v>
      </c>
      <c r="H488" s="15" t="s">
        <v>26</v>
      </c>
      <c r="I488" s="15" t="s">
        <v>918</v>
      </c>
      <c r="J488" s="15">
        <v>87</v>
      </c>
      <c r="K488" s="59" t="str">
        <f t="shared" si="7"/>
        <v>A</v>
      </c>
    </row>
    <row r="489" spans="1:11" x14ac:dyDescent="0.3">
      <c r="A489" s="15" t="s">
        <v>919</v>
      </c>
      <c r="B489" s="15" t="s">
        <v>23</v>
      </c>
      <c r="C489" s="15" t="s">
        <v>19</v>
      </c>
      <c r="D489" s="15" t="s">
        <v>13</v>
      </c>
      <c r="E489" s="15">
        <v>14</v>
      </c>
      <c r="F489" s="15">
        <v>12</v>
      </c>
      <c r="G489" s="15" t="s">
        <v>14</v>
      </c>
      <c r="H489" s="15" t="s">
        <v>15</v>
      </c>
      <c r="I489" s="15" t="s">
        <v>920</v>
      </c>
      <c r="J489" s="15">
        <v>92</v>
      </c>
      <c r="K489" s="59" t="str">
        <f t="shared" si="7"/>
        <v>A+</v>
      </c>
    </row>
    <row r="490" spans="1:11" x14ac:dyDescent="0.3">
      <c r="A490" s="15" t="s">
        <v>921</v>
      </c>
      <c r="B490" s="15" t="s">
        <v>18</v>
      </c>
      <c r="C490" s="15" t="s">
        <v>24</v>
      </c>
      <c r="D490" s="15" t="s">
        <v>13</v>
      </c>
      <c r="E490" s="15">
        <v>19</v>
      </c>
      <c r="F490" s="15">
        <v>10</v>
      </c>
      <c r="G490" s="15" t="s">
        <v>14</v>
      </c>
      <c r="H490" s="15" t="s">
        <v>20</v>
      </c>
      <c r="I490" s="15" t="s">
        <v>922</v>
      </c>
      <c r="J490" s="15">
        <v>58</v>
      </c>
      <c r="K490" s="59" t="str">
        <f t="shared" si="7"/>
        <v>D</v>
      </c>
    </row>
    <row r="491" spans="1:11" x14ac:dyDescent="0.3">
      <c r="A491" s="15" t="s">
        <v>923</v>
      </c>
      <c r="B491" s="15" t="s">
        <v>68</v>
      </c>
      <c r="C491" s="15" t="s">
        <v>55</v>
      </c>
      <c r="D491" s="15" t="s">
        <v>31</v>
      </c>
      <c r="E491" s="15">
        <v>16</v>
      </c>
      <c r="F491" s="15">
        <v>12</v>
      </c>
      <c r="G491" s="15" t="s">
        <v>43</v>
      </c>
      <c r="H491" s="15" t="s">
        <v>37</v>
      </c>
      <c r="I491" s="15" t="s">
        <v>924</v>
      </c>
      <c r="J491" s="15">
        <v>77</v>
      </c>
      <c r="K491" s="59" t="str">
        <f t="shared" si="7"/>
        <v>B</v>
      </c>
    </row>
    <row r="492" spans="1:11" x14ac:dyDescent="0.3">
      <c r="A492" s="15" t="s">
        <v>925</v>
      </c>
      <c r="B492" s="15" t="s">
        <v>68</v>
      </c>
      <c r="C492" s="15" t="s">
        <v>30</v>
      </c>
      <c r="D492" s="15" t="s">
        <v>31</v>
      </c>
      <c r="E492" s="15">
        <v>18</v>
      </c>
      <c r="F492" s="15">
        <v>9</v>
      </c>
      <c r="G492" s="15" t="s">
        <v>32</v>
      </c>
      <c r="H492" s="15" t="s">
        <v>20</v>
      </c>
      <c r="I492" s="15" t="s">
        <v>732</v>
      </c>
      <c r="J492" s="15">
        <v>86</v>
      </c>
      <c r="K492" s="59" t="str">
        <f t="shared" si="7"/>
        <v>A</v>
      </c>
    </row>
    <row r="493" spans="1:11" x14ac:dyDescent="0.3">
      <c r="A493" s="15" t="s">
        <v>926</v>
      </c>
      <c r="B493" s="15" t="s">
        <v>73</v>
      </c>
      <c r="C493" s="15" t="s">
        <v>85</v>
      </c>
      <c r="D493" s="15" t="s">
        <v>13</v>
      </c>
      <c r="E493" s="15">
        <v>14</v>
      </c>
      <c r="F493" s="15">
        <v>9</v>
      </c>
      <c r="G493" s="15" t="s">
        <v>32</v>
      </c>
      <c r="H493" s="15" t="s">
        <v>20</v>
      </c>
      <c r="I493" s="15" t="s">
        <v>927</v>
      </c>
      <c r="J493" s="15">
        <v>94</v>
      </c>
      <c r="K493" s="59" t="str">
        <f t="shared" si="7"/>
        <v>A+</v>
      </c>
    </row>
    <row r="494" spans="1:11" x14ac:dyDescent="0.3">
      <c r="A494" s="15" t="s">
        <v>928</v>
      </c>
      <c r="B494" s="15" t="s">
        <v>23</v>
      </c>
      <c r="C494" s="15" t="s">
        <v>55</v>
      </c>
      <c r="D494" s="15" t="s">
        <v>13</v>
      </c>
      <c r="E494" s="15">
        <v>20</v>
      </c>
      <c r="F494" s="15">
        <v>11</v>
      </c>
      <c r="G494" s="15" t="s">
        <v>14</v>
      </c>
      <c r="H494" s="15" t="s">
        <v>15</v>
      </c>
      <c r="I494" s="15" t="s">
        <v>608</v>
      </c>
      <c r="J494" s="15">
        <v>49</v>
      </c>
      <c r="K494" s="59" t="str">
        <f t="shared" si="7"/>
        <v>D</v>
      </c>
    </row>
    <row r="495" spans="1:11" x14ac:dyDescent="0.3">
      <c r="A495" s="15" t="s">
        <v>929</v>
      </c>
      <c r="B495" s="15" t="s">
        <v>35</v>
      </c>
      <c r="C495" s="15" t="s">
        <v>30</v>
      </c>
      <c r="D495" s="15" t="s">
        <v>13</v>
      </c>
      <c r="E495" s="15">
        <v>15</v>
      </c>
      <c r="F495" s="15">
        <v>12</v>
      </c>
      <c r="G495" s="15" t="s">
        <v>32</v>
      </c>
      <c r="H495" s="15" t="s">
        <v>26</v>
      </c>
      <c r="I495" s="15" t="s">
        <v>262</v>
      </c>
      <c r="J495" s="15">
        <v>55</v>
      </c>
      <c r="K495" s="59" t="str">
        <f t="shared" si="7"/>
        <v>D</v>
      </c>
    </row>
    <row r="496" spans="1:11" x14ac:dyDescent="0.3">
      <c r="A496" s="15" t="s">
        <v>930</v>
      </c>
      <c r="B496" s="15" t="s">
        <v>35</v>
      </c>
      <c r="C496" s="15" t="s">
        <v>96</v>
      </c>
      <c r="D496" s="15" t="s">
        <v>31</v>
      </c>
      <c r="E496" s="15">
        <v>20</v>
      </c>
      <c r="F496" s="15">
        <v>9</v>
      </c>
      <c r="G496" s="15" t="s">
        <v>25</v>
      </c>
      <c r="H496" s="15" t="s">
        <v>61</v>
      </c>
      <c r="I496" s="15" t="s">
        <v>342</v>
      </c>
      <c r="J496" s="15">
        <v>62</v>
      </c>
      <c r="K496" s="59" t="str">
        <f t="shared" si="7"/>
        <v>C</v>
      </c>
    </row>
    <row r="497" spans="1:11" x14ac:dyDescent="0.3">
      <c r="A497" s="15" t="s">
        <v>931</v>
      </c>
      <c r="B497" s="15" t="s">
        <v>23</v>
      </c>
      <c r="C497" s="15" t="s">
        <v>36</v>
      </c>
      <c r="D497" s="15" t="s">
        <v>13</v>
      </c>
      <c r="E497" s="15">
        <v>20</v>
      </c>
      <c r="F497" s="15">
        <v>9</v>
      </c>
      <c r="G497" s="15" t="s">
        <v>43</v>
      </c>
      <c r="H497" s="15" t="s">
        <v>40</v>
      </c>
      <c r="I497" s="15" t="s">
        <v>932</v>
      </c>
      <c r="J497" s="15">
        <v>85</v>
      </c>
      <c r="K497" s="59" t="str">
        <f t="shared" si="7"/>
        <v>A</v>
      </c>
    </row>
    <row r="498" spans="1:11" x14ac:dyDescent="0.3">
      <c r="A498" s="15" t="s">
        <v>933</v>
      </c>
      <c r="B498" s="15" t="s">
        <v>51</v>
      </c>
      <c r="C498" s="15" t="s">
        <v>96</v>
      </c>
      <c r="D498" s="15" t="s">
        <v>13</v>
      </c>
      <c r="E498" s="15">
        <v>20</v>
      </c>
      <c r="F498" s="15">
        <v>11</v>
      </c>
      <c r="G498" s="15" t="s">
        <v>25</v>
      </c>
      <c r="H498" s="15" t="s">
        <v>15</v>
      </c>
      <c r="I498" s="15" t="s">
        <v>494</v>
      </c>
      <c r="J498" s="15">
        <v>42</v>
      </c>
      <c r="K498" s="59" t="str">
        <f t="shared" si="7"/>
        <v>D</v>
      </c>
    </row>
    <row r="499" spans="1:11" x14ac:dyDescent="0.3">
      <c r="A499" s="15" t="s">
        <v>934</v>
      </c>
      <c r="B499" s="15" t="s">
        <v>51</v>
      </c>
      <c r="C499" s="15" t="s">
        <v>58</v>
      </c>
      <c r="D499" s="15" t="s">
        <v>31</v>
      </c>
      <c r="E499" s="15">
        <v>18</v>
      </c>
      <c r="F499" s="15">
        <v>11</v>
      </c>
      <c r="G499" s="15" t="s">
        <v>14</v>
      </c>
      <c r="H499" s="15" t="s">
        <v>37</v>
      </c>
      <c r="I499" s="15" t="s">
        <v>806</v>
      </c>
      <c r="J499" s="15">
        <v>88</v>
      </c>
      <c r="K499" s="59" t="str">
        <f t="shared" si="7"/>
        <v>A</v>
      </c>
    </row>
    <row r="500" spans="1:11" x14ac:dyDescent="0.3">
      <c r="A500" s="15" t="s">
        <v>935</v>
      </c>
      <c r="B500" s="15" t="s">
        <v>18</v>
      </c>
      <c r="C500" s="15" t="s">
        <v>12</v>
      </c>
      <c r="D500" s="15" t="s">
        <v>13</v>
      </c>
      <c r="E500" s="15">
        <v>20</v>
      </c>
      <c r="F500" s="15">
        <v>11</v>
      </c>
      <c r="G500" s="15" t="s">
        <v>43</v>
      </c>
      <c r="H500" s="15" t="s">
        <v>46</v>
      </c>
      <c r="I500" s="15" t="s">
        <v>936</v>
      </c>
      <c r="J500" s="15">
        <v>94</v>
      </c>
      <c r="K500" s="59" t="str">
        <f t="shared" si="7"/>
        <v>A+</v>
      </c>
    </row>
    <row r="501" spans="1:11" x14ac:dyDescent="0.3">
      <c r="A501" s="15" t="s">
        <v>937</v>
      </c>
      <c r="B501" s="15" t="s">
        <v>73</v>
      </c>
      <c r="C501" s="15" t="s">
        <v>85</v>
      </c>
      <c r="D501" s="15" t="s">
        <v>31</v>
      </c>
      <c r="E501" s="15">
        <v>16</v>
      </c>
      <c r="F501" s="15">
        <v>10</v>
      </c>
      <c r="G501" s="15" t="s">
        <v>25</v>
      </c>
      <c r="H501" s="15" t="s">
        <v>76</v>
      </c>
      <c r="I501" s="15" t="s">
        <v>305</v>
      </c>
      <c r="J501" s="15">
        <v>90</v>
      </c>
      <c r="K501" s="59" t="str">
        <f t="shared" si="7"/>
        <v>A+</v>
      </c>
    </row>
    <row r="502" spans="1:11" x14ac:dyDescent="0.3">
      <c r="A502" s="15" t="s">
        <v>938</v>
      </c>
      <c r="B502" s="15" t="s">
        <v>18</v>
      </c>
      <c r="C502" s="15" t="s">
        <v>58</v>
      </c>
      <c r="D502" s="15" t="s">
        <v>13</v>
      </c>
      <c r="E502" s="15">
        <v>16</v>
      </c>
      <c r="F502" s="15">
        <v>12</v>
      </c>
      <c r="G502" s="15" t="s">
        <v>25</v>
      </c>
      <c r="H502" s="15" t="s">
        <v>26</v>
      </c>
      <c r="I502" s="15" t="s">
        <v>939</v>
      </c>
      <c r="J502" s="15">
        <v>41</v>
      </c>
      <c r="K502" s="59" t="str">
        <f t="shared" si="7"/>
        <v>D</v>
      </c>
    </row>
    <row r="503" spans="1:11" x14ac:dyDescent="0.3">
      <c r="A503" s="15" t="s">
        <v>940</v>
      </c>
      <c r="B503" s="15" t="s">
        <v>51</v>
      </c>
      <c r="C503" s="15" t="s">
        <v>96</v>
      </c>
      <c r="D503" s="15" t="s">
        <v>31</v>
      </c>
      <c r="E503" s="15">
        <v>18</v>
      </c>
      <c r="F503" s="15">
        <v>9</v>
      </c>
      <c r="G503" s="15" t="s">
        <v>43</v>
      </c>
      <c r="H503" s="15" t="s">
        <v>76</v>
      </c>
      <c r="I503" s="15" t="s">
        <v>506</v>
      </c>
      <c r="J503" s="15">
        <v>36</v>
      </c>
      <c r="K503" s="59" t="str">
        <f t="shared" si="7"/>
        <v>Fail</v>
      </c>
    </row>
  </sheetData>
  <mergeCells count="1">
    <mergeCell ref="B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3CE0B-B1A2-4287-9508-7AE02F5017CE}">
  <dimension ref="A1:S501"/>
  <sheetViews>
    <sheetView workbookViewId="0">
      <selection activeCell="U16" sqref="U16"/>
    </sheetView>
  </sheetViews>
  <sheetFormatPr defaultRowHeight="14.4" x14ac:dyDescent="0.3"/>
  <cols>
    <col min="1" max="2" width="10.44140625" bestFit="1" customWidth="1"/>
    <col min="3" max="3" width="10.33203125" bestFit="1" customWidth="1"/>
    <col min="4" max="4" width="7.109375" bestFit="1" customWidth="1"/>
    <col min="5" max="5" width="4.21875" bestFit="1" customWidth="1"/>
    <col min="6" max="6" width="5.109375" bestFit="1" customWidth="1"/>
    <col min="7" max="7" width="7.21875" bestFit="1" customWidth="1"/>
    <col min="8" max="8" width="9.77734375" bestFit="1" customWidth="1"/>
    <col min="9" max="9" width="14.6640625" bestFit="1" customWidth="1"/>
    <col min="10" max="10" width="6.21875" bestFit="1" customWidth="1"/>
    <col min="12" max="12" width="3.6640625" bestFit="1" customWidth="1"/>
    <col min="13" max="13" width="15.77734375" bestFit="1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/>
    </row>
    <row r="2" spans="1:19" x14ac:dyDescent="0.3">
      <c r="A2" s="2" t="s">
        <v>10</v>
      </c>
      <c r="B2" s="2" t="s">
        <v>11</v>
      </c>
      <c r="C2" s="2" t="s">
        <v>12</v>
      </c>
      <c r="D2" s="2" t="s">
        <v>13</v>
      </c>
      <c r="E2" s="2">
        <v>16</v>
      </c>
      <c r="F2" s="2">
        <v>10</v>
      </c>
      <c r="G2" s="2" t="s">
        <v>14</v>
      </c>
      <c r="H2" s="2" t="s">
        <v>15</v>
      </c>
      <c r="I2" s="2" t="s">
        <v>16</v>
      </c>
      <c r="J2" s="2">
        <v>37</v>
      </c>
    </row>
    <row r="3" spans="1:19" ht="18" x14ac:dyDescent="0.35">
      <c r="A3" s="2" t="s">
        <v>17</v>
      </c>
      <c r="B3" s="2" t="s">
        <v>18</v>
      </c>
      <c r="C3" s="2" t="s">
        <v>19</v>
      </c>
      <c r="D3" s="2" t="s">
        <v>13</v>
      </c>
      <c r="E3" s="2">
        <v>15</v>
      </c>
      <c r="F3" s="2">
        <v>12</v>
      </c>
      <c r="G3" s="2" t="s">
        <v>14</v>
      </c>
      <c r="H3" s="2" t="s">
        <v>20</v>
      </c>
      <c r="I3" s="2" t="s">
        <v>21</v>
      </c>
      <c r="J3" s="2">
        <v>98</v>
      </c>
      <c r="L3" s="16">
        <v>19</v>
      </c>
      <c r="M3" s="29" t="s">
        <v>975</v>
      </c>
      <c r="N3" s="29"/>
      <c r="O3" s="29"/>
      <c r="P3" s="29"/>
      <c r="Q3" s="29"/>
      <c r="R3" s="29"/>
      <c r="S3" s="29"/>
    </row>
    <row r="4" spans="1:19" ht="18" x14ac:dyDescent="0.35">
      <c r="A4" s="2" t="s">
        <v>22</v>
      </c>
      <c r="B4" s="2" t="s">
        <v>23</v>
      </c>
      <c r="C4" s="2" t="s">
        <v>24</v>
      </c>
      <c r="D4" s="2" t="s">
        <v>13</v>
      </c>
      <c r="E4" s="2">
        <v>14</v>
      </c>
      <c r="F4" s="2">
        <v>12</v>
      </c>
      <c r="G4" s="2" t="s">
        <v>25</v>
      </c>
      <c r="H4" s="2" t="s">
        <v>26</v>
      </c>
      <c r="I4" s="2" t="s">
        <v>27</v>
      </c>
      <c r="J4" s="2">
        <v>38</v>
      </c>
      <c r="L4" s="25"/>
      <c r="M4" s="18">
        <f>COUNTIF($H$2:$H$501,"Kolkata")</f>
        <v>57</v>
      </c>
      <c r="N4" s="25"/>
      <c r="O4" s="25"/>
      <c r="P4" s="25"/>
      <c r="Q4" s="25"/>
      <c r="R4" s="25"/>
      <c r="S4" s="25"/>
    </row>
    <row r="5" spans="1:19" x14ac:dyDescent="0.3">
      <c r="A5" s="2" t="s">
        <v>28</v>
      </c>
      <c r="B5" s="2" t="s">
        <v>29</v>
      </c>
      <c r="C5" s="2" t="s">
        <v>30</v>
      </c>
      <c r="D5" s="2" t="s">
        <v>31</v>
      </c>
      <c r="E5" s="2">
        <v>20</v>
      </c>
      <c r="F5" s="2">
        <v>9</v>
      </c>
      <c r="G5" s="2" t="s">
        <v>32</v>
      </c>
      <c r="H5" s="2" t="s">
        <v>26</v>
      </c>
      <c r="I5" s="2" t="s">
        <v>33</v>
      </c>
      <c r="J5" s="2">
        <v>84</v>
      </c>
    </row>
    <row r="6" spans="1:19" ht="18" x14ac:dyDescent="0.35">
      <c r="A6" s="2" t="s">
        <v>34</v>
      </c>
      <c r="B6" s="2" t="s">
        <v>35</v>
      </c>
      <c r="C6" s="2" t="s">
        <v>36</v>
      </c>
      <c r="D6" s="2" t="s">
        <v>31</v>
      </c>
      <c r="E6" s="2">
        <v>17</v>
      </c>
      <c r="F6" s="2">
        <v>10</v>
      </c>
      <c r="G6" s="2" t="s">
        <v>32</v>
      </c>
      <c r="H6" s="2" t="s">
        <v>37</v>
      </c>
      <c r="I6" s="2" t="s">
        <v>38</v>
      </c>
      <c r="J6" s="2">
        <v>45</v>
      </c>
      <c r="L6" s="16">
        <v>20</v>
      </c>
      <c r="M6" s="29" t="s">
        <v>976</v>
      </c>
      <c r="N6" s="29"/>
      <c r="O6" s="29"/>
      <c r="P6" s="29"/>
      <c r="Q6" s="29"/>
      <c r="R6" s="29"/>
      <c r="S6" s="29"/>
    </row>
    <row r="7" spans="1:19" ht="18" x14ac:dyDescent="0.35">
      <c r="A7" s="2" t="s">
        <v>39</v>
      </c>
      <c r="B7" s="2" t="s">
        <v>11</v>
      </c>
      <c r="C7" s="2" t="s">
        <v>12</v>
      </c>
      <c r="D7" s="2" t="s">
        <v>31</v>
      </c>
      <c r="E7" s="2">
        <v>19</v>
      </c>
      <c r="F7" s="2">
        <v>10</v>
      </c>
      <c r="G7" s="2" t="s">
        <v>14</v>
      </c>
      <c r="H7" s="2" t="s">
        <v>40</v>
      </c>
      <c r="I7" s="2" t="s">
        <v>41</v>
      </c>
      <c r="J7" s="2">
        <v>36</v>
      </c>
      <c r="L7" s="25"/>
      <c r="M7" s="18">
        <f>COUNTIF($J$2:$J$501,"&gt;80")</f>
        <v>150</v>
      </c>
      <c r="N7" s="25"/>
      <c r="O7" s="25"/>
      <c r="P7" s="25"/>
      <c r="Q7" s="25"/>
      <c r="R7" s="25"/>
      <c r="S7" s="25"/>
    </row>
    <row r="8" spans="1:19" x14ac:dyDescent="0.3">
      <c r="A8" s="2" t="s">
        <v>42</v>
      </c>
      <c r="B8" s="2" t="s">
        <v>29</v>
      </c>
      <c r="C8" s="2" t="s">
        <v>24</v>
      </c>
      <c r="D8" s="2" t="s">
        <v>31</v>
      </c>
      <c r="E8" s="2">
        <v>20</v>
      </c>
      <c r="F8" s="2">
        <v>9</v>
      </c>
      <c r="G8" s="2" t="s">
        <v>43</v>
      </c>
      <c r="H8" s="2" t="s">
        <v>40</v>
      </c>
      <c r="I8" s="2" t="s">
        <v>44</v>
      </c>
      <c r="J8" s="2">
        <v>88</v>
      </c>
    </row>
    <row r="9" spans="1:19" ht="18" x14ac:dyDescent="0.35">
      <c r="A9" s="2" t="s">
        <v>45</v>
      </c>
      <c r="B9" s="2" t="s">
        <v>35</v>
      </c>
      <c r="C9" s="2" t="s">
        <v>12</v>
      </c>
      <c r="D9" s="2" t="s">
        <v>13</v>
      </c>
      <c r="E9" s="2">
        <v>19</v>
      </c>
      <c r="F9" s="2">
        <v>12</v>
      </c>
      <c r="G9" s="2" t="s">
        <v>32</v>
      </c>
      <c r="H9" s="2" t="s">
        <v>46</v>
      </c>
      <c r="I9" s="2" t="s">
        <v>47</v>
      </c>
      <c r="J9" s="2">
        <v>60</v>
      </c>
      <c r="L9" s="16">
        <v>21</v>
      </c>
      <c r="M9" s="29" t="s">
        <v>977</v>
      </c>
      <c r="N9" s="29"/>
      <c r="O9" s="29"/>
      <c r="P9" s="29"/>
      <c r="Q9" s="29"/>
      <c r="R9" s="29"/>
      <c r="S9" s="29"/>
    </row>
    <row r="10" spans="1:19" ht="18" x14ac:dyDescent="0.35">
      <c r="A10" s="2" t="s">
        <v>48</v>
      </c>
      <c r="B10" s="2" t="s">
        <v>18</v>
      </c>
      <c r="C10" s="2" t="s">
        <v>30</v>
      </c>
      <c r="D10" s="2" t="s">
        <v>31</v>
      </c>
      <c r="E10" s="2">
        <v>19</v>
      </c>
      <c r="F10" s="2">
        <v>12</v>
      </c>
      <c r="G10" s="2" t="s">
        <v>14</v>
      </c>
      <c r="H10" s="2" t="s">
        <v>46</v>
      </c>
      <c r="I10" s="2" t="s">
        <v>49</v>
      </c>
      <c r="J10" s="2">
        <v>92</v>
      </c>
      <c r="L10" s="25"/>
      <c r="M10" s="18">
        <f>COUNTIFS(D2:D501,"Female",F2:F501,"12")</f>
        <v>72</v>
      </c>
      <c r="N10" s="25"/>
      <c r="O10" s="25"/>
      <c r="P10" s="25"/>
      <c r="Q10" s="25"/>
      <c r="R10" s="25"/>
      <c r="S10" s="25"/>
    </row>
    <row r="11" spans="1:19" x14ac:dyDescent="0.3">
      <c r="A11" s="2" t="s">
        <v>50</v>
      </c>
      <c r="B11" s="2" t="s">
        <v>51</v>
      </c>
      <c r="C11" s="2" t="s">
        <v>24</v>
      </c>
      <c r="D11" s="2" t="s">
        <v>31</v>
      </c>
      <c r="E11" s="2">
        <v>15</v>
      </c>
      <c r="F11" s="2">
        <v>9</v>
      </c>
      <c r="G11" s="2" t="s">
        <v>43</v>
      </c>
      <c r="H11" s="2" t="s">
        <v>15</v>
      </c>
      <c r="I11" s="2" t="s">
        <v>52</v>
      </c>
      <c r="J11" s="2">
        <v>90</v>
      </c>
    </row>
    <row r="12" spans="1:19" ht="18" x14ac:dyDescent="0.35">
      <c r="A12" s="2" t="s">
        <v>53</v>
      </c>
      <c r="B12" s="2" t="s">
        <v>54</v>
      </c>
      <c r="C12" s="2" t="s">
        <v>55</v>
      </c>
      <c r="D12" s="2" t="s">
        <v>31</v>
      </c>
      <c r="E12" s="2">
        <v>20</v>
      </c>
      <c r="F12" s="2">
        <v>10</v>
      </c>
      <c r="G12" s="2" t="s">
        <v>25</v>
      </c>
      <c r="H12" s="2" t="s">
        <v>40</v>
      </c>
      <c r="I12" s="2" t="s">
        <v>56</v>
      </c>
      <c r="J12" s="2">
        <v>59</v>
      </c>
      <c r="L12" s="16">
        <v>22</v>
      </c>
      <c r="M12" s="29" t="s">
        <v>978</v>
      </c>
      <c r="N12" s="29"/>
      <c r="O12" s="29"/>
      <c r="P12" s="29"/>
      <c r="Q12" s="29"/>
      <c r="R12" s="29"/>
      <c r="S12" s="29"/>
    </row>
    <row r="13" spans="1:19" ht="18" x14ac:dyDescent="0.35">
      <c r="A13" s="2" t="s">
        <v>57</v>
      </c>
      <c r="B13" s="2" t="s">
        <v>51</v>
      </c>
      <c r="C13" s="2" t="s">
        <v>58</v>
      </c>
      <c r="D13" s="2" t="s">
        <v>13</v>
      </c>
      <c r="E13" s="2">
        <v>14</v>
      </c>
      <c r="F13" s="2">
        <v>12</v>
      </c>
      <c r="G13" s="2" t="s">
        <v>32</v>
      </c>
      <c r="H13" s="2" t="s">
        <v>40</v>
      </c>
      <c r="I13" s="2" t="s">
        <v>59</v>
      </c>
      <c r="J13" s="2">
        <v>43</v>
      </c>
      <c r="L13" s="25"/>
      <c r="M13" s="18">
        <f>COUNTIFS(D2:D501,"Male",H2:H501,"Delhi",J2:J501,"&gt;70")</f>
        <v>17</v>
      </c>
      <c r="N13" s="25"/>
      <c r="O13" s="25"/>
      <c r="P13" s="25"/>
      <c r="Q13" s="25"/>
      <c r="R13" s="25"/>
      <c r="S13" s="25"/>
    </row>
    <row r="14" spans="1:19" x14ac:dyDescent="0.3">
      <c r="A14" s="2" t="s">
        <v>60</v>
      </c>
      <c r="B14" s="2" t="s">
        <v>35</v>
      </c>
      <c r="C14" s="2" t="s">
        <v>55</v>
      </c>
      <c r="D14" s="2" t="s">
        <v>13</v>
      </c>
      <c r="E14" s="2">
        <v>15</v>
      </c>
      <c r="F14" s="2">
        <v>12</v>
      </c>
      <c r="G14" s="2" t="s">
        <v>14</v>
      </c>
      <c r="H14" s="2" t="s">
        <v>61</v>
      </c>
      <c r="I14" s="2" t="s">
        <v>62</v>
      </c>
      <c r="J14" s="2">
        <v>51</v>
      </c>
    </row>
    <row r="15" spans="1:19" ht="18" x14ac:dyDescent="0.35">
      <c r="A15" s="2" t="s">
        <v>63</v>
      </c>
      <c r="B15" s="2" t="s">
        <v>11</v>
      </c>
      <c r="C15" s="2" t="s">
        <v>55</v>
      </c>
      <c r="D15" s="2" t="s">
        <v>13</v>
      </c>
      <c r="E15" s="2">
        <v>16</v>
      </c>
      <c r="F15" s="2">
        <v>10</v>
      </c>
      <c r="G15" s="2" t="s">
        <v>25</v>
      </c>
      <c r="H15" s="2" t="s">
        <v>26</v>
      </c>
      <c r="I15" s="2" t="s">
        <v>64</v>
      </c>
      <c r="J15" s="2">
        <v>42</v>
      </c>
      <c r="L15" s="16">
        <v>23</v>
      </c>
      <c r="M15" s="29" t="s">
        <v>979</v>
      </c>
      <c r="N15" s="29"/>
      <c r="O15" s="29"/>
      <c r="P15" s="29"/>
      <c r="Q15" s="29"/>
      <c r="R15" s="29"/>
      <c r="S15" s="29"/>
    </row>
    <row r="16" spans="1:19" ht="18" x14ac:dyDescent="0.35">
      <c r="A16" s="2" t="s">
        <v>65</v>
      </c>
      <c r="B16" s="2" t="s">
        <v>23</v>
      </c>
      <c r="C16" s="2" t="s">
        <v>30</v>
      </c>
      <c r="D16" s="2" t="s">
        <v>13</v>
      </c>
      <c r="E16" s="2">
        <v>20</v>
      </c>
      <c r="F16" s="2">
        <v>12</v>
      </c>
      <c r="G16" s="2" t="s">
        <v>14</v>
      </c>
      <c r="H16" s="2" t="s">
        <v>40</v>
      </c>
      <c r="I16" s="2" t="s">
        <v>66</v>
      </c>
      <c r="J16" s="2">
        <v>62</v>
      </c>
      <c r="L16" s="25"/>
      <c r="M16" s="18">
        <f>AVERAGEIF(H2:H501,"Kolkata",J2:J501)</f>
        <v>65.05263157894737</v>
      </c>
      <c r="N16" s="25"/>
      <c r="O16" s="25"/>
      <c r="P16" s="25"/>
      <c r="Q16" s="25"/>
      <c r="R16" s="25"/>
      <c r="S16" s="25"/>
    </row>
    <row r="17" spans="1:19" x14ac:dyDescent="0.3">
      <c r="A17" s="2" t="s">
        <v>67</v>
      </c>
      <c r="B17" s="2" t="s">
        <v>68</v>
      </c>
      <c r="C17" s="2" t="s">
        <v>19</v>
      </c>
      <c r="D17" s="2" t="s">
        <v>13</v>
      </c>
      <c r="E17" s="2">
        <v>20</v>
      </c>
      <c r="F17" s="2">
        <v>9</v>
      </c>
      <c r="G17" s="2" t="s">
        <v>14</v>
      </c>
      <c r="H17" s="2" t="s">
        <v>20</v>
      </c>
      <c r="I17" s="2" t="s">
        <v>69</v>
      </c>
      <c r="J17" s="2">
        <v>55</v>
      </c>
    </row>
    <row r="18" spans="1:19" ht="18" x14ac:dyDescent="0.35">
      <c r="A18" s="2" t="s">
        <v>70</v>
      </c>
      <c r="B18" s="2" t="s">
        <v>51</v>
      </c>
      <c r="C18" s="2" t="s">
        <v>36</v>
      </c>
      <c r="D18" s="2" t="s">
        <v>13</v>
      </c>
      <c r="E18" s="2">
        <v>14</v>
      </c>
      <c r="F18" s="2">
        <v>12</v>
      </c>
      <c r="G18" s="2" t="s">
        <v>25</v>
      </c>
      <c r="H18" s="2" t="s">
        <v>37</v>
      </c>
      <c r="I18" s="2" t="s">
        <v>71</v>
      </c>
      <c r="J18" s="2">
        <v>42</v>
      </c>
      <c r="L18" s="16">
        <v>24</v>
      </c>
      <c r="M18" s="29" t="s">
        <v>956</v>
      </c>
      <c r="N18" s="29"/>
      <c r="O18" s="29"/>
      <c r="P18" s="29"/>
      <c r="Q18" s="29"/>
      <c r="R18" s="29"/>
      <c r="S18" s="29"/>
    </row>
    <row r="19" spans="1:19" ht="18" x14ac:dyDescent="0.35">
      <c r="A19" s="2" t="s">
        <v>72</v>
      </c>
      <c r="B19" s="2" t="s">
        <v>73</v>
      </c>
      <c r="C19" s="2" t="s">
        <v>58</v>
      </c>
      <c r="D19" s="2" t="s">
        <v>31</v>
      </c>
      <c r="E19" s="2">
        <v>19</v>
      </c>
      <c r="F19" s="2">
        <v>9</v>
      </c>
      <c r="G19" s="2" t="s">
        <v>32</v>
      </c>
      <c r="H19" s="2" t="s">
        <v>46</v>
      </c>
      <c r="I19" s="2" t="s">
        <v>74</v>
      </c>
      <c r="J19" s="2">
        <v>76</v>
      </c>
      <c r="L19" s="25"/>
      <c r="M19" s="18">
        <f>AVERAGEIF(D2:D501,"Female",J2:J501)</f>
        <v>66.12177121771218</v>
      </c>
      <c r="N19" s="25"/>
      <c r="O19" s="25"/>
      <c r="P19" s="25"/>
      <c r="Q19" s="25"/>
      <c r="R19" s="25"/>
      <c r="S19" s="25"/>
    </row>
    <row r="20" spans="1:19" x14ac:dyDescent="0.3">
      <c r="A20" s="2" t="s">
        <v>75</v>
      </c>
      <c r="B20" s="2" t="s">
        <v>29</v>
      </c>
      <c r="C20" s="2" t="s">
        <v>58</v>
      </c>
      <c r="D20" s="2" t="s">
        <v>31</v>
      </c>
      <c r="E20" s="2">
        <v>17</v>
      </c>
      <c r="F20" s="2">
        <v>12</v>
      </c>
      <c r="G20" s="2" t="s">
        <v>32</v>
      </c>
      <c r="H20" s="2" t="s">
        <v>76</v>
      </c>
      <c r="I20" s="2" t="s">
        <v>77</v>
      </c>
      <c r="J20" s="2">
        <v>66</v>
      </c>
    </row>
    <row r="21" spans="1:19" ht="18" x14ac:dyDescent="0.35">
      <c r="A21" s="2" t="s">
        <v>78</v>
      </c>
      <c r="B21" s="2" t="s">
        <v>68</v>
      </c>
      <c r="C21" s="2" t="s">
        <v>79</v>
      </c>
      <c r="D21" s="2" t="s">
        <v>31</v>
      </c>
      <c r="E21" s="2">
        <v>15</v>
      </c>
      <c r="F21" s="2">
        <v>10</v>
      </c>
      <c r="G21" s="2" t="s">
        <v>14</v>
      </c>
      <c r="H21" s="2" t="s">
        <v>20</v>
      </c>
      <c r="I21" s="2" t="s">
        <v>80</v>
      </c>
      <c r="J21" s="2">
        <v>59</v>
      </c>
      <c r="L21" s="16">
        <v>25</v>
      </c>
      <c r="M21" s="29" t="s">
        <v>957</v>
      </c>
      <c r="N21" s="29"/>
      <c r="O21" s="29"/>
      <c r="P21" s="29"/>
      <c r="Q21" s="29"/>
      <c r="R21" s="29"/>
      <c r="S21" s="29"/>
    </row>
    <row r="22" spans="1:19" ht="18" x14ac:dyDescent="0.35">
      <c r="A22" s="2" t="s">
        <v>81</v>
      </c>
      <c r="B22" s="2" t="s">
        <v>29</v>
      </c>
      <c r="C22" s="2" t="s">
        <v>58</v>
      </c>
      <c r="D22" s="2" t="s">
        <v>31</v>
      </c>
      <c r="E22" s="2">
        <v>19</v>
      </c>
      <c r="F22" s="2">
        <v>9</v>
      </c>
      <c r="G22" s="2" t="s">
        <v>14</v>
      </c>
      <c r="H22" s="2" t="s">
        <v>61</v>
      </c>
      <c r="I22" s="2" t="s">
        <v>82</v>
      </c>
      <c r="J22" s="2">
        <v>50</v>
      </c>
      <c r="L22" s="25"/>
      <c r="M22" s="18">
        <f>SUMIF(F2:F501,"10",J2:J501)</f>
        <v>7624</v>
      </c>
      <c r="N22" s="25"/>
      <c r="O22" s="25"/>
      <c r="P22" s="25"/>
      <c r="Q22" s="25"/>
      <c r="R22" s="25"/>
      <c r="S22" s="25"/>
    </row>
    <row r="23" spans="1:19" x14ac:dyDescent="0.3">
      <c r="A23" s="2" t="s">
        <v>83</v>
      </c>
      <c r="B23" s="2" t="s">
        <v>84</v>
      </c>
      <c r="C23" s="2" t="s">
        <v>85</v>
      </c>
      <c r="D23" s="2" t="s">
        <v>31</v>
      </c>
      <c r="E23" s="2">
        <v>16</v>
      </c>
      <c r="F23" s="2">
        <v>9</v>
      </c>
      <c r="G23" s="2" t="s">
        <v>43</v>
      </c>
      <c r="H23" s="2" t="s">
        <v>37</v>
      </c>
      <c r="I23" s="2" t="s">
        <v>86</v>
      </c>
      <c r="J23" s="2">
        <v>52</v>
      </c>
    </row>
    <row r="24" spans="1:19" ht="18" x14ac:dyDescent="0.35">
      <c r="A24" s="2" t="s">
        <v>87</v>
      </c>
      <c r="B24" s="2" t="s">
        <v>18</v>
      </c>
      <c r="C24" s="2" t="s">
        <v>12</v>
      </c>
      <c r="D24" s="2" t="s">
        <v>13</v>
      </c>
      <c r="E24" s="2">
        <v>20</v>
      </c>
      <c r="F24" s="2">
        <v>12</v>
      </c>
      <c r="G24" s="2" t="s">
        <v>32</v>
      </c>
      <c r="H24" s="2" t="s">
        <v>26</v>
      </c>
      <c r="I24" s="2" t="s">
        <v>88</v>
      </c>
      <c r="J24" s="2">
        <v>86</v>
      </c>
      <c r="L24" s="16">
        <v>26</v>
      </c>
      <c r="M24" s="29" t="s">
        <v>958</v>
      </c>
      <c r="N24" s="29"/>
      <c r="O24" s="29"/>
      <c r="P24" s="29"/>
      <c r="Q24" s="29"/>
      <c r="R24" s="29"/>
      <c r="S24" s="29"/>
    </row>
    <row r="25" spans="1:19" ht="18" x14ac:dyDescent="0.35">
      <c r="A25" s="2" t="s">
        <v>89</v>
      </c>
      <c r="B25" s="2" t="s">
        <v>68</v>
      </c>
      <c r="C25" s="2" t="s">
        <v>85</v>
      </c>
      <c r="D25" s="2" t="s">
        <v>31</v>
      </c>
      <c r="E25" s="2">
        <v>16</v>
      </c>
      <c r="F25" s="2">
        <v>9</v>
      </c>
      <c r="G25" s="2" t="s">
        <v>43</v>
      </c>
      <c r="H25" s="2" t="s">
        <v>20</v>
      </c>
      <c r="I25" s="2" t="s">
        <v>90</v>
      </c>
      <c r="J25" s="2">
        <v>52</v>
      </c>
      <c r="L25" s="25"/>
      <c r="M25" s="18">
        <f>AVERAGEIF(H2:H501,"Mumbai",E2:E501)</f>
        <v>17.159420289855074</v>
      </c>
      <c r="N25" s="25"/>
      <c r="O25" s="25"/>
      <c r="P25" s="25"/>
      <c r="Q25" s="25"/>
      <c r="R25" s="25"/>
      <c r="S25" s="25"/>
    </row>
    <row r="26" spans="1:19" x14ac:dyDescent="0.3">
      <c r="A26" s="2" t="s">
        <v>91</v>
      </c>
      <c r="B26" s="2" t="s">
        <v>73</v>
      </c>
      <c r="C26" s="2" t="s">
        <v>12</v>
      </c>
      <c r="D26" s="2" t="s">
        <v>13</v>
      </c>
      <c r="E26" s="2">
        <v>20</v>
      </c>
      <c r="F26" s="2">
        <v>10</v>
      </c>
      <c r="G26" s="2" t="s">
        <v>43</v>
      </c>
      <c r="H26" s="2" t="s">
        <v>46</v>
      </c>
      <c r="I26" s="2" t="s">
        <v>92</v>
      </c>
      <c r="J26" s="2">
        <v>82</v>
      </c>
    </row>
    <row r="27" spans="1:19" x14ac:dyDescent="0.3">
      <c r="A27" s="2" t="s">
        <v>93</v>
      </c>
      <c r="B27" s="2" t="s">
        <v>29</v>
      </c>
      <c r="C27" s="2" t="s">
        <v>24</v>
      </c>
      <c r="D27" s="2" t="s">
        <v>31</v>
      </c>
      <c r="E27" s="2">
        <v>14</v>
      </c>
      <c r="F27" s="2">
        <v>12</v>
      </c>
      <c r="G27" s="2" t="s">
        <v>32</v>
      </c>
      <c r="H27" s="2" t="s">
        <v>61</v>
      </c>
      <c r="I27" s="2" t="s">
        <v>94</v>
      </c>
      <c r="J27" s="2">
        <v>72</v>
      </c>
    </row>
    <row r="28" spans="1:19" x14ac:dyDescent="0.3">
      <c r="A28" s="2" t="s">
        <v>95</v>
      </c>
      <c r="B28" s="2" t="s">
        <v>18</v>
      </c>
      <c r="C28" s="2" t="s">
        <v>96</v>
      </c>
      <c r="D28" s="2" t="s">
        <v>13</v>
      </c>
      <c r="E28" s="2">
        <v>19</v>
      </c>
      <c r="F28" s="2">
        <v>12</v>
      </c>
      <c r="G28" s="2" t="s">
        <v>14</v>
      </c>
      <c r="H28" s="2" t="s">
        <v>15</v>
      </c>
      <c r="I28" s="2" t="s">
        <v>97</v>
      </c>
      <c r="J28" s="2">
        <v>56</v>
      </c>
    </row>
    <row r="29" spans="1:19" x14ac:dyDescent="0.3">
      <c r="A29" s="2" t="s">
        <v>98</v>
      </c>
      <c r="B29" s="2" t="s">
        <v>68</v>
      </c>
      <c r="C29" s="2" t="s">
        <v>55</v>
      </c>
      <c r="D29" s="2" t="s">
        <v>13</v>
      </c>
      <c r="E29" s="2">
        <v>19</v>
      </c>
      <c r="F29" s="2">
        <v>11</v>
      </c>
      <c r="G29" s="2" t="s">
        <v>43</v>
      </c>
      <c r="H29" s="2" t="s">
        <v>15</v>
      </c>
      <c r="I29" s="2" t="s">
        <v>99</v>
      </c>
      <c r="J29" s="2">
        <v>56</v>
      </c>
    </row>
    <row r="30" spans="1:19" x14ac:dyDescent="0.3">
      <c r="A30" s="2" t="s">
        <v>100</v>
      </c>
      <c r="B30" s="2" t="s">
        <v>35</v>
      </c>
      <c r="C30" s="2" t="s">
        <v>12</v>
      </c>
      <c r="D30" s="2" t="s">
        <v>31</v>
      </c>
      <c r="E30" s="2">
        <v>19</v>
      </c>
      <c r="F30" s="2">
        <v>12</v>
      </c>
      <c r="G30" s="2" t="s">
        <v>25</v>
      </c>
      <c r="H30" s="2" t="s">
        <v>76</v>
      </c>
      <c r="I30" s="2" t="s">
        <v>101</v>
      </c>
      <c r="J30" s="2">
        <v>54</v>
      </c>
    </row>
    <row r="31" spans="1:19" x14ac:dyDescent="0.3">
      <c r="A31" s="2" t="s">
        <v>102</v>
      </c>
      <c r="B31" s="2" t="s">
        <v>35</v>
      </c>
      <c r="C31" s="2" t="s">
        <v>12</v>
      </c>
      <c r="D31" s="2" t="s">
        <v>13</v>
      </c>
      <c r="E31" s="2">
        <v>20</v>
      </c>
      <c r="F31" s="2">
        <v>11</v>
      </c>
      <c r="G31" s="2" t="s">
        <v>14</v>
      </c>
      <c r="H31" s="2" t="s">
        <v>26</v>
      </c>
      <c r="I31" s="2" t="s">
        <v>103</v>
      </c>
      <c r="J31" s="2">
        <v>70</v>
      </c>
    </row>
    <row r="32" spans="1:19" x14ac:dyDescent="0.3">
      <c r="A32" s="2" t="s">
        <v>104</v>
      </c>
      <c r="B32" s="2" t="s">
        <v>29</v>
      </c>
      <c r="C32" s="2" t="s">
        <v>79</v>
      </c>
      <c r="D32" s="2" t="s">
        <v>31</v>
      </c>
      <c r="E32" s="2">
        <v>18</v>
      </c>
      <c r="F32" s="2">
        <v>10</v>
      </c>
      <c r="G32" s="2" t="s">
        <v>25</v>
      </c>
      <c r="H32" s="2" t="s">
        <v>61</v>
      </c>
      <c r="I32" s="2" t="s">
        <v>105</v>
      </c>
      <c r="J32" s="2">
        <v>57</v>
      </c>
    </row>
    <row r="33" spans="1:10" x14ac:dyDescent="0.3">
      <c r="A33" s="2" t="s">
        <v>106</v>
      </c>
      <c r="B33" s="2" t="s">
        <v>51</v>
      </c>
      <c r="C33" s="2" t="s">
        <v>55</v>
      </c>
      <c r="D33" s="2" t="s">
        <v>13</v>
      </c>
      <c r="E33" s="2">
        <v>20</v>
      </c>
      <c r="F33" s="2">
        <v>9</v>
      </c>
      <c r="G33" s="2" t="s">
        <v>32</v>
      </c>
      <c r="H33" s="2" t="s">
        <v>26</v>
      </c>
      <c r="I33" s="2" t="s">
        <v>107</v>
      </c>
      <c r="J33" s="2">
        <v>91</v>
      </c>
    </row>
    <row r="34" spans="1:10" x14ac:dyDescent="0.3">
      <c r="A34" s="2" t="s">
        <v>108</v>
      </c>
      <c r="B34" s="2" t="s">
        <v>29</v>
      </c>
      <c r="C34" s="2" t="s">
        <v>96</v>
      </c>
      <c r="D34" s="2" t="s">
        <v>31</v>
      </c>
      <c r="E34" s="2">
        <v>15</v>
      </c>
      <c r="F34" s="2">
        <v>11</v>
      </c>
      <c r="G34" s="2" t="s">
        <v>43</v>
      </c>
      <c r="H34" s="2" t="s">
        <v>26</v>
      </c>
      <c r="I34" s="2" t="s">
        <v>109</v>
      </c>
      <c r="J34" s="2">
        <v>77</v>
      </c>
    </row>
    <row r="35" spans="1:10" x14ac:dyDescent="0.3">
      <c r="A35" s="2" t="s">
        <v>110</v>
      </c>
      <c r="B35" s="2" t="s">
        <v>51</v>
      </c>
      <c r="C35" s="2" t="s">
        <v>58</v>
      </c>
      <c r="D35" s="2" t="s">
        <v>31</v>
      </c>
      <c r="E35" s="2">
        <v>14</v>
      </c>
      <c r="F35" s="2">
        <v>10</v>
      </c>
      <c r="G35" s="2" t="s">
        <v>32</v>
      </c>
      <c r="H35" s="2" t="s">
        <v>76</v>
      </c>
      <c r="I35" s="2" t="s">
        <v>111</v>
      </c>
      <c r="J35" s="2">
        <v>60</v>
      </c>
    </row>
    <row r="36" spans="1:10" x14ac:dyDescent="0.3">
      <c r="A36" s="2" t="s">
        <v>112</v>
      </c>
      <c r="B36" s="2" t="s">
        <v>73</v>
      </c>
      <c r="C36" s="2" t="s">
        <v>30</v>
      </c>
      <c r="D36" s="2" t="s">
        <v>13</v>
      </c>
      <c r="E36" s="2">
        <v>15</v>
      </c>
      <c r="F36" s="2">
        <v>9</v>
      </c>
      <c r="G36" s="2" t="s">
        <v>14</v>
      </c>
      <c r="H36" s="2" t="s">
        <v>26</v>
      </c>
      <c r="I36" s="2" t="s">
        <v>113</v>
      </c>
      <c r="J36" s="2">
        <v>58</v>
      </c>
    </row>
    <row r="37" spans="1:10" x14ac:dyDescent="0.3">
      <c r="A37" s="2" t="s">
        <v>114</v>
      </c>
      <c r="B37" s="2" t="s">
        <v>73</v>
      </c>
      <c r="C37" s="2" t="s">
        <v>58</v>
      </c>
      <c r="D37" s="2" t="s">
        <v>13</v>
      </c>
      <c r="E37" s="2">
        <v>20</v>
      </c>
      <c r="F37" s="2">
        <v>9</v>
      </c>
      <c r="G37" s="2" t="s">
        <v>25</v>
      </c>
      <c r="H37" s="2" t="s">
        <v>46</v>
      </c>
      <c r="I37" s="2" t="s">
        <v>115</v>
      </c>
      <c r="J37" s="2">
        <v>40</v>
      </c>
    </row>
    <row r="38" spans="1:10" x14ac:dyDescent="0.3">
      <c r="A38" s="2" t="s">
        <v>116</v>
      </c>
      <c r="B38" s="2" t="s">
        <v>84</v>
      </c>
      <c r="C38" s="2" t="s">
        <v>19</v>
      </c>
      <c r="D38" s="2" t="s">
        <v>13</v>
      </c>
      <c r="E38" s="2">
        <v>19</v>
      </c>
      <c r="F38" s="2">
        <v>12</v>
      </c>
      <c r="G38" s="2" t="s">
        <v>14</v>
      </c>
      <c r="H38" s="2" t="s">
        <v>20</v>
      </c>
      <c r="I38" s="2" t="s">
        <v>117</v>
      </c>
      <c r="J38" s="2">
        <v>56</v>
      </c>
    </row>
    <row r="39" spans="1:10" x14ac:dyDescent="0.3">
      <c r="A39" s="2" t="s">
        <v>118</v>
      </c>
      <c r="B39" s="2" t="s">
        <v>84</v>
      </c>
      <c r="C39" s="2" t="s">
        <v>58</v>
      </c>
      <c r="D39" s="2" t="s">
        <v>31</v>
      </c>
      <c r="E39" s="2">
        <v>20</v>
      </c>
      <c r="F39" s="2">
        <v>10</v>
      </c>
      <c r="G39" s="2" t="s">
        <v>32</v>
      </c>
      <c r="H39" s="2" t="s">
        <v>26</v>
      </c>
      <c r="I39" s="2" t="s">
        <v>119</v>
      </c>
      <c r="J39" s="2">
        <v>52</v>
      </c>
    </row>
    <row r="40" spans="1:10" x14ac:dyDescent="0.3">
      <c r="A40" s="2" t="s">
        <v>120</v>
      </c>
      <c r="B40" s="2" t="s">
        <v>35</v>
      </c>
      <c r="C40" s="2" t="s">
        <v>36</v>
      </c>
      <c r="D40" s="2" t="s">
        <v>31</v>
      </c>
      <c r="E40" s="2">
        <v>20</v>
      </c>
      <c r="F40" s="2">
        <v>10</v>
      </c>
      <c r="G40" s="2" t="s">
        <v>43</v>
      </c>
      <c r="H40" s="2" t="s">
        <v>61</v>
      </c>
      <c r="I40" s="2" t="s">
        <v>121</v>
      </c>
      <c r="J40" s="2">
        <v>37</v>
      </c>
    </row>
    <row r="41" spans="1:10" x14ac:dyDescent="0.3">
      <c r="A41" s="2" t="s">
        <v>122</v>
      </c>
      <c r="B41" s="2" t="s">
        <v>18</v>
      </c>
      <c r="C41" s="2" t="s">
        <v>19</v>
      </c>
      <c r="D41" s="2" t="s">
        <v>13</v>
      </c>
      <c r="E41" s="2">
        <v>15</v>
      </c>
      <c r="F41" s="2">
        <v>10</v>
      </c>
      <c r="G41" s="2" t="s">
        <v>32</v>
      </c>
      <c r="H41" s="2" t="s">
        <v>20</v>
      </c>
      <c r="I41" s="2" t="s">
        <v>123</v>
      </c>
      <c r="J41" s="2">
        <v>51</v>
      </c>
    </row>
    <row r="42" spans="1:10" x14ac:dyDescent="0.3">
      <c r="A42" s="2" t="s">
        <v>124</v>
      </c>
      <c r="B42" s="2" t="s">
        <v>68</v>
      </c>
      <c r="C42" s="2" t="s">
        <v>36</v>
      </c>
      <c r="D42" s="2" t="s">
        <v>13</v>
      </c>
      <c r="E42" s="2">
        <v>18</v>
      </c>
      <c r="F42" s="2">
        <v>10</v>
      </c>
      <c r="G42" s="2" t="s">
        <v>43</v>
      </c>
      <c r="H42" s="2" t="s">
        <v>20</v>
      </c>
      <c r="I42" s="2" t="s">
        <v>125</v>
      </c>
      <c r="J42" s="2">
        <v>66</v>
      </c>
    </row>
    <row r="43" spans="1:10" x14ac:dyDescent="0.3">
      <c r="A43" s="2" t="s">
        <v>126</v>
      </c>
      <c r="B43" s="2" t="s">
        <v>18</v>
      </c>
      <c r="C43" s="2" t="s">
        <v>24</v>
      </c>
      <c r="D43" s="2" t="s">
        <v>13</v>
      </c>
      <c r="E43" s="2">
        <v>15</v>
      </c>
      <c r="F43" s="2">
        <v>9</v>
      </c>
      <c r="G43" s="2" t="s">
        <v>25</v>
      </c>
      <c r="H43" s="2" t="s">
        <v>76</v>
      </c>
      <c r="I43" s="2" t="s">
        <v>127</v>
      </c>
      <c r="J43" s="2">
        <v>59</v>
      </c>
    </row>
    <row r="44" spans="1:10" x14ac:dyDescent="0.3">
      <c r="A44" s="2" t="s">
        <v>128</v>
      </c>
      <c r="B44" s="2" t="s">
        <v>11</v>
      </c>
      <c r="C44" s="2" t="s">
        <v>24</v>
      </c>
      <c r="D44" s="2" t="s">
        <v>31</v>
      </c>
      <c r="E44" s="2">
        <v>17</v>
      </c>
      <c r="F44" s="2">
        <v>12</v>
      </c>
      <c r="G44" s="2" t="s">
        <v>32</v>
      </c>
      <c r="H44" s="2" t="s">
        <v>15</v>
      </c>
      <c r="I44" s="2" t="s">
        <v>129</v>
      </c>
      <c r="J44" s="2">
        <v>68</v>
      </c>
    </row>
    <row r="45" spans="1:10" x14ac:dyDescent="0.3">
      <c r="A45" s="2" t="s">
        <v>130</v>
      </c>
      <c r="B45" s="2" t="s">
        <v>73</v>
      </c>
      <c r="C45" s="2" t="s">
        <v>30</v>
      </c>
      <c r="D45" s="2" t="s">
        <v>13</v>
      </c>
      <c r="E45" s="2">
        <v>17</v>
      </c>
      <c r="F45" s="2">
        <v>12</v>
      </c>
      <c r="G45" s="2" t="s">
        <v>25</v>
      </c>
      <c r="H45" s="2" t="s">
        <v>40</v>
      </c>
      <c r="I45" s="2" t="s">
        <v>131</v>
      </c>
      <c r="J45" s="2">
        <v>82</v>
      </c>
    </row>
    <row r="46" spans="1:10" x14ac:dyDescent="0.3">
      <c r="A46" s="2" t="s">
        <v>132</v>
      </c>
      <c r="B46" s="2" t="s">
        <v>29</v>
      </c>
      <c r="C46" s="2" t="s">
        <v>12</v>
      </c>
      <c r="D46" s="2" t="s">
        <v>13</v>
      </c>
      <c r="E46" s="2">
        <v>17</v>
      </c>
      <c r="F46" s="2">
        <v>10</v>
      </c>
      <c r="G46" s="2" t="s">
        <v>25</v>
      </c>
      <c r="H46" s="2" t="s">
        <v>37</v>
      </c>
      <c r="I46" s="2" t="s">
        <v>133</v>
      </c>
      <c r="J46" s="2">
        <v>88</v>
      </c>
    </row>
    <row r="47" spans="1:10" x14ac:dyDescent="0.3">
      <c r="A47" s="2" t="s">
        <v>134</v>
      </c>
      <c r="B47" s="2" t="s">
        <v>23</v>
      </c>
      <c r="C47" s="2" t="s">
        <v>30</v>
      </c>
      <c r="D47" s="2" t="s">
        <v>31</v>
      </c>
      <c r="E47" s="2">
        <v>20</v>
      </c>
      <c r="F47" s="2">
        <v>9</v>
      </c>
      <c r="G47" s="2" t="s">
        <v>14</v>
      </c>
      <c r="H47" s="2" t="s">
        <v>15</v>
      </c>
      <c r="I47" s="2" t="s">
        <v>135</v>
      </c>
      <c r="J47" s="2">
        <v>50</v>
      </c>
    </row>
    <row r="48" spans="1:10" x14ac:dyDescent="0.3">
      <c r="A48" s="2" t="s">
        <v>136</v>
      </c>
      <c r="B48" s="2" t="s">
        <v>11</v>
      </c>
      <c r="C48" s="2" t="s">
        <v>79</v>
      </c>
      <c r="D48" s="2" t="s">
        <v>13</v>
      </c>
      <c r="E48" s="2">
        <v>14</v>
      </c>
      <c r="F48" s="2">
        <v>10</v>
      </c>
      <c r="G48" s="2" t="s">
        <v>43</v>
      </c>
      <c r="H48" s="2" t="s">
        <v>61</v>
      </c>
      <c r="I48" s="2" t="s">
        <v>137</v>
      </c>
      <c r="J48" s="2">
        <v>65</v>
      </c>
    </row>
    <row r="49" spans="1:10" x14ac:dyDescent="0.3">
      <c r="A49" s="2" t="s">
        <v>138</v>
      </c>
      <c r="B49" s="2" t="s">
        <v>51</v>
      </c>
      <c r="C49" s="2" t="s">
        <v>85</v>
      </c>
      <c r="D49" s="2" t="s">
        <v>13</v>
      </c>
      <c r="E49" s="2">
        <v>18</v>
      </c>
      <c r="F49" s="2">
        <v>11</v>
      </c>
      <c r="G49" s="2" t="s">
        <v>43</v>
      </c>
      <c r="H49" s="2" t="s">
        <v>61</v>
      </c>
      <c r="I49" s="2" t="s">
        <v>139</v>
      </c>
      <c r="J49" s="2">
        <v>100</v>
      </c>
    </row>
    <row r="50" spans="1:10" x14ac:dyDescent="0.3">
      <c r="A50" s="2" t="s">
        <v>140</v>
      </c>
      <c r="B50" s="2" t="s">
        <v>35</v>
      </c>
      <c r="C50" s="2" t="s">
        <v>30</v>
      </c>
      <c r="D50" s="2" t="s">
        <v>31</v>
      </c>
      <c r="E50" s="2">
        <v>19</v>
      </c>
      <c r="F50" s="2">
        <v>10</v>
      </c>
      <c r="G50" s="2" t="s">
        <v>32</v>
      </c>
      <c r="H50" s="2" t="s">
        <v>76</v>
      </c>
      <c r="I50" s="2" t="s">
        <v>141</v>
      </c>
      <c r="J50" s="2">
        <v>93</v>
      </c>
    </row>
    <row r="51" spans="1:10" x14ac:dyDescent="0.3">
      <c r="A51" s="2" t="s">
        <v>142</v>
      </c>
      <c r="B51" s="2" t="s">
        <v>29</v>
      </c>
      <c r="C51" s="2" t="s">
        <v>96</v>
      </c>
      <c r="D51" s="2" t="s">
        <v>31</v>
      </c>
      <c r="E51" s="2">
        <v>16</v>
      </c>
      <c r="F51" s="2">
        <v>12</v>
      </c>
      <c r="G51" s="2" t="s">
        <v>14</v>
      </c>
      <c r="H51" s="2" t="s">
        <v>37</v>
      </c>
      <c r="I51" s="2" t="s">
        <v>143</v>
      </c>
      <c r="J51" s="2">
        <v>85</v>
      </c>
    </row>
    <row r="52" spans="1:10" x14ac:dyDescent="0.3">
      <c r="A52" s="2" t="s">
        <v>144</v>
      </c>
      <c r="B52" s="2" t="s">
        <v>73</v>
      </c>
      <c r="C52" s="2" t="s">
        <v>12</v>
      </c>
      <c r="D52" s="2" t="s">
        <v>31</v>
      </c>
      <c r="E52" s="2">
        <v>20</v>
      </c>
      <c r="F52" s="2">
        <v>10</v>
      </c>
      <c r="G52" s="2" t="s">
        <v>14</v>
      </c>
      <c r="H52" s="2" t="s">
        <v>26</v>
      </c>
      <c r="I52" s="2" t="s">
        <v>145</v>
      </c>
      <c r="J52" s="2">
        <v>71</v>
      </c>
    </row>
    <row r="53" spans="1:10" x14ac:dyDescent="0.3">
      <c r="A53" s="2" t="s">
        <v>146</v>
      </c>
      <c r="B53" s="2" t="s">
        <v>35</v>
      </c>
      <c r="C53" s="2" t="s">
        <v>30</v>
      </c>
      <c r="D53" s="2" t="s">
        <v>31</v>
      </c>
      <c r="E53" s="2">
        <v>20</v>
      </c>
      <c r="F53" s="2">
        <v>9</v>
      </c>
      <c r="G53" s="2" t="s">
        <v>43</v>
      </c>
      <c r="H53" s="2" t="s">
        <v>15</v>
      </c>
      <c r="I53" s="2" t="s">
        <v>147</v>
      </c>
      <c r="J53" s="2">
        <v>40</v>
      </c>
    </row>
    <row r="54" spans="1:10" x14ac:dyDescent="0.3">
      <c r="A54" s="2" t="s">
        <v>148</v>
      </c>
      <c r="B54" s="2" t="s">
        <v>51</v>
      </c>
      <c r="C54" s="2" t="s">
        <v>96</v>
      </c>
      <c r="D54" s="2" t="s">
        <v>13</v>
      </c>
      <c r="E54" s="2">
        <v>19</v>
      </c>
      <c r="F54" s="2">
        <v>11</v>
      </c>
      <c r="G54" s="2" t="s">
        <v>14</v>
      </c>
      <c r="H54" s="2" t="s">
        <v>76</v>
      </c>
      <c r="I54" s="2" t="s">
        <v>149</v>
      </c>
      <c r="J54" s="2">
        <v>83</v>
      </c>
    </row>
    <row r="55" spans="1:10" x14ac:dyDescent="0.3">
      <c r="A55" s="2" t="s">
        <v>150</v>
      </c>
      <c r="B55" s="2" t="s">
        <v>23</v>
      </c>
      <c r="C55" s="2" t="s">
        <v>55</v>
      </c>
      <c r="D55" s="2" t="s">
        <v>31</v>
      </c>
      <c r="E55" s="2">
        <v>17</v>
      </c>
      <c r="F55" s="2">
        <v>9</v>
      </c>
      <c r="G55" s="2" t="s">
        <v>25</v>
      </c>
      <c r="H55" s="2" t="s">
        <v>20</v>
      </c>
      <c r="I55" s="2" t="s">
        <v>151</v>
      </c>
      <c r="J55" s="2">
        <v>55</v>
      </c>
    </row>
    <row r="56" spans="1:10" x14ac:dyDescent="0.3">
      <c r="A56" s="2" t="s">
        <v>152</v>
      </c>
      <c r="B56" s="2" t="s">
        <v>23</v>
      </c>
      <c r="C56" s="2" t="s">
        <v>55</v>
      </c>
      <c r="D56" s="2" t="s">
        <v>13</v>
      </c>
      <c r="E56" s="2">
        <v>17</v>
      </c>
      <c r="F56" s="2">
        <v>12</v>
      </c>
      <c r="G56" s="2" t="s">
        <v>32</v>
      </c>
      <c r="H56" s="2" t="s">
        <v>46</v>
      </c>
      <c r="I56" s="2" t="s">
        <v>153</v>
      </c>
      <c r="J56" s="2">
        <v>39</v>
      </c>
    </row>
    <row r="57" spans="1:10" x14ac:dyDescent="0.3">
      <c r="A57" s="2" t="s">
        <v>154</v>
      </c>
      <c r="B57" s="2" t="s">
        <v>51</v>
      </c>
      <c r="C57" s="2" t="s">
        <v>36</v>
      </c>
      <c r="D57" s="2" t="s">
        <v>31</v>
      </c>
      <c r="E57" s="2">
        <v>18</v>
      </c>
      <c r="F57" s="2">
        <v>12</v>
      </c>
      <c r="G57" s="2" t="s">
        <v>43</v>
      </c>
      <c r="H57" s="2" t="s">
        <v>76</v>
      </c>
      <c r="I57" s="2" t="s">
        <v>155</v>
      </c>
      <c r="J57" s="2">
        <v>77</v>
      </c>
    </row>
    <row r="58" spans="1:10" x14ac:dyDescent="0.3">
      <c r="A58" s="2" t="s">
        <v>156</v>
      </c>
      <c r="B58" s="2" t="s">
        <v>35</v>
      </c>
      <c r="C58" s="2" t="s">
        <v>55</v>
      </c>
      <c r="D58" s="2" t="s">
        <v>13</v>
      </c>
      <c r="E58" s="2">
        <v>19</v>
      </c>
      <c r="F58" s="2">
        <v>11</v>
      </c>
      <c r="G58" s="2" t="s">
        <v>14</v>
      </c>
      <c r="H58" s="2" t="s">
        <v>40</v>
      </c>
      <c r="I58" s="2" t="s">
        <v>157</v>
      </c>
      <c r="J58" s="2">
        <v>63</v>
      </c>
    </row>
    <row r="59" spans="1:10" x14ac:dyDescent="0.3">
      <c r="A59" s="2" t="s">
        <v>158</v>
      </c>
      <c r="B59" s="2" t="s">
        <v>18</v>
      </c>
      <c r="C59" s="2" t="s">
        <v>19</v>
      </c>
      <c r="D59" s="2" t="s">
        <v>13</v>
      </c>
      <c r="E59" s="2">
        <v>16</v>
      </c>
      <c r="F59" s="2">
        <v>12</v>
      </c>
      <c r="G59" s="2" t="s">
        <v>43</v>
      </c>
      <c r="H59" s="2" t="s">
        <v>40</v>
      </c>
      <c r="I59" s="2" t="s">
        <v>159</v>
      </c>
      <c r="J59" s="2">
        <v>36</v>
      </c>
    </row>
    <row r="60" spans="1:10" x14ac:dyDescent="0.3">
      <c r="A60" s="2" t="s">
        <v>160</v>
      </c>
      <c r="B60" s="2" t="s">
        <v>51</v>
      </c>
      <c r="C60" s="2" t="s">
        <v>85</v>
      </c>
      <c r="D60" s="2" t="s">
        <v>31</v>
      </c>
      <c r="E60" s="2">
        <v>17</v>
      </c>
      <c r="F60" s="2">
        <v>11</v>
      </c>
      <c r="G60" s="2" t="s">
        <v>43</v>
      </c>
      <c r="H60" s="2" t="s">
        <v>37</v>
      </c>
      <c r="I60" s="2" t="s">
        <v>161</v>
      </c>
      <c r="J60" s="2">
        <v>99</v>
      </c>
    </row>
    <row r="61" spans="1:10" x14ac:dyDescent="0.3">
      <c r="A61" s="2" t="s">
        <v>162</v>
      </c>
      <c r="B61" s="2" t="s">
        <v>73</v>
      </c>
      <c r="C61" s="2" t="s">
        <v>36</v>
      </c>
      <c r="D61" s="2" t="s">
        <v>31</v>
      </c>
      <c r="E61" s="2">
        <v>20</v>
      </c>
      <c r="F61" s="2">
        <v>9</v>
      </c>
      <c r="G61" s="2" t="s">
        <v>32</v>
      </c>
      <c r="H61" s="2" t="s">
        <v>20</v>
      </c>
      <c r="I61" s="2" t="s">
        <v>163</v>
      </c>
      <c r="J61" s="2">
        <v>49</v>
      </c>
    </row>
    <row r="62" spans="1:10" x14ac:dyDescent="0.3">
      <c r="A62" s="2" t="s">
        <v>164</v>
      </c>
      <c r="B62" s="2" t="s">
        <v>23</v>
      </c>
      <c r="C62" s="2" t="s">
        <v>19</v>
      </c>
      <c r="D62" s="2" t="s">
        <v>31</v>
      </c>
      <c r="E62" s="2">
        <v>17</v>
      </c>
      <c r="F62" s="2">
        <v>9</v>
      </c>
      <c r="G62" s="2" t="s">
        <v>25</v>
      </c>
      <c r="H62" s="2" t="s">
        <v>15</v>
      </c>
      <c r="I62" s="2" t="s">
        <v>165</v>
      </c>
      <c r="J62" s="2">
        <v>64</v>
      </c>
    </row>
    <row r="63" spans="1:10" x14ac:dyDescent="0.3">
      <c r="A63" s="2" t="s">
        <v>166</v>
      </c>
      <c r="B63" s="2" t="s">
        <v>84</v>
      </c>
      <c r="C63" s="2" t="s">
        <v>24</v>
      </c>
      <c r="D63" s="2" t="s">
        <v>13</v>
      </c>
      <c r="E63" s="2">
        <v>14</v>
      </c>
      <c r="F63" s="2">
        <v>10</v>
      </c>
      <c r="G63" s="2" t="s">
        <v>43</v>
      </c>
      <c r="H63" s="2" t="s">
        <v>15</v>
      </c>
      <c r="I63" s="2" t="s">
        <v>167</v>
      </c>
      <c r="J63" s="2">
        <v>45</v>
      </c>
    </row>
    <row r="64" spans="1:10" x14ac:dyDescent="0.3">
      <c r="A64" s="2" t="s">
        <v>168</v>
      </c>
      <c r="B64" s="2" t="s">
        <v>18</v>
      </c>
      <c r="C64" s="2" t="s">
        <v>79</v>
      </c>
      <c r="D64" s="2" t="s">
        <v>13</v>
      </c>
      <c r="E64" s="2">
        <v>17</v>
      </c>
      <c r="F64" s="2">
        <v>12</v>
      </c>
      <c r="G64" s="2" t="s">
        <v>25</v>
      </c>
      <c r="H64" s="2" t="s">
        <v>26</v>
      </c>
      <c r="I64" s="2" t="s">
        <v>137</v>
      </c>
      <c r="J64" s="2">
        <v>82</v>
      </c>
    </row>
    <row r="65" spans="1:10" x14ac:dyDescent="0.3">
      <c r="A65" s="2" t="s">
        <v>169</v>
      </c>
      <c r="B65" s="2" t="s">
        <v>11</v>
      </c>
      <c r="C65" s="2" t="s">
        <v>30</v>
      </c>
      <c r="D65" s="2" t="s">
        <v>31</v>
      </c>
      <c r="E65" s="2">
        <v>18</v>
      </c>
      <c r="F65" s="2">
        <v>9</v>
      </c>
      <c r="G65" s="2" t="s">
        <v>25</v>
      </c>
      <c r="H65" s="2" t="s">
        <v>46</v>
      </c>
      <c r="I65" s="2" t="s">
        <v>170</v>
      </c>
      <c r="J65" s="2">
        <v>60</v>
      </c>
    </row>
    <row r="66" spans="1:10" x14ac:dyDescent="0.3">
      <c r="A66" s="2" t="s">
        <v>171</v>
      </c>
      <c r="B66" s="2" t="s">
        <v>29</v>
      </c>
      <c r="C66" s="2" t="s">
        <v>85</v>
      </c>
      <c r="D66" s="2" t="s">
        <v>13</v>
      </c>
      <c r="E66" s="2">
        <v>14</v>
      </c>
      <c r="F66" s="2">
        <v>10</v>
      </c>
      <c r="G66" s="2" t="s">
        <v>32</v>
      </c>
      <c r="H66" s="2" t="s">
        <v>61</v>
      </c>
      <c r="I66" s="2" t="s">
        <v>172</v>
      </c>
      <c r="J66" s="2">
        <v>51</v>
      </c>
    </row>
    <row r="67" spans="1:10" x14ac:dyDescent="0.3">
      <c r="A67" s="2" t="s">
        <v>173</v>
      </c>
      <c r="B67" s="2" t="s">
        <v>54</v>
      </c>
      <c r="C67" s="2" t="s">
        <v>30</v>
      </c>
      <c r="D67" s="2" t="s">
        <v>31</v>
      </c>
      <c r="E67" s="2">
        <v>18</v>
      </c>
      <c r="F67" s="2">
        <v>9</v>
      </c>
      <c r="G67" s="2" t="s">
        <v>32</v>
      </c>
      <c r="H67" s="2" t="s">
        <v>40</v>
      </c>
      <c r="I67" s="2" t="s">
        <v>174</v>
      </c>
      <c r="J67" s="2">
        <v>54</v>
      </c>
    </row>
    <row r="68" spans="1:10" x14ac:dyDescent="0.3">
      <c r="A68" s="2" t="s">
        <v>175</v>
      </c>
      <c r="B68" s="2" t="s">
        <v>35</v>
      </c>
      <c r="C68" s="2" t="s">
        <v>30</v>
      </c>
      <c r="D68" s="2" t="s">
        <v>31</v>
      </c>
      <c r="E68" s="2">
        <v>20</v>
      </c>
      <c r="F68" s="2">
        <v>9</v>
      </c>
      <c r="G68" s="2" t="s">
        <v>14</v>
      </c>
      <c r="H68" s="2" t="s">
        <v>61</v>
      </c>
      <c r="I68" s="2" t="s">
        <v>176</v>
      </c>
      <c r="J68" s="2">
        <v>76</v>
      </c>
    </row>
    <row r="69" spans="1:10" x14ac:dyDescent="0.3">
      <c r="A69" s="2" t="s">
        <v>177</v>
      </c>
      <c r="B69" s="2" t="s">
        <v>29</v>
      </c>
      <c r="C69" s="2" t="s">
        <v>58</v>
      </c>
      <c r="D69" s="2" t="s">
        <v>31</v>
      </c>
      <c r="E69" s="2">
        <v>19</v>
      </c>
      <c r="F69" s="2">
        <v>12</v>
      </c>
      <c r="G69" s="2" t="s">
        <v>43</v>
      </c>
      <c r="H69" s="2" t="s">
        <v>61</v>
      </c>
      <c r="I69" s="2" t="s">
        <v>178</v>
      </c>
      <c r="J69" s="2">
        <v>99</v>
      </c>
    </row>
    <row r="70" spans="1:10" x14ac:dyDescent="0.3">
      <c r="A70" s="2" t="s">
        <v>179</v>
      </c>
      <c r="B70" s="2" t="s">
        <v>29</v>
      </c>
      <c r="C70" s="2" t="s">
        <v>58</v>
      </c>
      <c r="D70" s="2" t="s">
        <v>31</v>
      </c>
      <c r="E70" s="2">
        <v>16</v>
      </c>
      <c r="F70" s="2">
        <v>11</v>
      </c>
      <c r="G70" s="2" t="s">
        <v>25</v>
      </c>
      <c r="H70" s="2" t="s">
        <v>26</v>
      </c>
      <c r="I70" s="2" t="s">
        <v>180</v>
      </c>
      <c r="J70" s="2">
        <v>75</v>
      </c>
    </row>
    <row r="71" spans="1:10" x14ac:dyDescent="0.3">
      <c r="A71" s="2" t="s">
        <v>181</v>
      </c>
      <c r="B71" s="2" t="s">
        <v>11</v>
      </c>
      <c r="C71" s="2" t="s">
        <v>55</v>
      </c>
      <c r="D71" s="2" t="s">
        <v>31</v>
      </c>
      <c r="E71" s="2">
        <v>18</v>
      </c>
      <c r="F71" s="2">
        <v>10</v>
      </c>
      <c r="G71" s="2" t="s">
        <v>25</v>
      </c>
      <c r="H71" s="2" t="s">
        <v>46</v>
      </c>
      <c r="I71" s="2" t="s">
        <v>182</v>
      </c>
      <c r="J71" s="2">
        <v>98</v>
      </c>
    </row>
    <row r="72" spans="1:10" x14ac:dyDescent="0.3">
      <c r="A72" s="2" t="s">
        <v>183</v>
      </c>
      <c r="B72" s="2" t="s">
        <v>11</v>
      </c>
      <c r="C72" s="2" t="s">
        <v>30</v>
      </c>
      <c r="D72" s="2" t="s">
        <v>31</v>
      </c>
      <c r="E72" s="2">
        <v>17</v>
      </c>
      <c r="F72" s="2">
        <v>12</v>
      </c>
      <c r="G72" s="2" t="s">
        <v>14</v>
      </c>
      <c r="H72" s="2" t="s">
        <v>37</v>
      </c>
      <c r="I72" s="2" t="s">
        <v>184</v>
      </c>
      <c r="J72" s="2">
        <v>49</v>
      </c>
    </row>
    <row r="73" spans="1:10" x14ac:dyDescent="0.3">
      <c r="A73" s="2" t="s">
        <v>185</v>
      </c>
      <c r="B73" s="2" t="s">
        <v>35</v>
      </c>
      <c r="C73" s="2" t="s">
        <v>30</v>
      </c>
      <c r="D73" s="2" t="s">
        <v>31</v>
      </c>
      <c r="E73" s="2">
        <v>14</v>
      </c>
      <c r="F73" s="2">
        <v>12</v>
      </c>
      <c r="G73" s="2" t="s">
        <v>43</v>
      </c>
      <c r="H73" s="2" t="s">
        <v>61</v>
      </c>
      <c r="I73" s="2" t="s">
        <v>186</v>
      </c>
      <c r="J73" s="2">
        <v>45</v>
      </c>
    </row>
    <row r="74" spans="1:10" x14ac:dyDescent="0.3">
      <c r="A74" s="2" t="s">
        <v>187</v>
      </c>
      <c r="B74" s="2" t="s">
        <v>51</v>
      </c>
      <c r="C74" s="2" t="s">
        <v>12</v>
      </c>
      <c r="D74" s="2" t="s">
        <v>31</v>
      </c>
      <c r="E74" s="2">
        <v>17</v>
      </c>
      <c r="F74" s="2">
        <v>10</v>
      </c>
      <c r="G74" s="2" t="s">
        <v>43</v>
      </c>
      <c r="H74" s="2" t="s">
        <v>46</v>
      </c>
      <c r="I74" s="2" t="s">
        <v>101</v>
      </c>
      <c r="J74" s="2">
        <v>66</v>
      </c>
    </row>
    <row r="75" spans="1:10" x14ac:dyDescent="0.3">
      <c r="A75" s="2" t="s">
        <v>188</v>
      </c>
      <c r="B75" s="2" t="s">
        <v>23</v>
      </c>
      <c r="C75" s="2" t="s">
        <v>55</v>
      </c>
      <c r="D75" s="2" t="s">
        <v>31</v>
      </c>
      <c r="E75" s="2">
        <v>15</v>
      </c>
      <c r="F75" s="2">
        <v>9</v>
      </c>
      <c r="G75" s="2" t="s">
        <v>43</v>
      </c>
      <c r="H75" s="2" t="s">
        <v>20</v>
      </c>
      <c r="I75" s="2" t="s">
        <v>189</v>
      </c>
      <c r="J75" s="2">
        <v>88</v>
      </c>
    </row>
    <row r="76" spans="1:10" x14ac:dyDescent="0.3">
      <c r="A76" s="2" t="s">
        <v>190</v>
      </c>
      <c r="B76" s="2" t="s">
        <v>18</v>
      </c>
      <c r="C76" s="2" t="s">
        <v>19</v>
      </c>
      <c r="D76" s="2" t="s">
        <v>31</v>
      </c>
      <c r="E76" s="2">
        <v>14</v>
      </c>
      <c r="F76" s="2">
        <v>12</v>
      </c>
      <c r="G76" s="2" t="s">
        <v>32</v>
      </c>
      <c r="H76" s="2" t="s">
        <v>37</v>
      </c>
      <c r="I76" s="2" t="s">
        <v>191</v>
      </c>
      <c r="J76" s="2">
        <v>63</v>
      </c>
    </row>
    <row r="77" spans="1:10" x14ac:dyDescent="0.3">
      <c r="A77" s="2" t="s">
        <v>192</v>
      </c>
      <c r="B77" s="2" t="s">
        <v>68</v>
      </c>
      <c r="C77" s="2" t="s">
        <v>85</v>
      </c>
      <c r="D77" s="2" t="s">
        <v>13</v>
      </c>
      <c r="E77" s="2">
        <v>19</v>
      </c>
      <c r="F77" s="2">
        <v>11</v>
      </c>
      <c r="G77" s="2" t="s">
        <v>43</v>
      </c>
      <c r="H77" s="2" t="s">
        <v>61</v>
      </c>
      <c r="I77" s="2" t="s">
        <v>193</v>
      </c>
      <c r="J77" s="2">
        <v>78</v>
      </c>
    </row>
    <row r="78" spans="1:10" x14ac:dyDescent="0.3">
      <c r="A78" s="2" t="s">
        <v>194</v>
      </c>
      <c r="B78" s="2" t="s">
        <v>23</v>
      </c>
      <c r="C78" s="2" t="s">
        <v>19</v>
      </c>
      <c r="D78" s="2" t="s">
        <v>31</v>
      </c>
      <c r="E78" s="2">
        <v>20</v>
      </c>
      <c r="F78" s="2">
        <v>9</v>
      </c>
      <c r="G78" s="2" t="s">
        <v>25</v>
      </c>
      <c r="H78" s="2" t="s">
        <v>76</v>
      </c>
      <c r="I78" s="2" t="s">
        <v>195</v>
      </c>
      <c r="J78" s="2">
        <v>76</v>
      </c>
    </row>
    <row r="79" spans="1:10" x14ac:dyDescent="0.3">
      <c r="A79" s="2" t="s">
        <v>196</v>
      </c>
      <c r="B79" s="2" t="s">
        <v>23</v>
      </c>
      <c r="C79" s="2" t="s">
        <v>79</v>
      </c>
      <c r="D79" s="2" t="s">
        <v>13</v>
      </c>
      <c r="E79" s="2">
        <v>18</v>
      </c>
      <c r="F79" s="2">
        <v>12</v>
      </c>
      <c r="G79" s="2" t="s">
        <v>43</v>
      </c>
      <c r="H79" s="2" t="s">
        <v>76</v>
      </c>
      <c r="I79" s="2" t="s">
        <v>197</v>
      </c>
      <c r="J79" s="2">
        <v>67</v>
      </c>
    </row>
    <row r="80" spans="1:10" x14ac:dyDescent="0.3">
      <c r="A80" s="2" t="s">
        <v>198</v>
      </c>
      <c r="B80" s="2" t="s">
        <v>11</v>
      </c>
      <c r="C80" s="2" t="s">
        <v>85</v>
      </c>
      <c r="D80" s="2" t="s">
        <v>31</v>
      </c>
      <c r="E80" s="2">
        <v>14</v>
      </c>
      <c r="F80" s="2">
        <v>10</v>
      </c>
      <c r="G80" s="2" t="s">
        <v>25</v>
      </c>
      <c r="H80" s="2" t="s">
        <v>61</v>
      </c>
      <c r="I80" s="2" t="s">
        <v>199</v>
      </c>
      <c r="J80" s="2">
        <v>97</v>
      </c>
    </row>
    <row r="81" spans="1:10" x14ac:dyDescent="0.3">
      <c r="A81" s="2" t="s">
        <v>200</v>
      </c>
      <c r="B81" s="2" t="s">
        <v>29</v>
      </c>
      <c r="C81" s="2" t="s">
        <v>12</v>
      </c>
      <c r="D81" s="2" t="s">
        <v>13</v>
      </c>
      <c r="E81" s="2">
        <v>18</v>
      </c>
      <c r="F81" s="2">
        <v>12</v>
      </c>
      <c r="G81" s="2" t="s">
        <v>25</v>
      </c>
      <c r="H81" s="2" t="s">
        <v>26</v>
      </c>
      <c r="I81" s="2" t="s">
        <v>201</v>
      </c>
      <c r="J81" s="2">
        <v>89</v>
      </c>
    </row>
    <row r="82" spans="1:10" x14ac:dyDescent="0.3">
      <c r="A82" s="2" t="s">
        <v>202</v>
      </c>
      <c r="B82" s="2" t="s">
        <v>51</v>
      </c>
      <c r="C82" s="2" t="s">
        <v>55</v>
      </c>
      <c r="D82" s="2" t="s">
        <v>31</v>
      </c>
      <c r="E82" s="2">
        <v>15</v>
      </c>
      <c r="F82" s="2">
        <v>9</v>
      </c>
      <c r="G82" s="2" t="s">
        <v>14</v>
      </c>
      <c r="H82" s="2" t="s">
        <v>40</v>
      </c>
      <c r="I82" s="2" t="s">
        <v>111</v>
      </c>
      <c r="J82" s="2">
        <v>70</v>
      </c>
    </row>
    <row r="83" spans="1:10" x14ac:dyDescent="0.3">
      <c r="A83" s="2" t="s">
        <v>203</v>
      </c>
      <c r="B83" s="2" t="s">
        <v>35</v>
      </c>
      <c r="C83" s="2" t="s">
        <v>96</v>
      </c>
      <c r="D83" s="2" t="s">
        <v>13</v>
      </c>
      <c r="E83" s="2">
        <v>17</v>
      </c>
      <c r="F83" s="2">
        <v>12</v>
      </c>
      <c r="G83" s="2" t="s">
        <v>25</v>
      </c>
      <c r="H83" s="2" t="s">
        <v>20</v>
      </c>
      <c r="I83" s="2" t="s">
        <v>204</v>
      </c>
      <c r="J83" s="2">
        <v>90</v>
      </c>
    </row>
    <row r="84" spans="1:10" x14ac:dyDescent="0.3">
      <c r="A84" s="2" t="s">
        <v>205</v>
      </c>
      <c r="B84" s="2" t="s">
        <v>73</v>
      </c>
      <c r="C84" s="2" t="s">
        <v>24</v>
      </c>
      <c r="D84" s="2" t="s">
        <v>13</v>
      </c>
      <c r="E84" s="2">
        <v>17</v>
      </c>
      <c r="F84" s="2">
        <v>9</v>
      </c>
      <c r="G84" s="2" t="s">
        <v>14</v>
      </c>
      <c r="H84" s="2" t="s">
        <v>46</v>
      </c>
      <c r="I84" s="2" t="s">
        <v>206</v>
      </c>
      <c r="J84" s="2">
        <v>59</v>
      </c>
    </row>
    <row r="85" spans="1:10" x14ac:dyDescent="0.3">
      <c r="A85" s="2" t="s">
        <v>207</v>
      </c>
      <c r="B85" s="2" t="s">
        <v>54</v>
      </c>
      <c r="C85" s="2" t="s">
        <v>19</v>
      </c>
      <c r="D85" s="2" t="s">
        <v>31</v>
      </c>
      <c r="E85" s="2">
        <v>19</v>
      </c>
      <c r="F85" s="2">
        <v>9</v>
      </c>
      <c r="G85" s="2" t="s">
        <v>14</v>
      </c>
      <c r="H85" s="2" t="s">
        <v>61</v>
      </c>
      <c r="I85" s="2" t="s">
        <v>208</v>
      </c>
      <c r="J85" s="2">
        <v>76</v>
      </c>
    </row>
    <row r="86" spans="1:10" x14ac:dyDescent="0.3">
      <c r="A86" s="2" t="s">
        <v>209</v>
      </c>
      <c r="B86" s="2" t="s">
        <v>29</v>
      </c>
      <c r="C86" s="2" t="s">
        <v>30</v>
      </c>
      <c r="D86" s="2" t="s">
        <v>31</v>
      </c>
      <c r="E86" s="2">
        <v>18</v>
      </c>
      <c r="F86" s="2">
        <v>11</v>
      </c>
      <c r="G86" s="2" t="s">
        <v>43</v>
      </c>
      <c r="H86" s="2" t="s">
        <v>20</v>
      </c>
      <c r="I86" s="2" t="s">
        <v>210</v>
      </c>
      <c r="J86" s="2">
        <v>78</v>
      </c>
    </row>
    <row r="87" spans="1:10" x14ac:dyDescent="0.3">
      <c r="A87" s="2" t="s">
        <v>211</v>
      </c>
      <c r="B87" s="2" t="s">
        <v>35</v>
      </c>
      <c r="C87" s="2" t="s">
        <v>19</v>
      </c>
      <c r="D87" s="2" t="s">
        <v>31</v>
      </c>
      <c r="E87" s="2">
        <v>16</v>
      </c>
      <c r="F87" s="2">
        <v>9</v>
      </c>
      <c r="G87" s="2" t="s">
        <v>14</v>
      </c>
      <c r="H87" s="2" t="s">
        <v>37</v>
      </c>
      <c r="I87" s="2" t="s">
        <v>212</v>
      </c>
      <c r="J87" s="2">
        <v>57</v>
      </c>
    </row>
    <row r="88" spans="1:10" x14ac:dyDescent="0.3">
      <c r="A88" s="2" t="s">
        <v>213</v>
      </c>
      <c r="B88" s="2" t="s">
        <v>29</v>
      </c>
      <c r="C88" s="2" t="s">
        <v>24</v>
      </c>
      <c r="D88" s="2" t="s">
        <v>31</v>
      </c>
      <c r="E88" s="2">
        <v>17</v>
      </c>
      <c r="F88" s="2">
        <v>11</v>
      </c>
      <c r="G88" s="2" t="s">
        <v>14</v>
      </c>
      <c r="H88" s="2" t="s">
        <v>76</v>
      </c>
      <c r="I88" s="2" t="s">
        <v>214</v>
      </c>
      <c r="J88" s="2">
        <v>74</v>
      </c>
    </row>
    <row r="89" spans="1:10" x14ac:dyDescent="0.3">
      <c r="A89" s="2" t="s">
        <v>215</v>
      </c>
      <c r="B89" s="2" t="s">
        <v>84</v>
      </c>
      <c r="C89" s="2" t="s">
        <v>36</v>
      </c>
      <c r="D89" s="2" t="s">
        <v>31</v>
      </c>
      <c r="E89" s="2">
        <v>19</v>
      </c>
      <c r="F89" s="2">
        <v>12</v>
      </c>
      <c r="G89" s="2" t="s">
        <v>14</v>
      </c>
      <c r="H89" s="2" t="s">
        <v>37</v>
      </c>
      <c r="I89" s="2" t="s">
        <v>216</v>
      </c>
      <c r="J89" s="2">
        <v>84</v>
      </c>
    </row>
    <row r="90" spans="1:10" x14ac:dyDescent="0.3">
      <c r="A90" s="2" t="s">
        <v>217</v>
      </c>
      <c r="B90" s="2" t="s">
        <v>84</v>
      </c>
      <c r="C90" s="2" t="s">
        <v>96</v>
      </c>
      <c r="D90" s="2" t="s">
        <v>31</v>
      </c>
      <c r="E90" s="2">
        <v>17</v>
      </c>
      <c r="F90" s="2">
        <v>10</v>
      </c>
      <c r="G90" s="2" t="s">
        <v>43</v>
      </c>
      <c r="H90" s="2" t="s">
        <v>46</v>
      </c>
      <c r="I90" s="2" t="s">
        <v>218</v>
      </c>
      <c r="J90" s="2">
        <v>46</v>
      </c>
    </row>
    <row r="91" spans="1:10" x14ac:dyDescent="0.3">
      <c r="A91" s="2" t="s">
        <v>219</v>
      </c>
      <c r="B91" s="2" t="s">
        <v>68</v>
      </c>
      <c r="C91" s="2" t="s">
        <v>19</v>
      </c>
      <c r="D91" s="2" t="s">
        <v>13</v>
      </c>
      <c r="E91" s="2">
        <v>19</v>
      </c>
      <c r="F91" s="2">
        <v>9</v>
      </c>
      <c r="G91" s="2" t="s">
        <v>14</v>
      </c>
      <c r="H91" s="2" t="s">
        <v>40</v>
      </c>
      <c r="I91" s="2" t="s">
        <v>220</v>
      </c>
      <c r="J91" s="2">
        <v>63</v>
      </c>
    </row>
    <row r="92" spans="1:10" x14ac:dyDescent="0.3">
      <c r="A92" s="2" t="s">
        <v>221</v>
      </c>
      <c r="B92" s="2" t="s">
        <v>51</v>
      </c>
      <c r="C92" s="2" t="s">
        <v>55</v>
      </c>
      <c r="D92" s="2" t="s">
        <v>13</v>
      </c>
      <c r="E92" s="2">
        <v>14</v>
      </c>
      <c r="F92" s="2">
        <v>10</v>
      </c>
      <c r="G92" s="2" t="s">
        <v>43</v>
      </c>
      <c r="H92" s="2" t="s">
        <v>61</v>
      </c>
      <c r="I92" s="2" t="s">
        <v>222</v>
      </c>
      <c r="J92" s="2">
        <v>72</v>
      </c>
    </row>
    <row r="93" spans="1:10" x14ac:dyDescent="0.3">
      <c r="A93" s="2" t="s">
        <v>223</v>
      </c>
      <c r="B93" s="2" t="s">
        <v>68</v>
      </c>
      <c r="C93" s="2" t="s">
        <v>24</v>
      </c>
      <c r="D93" s="2" t="s">
        <v>13</v>
      </c>
      <c r="E93" s="2">
        <v>18</v>
      </c>
      <c r="F93" s="2">
        <v>11</v>
      </c>
      <c r="G93" s="2" t="s">
        <v>32</v>
      </c>
      <c r="H93" s="2" t="s">
        <v>40</v>
      </c>
      <c r="I93" s="2" t="s">
        <v>224</v>
      </c>
      <c r="J93" s="2">
        <v>87</v>
      </c>
    </row>
    <row r="94" spans="1:10" x14ac:dyDescent="0.3">
      <c r="A94" s="2" t="s">
        <v>225</v>
      </c>
      <c r="B94" s="2" t="s">
        <v>35</v>
      </c>
      <c r="C94" s="2" t="s">
        <v>85</v>
      </c>
      <c r="D94" s="2" t="s">
        <v>13</v>
      </c>
      <c r="E94" s="2">
        <v>20</v>
      </c>
      <c r="F94" s="2">
        <v>9</v>
      </c>
      <c r="G94" s="2" t="s">
        <v>14</v>
      </c>
      <c r="H94" s="2" t="s">
        <v>40</v>
      </c>
      <c r="I94" s="2" t="s">
        <v>226</v>
      </c>
      <c r="J94" s="2">
        <v>55</v>
      </c>
    </row>
    <row r="95" spans="1:10" x14ac:dyDescent="0.3">
      <c r="A95" s="2" t="s">
        <v>227</v>
      </c>
      <c r="B95" s="2" t="s">
        <v>68</v>
      </c>
      <c r="C95" s="2" t="s">
        <v>58</v>
      </c>
      <c r="D95" s="2" t="s">
        <v>13</v>
      </c>
      <c r="E95" s="2">
        <v>17</v>
      </c>
      <c r="F95" s="2">
        <v>12</v>
      </c>
      <c r="G95" s="2" t="s">
        <v>32</v>
      </c>
      <c r="H95" s="2" t="s">
        <v>26</v>
      </c>
      <c r="I95" s="2" t="s">
        <v>228</v>
      </c>
      <c r="J95" s="2">
        <v>37</v>
      </c>
    </row>
    <row r="96" spans="1:10" x14ac:dyDescent="0.3">
      <c r="A96" s="2" t="s">
        <v>229</v>
      </c>
      <c r="B96" s="2" t="s">
        <v>68</v>
      </c>
      <c r="C96" s="2" t="s">
        <v>24</v>
      </c>
      <c r="D96" s="2" t="s">
        <v>13</v>
      </c>
      <c r="E96" s="2">
        <v>17</v>
      </c>
      <c r="F96" s="2">
        <v>11</v>
      </c>
      <c r="G96" s="2" t="s">
        <v>43</v>
      </c>
      <c r="H96" s="2" t="s">
        <v>26</v>
      </c>
      <c r="I96" s="2" t="s">
        <v>230</v>
      </c>
      <c r="J96" s="2">
        <v>53</v>
      </c>
    </row>
    <row r="97" spans="1:10" x14ac:dyDescent="0.3">
      <c r="A97" s="2" t="s">
        <v>231</v>
      </c>
      <c r="B97" s="2" t="s">
        <v>23</v>
      </c>
      <c r="C97" s="2" t="s">
        <v>24</v>
      </c>
      <c r="D97" s="2" t="s">
        <v>31</v>
      </c>
      <c r="E97" s="2">
        <v>18</v>
      </c>
      <c r="F97" s="2">
        <v>9</v>
      </c>
      <c r="G97" s="2" t="s">
        <v>25</v>
      </c>
      <c r="H97" s="2" t="s">
        <v>61</v>
      </c>
      <c r="I97" s="2" t="s">
        <v>232</v>
      </c>
      <c r="J97" s="2">
        <v>88</v>
      </c>
    </row>
    <row r="98" spans="1:10" x14ac:dyDescent="0.3">
      <c r="A98" s="2" t="s">
        <v>233</v>
      </c>
      <c r="B98" s="2" t="s">
        <v>11</v>
      </c>
      <c r="C98" s="2" t="s">
        <v>55</v>
      </c>
      <c r="D98" s="2" t="s">
        <v>13</v>
      </c>
      <c r="E98" s="2">
        <v>14</v>
      </c>
      <c r="F98" s="2">
        <v>9</v>
      </c>
      <c r="G98" s="2" t="s">
        <v>25</v>
      </c>
      <c r="H98" s="2" t="s">
        <v>37</v>
      </c>
      <c r="I98" s="2" t="s">
        <v>234</v>
      </c>
      <c r="J98" s="2">
        <v>66</v>
      </c>
    </row>
    <row r="99" spans="1:10" x14ac:dyDescent="0.3">
      <c r="A99" s="2" t="s">
        <v>235</v>
      </c>
      <c r="B99" s="2" t="s">
        <v>11</v>
      </c>
      <c r="C99" s="2" t="s">
        <v>36</v>
      </c>
      <c r="D99" s="2" t="s">
        <v>31</v>
      </c>
      <c r="E99" s="2">
        <v>14</v>
      </c>
      <c r="F99" s="2">
        <v>12</v>
      </c>
      <c r="G99" s="2" t="s">
        <v>43</v>
      </c>
      <c r="H99" s="2" t="s">
        <v>40</v>
      </c>
      <c r="I99" s="2" t="s">
        <v>236</v>
      </c>
      <c r="J99" s="2">
        <v>65</v>
      </c>
    </row>
    <row r="100" spans="1:10" x14ac:dyDescent="0.3">
      <c r="A100" s="2" t="s">
        <v>237</v>
      </c>
      <c r="B100" s="2" t="s">
        <v>23</v>
      </c>
      <c r="C100" s="2" t="s">
        <v>24</v>
      </c>
      <c r="D100" s="2" t="s">
        <v>31</v>
      </c>
      <c r="E100" s="2">
        <v>16</v>
      </c>
      <c r="F100" s="2">
        <v>10</v>
      </c>
      <c r="G100" s="2" t="s">
        <v>43</v>
      </c>
      <c r="H100" s="2" t="s">
        <v>20</v>
      </c>
      <c r="I100" s="2" t="s">
        <v>238</v>
      </c>
      <c r="J100" s="2">
        <v>71</v>
      </c>
    </row>
    <row r="101" spans="1:10" x14ac:dyDescent="0.3">
      <c r="A101" s="2" t="s">
        <v>239</v>
      </c>
      <c r="B101" s="2" t="s">
        <v>68</v>
      </c>
      <c r="C101" s="2" t="s">
        <v>58</v>
      </c>
      <c r="D101" s="2" t="s">
        <v>13</v>
      </c>
      <c r="E101" s="2">
        <v>18</v>
      </c>
      <c r="F101" s="2">
        <v>11</v>
      </c>
      <c r="G101" s="2" t="s">
        <v>25</v>
      </c>
      <c r="H101" s="2" t="s">
        <v>15</v>
      </c>
      <c r="I101" s="2" t="s">
        <v>240</v>
      </c>
      <c r="J101" s="2">
        <v>48</v>
      </c>
    </row>
    <row r="102" spans="1:10" x14ac:dyDescent="0.3">
      <c r="A102" s="2" t="s">
        <v>241</v>
      </c>
      <c r="B102" s="2" t="s">
        <v>54</v>
      </c>
      <c r="C102" s="2" t="s">
        <v>85</v>
      </c>
      <c r="D102" s="2" t="s">
        <v>31</v>
      </c>
      <c r="E102" s="2">
        <v>15</v>
      </c>
      <c r="F102" s="2">
        <v>12</v>
      </c>
      <c r="G102" s="2" t="s">
        <v>14</v>
      </c>
      <c r="H102" s="2" t="s">
        <v>40</v>
      </c>
      <c r="I102" s="2" t="s">
        <v>242</v>
      </c>
      <c r="J102" s="2">
        <v>100</v>
      </c>
    </row>
    <row r="103" spans="1:10" x14ac:dyDescent="0.3">
      <c r="A103" s="2" t="s">
        <v>243</v>
      </c>
      <c r="B103" s="2" t="s">
        <v>23</v>
      </c>
      <c r="C103" s="2" t="s">
        <v>96</v>
      </c>
      <c r="D103" s="2" t="s">
        <v>31</v>
      </c>
      <c r="E103" s="2">
        <v>15</v>
      </c>
      <c r="F103" s="2">
        <v>11</v>
      </c>
      <c r="G103" s="2" t="s">
        <v>25</v>
      </c>
      <c r="H103" s="2" t="s">
        <v>61</v>
      </c>
      <c r="I103" s="2" t="s">
        <v>244</v>
      </c>
      <c r="J103" s="2">
        <v>72</v>
      </c>
    </row>
    <row r="104" spans="1:10" x14ac:dyDescent="0.3">
      <c r="A104" s="2" t="s">
        <v>245</v>
      </c>
      <c r="B104" s="2" t="s">
        <v>54</v>
      </c>
      <c r="C104" s="2" t="s">
        <v>19</v>
      </c>
      <c r="D104" s="2" t="s">
        <v>31</v>
      </c>
      <c r="E104" s="2">
        <v>18</v>
      </c>
      <c r="F104" s="2">
        <v>12</v>
      </c>
      <c r="G104" s="2" t="s">
        <v>32</v>
      </c>
      <c r="H104" s="2" t="s">
        <v>26</v>
      </c>
      <c r="I104" s="2" t="s">
        <v>246</v>
      </c>
      <c r="J104" s="2">
        <v>74</v>
      </c>
    </row>
    <row r="105" spans="1:10" x14ac:dyDescent="0.3">
      <c r="A105" s="2" t="s">
        <v>247</v>
      </c>
      <c r="B105" s="2" t="s">
        <v>29</v>
      </c>
      <c r="C105" s="2" t="s">
        <v>58</v>
      </c>
      <c r="D105" s="2" t="s">
        <v>31</v>
      </c>
      <c r="E105" s="2">
        <v>14</v>
      </c>
      <c r="F105" s="2">
        <v>12</v>
      </c>
      <c r="G105" s="2" t="s">
        <v>14</v>
      </c>
      <c r="H105" s="2" t="s">
        <v>40</v>
      </c>
      <c r="I105" s="2" t="s">
        <v>248</v>
      </c>
      <c r="J105" s="2">
        <v>66</v>
      </c>
    </row>
    <row r="106" spans="1:10" x14ac:dyDescent="0.3">
      <c r="A106" s="2" t="s">
        <v>249</v>
      </c>
      <c r="B106" s="2" t="s">
        <v>68</v>
      </c>
      <c r="C106" s="2" t="s">
        <v>30</v>
      </c>
      <c r="D106" s="2" t="s">
        <v>31</v>
      </c>
      <c r="E106" s="2">
        <v>16</v>
      </c>
      <c r="F106" s="2">
        <v>11</v>
      </c>
      <c r="G106" s="2" t="s">
        <v>32</v>
      </c>
      <c r="H106" s="2" t="s">
        <v>20</v>
      </c>
      <c r="I106" s="2" t="s">
        <v>250</v>
      </c>
      <c r="J106" s="2">
        <v>90</v>
      </c>
    </row>
    <row r="107" spans="1:10" x14ac:dyDescent="0.3">
      <c r="A107" s="2" t="s">
        <v>251</v>
      </c>
      <c r="B107" s="2" t="s">
        <v>23</v>
      </c>
      <c r="C107" s="2" t="s">
        <v>24</v>
      </c>
      <c r="D107" s="2" t="s">
        <v>13</v>
      </c>
      <c r="E107" s="2">
        <v>16</v>
      </c>
      <c r="F107" s="2">
        <v>12</v>
      </c>
      <c r="G107" s="2" t="s">
        <v>43</v>
      </c>
      <c r="H107" s="2" t="s">
        <v>40</v>
      </c>
      <c r="I107" s="2" t="s">
        <v>252</v>
      </c>
      <c r="J107" s="2">
        <v>50</v>
      </c>
    </row>
    <row r="108" spans="1:10" x14ac:dyDescent="0.3">
      <c r="A108" s="2" t="s">
        <v>253</v>
      </c>
      <c r="B108" s="2" t="s">
        <v>18</v>
      </c>
      <c r="C108" s="2" t="s">
        <v>24</v>
      </c>
      <c r="D108" s="2" t="s">
        <v>13</v>
      </c>
      <c r="E108" s="2">
        <v>15</v>
      </c>
      <c r="F108" s="2">
        <v>9</v>
      </c>
      <c r="G108" s="2" t="s">
        <v>25</v>
      </c>
      <c r="H108" s="2" t="s">
        <v>20</v>
      </c>
      <c r="I108" s="2" t="s">
        <v>254</v>
      </c>
      <c r="J108" s="2">
        <v>36</v>
      </c>
    </row>
    <row r="109" spans="1:10" x14ac:dyDescent="0.3">
      <c r="A109" s="2" t="s">
        <v>255</v>
      </c>
      <c r="B109" s="2" t="s">
        <v>51</v>
      </c>
      <c r="C109" s="2" t="s">
        <v>79</v>
      </c>
      <c r="D109" s="2" t="s">
        <v>31</v>
      </c>
      <c r="E109" s="2">
        <v>20</v>
      </c>
      <c r="F109" s="2">
        <v>12</v>
      </c>
      <c r="G109" s="2" t="s">
        <v>43</v>
      </c>
      <c r="H109" s="2" t="s">
        <v>40</v>
      </c>
      <c r="I109" s="2" t="s">
        <v>256</v>
      </c>
      <c r="J109" s="2">
        <v>48</v>
      </c>
    </row>
    <row r="110" spans="1:10" x14ac:dyDescent="0.3">
      <c r="A110" s="2" t="s">
        <v>257</v>
      </c>
      <c r="B110" s="2" t="s">
        <v>68</v>
      </c>
      <c r="C110" s="2" t="s">
        <v>79</v>
      </c>
      <c r="D110" s="2" t="s">
        <v>31</v>
      </c>
      <c r="E110" s="2">
        <v>20</v>
      </c>
      <c r="F110" s="2">
        <v>11</v>
      </c>
      <c r="G110" s="2" t="s">
        <v>43</v>
      </c>
      <c r="H110" s="2" t="s">
        <v>46</v>
      </c>
      <c r="I110" s="2" t="s">
        <v>258</v>
      </c>
      <c r="J110" s="2">
        <v>52</v>
      </c>
    </row>
    <row r="111" spans="1:10" x14ac:dyDescent="0.3">
      <c r="A111" s="2" t="s">
        <v>259</v>
      </c>
      <c r="B111" s="2" t="s">
        <v>54</v>
      </c>
      <c r="C111" s="2" t="s">
        <v>85</v>
      </c>
      <c r="D111" s="2" t="s">
        <v>13</v>
      </c>
      <c r="E111" s="2">
        <v>14</v>
      </c>
      <c r="F111" s="2">
        <v>11</v>
      </c>
      <c r="G111" s="2" t="s">
        <v>43</v>
      </c>
      <c r="H111" s="2" t="s">
        <v>46</v>
      </c>
      <c r="I111" s="2" t="s">
        <v>260</v>
      </c>
      <c r="J111" s="2">
        <v>62</v>
      </c>
    </row>
    <row r="112" spans="1:10" x14ac:dyDescent="0.3">
      <c r="A112" s="2" t="s">
        <v>261</v>
      </c>
      <c r="B112" s="2" t="s">
        <v>23</v>
      </c>
      <c r="C112" s="2" t="s">
        <v>36</v>
      </c>
      <c r="D112" s="2" t="s">
        <v>13</v>
      </c>
      <c r="E112" s="2">
        <v>15</v>
      </c>
      <c r="F112" s="2">
        <v>11</v>
      </c>
      <c r="G112" s="2" t="s">
        <v>25</v>
      </c>
      <c r="H112" s="2" t="s">
        <v>26</v>
      </c>
      <c r="I112" s="2" t="s">
        <v>262</v>
      </c>
      <c r="J112" s="2">
        <v>63</v>
      </c>
    </row>
    <row r="113" spans="1:10" x14ac:dyDescent="0.3">
      <c r="A113" s="2" t="s">
        <v>263</v>
      </c>
      <c r="B113" s="2" t="s">
        <v>29</v>
      </c>
      <c r="C113" s="2" t="s">
        <v>19</v>
      </c>
      <c r="D113" s="2" t="s">
        <v>13</v>
      </c>
      <c r="E113" s="2">
        <v>15</v>
      </c>
      <c r="F113" s="2">
        <v>11</v>
      </c>
      <c r="G113" s="2" t="s">
        <v>25</v>
      </c>
      <c r="H113" s="2" t="s">
        <v>46</v>
      </c>
      <c r="I113" s="2" t="s">
        <v>264</v>
      </c>
      <c r="J113" s="2">
        <v>58</v>
      </c>
    </row>
    <row r="114" spans="1:10" x14ac:dyDescent="0.3">
      <c r="A114" s="2" t="s">
        <v>265</v>
      </c>
      <c r="B114" s="2" t="s">
        <v>11</v>
      </c>
      <c r="C114" s="2" t="s">
        <v>85</v>
      </c>
      <c r="D114" s="2" t="s">
        <v>31</v>
      </c>
      <c r="E114" s="2">
        <v>14</v>
      </c>
      <c r="F114" s="2">
        <v>9</v>
      </c>
      <c r="G114" s="2" t="s">
        <v>43</v>
      </c>
      <c r="H114" s="2" t="s">
        <v>61</v>
      </c>
      <c r="I114" s="2" t="s">
        <v>56</v>
      </c>
      <c r="J114" s="2">
        <v>41</v>
      </c>
    </row>
    <row r="115" spans="1:10" x14ac:dyDescent="0.3">
      <c r="A115" s="2" t="s">
        <v>266</v>
      </c>
      <c r="B115" s="2" t="s">
        <v>54</v>
      </c>
      <c r="C115" s="2" t="s">
        <v>58</v>
      </c>
      <c r="D115" s="2" t="s">
        <v>13</v>
      </c>
      <c r="E115" s="2">
        <v>19</v>
      </c>
      <c r="F115" s="2">
        <v>11</v>
      </c>
      <c r="G115" s="2" t="s">
        <v>14</v>
      </c>
      <c r="H115" s="2" t="s">
        <v>40</v>
      </c>
      <c r="I115" s="2" t="s">
        <v>267</v>
      </c>
      <c r="J115" s="2">
        <v>41</v>
      </c>
    </row>
    <row r="116" spans="1:10" x14ac:dyDescent="0.3">
      <c r="A116" s="2" t="s">
        <v>268</v>
      </c>
      <c r="B116" s="2" t="s">
        <v>68</v>
      </c>
      <c r="C116" s="2" t="s">
        <v>24</v>
      </c>
      <c r="D116" s="2" t="s">
        <v>31</v>
      </c>
      <c r="E116" s="2">
        <v>16</v>
      </c>
      <c r="F116" s="2">
        <v>12</v>
      </c>
      <c r="G116" s="2" t="s">
        <v>43</v>
      </c>
      <c r="H116" s="2" t="s">
        <v>26</v>
      </c>
      <c r="I116" s="2" t="s">
        <v>269</v>
      </c>
      <c r="J116" s="2">
        <v>47</v>
      </c>
    </row>
    <row r="117" spans="1:10" x14ac:dyDescent="0.3">
      <c r="A117" s="2" t="s">
        <v>270</v>
      </c>
      <c r="B117" s="2" t="s">
        <v>73</v>
      </c>
      <c r="C117" s="2" t="s">
        <v>30</v>
      </c>
      <c r="D117" s="2" t="s">
        <v>31</v>
      </c>
      <c r="E117" s="2">
        <v>15</v>
      </c>
      <c r="F117" s="2">
        <v>9</v>
      </c>
      <c r="G117" s="2" t="s">
        <v>43</v>
      </c>
      <c r="H117" s="2" t="s">
        <v>26</v>
      </c>
      <c r="I117" s="2" t="s">
        <v>271</v>
      </c>
      <c r="J117" s="2">
        <v>76</v>
      </c>
    </row>
    <row r="118" spans="1:10" x14ac:dyDescent="0.3">
      <c r="A118" s="2" t="s">
        <v>272</v>
      </c>
      <c r="B118" s="2" t="s">
        <v>54</v>
      </c>
      <c r="C118" s="2" t="s">
        <v>24</v>
      </c>
      <c r="D118" s="2" t="s">
        <v>13</v>
      </c>
      <c r="E118" s="2">
        <v>15</v>
      </c>
      <c r="F118" s="2">
        <v>9</v>
      </c>
      <c r="G118" s="2" t="s">
        <v>43</v>
      </c>
      <c r="H118" s="2" t="s">
        <v>20</v>
      </c>
      <c r="I118" s="2" t="s">
        <v>273</v>
      </c>
      <c r="J118" s="2">
        <v>50</v>
      </c>
    </row>
    <row r="119" spans="1:10" x14ac:dyDescent="0.3">
      <c r="A119" s="2" t="s">
        <v>274</v>
      </c>
      <c r="B119" s="2" t="s">
        <v>35</v>
      </c>
      <c r="C119" s="2" t="s">
        <v>36</v>
      </c>
      <c r="D119" s="2" t="s">
        <v>13</v>
      </c>
      <c r="E119" s="2">
        <v>19</v>
      </c>
      <c r="F119" s="2">
        <v>9</v>
      </c>
      <c r="G119" s="2" t="s">
        <v>32</v>
      </c>
      <c r="H119" s="2" t="s">
        <v>61</v>
      </c>
      <c r="I119" s="2" t="s">
        <v>275</v>
      </c>
      <c r="J119" s="2">
        <v>63</v>
      </c>
    </row>
    <row r="120" spans="1:10" x14ac:dyDescent="0.3">
      <c r="A120" s="2" t="s">
        <v>276</v>
      </c>
      <c r="B120" s="2" t="s">
        <v>84</v>
      </c>
      <c r="C120" s="2" t="s">
        <v>30</v>
      </c>
      <c r="D120" s="2" t="s">
        <v>31</v>
      </c>
      <c r="E120" s="2">
        <v>14</v>
      </c>
      <c r="F120" s="2">
        <v>12</v>
      </c>
      <c r="G120" s="2" t="s">
        <v>14</v>
      </c>
      <c r="H120" s="2" t="s">
        <v>26</v>
      </c>
      <c r="I120" s="2" t="s">
        <v>277</v>
      </c>
      <c r="J120" s="2">
        <v>62</v>
      </c>
    </row>
    <row r="121" spans="1:10" x14ac:dyDescent="0.3">
      <c r="A121" s="2" t="s">
        <v>278</v>
      </c>
      <c r="B121" s="2" t="s">
        <v>73</v>
      </c>
      <c r="C121" s="2" t="s">
        <v>36</v>
      </c>
      <c r="D121" s="2" t="s">
        <v>13</v>
      </c>
      <c r="E121" s="2">
        <v>14</v>
      </c>
      <c r="F121" s="2">
        <v>11</v>
      </c>
      <c r="G121" s="2" t="s">
        <v>32</v>
      </c>
      <c r="H121" s="2" t="s">
        <v>37</v>
      </c>
      <c r="I121" s="2" t="s">
        <v>279</v>
      </c>
      <c r="J121" s="2">
        <v>51</v>
      </c>
    </row>
    <row r="122" spans="1:10" x14ac:dyDescent="0.3">
      <c r="A122" s="2" t="s">
        <v>280</v>
      </c>
      <c r="B122" s="2" t="s">
        <v>84</v>
      </c>
      <c r="C122" s="2" t="s">
        <v>58</v>
      </c>
      <c r="D122" s="2" t="s">
        <v>13</v>
      </c>
      <c r="E122" s="2">
        <v>18</v>
      </c>
      <c r="F122" s="2">
        <v>12</v>
      </c>
      <c r="G122" s="2" t="s">
        <v>32</v>
      </c>
      <c r="H122" s="2" t="s">
        <v>76</v>
      </c>
      <c r="I122" s="2" t="s">
        <v>159</v>
      </c>
      <c r="J122" s="2">
        <v>98</v>
      </c>
    </row>
    <row r="123" spans="1:10" x14ac:dyDescent="0.3">
      <c r="A123" s="2" t="s">
        <v>281</v>
      </c>
      <c r="B123" s="2" t="s">
        <v>51</v>
      </c>
      <c r="C123" s="2" t="s">
        <v>36</v>
      </c>
      <c r="D123" s="2" t="s">
        <v>31</v>
      </c>
      <c r="E123" s="2">
        <v>15</v>
      </c>
      <c r="F123" s="2">
        <v>11</v>
      </c>
      <c r="G123" s="2" t="s">
        <v>43</v>
      </c>
      <c r="H123" s="2" t="s">
        <v>37</v>
      </c>
      <c r="I123" s="2" t="s">
        <v>282</v>
      </c>
      <c r="J123" s="2">
        <v>66</v>
      </c>
    </row>
    <row r="124" spans="1:10" x14ac:dyDescent="0.3">
      <c r="A124" s="2" t="s">
        <v>283</v>
      </c>
      <c r="B124" s="2" t="s">
        <v>68</v>
      </c>
      <c r="C124" s="2" t="s">
        <v>79</v>
      </c>
      <c r="D124" s="2" t="s">
        <v>31</v>
      </c>
      <c r="E124" s="2">
        <v>16</v>
      </c>
      <c r="F124" s="2">
        <v>11</v>
      </c>
      <c r="G124" s="2" t="s">
        <v>32</v>
      </c>
      <c r="H124" s="2" t="s">
        <v>40</v>
      </c>
      <c r="I124" s="2" t="s">
        <v>284</v>
      </c>
      <c r="J124" s="2">
        <v>95</v>
      </c>
    </row>
    <row r="125" spans="1:10" x14ac:dyDescent="0.3">
      <c r="A125" s="2" t="s">
        <v>285</v>
      </c>
      <c r="B125" s="2" t="s">
        <v>18</v>
      </c>
      <c r="C125" s="2" t="s">
        <v>36</v>
      </c>
      <c r="D125" s="2" t="s">
        <v>31</v>
      </c>
      <c r="E125" s="2">
        <v>14</v>
      </c>
      <c r="F125" s="2">
        <v>11</v>
      </c>
      <c r="G125" s="2" t="s">
        <v>25</v>
      </c>
      <c r="H125" s="2" t="s">
        <v>46</v>
      </c>
      <c r="I125" s="2" t="s">
        <v>286</v>
      </c>
      <c r="J125" s="2">
        <v>64</v>
      </c>
    </row>
    <row r="126" spans="1:10" x14ac:dyDescent="0.3">
      <c r="A126" s="2" t="s">
        <v>287</v>
      </c>
      <c r="B126" s="2" t="s">
        <v>54</v>
      </c>
      <c r="C126" s="2" t="s">
        <v>24</v>
      </c>
      <c r="D126" s="2" t="s">
        <v>31</v>
      </c>
      <c r="E126" s="2">
        <v>14</v>
      </c>
      <c r="F126" s="2">
        <v>12</v>
      </c>
      <c r="G126" s="2" t="s">
        <v>32</v>
      </c>
      <c r="H126" s="2" t="s">
        <v>76</v>
      </c>
      <c r="I126" s="2" t="s">
        <v>288</v>
      </c>
      <c r="J126" s="2">
        <v>48</v>
      </c>
    </row>
    <row r="127" spans="1:10" x14ac:dyDescent="0.3">
      <c r="A127" s="2" t="s">
        <v>289</v>
      </c>
      <c r="B127" s="2" t="s">
        <v>23</v>
      </c>
      <c r="C127" s="2" t="s">
        <v>79</v>
      </c>
      <c r="D127" s="2" t="s">
        <v>31</v>
      </c>
      <c r="E127" s="2">
        <v>17</v>
      </c>
      <c r="F127" s="2">
        <v>9</v>
      </c>
      <c r="G127" s="2" t="s">
        <v>25</v>
      </c>
      <c r="H127" s="2" t="s">
        <v>37</v>
      </c>
      <c r="I127" s="2" t="s">
        <v>290</v>
      </c>
      <c r="J127" s="2">
        <v>62</v>
      </c>
    </row>
    <row r="128" spans="1:10" x14ac:dyDescent="0.3">
      <c r="A128" s="2" t="s">
        <v>291</v>
      </c>
      <c r="B128" s="2" t="s">
        <v>11</v>
      </c>
      <c r="C128" s="2" t="s">
        <v>30</v>
      </c>
      <c r="D128" s="2" t="s">
        <v>31</v>
      </c>
      <c r="E128" s="2">
        <v>16</v>
      </c>
      <c r="F128" s="2">
        <v>9</v>
      </c>
      <c r="G128" s="2" t="s">
        <v>25</v>
      </c>
      <c r="H128" s="2" t="s">
        <v>61</v>
      </c>
      <c r="I128" s="2" t="s">
        <v>292</v>
      </c>
      <c r="J128" s="2">
        <v>97</v>
      </c>
    </row>
    <row r="129" spans="1:10" x14ac:dyDescent="0.3">
      <c r="A129" s="2" t="s">
        <v>293</v>
      </c>
      <c r="B129" s="2" t="s">
        <v>73</v>
      </c>
      <c r="C129" s="2" t="s">
        <v>96</v>
      </c>
      <c r="D129" s="2" t="s">
        <v>31</v>
      </c>
      <c r="E129" s="2">
        <v>20</v>
      </c>
      <c r="F129" s="2">
        <v>9</v>
      </c>
      <c r="G129" s="2" t="s">
        <v>43</v>
      </c>
      <c r="H129" s="2" t="s">
        <v>26</v>
      </c>
      <c r="I129" s="2" t="s">
        <v>74</v>
      </c>
      <c r="J129" s="2">
        <v>100</v>
      </c>
    </row>
    <row r="130" spans="1:10" x14ac:dyDescent="0.3">
      <c r="A130" s="2" t="s">
        <v>294</v>
      </c>
      <c r="B130" s="2" t="s">
        <v>35</v>
      </c>
      <c r="C130" s="2" t="s">
        <v>55</v>
      </c>
      <c r="D130" s="2" t="s">
        <v>13</v>
      </c>
      <c r="E130" s="2">
        <v>20</v>
      </c>
      <c r="F130" s="2">
        <v>9</v>
      </c>
      <c r="G130" s="2" t="s">
        <v>25</v>
      </c>
      <c r="H130" s="2" t="s">
        <v>46</v>
      </c>
      <c r="I130" s="2" t="s">
        <v>295</v>
      </c>
      <c r="J130" s="2">
        <v>99</v>
      </c>
    </row>
    <row r="131" spans="1:10" x14ac:dyDescent="0.3">
      <c r="A131" s="2" t="s">
        <v>296</v>
      </c>
      <c r="B131" s="2" t="s">
        <v>84</v>
      </c>
      <c r="C131" s="2" t="s">
        <v>19</v>
      </c>
      <c r="D131" s="2" t="s">
        <v>31</v>
      </c>
      <c r="E131" s="2">
        <v>20</v>
      </c>
      <c r="F131" s="2">
        <v>10</v>
      </c>
      <c r="G131" s="2" t="s">
        <v>43</v>
      </c>
      <c r="H131" s="2" t="s">
        <v>20</v>
      </c>
      <c r="I131" s="2" t="s">
        <v>297</v>
      </c>
      <c r="J131" s="2">
        <v>100</v>
      </c>
    </row>
    <row r="132" spans="1:10" x14ac:dyDescent="0.3">
      <c r="A132" s="2" t="s">
        <v>298</v>
      </c>
      <c r="B132" s="2" t="s">
        <v>29</v>
      </c>
      <c r="C132" s="2" t="s">
        <v>96</v>
      </c>
      <c r="D132" s="2" t="s">
        <v>31</v>
      </c>
      <c r="E132" s="2">
        <v>20</v>
      </c>
      <c r="F132" s="2">
        <v>10</v>
      </c>
      <c r="G132" s="2" t="s">
        <v>32</v>
      </c>
      <c r="H132" s="2" t="s">
        <v>26</v>
      </c>
      <c r="I132" s="2" t="s">
        <v>299</v>
      </c>
      <c r="J132" s="2">
        <v>56</v>
      </c>
    </row>
    <row r="133" spans="1:10" x14ac:dyDescent="0.3">
      <c r="A133" s="2" t="s">
        <v>300</v>
      </c>
      <c r="B133" s="2" t="s">
        <v>11</v>
      </c>
      <c r="C133" s="2" t="s">
        <v>79</v>
      </c>
      <c r="D133" s="2" t="s">
        <v>31</v>
      </c>
      <c r="E133" s="2">
        <v>18</v>
      </c>
      <c r="F133" s="2">
        <v>9</v>
      </c>
      <c r="G133" s="2" t="s">
        <v>14</v>
      </c>
      <c r="H133" s="2" t="s">
        <v>20</v>
      </c>
      <c r="I133" s="2" t="s">
        <v>301</v>
      </c>
      <c r="J133" s="2">
        <v>66</v>
      </c>
    </row>
    <row r="134" spans="1:10" x14ac:dyDescent="0.3">
      <c r="A134" s="2" t="s">
        <v>302</v>
      </c>
      <c r="B134" s="2" t="s">
        <v>29</v>
      </c>
      <c r="C134" s="2" t="s">
        <v>79</v>
      </c>
      <c r="D134" s="2" t="s">
        <v>13</v>
      </c>
      <c r="E134" s="2">
        <v>14</v>
      </c>
      <c r="F134" s="2">
        <v>12</v>
      </c>
      <c r="G134" s="2" t="s">
        <v>14</v>
      </c>
      <c r="H134" s="2" t="s">
        <v>20</v>
      </c>
      <c r="I134" s="2" t="s">
        <v>303</v>
      </c>
      <c r="J134" s="2">
        <v>66</v>
      </c>
    </row>
    <row r="135" spans="1:10" x14ac:dyDescent="0.3">
      <c r="A135" s="2" t="s">
        <v>304</v>
      </c>
      <c r="B135" s="2" t="s">
        <v>51</v>
      </c>
      <c r="C135" s="2" t="s">
        <v>36</v>
      </c>
      <c r="D135" s="2" t="s">
        <v>31</v>
      </c>
      <c r="E135" s="2">
        <v>15</v>
      </c>
      <c r="F135" s="2">
        <v>12</v>
      </c>
      <c r="G135" s="2" t="s">
        <v>32</v>
      </c>
      <c r="H135" s="2" t="s">
        <v>46</v>
      </c>
      <c r="I135" s="2" t="s">
        <v>305</v>
      </c>
      <c r="J135" s="2">
        <v>77</v>
      </c>
    </row>
    <row r="136" spans="1:10" x14ac:dyDescent="0.3">
      <c r="A136" s="2" t="s">
        <v>306</v>
      </c>
      <c r="B136" s="2" t="s">
        <v>23</v>
      </c>
      <c r="C136" s="2" t="s">
        <v>19</v>
      </c>
      <c r="D136" s="2" t="s">
        <v>31</v>
      </c>
      <c r="E136" s="2">
        <v>16</v>
      </c>
      <c r="F136" s="2">
        <v>10</v>
      </c>
      <c r="G136" s="2" t="s">
        <v>43</v>
      </c>
      <c r="H136" s="2" t="s">
        <v>61</v>
      </c>
      <c r="I136" s="2" t="s">
        <v>307</v>
      </c>
      <c r="J136" s="2">
        <v>47</v>
      </c>
    </row>
    <row r="137" spans="1:10" x14ac:dyDescent="0.3">
      <c r="A137" s="2" t="s">
        <v>308</v>
      </c>
      <c r="B137" s="2" t="s">
        <v>23</v>
      </c>
      <c r="C137" s="2" t="s">
        <v>36</v>
      </c>
      <c r="D137" s="2" t="s">
        <v>13</v>
      </c>
      <c r="E137" s="2">
        <v>18</v>
      </c>
      <c r="F137" s="2">
        <v>10</v>
      </c>
      <c r="G137" s="2" t="s">
        <v>43</v>
      </c>
      <c r="H137" s="2" t="s">
        <v>40</v>
      </c>
      <c r="I137" s="2" t="s">
        <v>309</v>
      </c>
      <c r="J137" s="2">
        <v>57</v>
      </c>
    </row>
    <row r="138" spans="1:10" x14ac:dyDescent="0.3">
      <c r="A138" s="2" t="s">
        <v>310</v>
      </c>
      <c r="B138" s="2" t="s">
        <v>29</v>
      </c>
      <c r="C138" s="2" t="s">
        <v>96</v>
      </c>
      <c r="D138" s="2" t="s">
        <v>31</v>
      </c>
      <c r="E138" s="2">
        <v>16</v>
      </c>
      <c r="F138" s="2">
        <v>9</v>
      </c>
      <c r="G138" s="2" t="s">
        <v>32</v>
      </c>
      <c r="H138" s="2" t="s">
        <v>46</v>
      </c>
      <c r="I138" s="2" t="s">
        <v>311</v>
      </c>
      <c r="J138" s="2">
        <v>67</v>
      </c>
    </row>
    <row r="139" spans="1:10" x14ac:dyDescent="0.3">
      <c r="A139" s="2" t="s">
        <v>312</v>
      </c>
      <c r="B139" s="2" t="s">
        <v>29</v>
      </c>
      <c r="C139" s="2" t="s">
        <v>12</v>
      </c>
      <c r="D139" s="2" t="s">
        <v>31</v>
      </c>
      <c r="E139" s="2">
        <v>14</v>
      </c>
      <c r="F139" s="2">
        <v>12</v>
      </c>
      <c r="G139" s="2" t="s">
        <v>43</v>
      </c>
      <c r="H139" s="2" t="s">
        <v>61</v>
      </c>
      <c r="I139" s="2" t="s">
        <v>313</v>
      </c>
      <c r="J139" s="2">
        <v>44</v>
      </c>
    </row>
    <row r="140" spans="1:10" x14ac:dyDescent="0.3">
      <c r="A140" s="2" t="s">
        <v>314</v>
      </c>
      <c r="B140" s="2" t="s">
        <v>68</v>
      </c>
      <c r="C140" s="2" t="s">
        <v>79</v>
      </c>
      <c r="D140" s="2" t="s">
        <v>13</v>
      </c>
      <c r="E140" s="2">
        <v>15</v>
      </c>
      <c r="F140" s="2">
        <v>11</v>
      </c>
      <c r="G140" s="2" t="s">
        <v>14</v>
      </c>
      <c r="H140" s="2" t="s">
        <v>46</v>
      </c>
      <c r="I140" s="2" t="s">
        <v>315</v>
      </c>
      <c r="J140" s="2">
        <v>35</v>
      </c>
    </row>
    <row r="141" spans="1:10" x14ac:dyDescent="0.3">
      <c r="A141" s="2" t="s">
        <v>316</v>
      </c>
      <c r="B141" s="2" t="s">
        <v>23</v>
      </c>
      <c r="C141" s="2" t="s">
        <v>36</v>
      </c>
      <c r="D141" s="2" t="s">
        <v>31</v>
      </c>
      <c r="E141" s="2">
        <v>20</v>
      </c>
      <c r="F141" s="2">
        <v>11</v>
      </c>
      <c r="G141" s="2" t="s">
        <v>14</v>
      </c>
      <c r="H141" s="2" t="s">
        <v>37</v>
      </c>
      <c r="I141" s="2" t="s">
        <v>317</v>
      </c>
      <c r="J141" s="2">
        <v>52</v>
      </c>
    </row>
    <row r="142" spans="1:10" x14ac:dyDescent="0.3">
      <c r="A142" s="2" t="s">
        <v>318</v>
      </c>
      <c r="B142" s="2" t="s">
        <v>54</v>
      </c>
      <c r="C142" s="2" t="s">
        <v>96</v>
      </c>
      <c r="D142" s="2" t="s">
        <v>13</v>
      </c>
      <c r="E142" s="2">
        <v>18</v>
      </c>
      <c r="F142" s="2">
        <v>9</v>
      </c>
      <c r="G142" s="2" t="s">
        <v>32</v>
      </c>
      <c r="H142" s="2" t="s">
        <v>76</v>
      </c>
      <c r="I142" s="2" t="s">
        <v>319</v>
      </c>
      <c r="J142" s="2">
        <v>86</v>
      </c>
    </row>
    <row r="143" spans="1:10" x14ac:dyDescent="0.3">
      <c r="A143" s="2" t="s">
        <v>320</v>
      </c>
      <c r="B143" s="2" t="s">
        <v>84</v>
      </c>
      <c r="C143" s="2" t="s">
        <v>55</v>
      </c>
      <c r="D143" s="2" t="s">
        <v>31</v>
      </c>
      <c r="E143" s="2">
        <v>16</v>
      </c>
      <c r="F143" s="2">
        <v>12</v>
      </c>
      <c r="G143" s="2" t="s">
        <v>32</v>
      </c>
      <c r="H143" s="2" t="s">
        <v>76</v>
      </c>
      <c r="I143" s="2" t="s">
        <v>321</v>
      </c>
      <c r="J143" s="2">
        <v>66</v>
      </c>
    </row>
    <row r="144" spans="1:10" x14ac:dyDescent="0.3">
      <c r="A144" s="2" t="s">
        <v>322</v>
      </c>
      <c r="B144" s="2" t="s">
        <v>35</v>
      </c>
      <c r="C144" s="2" t="s">
        <v>12</v>
      </c>
      <c r="D144" s="2" t="s">
        <v>13</v>
      </c>
      <c r="E144" s="2">
        <v>14</v>
      </c>
      <c r="F144" s="2">
        <v>11</v>
      </c>
      <c r="G144" s="2" t="s">
        <v>14</v>
      </c>
      <c r="H144" s="2" t="s">
        <v>26</v>
      </c>
      <c r="I144" s="2" t="s">
        <v>323</v>
      </c>
      <c r="J144" s="2">
        <v>93</v>
      </c>
    </row>
    <row r="145" spans="1:10" x14ac:dyDescent="0.3">
      <c r="A145" s="2" t="s">
        <v>324</v>
      </c>
      <c r="B145" s="2" t="s">
        <v>23</v>
      </c>
      <c r="C145" s="2" t="s">
        <v>85</v>
      </c>
      <c r="D145" s="2" t="s">
        <v>31</v>
      </c>
      <c r="E145" s="2">
        <v>16</v>
      </c>
      <c r="F145" s="2">
        <v>9</v>
      </c>
      <c r="G145" s="2" t="s">
        <v>32</v>
      </c>
      <c r="H145" s="2" t="s">
        <v>61</v>
      </c>
      <c r="I145" s="2" t="s">
        <v>325</v>
      </c>
      <c r="J145" s="2">
        <v>54</v>
      </c>
    </row>
    <row r="146" spans="1:10" x14ac:dyDescent="0.3">
      <c r="A146" s="2" t="s">
        <v>326</v>
      </c>
      <c r="B146" s="2" t="s">
        <v>54</v>
      </c>
      <c r="C146" s="2" t="s">
        <v>55</v>
      </c>
      <c r="D146" s="2" t="s">
        <v>13</v>
      </c>
      <c r="E146" s="2">
        <v>20</v>
      </c>
      <c r="F146" s="2">
        <v>9</v>
      </c>
      <c r="G146" s="2" t="s">
        <v>32</v>
      </c>
      <c r="H146" s="2" t="s">
        <v>15</v>
      </c>
      <c r="I146" s="2" t="s">
        <v>77</v>
      </c>
      <c r="J146" s="2">
        <v>75</v>
      </c>
    </row>
    <row r="147" spans="1:10" x14ac:dyDescent="0.3">
      <c r="A147" s="2" t="s">
        <v>327</v>
      </c>
      <c r="B147" s="2" t="s">
        <v>73</v>
      </c>
      <c r="C147" s="2" t="s">
        <v>96</v>
      </c>
      <c r="D147" s="2" t="s">
        <v>13</v>
      </c>
      <c r="E147" s="2">
        <v>20</v>
      </c>
      <c r="F147" s="2">
        <v>9</v>
      </c>
      <c r="G147" s="2" t="s">
        <v>32</v>
      </c>
      <c r="H147" s="2" t="s">
        <v>61</v>
      </c>
      <c r="I147" s="2" t="s">
        <v>328</v>
      </c>
      <c r="J147" s="2">
        <v>40</v>
      </c>
    </row>
    <row r="148" spans="1:10" x14ac:dyDescent="0.3">
      <c r="A148" s="2" t="s">
        <v>329</v>
      </c>
      <c r="B148" s="2" t="s">
        <v>11</v>
      </c>
      <c r="C148" s="2" t="s">
        <v>24</v>
      </c>
      <c r="D148" s="2" t="s">
        <v>31</v>
      </c>
      <c r="E148" s="2">
        <v>15</v>
      </c>
      <c r="F148" s="2">
        <v>9</v>
      </c>
      <c r="G148" s="2" t="s">
        <v>43</v>
      </c>
      <c r="H148" s="2" t="s">
        <v>61</v>
      </c>
      <c r="I148" s="2" t="s">
        <v>330</v>
      </c>
      <c r="J148" s="2">
        <v>83</v>
      </c>
    </row>
    <row r="149" spans="1:10" x14ac:dyDescent="0.3">
      <c r="A149" s="2" t="s">
        <v>331</v>
      </c>
      <c r="B149" s="2" t="s">
        <v>73</v>
      </c>
      <c r="C149" s="2" t="s">
        <v>30</v>
      </c>
      <c r="D149" s="2" t="s">
        <v>31</v>
      </c>
      <c r="E149" s="2">
        <v>19</v>
      </c>
      <c r="F149" s="2">
        <v>10</v>
      </c>
      <c r="G149" s="2" t="s">
        <v>43</v>
      </c>
      <c r="H149" s="2" t="s">
        <v>20</v>
      </c>
      <c r="I149" s="2" t="s">
        <v>191</v>
      </c>
      <c r="J149" s="2">
        <v>93</v>
      </c>
    </row>
    <row r="150" spans="1:10" x14ac:dyDescent="0.3">
      <c r="A150" s="2" t="s">
        <v>332</v>
      </c>
      <c r="B150" s="2" t="s">
        <v>29</v>
      </c>
      <c r="C150" s="2" t="s">
        <v>12</v>
      </c>
      <c r="D150" s="2" t="s">
        <v>31</v>
      </c>
      <c r="E150" s="2">
        <v>16</v>
      </c>
      <c r="F150" s="2">
        <v>11</v>
      </c>
      <c r="G150" s="2" t="s">
        <v>32</v>
      </c>
      <c r="H150" s="2" t="s">
        <v>76</v>
      </c>
      <c r="I150" s="2" t="s">
        <v>333</v>
      </c>
      <c r="J150" s="2">
        <v>42</v>
      </c>
    </row>
    <row r="151" spans="1:10" x14ac:dyDescent="0.3">
      <c r="A151" s="2" t="s">
        <v>334</v>
      </c>
      <c r="B151" s="2" t="s">
        <v>73</v>
      </c>
      <c r="C151" s="2" t="s">
        <v>12</v>
      </c>
      <c r="D151" s="2" t="s">
        <v>31</v>
      </c>
      <c r="E151" s="2">
        <v>18</v>
      </c>
      <c r="F151" s="2">
        <v>11</v>
      </c>
      <c r="G151" s="2" t="s">
        <v>32</v>
      </c>
      <c r="H151" s="2" t="s">
        <v>76</v>
      </c>
      <c r="I151" s="2" t="s">
        <v>335</v>
      </c>
      <c r="J151" s="2">
        <v>97</v>
      </c>
    </row>
    <row r="152" spans="1:10" x14ac:dyDescent="0.3">
      <c r="A152" s="2" t="s">
        <v>336</v>
      </c>
      <c r="B152" s="2" t="s">
        <v>11</v>
      </c>
      <c r="C152" s="2" t="s">
        <v>58</v>
      </c>
      <c r="D152" s="2" t="s">
        <v>31</v>
      </c>
      <c r="E152" s="2">
        <v>19</v>
      </c>
      <c r="F152" s="2">
        <v>12</v>
      </c>
      <c r="G152" s="2" t="s">
        <v>25</v>
      </c>
      <c r="H152" s="2" t="s">
        <v>61</v>
      </c>
      <c r="I152" s="2" t="s">
        <v>218</v>
      </c>
      <c r="J152" s="2">
        <v>68</v>
      </c>
    </row>
    <row r="153" spans="1:10" x14ac:dyDescent="0.3">
      <c r="A153" s="2" t="s">
        <v>337</v>
      </c>
      <c r="B153" s="2" t="s">
        <v>23</v>
      </c>
      <c r="C153" s="2" t="s">
        <v>30</v>
      </c>
      <c r="D153" s="2" t="s">
        <v>31</v>
      </c>
      <c r="E153" s="2">
        <v>19</v>
      </c>
      <c r="F153" s="2">
        <v>9</v>
      </c>
      <c r="G153" s="2" t="s">
        <v>32</v>
      </c>
      <c r="H153" s="2" t="s">
        <v>61</v>
      </c>
      <c r="I153" s="2" t="s">
        <v>338</v>
      </c>
      <c r="J153" s="2">
        <v>51</v>
      </c>
    </row>
    <row r="154" spans="1:10" x14ac:dyDescent="0.3">
      <c r="A154" s="2" t="s">
        <v>339</v>
      </c>
      <c r="B154" s="2" t="s">
        <v>23</v>
      </c>
      <c r="C154" s="2" t="s">
        <v>36</v>
      </c>
      <c r="D154" s="2" t="s">
        <v>13</v>
      </c>
      <c r="E154" s="2">
        <v>18</v>
      </c>
      <c r="F154" s="2">
        <v>9</v>
      </c>
      <c r="G154" s="2" t="s">
        <v>32</v>
      </c>
      <c r="H154" s="2" t="s">
        <v>37</v>
      </c>
      <c r="I154" s="2" t="s">
        <v>340</v>
      </c>
      <c r="J154" s="2">
        <v>64</v>
      </c>
    </row>
    <row r="155" spans="1:10" x14ac:dyDescent="0.3">
      <c r="A155" s="2" t="s">
        <v>341</v>
      </c>
      <c r="B155" s="2" t="s">
        <v>54</v>
      </c>
      <c r="C155" s="2" t="s">
        <v>55</v>
      </c>
      <c r="D155" s="2" t="s">
        <v>13</v>
      </c>
      <c r="E155" s="2">
        <v>14</v>
      </c>
      <c r="F155" s="2">
        <v>9</v>
      </c>
      <c r="G155" s="2" t="s">
        <v>25</v>
      </c>
      <c r="H155" s="2" t="s">
        <v>37</v>
      </c>
      <c r="I155" s="2" t="s">
        <v>342</v>
      </c>
      <c r="J155" s="2">
        <v>82</v>
      </c>
    </row>
    <row r="156" spans="1:10" x14ac:dyDescent="0.3">
      <c r="A156" s="2" t="s">
        <v>343</v>
      </c>
      <c r="B156" s="2" t="s">
        <v>68</v>
      </c>
      <c r="C156" s="2" t="s">
        <v>79</v>
      </c>
      <c r="D156" s="2" t="s">
        <v>13</v>
      </c>
      <c r="E156" s="2">
        <v>19</v>
      </c>
      <c r="F156" s="2">
        <v>11</v>
      </c>
      <c r="G156" s="2" t="s">
        <v>14</v>
      </c>
      <c r="H156" s="2" t="s">
        <v>40</v>
      </c>
      <c r="I156" s="2" t="s">
        <v>344</v>
      </c>
      <c r="J156" s="2">
        <v>35</v>
      </c>
    </row>
    <row r="157" spans="1:10" x14ac:dyDescent="0.3">
      <c r="A157" s="2" t="s">
        <v>345</v>
      </c>
      <c r="B157" s="2" t="s">
        <v>29</v>
      </c>
      <c r="C157" s="2" t="s">
        <v>24</v>
      </c>
      <c r="D157" s="2" t="s">
        <v>31</v>
      </c>
      <c r="E157" s="2">
        <v>15</v>
      </c>
      <c r="F157" s="2">
        <v>9</v>
      </c>
      <c r="G157" s="2" t="s">
        <v>14</v>
      </c>
      <c r="H157" s="2" t="s">
        <v>26</v>
      </c>
      <c r="I157" s="2" t="s">
        <v>346</v>
      </c>
      <c r="J157" s="2">
        <v>49</v>
      </c>
    </row>
    <row r="158" spans="1:10" x14ac:dyDescent="0.3">
      <c r="A158" s="2" t="s">
        <v>347</v>
      </c>
      <c r="B158" s="2" t="s">
        <v>23</v>
      </c>
      <c r="C158" s="2" t="s">
        <v>85</v>
      </c>
      <c r="D158" s="2" t="s">
        <v>31</v>
      </c>
      <c r="E158" s="2">
        <v>15</v>
      </c>
      <c r="F158" s="2">
        <v>11</v>
      </c>
      <c r="G158" s="2" t="s">
        <v>32</v>
      </c>
      <c r="H158" s="2" t="s">
        <v>26</v>
      </c>
      <c r="I158" s="2" t="s">
        <v>348</v>
      </c>
      <c r="J158" s="2">
        <v>37</v>
      </c>
    </row>
    <row r="159" spans="1:10" x14ac:dyDescent="0.3">
      <c r="A159" s="2" t="s">
        <v>349</v>
      </c>
      <c r="B159" s="2" t="s">
        <v>35</v>
      </c>
      <c r="C159" s="2" t="s">
        <v>30</v>
      </c>
      <c r="D159" s="2" t="s">
        <v>31</v>
      </c>
      <c r="E159" s="2">
        <v>18</v>
      </c>
      <c r="F159" s="2">
        <v>12</v>
      </c>
      <c r="G159" s="2" t="s">
        <v>43</v>
      </c>
      <c r="H159" s="2" t="s">
        <v>37</v>
      </c>
      <c r="I159" s="2" t="s">
        <v>350</v>
      </c>
      <c r="J159" s="2">
        <v>53</v>
      </c>
    </row>
    <row r="160" spans="1:10" x14ac:dyDescent="0.3">
      <c r="A160" s="2" t="s">
        <v>351</v>
      </c>
      <c r="B160" s="2" t="s">
        <v>68</v>
      </c>
      <c r="C160" s="2" t="s">
        <v>96</v>
      </c>
      <c r="D160" s="2" t="s">
        <v>13</v>
      </c>
      <c r="E160" s="2">
        <v>15</v>
      </c>
      <c r="F160" s="2">
        <v>10</v>
      </c>
      <c r="G160" s="2" t="s">
        <v>25</v>
      </c>
      <c r="H160" s="2" t="s">
        <v>20</v>
      </c>
      <c r="I160" s="2" t="s">
        <v>352</v>
      </c>
      <c r="J160" s="2">
        <v>50</v>
      </c>
    </row>
    <row r="161" spans="1:10" x14ac:dyDescent="0.3">
      <c r="A161" s="2" t="s">
        <v>353</v>
      </c>
      <c r="B161" s="2" t="s">
        <v>51</v>
      </c>
      <c r="C161" s="2" t="s">
        <v>55</v>
      </c>
      <c r="D161" s="2" t="s">
        <v>31</v>
      </c>
      <c r="E161" s="2">
        <v>20</v>
      </c>
      <c r="F161" s="2">
        <v>9</v>
      </c>
      <c r="G161" s="2" t="s">
        <v>25</v>
      </c>
      <c r="H161" s="2" t="s">
        <v>46</v>
      </c>
      <c r="I161" s="2" t="s">
        <v>354</v>
      </c>
      <c r="J161" s="2">
        <v>53</v>
      </c>
    </row>
    <row r="162" spans="1:10" x14ac:dyDescent="0.3">
      <c r="A162" s="2" t="s">
        <v>355</v>
      </c>
      <c r="B162" s="2" t="s">
        <v>68</v>
      </c>
      <c r="C162" s="2" t="s">
        <v>79</v>
      </c>
      <c r="D162" s="2" t="s">
        <v>13</v>
      </c>
      <c r="E162" s="2">
        <v>15</v>
      </c>
      <c r="F162" s="2">
        <v>12</v>
      </c>
      <c r="G162" s="2" t="s">
        <v>14</v>
      </c>
      <c r="H162" s="2" t="s">
        <v>20</v>
      </c>
      <c r="I162" s="2" t="s">
        <v>356</v>
      </c>
      <c r="J162" s="2">
        <v>37</v>
      </c>
    </row>
    <row r="163" spans="1:10" x14ac:dyDescent="0.3">
      <c r="A163" s="2" t="s">
        <v>357</v>
      </c>
      <c r="B163" s="2" t="s">
        <v>23</v>
      </c>
      <c r="C163" s="2" t="s">
        <v>24</v>
      </c>
      <c r="D163" s="2" t="s">
        <v>13</v>
      </c>
      <c r="E163" s="2">
        <v>16</v>
      </c>
      <c r="F163" s="2">
        <v>9</v>
      </c>
      <c r="G163" s="2" t="s">
        <v>25</v>
      </c>
      <c r="H163" s="2" t="s">
        <v>20</v>
      </c>
      <c r="I163" s="2" t="s">
        <v>358</v>
      </c>
      <c r="J163" s="2">
        <v>66</v>
      </c>
    </row>
    <row r="164" spans="1:10" x14ac:dyDescent="0.3">
      <c r="A164" s="2" t="s">
        <v>359</v>
      </c>
      <c r="B164" s="2" t="s">
        <v>68</v>
      </c>
      <c r="C164" s="2" t="s">
        <v>85</v>
      </c>
      <c r="D164" s="2" t="s">
        <v>13</v>
      </c>
      <c r="E164" s="2">
        <v>19</v>
      </c>
      <c r="F164" s="2">
        <v>11</v>
      </c>
      <c r="G164" s="2" t="s">
        <v>43</v>
      </c>
      <c r="H164" s="2" t="s">
        <v>76</v>
      </c>
      <c r="I164" s="2" t="s">
        <v>360</v>
      </c>
      <c r="J164" s="2">
        <v>64</v>
      </c>
    </row>
    <row r="165" spans="1:10" x14ac:dyDescent="0.3">
      <c r="A165" s="2" t="s">
        <v>361</v>
      </c>
      <c r="B165" s="2" t="s">
        <v>11</v>
      </c>
      <c r="C165" s="2" t="s">
        <v>30</v>
      </c>
      <c r="D165" s="2" t="s">
        <v>13</v>
      </c>
      <c r="E165" s="2">
        <v>20</v>
      </c>
      <c r="F165" s="2">
        <v>10</v>
      </c>
      <c r="G165" s="2" t="s">
        <v>32</v>
      </c>
      <c r="H165" s="2" t="s">
        <v>15</v>
      </c>
      <c r="I165" s="2" t="s">
        <v>362</v>
      </c>
      <c r="J165" s="2">
        <v>49</v>
      </c>
    </row>
    <row r="166" spans="1:10" x14ac:dyDescent="0.3">
      <c r="A166" s="2" t="s">
        <v>363</v>
      </c>
      <c r="B166" s="2" t="s">
        <v>11</v>
      </c>
      <c r="C166" s="2" t="s">
        <v>85</v>
      </c>
      <c r="D166" s="2" t="s">
        <v>31</v>
      </c>
      <c r="E166" s="2">
        <v>15</v>
      </c>
      <c r="F166" s="2">
        <v>10</v>
      </c>
      <c r="G166" s="2" t="s">
        <v>14</v>
      </c>
      <c r="H166" s="2" t="s">
        <v>37</v>
      </c>
      <c r="I166" s="2" t="s">
        <v>364</v>
      </c>
      <c r="J166" s="2">
        <v>71</v>
      </c>
    </row>
    <row r="167" spans="1:10" x14ac:dyDescent="0.3">
      <c r="A167" s="2" t="s">
        <v>365</v>
      </c>
      <c r="B167" s="2" t="s">
        <v>11</v>
      </c>
      <c r="C167" s="2" t="s">
        <v>55</v>
      </c>
      <c r="D167" s="2" t="s">
        <v>13</v>
      </c>
      <c r="E167" s="2">
        <v>16</v>
      </c>
      <c r="F167" s="2">
        <v>10</v>
      </c>
      <c r="G167" s="2" t="s">
        <v>32</v>
      </c>
      <c r="H167" s="2" t="s">
        <v>15</v>
      </c>
      <c r="I167" s="2" t="s">
        <v>366</v>
      </c>
      <c r="J167" s="2">
        <v>72</v>
      </c>
    </row>
    <row r="168" spans="1:10" x14ac:dyDescent="0.3">
      <c r="A168" s="2" t="s">
        <v>367</v>
      </c>
      <c r="B168" s="2" t="s">
        <v>35</v>
      </c>
      <c r="C168" s="2" t="s">
        <v>12</v>
      </c>
      <c r="D168" s="2" t="s">
        <v>31</v>
      </c>
      <c r="E168" s="2">
        <v>15</v>
      </c>
      <c r="F168" s="2">
        <v>10</v>
      </c>
      <c r="G168" s="2" t="s">
        <v>32</v>
      </c>
      <c r="H168" s="2" t="s">
        <v>20</v>
      </c>
      <c r="I168" s="2" t="s">
        <v>368</v>
      </c>
      <c r="J168" s="2">
        <v>99</v>
      </c>
    </row>
    <row r="169" spans="1:10" x14ac:dyDescent="0.3">
      <c r="A169" s="2" t="s">
        <v>369</v>
      </c>
      <c r="B169" s="2" t="s">
        <v>23</v>
      </c>
      <c r="C169" s="2" t="s">
        <v>24</v>
      </c>
      <c r="D169" s="2" t="s">
        <v>31</v>
      </c>
      <c r="E169" s="2">
        <v>17</v>
      </c>
      <c r="F169" s="2">
        <v>12</v>
      </c>
      <c r="G169" s="2" t="s">
        <v>43</v>
      </c>
      <c r="H169" s="2" t="s">
        <v>61</v>
      </c>
      <c r="I169" s="2" t="s">
        <v>370</v>
      </c>
      <c r="J169" s="2">
        <v>96</v>
      </c>
    </row>
    <row r="170" spans="1:10" x14ac:dyDescent="0.3">
      <c r="A170" s="2" t="s">
        <v>371</v>
      </c>
      <c r="B170" s="2" t="s">
        <v>35</v>
      </c>
      <c r="C170" s="2" t="s">
        <v>58</v>
      </c>
      <c r="D170" s="2" t="s">
        <v>31</v>
      </c>
      <c r="E170" s="2">
        <v>19</v>
      </c>
      <c r="F170" s="2">
        <v>9</v>
      </c>
      <c r="G170" s="2" t="s">
        <v>14</v>
      </c>
      <c r="H170" s="2" t="s">
        <v>20</v>
      </c>
      <c r="I170" s="2" t="s">
        <v>372</v>
      </c>
      <c r="J170" s="2">
        <v>87</v>
      </c>
    </row>
    <row r="171" spans="1:10" x14ac:dyDescent="0.3">
      <c r="A171" s="2" t="s">
        <v>373</v>
      </c>
      <c r="B171" s="2" t="s">
        <v>51</v>
      </c>
      <c r="C171" s="2" t="s">
        <v>19</v>
      </c>
      <c r="D171" s="2" t="s">
        <v>13</v>
      </c>
      <c r="E171" s="2">
        <v>15</v>
      </c>
      <c r="F171" s="2">
        <v>11</v>
      </c>
      <c r="G171" s="2" t="s">
        <v>14</v>
      </c>
      <c r="H171" s="2" t="s">
        <v>61</v>
      </c>
      <c r="I171" s="2" t="s">
        <v>374</v>
      </c>
      <c r="J171" s="2">
        <v>78</v>
      </c>
    </row>
    <row r="172" spans="1:10" x14ac:dyDescent="0.3">
      <c r="A172" s="2" t="s">
        <v>375</v>
      </c>
      <c r="B172" s="2" t="s">
        <v>35</v>
      </c>
      <c r="C172" s="2" t="s">
        <v>36</v>
      </c>
      <c r="D172" s="2" t="s">
        <v>13</v>
      </c>
      <c r="E172" s="2">
        <v>18</v>
      </c>
      <c r="F172" s="2">
        <v>11</v>
      </c>
      <c r="G172" s="2" t="s">
        <v>25</v>
      </c>
      <c r="H172" s="2" t="s">
        <v>40</v>
      </c>
      <c r="I172" s="2" t="s">
        <v>376</v>
      </c>
      <c r="J172" s="2">
        <v>62</v>
      </c>
    </row>
    <row r="173" spans="1:10" x14ac:dyDescent="0.3">
      <c r="A173" s="2" t="s">
        <v>377</v>
      </c>
      <c r="B173" s="2" t="s">
        <v>35</v>
      </c>
      <c r="C173" s="2" t="s">
        <v>30</v>
      </c>
      <c r="D173" s="2" t="s">
        <v>13</v>
      </c>
      <c r="E173" s="2">
        <v>20</v>
      </c>
      <c r="F173" s="2">
        <v>11</v>
      </c>
      <c r="G173" s="2" t="s">
        <v>32</v>
      </c>
      <c r="H173" s="2" t="s">
        <v>37</v>
      </c>
      <c r="I173" s="2" t="s">
        <v>189</v>
      </c>
      <c r="J173" s="2">
        <v>79</v>
      </c>
    </row>
    <row r="174" spans="1:10" x14ac:dyDescent="0.3">
      <c r="A174" s="2" t="s">
        <v>378</v>
      </c>
      <c r="B174" s="2" t="s">
        <v>18</v>
      </c>
      <c r="C174" s="2" t="s">
        <v>55</v>
      </c>
      <c r="D174" s="2" t="s">
        <v>31</v>
      </c>
      <c r="E174" s="2">
        <v>17</v>
      </c>
      <c r="F174" s="2">
        <v>9</v>
      </c>
      <c r="G174" s="2" t="s">
        <v>32</v>
      </c>
      <c r="H174" s="2" t="s">
        <v>26</v>
      </c>
      <c r="I174" s="2" t="s">
        <v>379</v>
      </c>
      <c r="J174" s="2">
        <v>66</v>
      </c>
    </row>
    <row r="175" spans="1:10" x14ac:dyDescent="0.3">
      <c r="A175" s="2" t="s">
        <v>380</v>
      </c>
      <c r="B175" s="2" t="s">
        <v>11</v>
      </c>
      <c r="C175" s="2" t="s">
        <v>24</v>
      </c>
      <c r="D175" s="2" t="s">
        <v>31</v>
      </c>
      <c r="E175" s="2">
        <v>18</v>
      </c>
      <c r="F175" s="2">
        <v>11</v>
      </c>
      <c r="G175" s="2" t="s">
        <v>32</v>
      </c>
      <c r="H175" s="2" t="s">
        <v>61</v>
      </c>
      <c r="I175" s="2" t="s">
        <v>381</v>
      </c>
      <c r="J175" s="2">
        <v>67</v>
      </c>
    </row>
    <row r="176" spans="1:10" x14ac:dyDescent="0.3">
      <c r="A176" s="2" t="s">
        <v>382</v>
      </c>
      <c r="B176" s="2" t="s">
        <v>51</v>
      </c>
      <c r="C176" s="2" t="s">
        <v>85</v>
      </c>
      <c r="D176" s="2" t="s">
        <v>13</v>
      </c>
      <c r="E176" s="2">
        <v>16</v>
      </c>
      <c r="F176" s="2">
        <v>10</v>
      </c>
      <c r="G176" s="2" t="s">
        <v>43</v>
      </c>
      <c r="H176" s="2" t="s">
        <v>61</v>
      </c>
      <c r="I176" s="2" t="s">
        <v>383</v>
      </c>
      <c r="J176" s="2">
        <v>72</v>
      </c>
    </row>
    <row r="177" spans="1:10" x14ac:dyDescent="0.3">
      <c r="A177" s="2" t="s">
        <v>384</v>
      </c>
      <c r="B177" s="2" t="s">
        <v>54</v>
      </c>
      <c r="C177" s="2" t="s">
        <v>19</v>
      </c>
      <c r="D177" s="2" t="s">
        <v>31</v>
      </c>
      <c r="E177" s="2">
        <v>16</v>
      </c>
      <c r="F177" s="2">
        <v>12</v>
      </c>
      <c r="G177" s="2" t="s">
        <v>25</v>
      </c>
      <c r="H177" s="2" t="s">
        <v>20</v>
      </c>
      <c r="I177" s="2" t="s">
        <v>385</v>
      </c>
      <c r="J177" s="2">
        <v>39</v>
      </c>
    </row>
    <row r="178" spans="1:10" x14ac:dyDescent="0.3">
      <c r="A178" s="2" t="s">
        <v>386</v>
      </c>
      <c r="B178" s="2" t="s">
        <v>68</v>
      </c>
      <c r="C178" s="2" t="s">
        <v>96</v>
      </c>
      <c r="D178" s="2" t="s">
        <v>13</v>
      </c>
      <c r="E178" s="2">
        <v>18</v>
      </c>
      <c r="F178" s="2">
        <v>9</v>
      </c>
      <c r="G178" s="2" t="s">
        <v>25</v>
      </c>
      <c r="H178" s="2" t="s">
        <v>46</v>
      </c>
      <c r="I178" s="2" t="s">
        <v>387</v>
      </c>
      <c r="J178" s="2">
        <v>74</v>
      </c>
    </row>
    <row r="179" spans="1:10" x14ac:dyDescent="0.3">
      <c r="A179" s="2" t="s">
        <v>388</v>
      </c>
      <c r="B179" s="2" t="s">
        <v>73</v>
      </c>
      <c r="C179" s="2" t="s">
        <v>12</v>
      </c>
      <c r="D179" s="2" t="s">
        <v>31</v>
      </c>
      <c r="E179" s="2">
        <v>19</v>
      </c>
      <c r="F179" s="2">
        <v>11</v>
      </c>
      <c r="G179" s="2" t="s">
        <v>43</v>
      </c>
      <c r="H179" s="2" t="s">
        <v>61</v>
      </c>
      <c r="I179" s="2" t="s">
        <v>214</v>
      </c>
      <c r="J179" s="2">
        <v>88</v>
      </c>
    </row>
    <row r="180" spans="1:10" x14ac:dyDescent="0.3">
      <c r="A180" s="2" t="s">
        <v>389</v>
      </c>
      <c r="B180" s="2" t="s">
        <v>54</v>
      </c>
      <c r="C180" s="2" t="s">
        <v>58</v>
      </c>
      <c r="D180" s="2" t="s">
        <v>31</v>
      </c>
      <c r="E180" s="2">
        <v>14</v>
      </c>
      <c r="F180" s="2">
        <v>11</v>
      </c>
      <c r="G180" s="2" t="s">
        <v>32</v>
      </c>
      <c r="H180" s="2" t="s">
        <v>76</v>
      </c>
      <c r="I180" s="2" t="s">
        <v>390</v>
      </c>
      <c r="J180" s="2">
        <v>54</v>
      </c>
    </row>
    <row r="181" spans="1:10" x14ac:dyDescent="0.3">
      <c r="A181" s="2" t="s">
        <v>391</v>
      </c>
      <c r="B181" s="2" t="s">
        <v>68</v>
      </c>
      <c r="C181" s="2" t="s">
        <v>19</v>
      </c>
      <c r="D181" s="2" t="s">
        <v>13</v>
      </c>
      <c r="E181" s="2">
        <v>19</v>
      </c>
      <c r="F181" s="2">
        <v>12</v>
      </c>
      <c r="G181" s="2" t="s">
        <v>25</v>
      </c>
      <c r="H181" s="2" t="s">
        <v>46</v>
      </c>
      <c r="I181" s="2" t="s">
        <v>392</v>
      </c>
      <c r="J181" s="2">
        <v>46</v>
      </c>
    </row>
    <row r="182" spans="1:10" x14ac:dyDescent="0.3">
      <c r="A182" s="2" t="s">
        <v>393</v>
      </c>
      <c r="B182" s="2" t="s">
        <v>68</v>
      </c>
      <c r="C182" s="2" t="s">
        <v>85</v>
      </c>
      <c r="D182" s="2" t="s">
        <v>13</v>
      </c>
      <c r="E182" s="2">
        <v>15</v>
      </c>
      <c r="F182" s="2">
        <v>10</v>
      </c>
      <c r="G182" s="2" t="s">
        <v>32</v>
      </c>
      <c r="H182" s="2" t="s">
        <v>37</v>
      </c>
      <c r="I182" s="2" t="s">
        <v>394</v>
      </c>
      <c r="J182" s="2">
        <v>89</v>
      </c>
    </row>
    <row r="183" spans="1:10" x14ac:dyDescent="0.3">
      <c r="A183" s="2" t="s">
        <v>395</v>
      </c>
      <c r="B183" s="2" t="s">
        <v>11</v>
      </c>
      <c r="C183" s="2" t="s">
        <v>96</v>
      </c>
      <c r="D183" s="2" t="s">
        <v>13</v>
      </c>
      <c r="E183" s="2">
        <v>18</v>
      </c>
      <c r="F183" s="2">
        <v>11</v>
      </c>
      <c r="G183" s="2" t="s">
        <v>25</v>
      </c>
      <c r="H183" s="2" t="s">
        <v>37</v>
      </c>
      <c r="I183" s="2" t="s">
        <v>396</v>
      </c>
      <c r="J183" s="2">
        <v>65</v>
      </c>
    </row>
    <row r="184" spans="1:10" x14ac:dyDescent="0.3">
      <c r="A184" s="2" t="s">
        <v>397</v>
      </c>
      <c r="B184" s="2" t="s">
        <v>23</v>
      </c>
      <c r="C184" s="2" t="s">
        <v>12</v>
      </c>
      <c r="D184" s="2" t="s">
        <v>13</v>
      </c>
      <c r="E184" s="2">
        <v>20</v>
      </c>
      <c r="F184" s="2">
        <v>9</v>
      </c>
      <c r="G184" s="2" t="s">
        <v>25</v>
      </c>
      <c r="H184" s="2" t="s">
        <v>46</v>
      </c>
      <c r="I184" s="2" t="s">
        <v>398</v>
      </c>
      <c r="J184" s="2">
        <v>91</v>
      </c>
    </row>
    <row r="185" spans="1:10" x14ac:dyDescent="0.3">
      <c r="A185" s="2" t="s">
        <v>399</v>
      </c>
      <c r="B185" s="2" t="s">
        <v>35</v>
      </c>
      <c r="C185" s="2" t="s">
        <v>79</v>
      </c>
      <c r="D185" s="2" t="s">
        <v>13</v>
      </c>
      <c r="E185" s="2">
        <v>17</v>
      </c>
      <c r="F185" s="2">
        <v>10</v>
      </c>
      <c r="G185" s="2" t="s">
        <v>43</v>
      </c>
      <c r="H185" s="2" t="s">
        <v>37</v>
      </c>
      <c r="I185" s="2" t="s">
        <v>400</v>
      </c>
      <c r="J185" s="2">
        <v>78</v>
      </c>
    </row>
    <row r="186" spans="1:10" x14ac:dyDescent="0.3">
      <c r="A186" s="2" t="s">
        <v>401</v>
      </c>
      <c r="B186" s="2" t="s">
        <v>11</v>
      </c>
      <c r="C186" s="2" t="s">
        <v>79</v>
      </c>
      <c r="D186" s="2" t="s">
        <v>31</v>
      </c>
      <c r="E186" s="2">
        <v>15</v>
      </c>
      <c r="F186" s="2">
        <v>11</v>
      </c>
      <c r="G186" s="2" t="s">
        <v>43</v>
      </c>
      <c r="H186" s="2" t="s">
        <v>40</v>
      </c>
      <c r="I186" s="2" t="s">
        <v>402</v>
      </c>
      <c r="J186" s="2">
        <v>84</v>
      </c>
    </row>
    <row r="187" spans="1:10" x14ac:dyDescent="0.3">
      <c r="A187" s="2" t="s">
        <v>403</v>
      </c>
      <c r="B187" s="2" t="s">
        <v>11</v>
      </c>
      <c r="C187" s="2" t="s">
        <v>12</v>
      </c>
      <c r="D187" s="2" t="s">
        <v>31</v>
      </c>
      <c r="E187" s="2">
        <v>19</v>
      </c>
      <c r="F187" s="2">
        <v>9</v>
      </c>
      <c r="G187" s="2" t="s">
        <v>43</v>
      </c>
      <c r="H187" s="2" t="s">
        <v>46</v>
      </c>
      <c r="I187" s="2" t="s">
        <v>404</v>
      </c>
      <c r="J187" s="2">
        <v>37</v>
      </c>
    </row>
    <row r="188" spans="1:10" x14ac:dyDescent="0.3">
      <c r="A188" s="2" t="s">
        <v>405</v>
      </c>
      <c r="B188" s="2" t="s">
        <v>18</v>
      </c>
      <c r="C188" s="2" t="s">
        <v>19</v>
      </c>
      <c r="D188" s="2" t="s">
        <v>31</v>
      </c>
      <c r="E188" s="2">
        <v>18</v>
      </c>
      <c r="F188" s="2">
        <v>12</v>
      </c>
      <c r="G188" s="2" t="s">
        <v>25</v>
      </c>
      <c r="H188" s="2" t="s">
        <v>37</v>
      </c>
      <c r="I188" s="2" t="s">
        <v>406</v>
      </c>
      <c r="J188" s="2">
        <v>70</v>
      </c>
    </row>
    <row r="189" spans="1:10" x14ac:dyDescent="0.3">
      <c r="A189" s="2" t="s">
        <v>407</v>
      </c>
      <c r="B189" s="2" t="s">
        <v>29</v>
      </c>
      <c r="C189" s="2" t="s">
        <v>12</v>
      </c>
      <c r="D189" s="2" t="s">
        <v>31</v>
      </c>
      <c r="E189" s="2">
        <v>16</v>
      </c>
      <c r="F189" s="2">
        <v>10</v>
      </c>
      <c r="G189" s="2" t="s">
        <v>14</v>
      </c>
      <c r="H189" s="2" t="s">
        <v>40</v>
      </c>
      <c r="I189" s="2" t="s">
        <v>71</v>
      </c>
      <c r="J189" s="2">
        <v>100</v>
      </c>
    </row>
    <row r="190" spans="1:10" x14ac:dyDescent="0.3">
      <c r="A190" s="2" t="s">
        <v>408</v>
      </c>
      <c r="B190" s="2" t="s">
        <v>51</v>
      </c>
      <c r="C190" s="2" t="s">
        <v>85</v>
      </c>
      <c r="D190" s="2" t="s">
        <v>13</v>
      </c>
      <c r="E190" s="2">
        <v>17</v>
      </c>
      <c r="F190" s="2">
        <v>11</v>
      </c>
      <c r="G190" s="2" t="s">
        <v>25</v>
      </c>
      <c r="H190" s="2" t="s">
        <v>46</v>
      </c>
      <c r="I190" s="2" t="s">
        <v>52</v>
      </c>
      <c r="J190" s="2">
        <v>42</v>
      </c>
    </row>
    <row r="191" spans="1:10" x14ac:dyDescent="0.3">
      <c r="A191" s="2" t="s">
        <v>409</v>
      </c>
      <c r="B191" s="2" t="s">
        <v>84</v>
      </c>
      <c r="C191" s="2" t="s">
        <v>24</v>
      </c>
      <c r="D191" s="2" t="s">
        <v>13</v>
      </c>
      <c r="E191" s="2">
        <v>20</v>
      </c>
      <c r="F191" s="2">
        <v>9</v>
      </c>
      <c r="G191" s="2" t="s">
        <v>25</v>
      </c>
      <c r="H191" s="2" t="s">
        <v>46</v>
      </c>
      <c r="I191" s="2" t="s">
        <v>290</v>
      </c>
      <c r="J191" s="2">
        <v>68</v>
      </c>
    </row>
    <row r="192" spans="1:10" x14ac:dyDescent="0.3">
      <c r="A192" s="2" t="s">
        <v>410</v>
      </c>
      <c r="B192" s="2" t="s">
        <v>18</v>
      </c>
      <c r="C192" s="2" t="s">
        <v>55</v>
      </c>
      <c r="D192" s="2" t="s">
        <v>31</v>
      </c>
      <c r="E192" s="2">
        <v>20</v>
      </c>
      <c r="F192" s="2">
        <v>10</v>
      </c>
      <c r="G192" s="2" t="s">
        <v>43</v>
      </c>
      <c r="H192" s="2" t="s">
        <v>40</v>
      </c>
      <c r="I192" s="2" t="s">
        <v>411</v>
      </c>
      <c r="J192" s="2">
        <v>59</v>
      </c>
    </row>
    <row r="193" spans="1:10" x14ac:dyDescent="0.3">
      <c r="A193" s="2" t="s">
        <v>412</v>
      </c>
      <c r="B193" s="2" t="s">
        <v>73</v>
      </c>
      <c r="C193" s="2" t="s">
        <v>55</v>
      </c>
      <c r="D193" s="2" t="s">
        <v>13</v>
      </c>
      <c r="E193" s="2">
        <v>16</v>
      </c>
      <c r="F193" s="2">
        <v>12</v>
      </c>
      <c r="G193" s="2" t="s">
        <v>32</v>
      </c>
      <c r="H193" s="2" t="s">
        <v>46</v>
      </c>
      <c r="I193" s="2" t="s">
        <v>413</v>
      </c>
      <c r="J193" s="2">
        <v>85</v>
      </c>
    </row>
    <row r="194" spans="1:10" x14ac:dyDescent="0.3">
      <c r="A194" s="2" t="s">
        <v>414</v>
      </c>
      <c r="B194" s="2" t="s">
        <v>11</v>
      </c>
      <c r="C194" s="2" t="s">
        <v>55</v>
      </c>
      <c r="D194" s="2" t="s">
        <v>13</v>
      </c>
      <c r="E194" s="2">
        <v>16</v>
      </c>
      <c r="F194" s="2">
        <v>12</v>
      </c>
      <c r="G194" s="2" t="s">
        <v>32</v>
      </c>
      <c r="H194" s="2" t="s">
        <v>37</v>
      </c>
      <c r="I194" s="2" t="s">
        <v>415</v>
      </c>
      <c r="J194" s="2">
        <v>47</v>
      </c>
    </row>
    <row r="195" spans="1:10" x14ac:dyDescent="0.3">
      <c r="A195" s="2" t="s">
        <v>416</v>
      </c>
      <c r="B195" s="2" t="s">
        <v>18</v>
      </c>
      <c r="C195" s="2" t="s">
        <v>79</v>
      </c>
      <c r="D195" s="2" t="s">
        <v>31</v>
      </c>
      <c r="E195" s="2">
        <v>20</v>
      </c>
      <c r="F195" s="2">
        <v>9</v>
      </c>
      <c r="G195" s="2" t="s">
        <v>25</v>
      </c>
      <c r="H195" s="2" t="s">
        <v>37</v>
      </c>
      <c r="I195" s="2" t="s">
        <v>417</v>
      </c>
      <c r="J195" s="2">
        <v>53</v>
      </c>
    </row>
    <row r="196" spans="1:10" x14ac:dyDescent="0.3">
      <c r="A196" s="2" t="s">
        <v>418</v>
      </c>
      <c r="B196" s="2" t="s">
        <v>84</v>
      </c>
      <c r="C196" s="2" t="s">
        <v>24</v>
      </c>
      <c r="D196" s="2" t="s">
        <v>13</v>
      </c>
      <c r="E196" s="2">
        <v>15</v>
      </c>
      <c r="F196" s="2">
        <v>9</v>
      </c>
      <c r="G196" s="2" t="s">
        <v>25</v>
      </c>
      <c r="H196" s="2" t="s">
        <v>20</v>
      </c>
      <c r="I196" s="2" t="s">
        <v>419</v>
      </c>
      <c r="J196" s="2">
        <v>63</v>
      </c>
    </row>
    <row r="197" spans="1:10" x14ac:dyDescent="0.3">
      <c r="A197" s="2" t="s">
        <v>420</v>
      </c>
      <c r="B197" s="2" t="s">
        <v>73</v>
      </c>
      <c r="C197" s="2" t="s">
        <v>85</v>
      </c>
      <c r="D197" s="2" t="s">
        <v>13</v>
      </c>
      <c r="E197" s="2">
        <v>16</v>
      </c>
      <c r="F197" s="2">
        <v>11</v>
      </c>
      <c r="G197" s="2" t="s">
        <v>43</v>
      </c>
      <c r="H197" s="2" t="s">
        <v>46</v>
      </c>
      <c r="I197" s="2" t="s">
        <v>421</v>
      </c>
      <c r="J197" s="2">
        <v>55</v>
      </c>
    </row>
    <row r="198" spans="1:10" x14ac:dyDescent="0.3">
      <c r="A198" s="2" t="s">
        <v>422</v>
      </c>
      <c r="B198" s="2" t="s">
        <v>73</v>
      </c>
      <c r="C198" s="2" t="s">
        <v>96</v>
      </c>
      <c r="D198" s="2" t="s">
        <v>13</v>
      </c>
      <c r="E198" s="2">
        <v>14</v>
      </c>
      <c r="F198" s="2">
        <v>10</v>
      </c>
      <c r="G198" s="2" t="s">
        <v>25</v>
      </c>
      <c r="H198" s="2" t="s">
        <v>15</v>
      </c>
      <c r="I198" s="2" t="s">
        <v>423</v>
      </c>
      <c r="J198" s="2">
        <v>99</v>
      </c>
    </row>
    <row r="199" spans="1:10" x14ac:dyDescent="0.3">
      <c r="A199" s="2" t="s">
        <v>424</v>
      </c>
      <c r="B199" s="2" t="s">
        <v>29</v>
      </c>
      <c r="C199" s="2" t="s">
        <v>36</v>
      </c>
      <c r="D199" s="2" t="s">
        <v>31</v>
      </c>
      <c r="E199" s="2">
        <v>16</v>
      </c>
      <c r="F199" s="2">
        <v>12</v>
      </c>
      <c r="G199" s="2" t="s">
        <v>32</v>
      </c>
      <c r="H199" s="2" t="s">
        <v>37</v>
      </c>
      <c r="I199" s="2" t="s">
        <v>180</v>
      </c>
      <c r="J199" s="2">
        <v>89</v>
      </c>
    </row>
    <row r="200" spans="1:10" x14ac:dyDescent="0.3">
      <c r="A200" s="2" t="s">
        <v>425</v>
      </c>
      <c r="B200" s="2" t="s">
        <v>73</v>
      </c>
      <c r="C200" s="2" t="s">
        <v>30</v>
      </c>
      <c r="D200" s="2" t="s">
        <v>31</v>
      </c>
      <c r="E200" s="2">
        <v>15</v>
      </c>
      <c r="F200" s="2">
        <v>9</v>
      </c>
      <c r="G200" s="2" t="s">
        <v>14</v>
      </c>
      <c r="H200" s="2" t="s">
        <v>76</v>
      </c>
      <c r="I200" s="2" t="s">
        <v>149</v>
      </c>
      <c r="J200" s="2">
        <v>54</v>
      </c>
    </row>
    <row r="201" spans="1:10" x14ac:dyDescent="0.3">
      <c r="A201" s="2" t="s">
        <v>426</v>
      </c>
      <c r="B201" s="2" t="s">
        <v>54</v>
      </c>
      <c r="C201" s="2" t="s">
        <v>96</v>
      </c>
      <c r="D201" s="2" t="s">
        <v>31</v>
      </c>
      <c r="E201" s="2">
        <v>16</v>
      </c>
      <c r="F201" s="2">
        <v>12</v>
      </c>
      <c r="G201" s="2" t="s">
        <v>25</v>
      </c>
      <c r="H201" s="2" t="s">
        <v>20</v>
      </c>
      <c r="I201" s="2" t="s">
        <v>427</v>
      </c>
      <c r="J201" s="2">
        <v>82</v>
      </c>
    </row>
    <row r="202" spans="1:10" x14ac:dyDescent="0.3">
      <c r="A202" s="2" t="s">
        <v>428</v>
      </c>
      <c r="B202" s="2" t="s">
        <v>54</v>
      </c>
      <c r="C202" s="2" t="s">
        <v>55</v>
      </c>
      <c r="D202" s="2" t="s">
        <v>13</v>
      </c>
      <c r="E202" s="2">
        <v>16</v>
      </c>
      <c r="F202" s="2">
        <v>11</v>
      </c>
      <c r="G202" s="2" t="s">
        <v>25</v>
      </c>
      <c r="H202" s="2" t="s">
        <v>15</v>
      </c>
      <c r="I202" s="2" t="s">
        <v>429</v>
      </c>
      <c r="J202" s="2">
        <v>86</v>
      </c>
    </row>
    <row r="203" spans="1:10" x14ac:dyDescent="0.3">
      <c r="A203" s="2" t="s">
        <v>430</v>
      </c>
      <c r="B203" s="2" t="s">
        <v>54</v>
      </c>
      <c r="C203" s="2" t="s">
        <v>30</v>
      </c>
      <c r="D203" s="2" t="s">
        <v>13</v>
      </c>
      <c r="E203" s="2">
        <v>18</v>
      </c>
      <c r="F203" s="2">
        <v>11</v>
      </c>
      <c r="G203" s="2" t="s">
        <v>25</v>
      </c>
      <c r="H203" s="2" t="s">
        <v>26</v>
      </c>
      <c r="I203" s="2" t="s">
        <v>431</v>
      </c>
      <c r="J203" s="2">
        <v>91</v>
      </c>
    </row>
    <row r="204" spans="1:10" x14ac:dyDescent="0.3">
      <c r="A204" s="2" t="s">
        <v>432</v>
      </c>
      <c r="B204" s="2" t="s">
        <v>51</v>
      </c>
      <c r="C204" s="2" t="s">
        <v>24</v>
      </c>
      <c r="D204" s="2" t="s">
        <v>31</v>
      </c>
      <c r="E204" s="2">
        <v>17</v>
      </c>
      <c r="F204" s="2">
        <v>11</v>
      </c>
      <c r="G204" s="2" t="s">
        <v>43</v>
      </c>
      <c r="H204" s="2" t="s">
        <v>15</v>
      </c>
      <c r="I204" s="2" t="s">
        <v>400</v>
      </c>
      <c r="J204" s="2">
        <v>53</v>
      </c>
    </row>
    <row r="205" spans="1:10" x14ac:dyDescent="0.3">
      <c r="A205" s="2" t="s">
        <v>433</v>
      </c>
      <c r="B205" s="2" t="s">
        <v>84</v>
      </c>
      <c r="C205" s="2" t="s">
        <v>36</v>
      </c>
      <c r="D205" s="2" t="s">
        <v>13</v>
      </c>
      <c r="E205" s="2">
        <v>14</v>
      </c>
      <c r="F205" s="2">
        <v>9</v>
      </c>
      <c r="G205" s="2" t="s">
        <v>32</v>
      </c>
      <c r="H205" s="2" t="s">
        <v>15</v>
      </c>
      <c r="I205" s="2" t="s">
        <v>434</v>
      </c>
      <c r="J205" s="2">
        <v>47</v>
      </c>
    </row>
    <row r="206" spans="1:10" x14ac:dyDescent="0.3">
      <c r="A206" s="2" t="s">
        <v>435</v>
      </c>
      <c r="B206" s="2" t="s">
        <v>29</v>
      </c>
      <c r="C206" s="2" t="s">
        <v>30</v>
      </c>
      <c r="D206" s="2" t="s">
        <v>31</v>
      </c>
      <c r="E206" s="2">
        <v>20</v>
      </c>
      <c r="F206" s="2">
        <v>12</v>
      </c>
      <c r="G206" s="2" t="s">
        <v>43</v>
      </c>
      <c r="H206" s="2" t="s">
        <v>26</v>
      </c>
      <c r="I206" s="2" t="s">
        <v>436</v>
      </c>
      <c r="J206" s="2">
        <v>36</v>
      </c>
    </row>
    <row r="207" spans="1:10" x14ac:dyDescent="0.3">
      <c r="A207" s="2" t="s">
        <v>437</v>
      </c>
      <c r="B207" s="2" t="s">
        <v>73</v>
      </c>
      <c r="C207" s="2" t="s">
        <v>30</v>
      </c>
      <c r="D207" s="2" t="s">
        <v>13</v>
      </c>
      <c r="E207" s="2">
        <v>14</v>
      </c>
      <c r="F207" s="2">
        <v>11</v>
      </c>
      <c r="G207" s="2" t="s">
        <v>32</v>
      </c>
      <c r="H207" s="2" t="s">
        <v>76</v>
      </c>
      <c r="I207" s="2" t="s">
        <v>438</v>
      </c>
      <c r="J207" s="2">
        <v>62</v>
      </c>
    </row>
    <row r="208" spans="1:10" x14ac:dyDescent="0.3">
      <c r="A208" s="2" t="s">
        <v>439</v>
      </c>
      <c r="B208" s="2" t="s">
        <v>11</v>
      </c>
      <c r="C208" s="2" t="s">
        <v>12</v>
      </c>
      <c r="D208" s="2" t="s">
        <v>13</v>
      </c>
      <c r="E208" s="2">
        <v>15</v>
      </c>
      <c r="F208" s="2">
        <v>9</v>
      </c>
      <c r="G208" s="2" t="s">
        <v>25</v>
      </c>
      <c r="H208" s="2" t="s">
        <v>15</v>
      </c>
      <c r="I208" s="2" t="s">
        <v>440</v>
      </c>
      <c r="J208" s="2">
        <v>90</v>
      </c>
    </row>
    <row r="209" spans="1:10" x14ac:dyDescent="0.3">
      <c r="A209" s="2" t="s">
        <v>441</v>
      </c>
      <c r="B209" s="2" t="s">
        <v>35</v>
      </c>
      <c r="C209" s="2" t="s">
        <v>12</v>
      </c>
      <c r="D209" s="2" t="s">
        <v>13</v>
      </c>
      <c r="E209" s="2">
        <v>17</v>
      </c>
      <c r="F209" s="2">
        <v>10</v>
      </c>
      <c r="G209" s="2" t="s">
        <v>32</v>
      </c>
      <c r="H209" s="2" t="s">
        <v>15</v>
      </c>
      <c r="I209" s="2" t="s">
        <v>442</v>
      </c>
      <c r="J209" s="2">
        <v>91</v>
      </c>
    </row>
    <row r="210" spans="1:10" x14ac:dyDescent="0.3">
      <c r="A210" s="2" t="s">
        <v>443</v>
      </c>
      <c r="B210" s="2" t="s">
        <v>18</v>
      </c>
      <c r="C210" s="2" t="s">
        <v>96</v>
      </c>
      <c r="D210" s="2" t="s">
        <v>13</v>
      </c>
      <c r="E210" s="2">
        <v>17</v>
      </c>
      <c r="F210" s="2">
        <v>9</v>
      </c>
      <c r="G210" s="2" t="s">
        <v>43</v>
      </c>
      <c r="H210" s="2" t="s">
        <v>37</v>
      </c>
      <c r="I210" s="2" t="s">
        <v>444</v>
      </c>
      <c r="J210" s="2">
        <v>60</v>
      </c>
    </row>
    <row r="211" spans="1:10" x14ac:dyDescent="0.3">
      <c r="A211" s="2" t="s">
        <v>445</v>
      </c>
      <c r="B211" s="2" t="s">
        <v>54</v>
      </c>
      <c r="C211" s="2" t="s">
        <v>96</v>
      </c>
      <c r="D211" s="2" t="s">
        <v>13</v>
      </c>
      <c r="E211" s="2">
        <v>20</v>
      </c>
      <c r="F211" s="2">
        <v>10</v>
      </c>
      <c r="G211" s="2" t="s">
        <v>32</v>
      </c>
      <c r="H211" s="2" t="s">
        <v>46</v>
      </c>
      <c r="I211" s="2" t="s">
        <v>182</v>
      </c>
      <c r="J211" s="2">
        <v>85</v>
      </c>
    </row>
    <row r="212" spans="1:10" x14ac:dyDescent="0.3">
      <c r="A212" s="2" t="s">
        <v>446</v>
      </c>
      <c r="B212" s="2" t="s">
        <v>73</v>
      </c>
      <c r="C212" s="2" t="s">
        <v>24</v>
      </c>
      <c r="D212" s="2" t="s">
        <v>13</v>
      </c>
      <c r="E212" s="2">
        <v>17</v>
      </c>
      <c r="F212" s="2">
        <v>10</v>
      </c>
      <c r="G212" s="2" t="s">
        <v>14</v>
      </c>
      <c r="H212" s="2" t="s">
        <v>20</v>
      </c>
      <c r="I212" s="2" t="s">
        <v>447</v>
      </c>
      <c r="J212" s="2">
        <v>58</v>
      </c>
    </row>
    <row r="213" spans="1:10" x14ac:dyDescent="0.3">
      <c r="A213" s="2" t="s">
        <v>448</v>
      </c>
      <c r="B213" s="2" t="s">
        <v>73</v>
      </c>
      <c r="C213" s="2" t="s">
        <v>36</v>
      </c>
      <c r="D213" s="2" t="s">
        <v>31</v>
      </c>
      <c r="E213" s="2">
        <v>19</v>
      </c>
      <c r="F213" s="2">
        <v>12</v>
      </c>
      <c r="G213" s="2" t="s">
        <v>14</v>
      </c>
      <c r="H213" s="2" t="s">
        <v>37</v>
      </c>
      <c r="I213" s="2" t="s">
        <v>449</v>
      </c>
      <c r="J213" s="2">
        <v>65</v>
      </c>
    </row>
    <row r="214" spans="1:10" x14ac:dyDescent="0.3">
      <c r="A214" s="2" t="s">
        <v>450</v>
      </c>
      <c r="B214" s="2" t="s">
        <v>54</v>
      </c>
      <c r="C214" s="2" t="s">
        <v>55</v>
      </c>
      <c r="D214" s="2" t="s">
        <v>31</v>
      </c>
      <c r="E214" s="2">
        <v>19</v>
      </c>
      <c r="F214" s="2">
        <v>12</v>
      </c>
      <c r="G214" s="2" t="s">
        <v>43</v>
      </c>
      <c r="H214" s="2" t="s">
        <v>20</v>
      </c>
      <c r="I214" s="2" t="s">
        <v>451</v>
      </c>
      <c r="J214" s="2">
        <v>58</v>
      </c>
    </row>
    <row r="215" spans="1:10" x14ac:dyDescent="0.3">
      <c r="A215" s="2" t="s">
        <v>452</v>
      </c>
      <c r="B215" s="2" t="s">
        <v>51</v>
      </c>
      <c r="C215" s="2" t="s">
        <v>12</v>
      </c>
      <c r="D215" s="2" t="s">
        <v>13</v>
      </c>
      <c r="E215" s="2">
        <v>18</v>
      </c>
      <c r="F215" s="2">
        <v>9</v>
      </c>
      <c r="G215" s="2" t="s">
        <v>32</v>
      </c>
      <c r="H215" s="2" t="s">
        <v>76</v>
      </c>
      <c r="I215" s="2" t="s">
        <v>453</v>
      </c>
      <c r="J215" s="2">
        <v>35</v>
      </c>
    </row>
    <row r="216" spans="1:10" x14ac:dyDescent="0.3">
      <c r="A216" s="2" t="s">
        <v>454</v>
      </c>
      <c r="B216" s="2" t="s">
        <v>29</v>
      </c>
      <c r="C216" s="2" t="s">
        <v>12</v>
      </c>
      <c r="D216" s="2" t="s">
        <v>31</v>
      </c>
      <c r="E216" s="2">
        <v>16</v>
      </c>
      <c r="F216" s="2">
        <v>11</v>
      </c>
      <c r="G216" s="2" t="s">
        <v>43</v>
      </c>
      <c r="H216" s="2" t="s">
        <v>61</v>
      </c>
      <c r="I216" s="2" t="s">
        <v>385</v>
      </c>
      <c r="J216" s="2">
        <v>40</v>
      </c>
    </row>
    <row r="217" spans="1:10" x14ac:dyDescent="0.3">
      <c r="A217" s="2" t="s">
        <v>455</v>
      </c>
      <c r="B217" s="2" t="s">
        <v>29</v>
      </c>
      <c r="C217" s="2" t="s">
        <v>30</v>
      </c>
      <c r="D217" s="2" t="s">
        <v>13</v>
      </c>
      <c r="E217" s="2">
        <v>16</v>
      </c>
      <c r="F217" s="2">
        <v>9</v>
      </c>
      <c r="G217" s="2" t="s">
        <v>14</v>
      </c>
      <c r="H217" s="2" t="s">
        <v>61</v>
      </c>
      <c r="I217" s="2" t="s">
        <v>447</v>
      </c>
      <c r="J217" s="2">
        <v>60</v>
      </c>
    </row>
    <row r="218" spans="1:10" x14ac:dyDescent="0.3">
      <c r="A218" s="2" t="s">
        <v>456</v>
      </c>
      <c r="B218" s="2" t="s">
        <v>11</v>
      </c>
      <c r="C218" s="2" t="s">
        <v>55</v>
      </c>
      <c r="D218" s="2" t="s">
        <v>13</v>
      </c>
      <c r="E218" s="2">
        <v>15</v>
      </c>
      <c r="F218" s="2">
        <v>9</v>
      </c>
      <c r="G218" s="2" t="s">
        <v>32</v>
      </c>
      <c r="H218" s="2" t="s">
        <v>61</v>
      </c>
      <c r="I218" s="2" t="s">
        <v>457</v>
      </c>
      <c r="J218" s="2">
        <v>97</v>
      </c>
    </row>
    <row r="219" spans="1:10" x14ac:dyDescent="0.3">
      <c r="A219" s="2" t="s">
        <v>458</v>
      </c>
      <c r="B219" s="2" t="s">
        <v>11</v>
      </c>
      <c r="C219" s="2" t="s">
        <v>55</v>
      </c>
      <c r="D219" s="2" t="s">
        <v>13</v>
      </c>
      <c r="E219" s="2">
        <v>19</v>
      </c>
      <c r="F219" s="2">
        <v>11</v>
      </c>
      <c r="G219" s="2" t="s">
        <v>14</v>
      </c>
      <c r="H219" s="2" t="s">
        <v>46</v>
      </c>
      <c r="I219" s="2" t="s">
        <v>459</v>
      </c>
      <c r="J219" s="2">
        <v>81</v>
      </c>
    </row>
    <row r="220" spans="1:10" x14ac:dyDescent="0.3">
      <c r="A220" s="2" t="s">
        <v>460</v>
      </c>
      <c r="B220" s="2" t="s">
        <v>51</v>
      </c>
      <c r="C220" s="2" t="s">
        <v>96</v>
      </c>
      <c r="D220" s="2" t="s">
        <v>31</v>
      </c>
      <c r="E220" s="2">
        <v>16</v>
      </c>
      <c r="F220" s="2">
        <v>12</v>
      </c>
      <c r="G220" s="2" t="s">
        <v>43</v>
      </c>
      <c r="H220" s="2" t="s">
        <v>15</v>
      </c>
      <c r="I220" s="2" t="s">
        <v>461</v>
      </c>
      <c r="J220" s="2">
        <v>65</v>
      </c>
    </row>
    <row r="221" spans="1:10" x14ac:dyDescent="0.3">
      <c r="A221" s="2" t="s">
        <v>462</v>
      </c>
      <c r="B221" s="2" t="s">
        <v>11</v>
      </c>
      <c r="C221" s="2" t="s">
        <v>24</v>
      </c>
      <c r="D221" s="2" t="s">
        <v>31</v>
      </c>
      <c r="E221" s="2">
        <v>19</v>
      </c>
      <c r="F221" s="2">
        <v>12</v>
      </c>
      <c r="G221" s="2" t="s">
        <v>43</v>
      </c>
      <c r="H221" s="2" t="s">
        <v>37</v>
      </c>
      <c r="I221" s="2" t="s">
        <v>463</v>
      </c>
      <c r="J221" s="2">
        <v>45</v>
      </c>
    </row>
    <row r="222" spans="1:10" x14ac:dyDescent="0.3">
      <c r="A222" s="2" t="s">
        <v>464</v>
      </c>
      <c r="B222" s="2" t="s">
        <v>11</v>
      </c>
      <c r="C222" s="2" t="s">
        <v>36</v>
      </c>
      <c r="D222" s="2" t="s">
        <v>13</v>
      </c>
      <c r="E222" s="2">
        <v>16</v>
      </c>
      <c r="F222" s="2">
        <v>11</v>
      </c>
      <c r="G222" s="2" t="s">
        <v>25</v>
      </c>
      <c r="H222" s="2" t="s">
        <v>40</v>
      </c>
      <c r="I222" s="2" t="s">
        <v>465</v>
      </c>
      <c r="J222" s="2">
        <v>79</v>
      </c>
    </row>
    <row r="223" spans="1:10" x14ac:dyDescent="0.3">
      <c r="A223" s="2" t="s">
        <v>466</v>
      </c>
      <c r="B223" s="2" t="s">
        <v>11</v>
      </c>
      <c r="C223" s="2" t="s">
        <v>55</v>
      </c>
      <c r="D223" s="2" t="s">
        <v>31</v>
      </c>
      <c r="E223" s="2">
        <v>20</v>
      </c>
      <c r="F223" s="2">
        <v>11</v>
      </c>
      <c r="G223" s="2" t="s">
        <v>32</v>
      </c>
      <c r="H223" s="2" t="s">
        <v>40</v>
      </c>
      <c r="I223" s="2" t="s">
        <v>467</v>
      </c>
      <c r="J223" s="2">
        <v>46</v>
      </c>
    </row>
    <row r="224" spans="1:10" x14ac:dyDescent="0.3">
      <c r="A224" s="2" t="s">
        <v>468</v>
      </c>
      <c r="B224" s="2" t="s">
        <v>73</v>
      </c>
      <c r="C224" s="2" t="s">
        <v>12</v>
      </c>
      <c r="D224" s="2" t="s">
        <v>13</v>
      </c>
      <c r="E224" s="2">
        <v>17</v>
      </c>
      <c r="F224" s="2">
        <v>10</v>
      </c>
      <c r="G224" s="2" t="s">
        <v>43</v>
      </c>
      <c r="H224" s="2" t="s">
        <v>15</v>
      </c>
      <c r="I224" s="2" t="s">
        <v>469</v>
      </c>
      <c r="J224" s="2">
        <v>75</v>
      </c>
    </row>
    <row r="225" spans="1:10" x14ac:dyDescent="0.3">
      <c r="A225" s="2" t="s">
        <v>470</v>
      </c>
      <c r="B225" s="2" t="s">
        <v>35</v>
      </c>
      <c r="C225" s="2" t="s">
        <v>96</v>
      </c>
      <c r="D225" s="2" t="s">
        <v>31</v>
      </c>
      <c r="E225" s="2">
        <v>16</v>
      </c>
      <c r="F225" s="2">
        <v>11</v>
      </c>
      <c r="G225" s="2" t="s">
        <v>32</v>
      </c>
      <c r="H225" s="2" t="s">
        <v>61</v>
      </c>
      <c r="I225" s="2" t="s">
        <v>471</v>
      </c>
      <c r="J225" s="2">
        <v>65</v>
      </c>
    </row>
    <row r="226" spans="1:10" x14ac:dyDescent="0.3">
      <c r="A226" s="2" t="s">
        <v>472</v>
      </c>
      <c r="B226" s="2" t="s">
        <v>84</v>
      </c>
      <c r="C226" s="2" t="s">
        <v>79</v>
      </c>
      <c r="D226" s="2" t="s">
        <v>31</v>
      </c>
      <c r="E226" s="2">
        <v>15</v>
      </c>
      <c r="F226" s="2">
        <v>11</v>
      </c>
      <c r="G226" s="2" t="s">
        <v>14</v>
      </c>
      <c r="H226" s="2" t="s">
        <v>40</v>
      </c>
      <c r="I226" s="2" t="s">
        <v>317</v>
      </c>
      <c r="J226" s="2">
        <v>72</v>
      </c>
    </row>
    <row r="227" spans="1:10" x14ac:dyDescent="0.3">
      <c r="A227" s="2" t="s">
        <v>473</v>
      </c>
      <c r="B227" s="2" t="s">
        <v>18</v>
      </c>
      <c r="C227" s="2" t="s">
        <v>19</v>
      </c>
      <c r="D227" s="2" t="s">
        <v>31</v>
      </c>
      <c r="E227" s="2">
        <v>16</v>
      </c>
      <c r="F227" s="2">
        <v>11</v>
      </c>
      <c r="G227" s="2" t="s">
        <v>14</v>
      </c>
      <c r="H227" s="2" t="s">
        <v>61</v>
      </c>
      <c r="I227" s="2" t="s">
        <v>474</v>
      </c>
      <c r="J227" s="2">
        <v>75</v>
      </c>
    </row>
    <row r="228" spans="1:10" x14ac:dyDescent="0.3">
      <c r="A228" s="2" t="s">
        <v>475</v>
      </c>
      <c r="B228" s="2" t="s">
        <v>35</v>
      </c>
      <c r="C228" s="2" t="s">
        <v>79</v>
      </c>
      <c r="D228" s="2" t="s">
        <v>13</v>
      </c>
      <c r="E228" s="2">
        <v>17</v>
      </c>
      <c r="F228" s="2">
        <v>9</v>
      </c>
      <c r="G228" s="2" t="s">
        <v>32</v>
      </c>
      <c r="H228" s="2" t="s">
        <v>15</v>
      </c>
      <c r="I228" s="2" t="s">
        <v>248</v>
      </c>
      <c r="J228" s="2">
        <v>50</v>
      </c>
    </row>
    <row r="229" spans="1:10" x14ac:dyDescent="0.3">
      <c r="A229" s="2" t="s">
        <v>476</v>
      </c>
      <c r="B229" s="2" t="s">
        <v>29</v>
      </c>
      <c r="C229" s="2" t="s">
        <v>55</v>
      </c>
      <c r="D229" s="2" t="s">
        <v>13</v>
      </c>
      <c r="E229" s="2">
        <v>19</v>
      </c>
      <c r="F229" s="2">
        <v>10</v>
      </c>
      <c r="G229" s="2" t="s">
        <v>43</v>
      </c>
      <c r="H229" s="2" t="s">
        <v>26</v>
      </c>
      <c r="I229" s="2" t="s">
        <v>477</v>
      </c>
      <c r="J229" s="2">
        <v>88</v>
      </c>
    </row>
    <row r="230" spans="1:10" x14ac:dyDescent="0.3">
      <c r="A230" s="2" t="s">
        <v>478</v>
      </c>
      <c r="B230" s="2" t="s">
        <v>11</v>
      </c>
      <c r="C230" s="2" t="s">
        <v>36</v>
      </c>
      <c r="D230" s="2" t="s">
        <v>13</v>
      </c>
      <c r="E230" s="2">
        <v>17</v>
      </c>
      <c r="F230" s="2">
        <v>12</v>
      </c>
      <c r="G230" s="2" t="s">
        <v>14</v>
      </c>
      <c r="H230" s="2" t="s">
        <v>37</v>
      </c>
      <c r="I230" s="2" t="s">
        <v>479</v>
      </c>
      <c r="J230" s="2">
        <v>63</v>
      </c>
    </row>
    <row r="231" spans="1:10" x14ac:dyDescent="0.3">
      <c r="A231" s="2" t="s">
        <v>480</v>
      </c>
      <c r="B231" s="2" t="s">
        <v>35</v>
      </c>
      <c r="C231" s="2" t="s">
        <v>12</v>
      </c>
      <c r="D231" s="2" t="s">
        <v>31</v>
      </c>
      <c r="E231" s="2">
        <v>18</v>
      </c>
      <c r="F231" s="2">
        <v>10</v>
      </c>
      <c r="G231" s="2" t="s">
        <v>14</v>
      </c>
      <c r="H231" s="2" t="s">
        <v>37</v>
      </c>
      <c r="I231" s="2" t="s">
        <v>481</v>
      </c>
      <c r="J231" s="2">
        <v>36</v>
      </c>
    </row>
    <row r="232" spans="1:10" x14ac:dyDescent="0.3">
      <c r="A232" s="2" t="s">
        <v>482</v>
      </c>
      <c r="B232" s="2" t="s">
        <v>35</v>
      </c>
      <c r="C232" s="2" t="s">
        <v>24</v>
      </c>
      <c r="D232" s="2" t="s">
        <v>13</v>
      </c>
      <c r="E232" s="2">
        <v>18</v>
      </c>
      <c r="F232" s="2">
        <v>11</v>
      </c>
      <c r="G232" s="2" t="s">
        <v>14</v>
      </c>
      <c r="H232" s="2" t="s">
        <v>61</v>
      </c>
      <c r="I232" s="2" t="s">
        <v>483</v>
      </c>
      <c r="J232" s="2">
        <v>86</v>
      </c>
    </row>
    <row r="233" spans="1:10" x14ac:dyDescent="0.3">
      <c r="A233" s="2" t="s">
        <v>484</v>
      </c>
      <c r="B233" s="2" t="s">
        <v>29</v>
      </c>
      <c r="C233" s="2" t="s">
        <v>79</v>
      </c>
      <c r="D233" s="2" t="s">
        <v>31</v>
      </c>
      <c r="E233" s="2">
        <v>14</v>
      </c>
      <c r="F233" s="2">
        <v>11</v>
      </c>
      <c r="G233" s="2" t="s">
        <v>32</v>
      </c>
      <c r="H233" s="2" t="s">
        <v>40</v>
      </c>
      <c r="I233" s="2" t="s">
        <v>184</v>
      </c>
      <c r="J233" s="2">
        <v>42</v>
      </c>
    </row>
    <row r="234" spans="1:10" x14ac:dyDescent="0.3">
      <c r="A234" s="2" t="s">
        <v>485</v>
      </c>
      <c r="B234" s="2" t="s">
        <v>18</v>
      </c>
      <c r="C234" s="2" t="s">
        <v>12</v>
      </c>
      <c r="D234" s="2" t="s">
        <v>31</v>
      </c>
      <c r="E234" s="2">
        <v>16</v>
      </c>
      <c r="F234" s="2">
        <v>12</v>
      </c>
      <c r="G234" s="2" t="s">
        <v>14</v>
      </c>
      <c r="H234" s="2" t="s">
        <v>76</v>
      </c>
      <c r="I234" s="2" t="s">
        <v>486</v>
      </c>
      <c r="J234" s="2">
        <v>70</v>
      </c>
    </row>
    <row r="235" spans="1:10" x14ac:dyDescent="0.3">
      <c r="A235" s="2" t="s">
        <v>487</v>
      </c>
      <c r="B235" s="2" t="s">
        <v>18</v>
      </c>
      <c r="C235" s="2" t="s">
        <v>79</v>
      </c>
      <c r="D235" s="2" t="s">
        <v>13</v>
      </c>
      <c r="E235" s="2">
        <v>16</v>
      </c>
      <c r="F235" s="2">
        <v>11</v>
      </c>
      <c r="G235" s="2" t="s">
        <v>43</v>
      </c>
      <c r="H235" s="2" t="s">
        <v>61</v>
      </c>
      <c r="I235" s="2" t="s">
        <v>488</v>
      </c>
      <c r="J235" s="2">
        <v>86</v>
      </c>
    </row>
    <row r="236" spans="1:10" x14ac:dyDescent="0.3">
      <c r="A236" s="2" t="s">
        <v>489</v>
      </c>
      <c r="B236" s="2" t="s">
        <v>68</v>
      </c>
      <c r="C236" s="2" t="s">
        <v>58</v>
      </c>
      <c r="D236" s="2" t="s">
        <v>31</v>
      </c>
      <c r="E236" s="2">
        <v>20</v>
      </c>
      <c r="F236" s="2">
        <v>10</v>
      </c>
      <c r="G236" s="2" t="s">
        <v>32</v>
      </c>
      <c r="H236" s="2" t="s">
        <v>20</v>
      </c>
      <c r="I236" s="2" t="s">
        <v>370</v>
      </c>
      <c r="J236" s="2">
        <v>93</v>
      </c>
    </row>
    <row r="237" spans="1:10" x14ac:dyDescent="0.3">
      <c r="A237" s="2" t="s">
        <v>490</v>
      </c>
      <c r="B237" s="2" t="s">
        <v>73</v>
      </c>
      <c r="C237" s="2" t="s">
        <v>96</v>
      </c>
      <c r="D237" s="2" t="s">
        <v>13</v>
      </c>
      <c r="E237" s="2">
        <v>17</v>
      </c>
      <c r="F237" s="2">
        <v>10</v>
      </c>
      <c r="G237" s="2" t="s">
        <v>32</v>
      </c>
      <c r="H237" s="2" t="s">
        <v>61</v>
      </c>
      <c r="I237" s="2" t="s">
        <v>491</v>
      </c>
      <c r="J237" s="2">
        <v>60</v>
      </c>
    </row>
    <row r="238" spans="1:10" x14ac:dyDescent="0.3">
      <c r="A238" s="2" t="s">
        <v>492</v>
      </c>
      <c r="B238" s="2" t="s">
        <v>18</v>
      </c>
      <c r="C238" s="2" t="s">
        <v>85</v>
      </c>
      <c r="D238" s="2" t="s">
        <v>31</v>
      </c>
      <c r="E238" s="2">
        <v>19</v>
      </c>
      <c r="F238" s="2">
        <v>11</v>
      </c>
      <c r="G238" s="2" t="s">
        <v>43</v>
      </c>
      <c r="H238" s="2" t="s">
        <v>15</v>
      </c>
      <c r="I238" s="2" t="s">
        <v>394</v>
      </c>
      <c r="J238" s="2">
        <v>50</v>
      </c>
    </row>
    <row r="239" spans="1:10" x14ac:dyDescent="0.3">
      <c r="A239" s="2" t="s">
        <v>493</v>
      </c>
      <c r="B239" s="2" t="s">
        <v>51</v>
      </c>
      <c r="C239" s="2" t="s">
        <v>96</v>
      </c>
      <c r="D239" s="2" t="s">
        <v>31</v>
      </c>
      <c r="E239" s="2">
        <v>14</v>
      </c>
      <c r="F239" s="2">
        <v>12</v>
      </c>
      <c r="G239" s="2" t="s">
        <v>14</v>
      </c>
      <c r="H239" s="2" t="s">
        <v>26</v>
      </c>
      <c r="I239" s="2" t="s">
        <v>494</v>
      </c>
      <c r="J239" s="2">
        <v>47</v>
      </c>
    </row>
    <row r="240" spans="1:10" x14ac:dyDescent="0.3">
      <c r="A240" s="2" t="s">
        <v>495</v>
      </c>
      <c r="B240" s="2" t="s">
        <v>35</v>
      </c>
      <c r="C240" s="2" t="s">
        <v>12</v>
      </c>
      <c r="D240" s="2" t="s">
        <v>13</v>
      </c>
      <c r="E240" s="2">
        <v>15</v>
      </c>
      <c r="F240" s="2">
        <v>12</v>
      </c>
      <c r="G240" s="2" t="s">
        <v>43</v>
      </c>
      <c r="H240" s="2" t="s">
        <v>20</v>
      </c>
      <c r="I240" s="2" t="s">
        <v>496</v>
      </c>
      <c r="J240" s="2">
        <v>49</v>
      </c>
    </row>
    <row r="241" spans="1:10" x14ac:dyDescent="0.3">
      <c r="A241" s="2" t="s">
        <v>497</v>
      </c>
      <c r="B241" s="2" t="s">
        <v>51</v>
      </c>
      <c r="C241" s="2" t="s">
        <v>96</v>
      </c>
      <c r="D241" s="2" t="s">
        <v>13</v>
      </c>
      <c r="E241" s="2">
        <v>16</v>
      </c>
      <c r="F241" s="2">
        <v>9</v>
      </c>
      <c r="G241" s="2" t="s">
        <v>25</v>
      </c>
      <c r="H241" s="2" t="s">
        <v>26</v>
      </c>
      <c r="I241" s="2" t="s">
        <v>498</v>
      </c>
      <c r="J241" s="2">
        <v>42</v>
      </c>
    </row>
    <row r="242" spans="1:10" x14ac:dyDescent="0.3">
      <c r="A242" s="2" t="s">
        <v>499</v>
      </c>
      <c r="B242" s="2" t="s">
        <v>54</v>
      </c>
      <c r="C242" s="2" t="s">
        <v>19</v>
      </c>
      <c r="D242" s="2" t="s">
        <v>31</v>
      </c>
      <c r="E242" s="2">
        <v>20</v>
      </c>
      <c r="F242" s="2">
        <v>9</v>
      </c>
      <c r="G242" s="2" t="s">
        <v>32</v>
      </c>
      <c r="H242" s="2" t="s">
        <v>46</v>
      </c>
      <c r="I242" s="2" t="s">
        <v>500</v>
      </c>
      <c r="J242" s="2">
        <v>42</v>
      </c>
    </row>
    <row r="243" spans="1:10" x14ac:dyDescent="0.3">
      <c r="A243" s="2" t="s">
        <v>501</v>
      </c>
      <c r="B243" s="2" t="s">
        <v>84</v>
      </c>
      <c r="C243" s="2" t="s">
        <v>19</v>
      </c>
      <c r="D243" s="2" t="s">
        <v>13</v>
      </c>
      <c r="E243" s="2">
        <v>18</v>
      </c>
      <c r="F243" s="2">
        <v>10</v>
      </c>
      <c r="G243" s="2" t="s">
        <v>14</v>
      </c>
      <c r="H243" s="2" t="s">
        <v>61</v>
      </c>
      <c r="I243" s="2" t="s">
        <v>502</v>
      </c>
      <c r="J243" s="2">
        <v>76</v>
      </c>
    </row>
    <row r="244" spans="1:10" x14ac:dyDescent="0.3">
      <c r="A244" s="2" t="s">
        <v>503</v>
      </c>
      <c r="B244" s="2" t="s">
        <v>84</v>
      </c>
      <c r="C244" s="2" t="s">
        <v>19</v>
      </c>
      <c r="D244" s="2" t="s">
        <v>31</v>
      </c>
      <c r="E244" s="2">
        <v>15</v>
      </c>
      <c r="F244" s="2">
        <v>10</v>
      </c>
      <c r="G244" s="2" t="s">
        <v>43</v>
      </c>
      <c r="H244" s="2" t="s">
        <v>61</v>
      </c>
      <c r="I244" s="2" t="s">
        <v>504</v>
      </c>
      <c r="J244" s="2">
        <v>44</v>
      </c>
    </row>
    <row r="245" spans="1:10" x14ac:dyDescent="0.3">
      <c r="A245" s="2" t="s">
        <v>505</v>
      </c>
      <c r="B245" s="2" t="s">
        <v>11</v>
      </c>
      <c r="C245" s="2" t="s">
        <v>12</v>
      </c>
      <c r="D245" s="2" t="s">
        <v>31</v>
      </c>
      <c r="E245" s="2">
        <v>19</v>
      </c>
      <c r="F245" s="2">
        <v>10</v>
      </c>
      <c r="G245" s="2" t="s">
        <v>14</v>
      </c>
      <c r="H245" s="2" t="s">
        <v>40</v>
      </c>
      <c r="I245" s="2" t="s">
        <v>506</v>
      </c>
      <c r="J245" s="2">
        <v>77</v>
      </c>
    </row>
    <row r="246" spans="1:10" x14ac:dyDescent="0.3">
      <c r="A246" s="2" t="s">
        <v>507</v>
      </c>
      <c r="B246" s="2" t="s">
        <v>54</v>
      </c>
      <c r="C246" s="2" t="s">
        <v>12</v>
      </c>
      <c r="D246" s="2" t="s">
        <v>31</v>
      </c>
      <c r="E246" s="2">
        <v>16</v>
      </c>
      <c r="F246" s="2">
        <v>12</v>
      </c>
      <c r="G246" s="2" t="s">
        <v>43</v>
      </c>
      <c r="H246" s="2" t="s">
        <v>61</v>
      </c>
      <c r="I246" s="2" t="s">
        <v>483</v>
      </c>
      <c r="J246" s="2">
        <v>45</v>
      </c>
    </row>
    <row r="247" spans="1:10" x14ac:dyDescent="0.3">
      <c r="A247" s="2" t="s">
        <v>508</v>
      </c>
      <c r="B247" s="2" t="s">
        <v>73</v>
      </c>
      <c r="C247" s="2" t="s">
        <v>55</v>
      </c>
      <c r="D247" s="2" t="s">
        <v>13</v>
      </c>
      <c r="E247" s="2">
        <v>15</v>
      </c>
      <c r="F247" s="2">
        <v>11</v>
      </c>
      <c r="G247" s="2" t="s">
        <v>43</v>
      </c>
      <c r="H247" s="2" t="s">
        <v>46</v>
      </c>
      <c r="I247" s="2" t="s">
        <v>509</v>
      </c>
      <c r="J247" s="2">
        <v>54</v>
      </c>
    </row>
    <row r="248" spans="1:10" x14ac:dyDescent="0.3">
      <c r="A248" s="2" t="s">
        <v>510</v>
      </c>
      <c r="B248" s="2" t="s">
        <v>54</v>
      </c>
      <c r="C248" s="2" t="s">
        <v>79</v>
      </c>
      <c r="D248" s="2" t="s">
        <v>31</v>
      </c>
      <c r="E248" s="2">
        <v>15</v>
      </c>
      <c r="F248" s="2">
        <v>9</v>
      </c>
      <c r="G248" s="2" t="s">
        <v>14</v>
      </c>
      <c r="H248" s="2" t="s">
        <v>40</v>
      </c>
      <c r="I248" s="2" t="s">
        <v>479</v>
      </c>
      <c r="J248" s="2">
        <v>66</v>
      </c>
    </row>
    <row r="249" spans="1:10" x14ac:dyDescent="0.3">
      <c r="A249" s="2" t="s">
        <v>511</v>
      </c>
      <c r="B249" s="2" t="s">
        <v>35</v>
      </c>
      <c r="C249" s="2" t="s">
        <v>19</v>
      </c>
      <c r="D249" s="2" t="s">
        <v>31</v>
      </c>
      <c r="E249" s="2">
        <v>15</v>
      </c>
      <c r="F249" s="2">
        <v>9</v>
      </c>
      <c r="G249" s="2" t="s">
        <v>25</v>
      </c>
      <c r="H249" s="2" t="s">
        <v>15</v>
      </c>
      <c r="I249" s="2" t="s">
        <v>512</v>
      </c>
      <c r="J249" s="2">
        <v>95</v>
      </c>
    </row>
    <row r="250" spans="1:10" x14ac:dyDescent="0.3">
      <c r="A250" s="2" t="s">
        <v>513</v>
      </c>
      <c r="B250" s="2" t="s">
        <v>11</v>
      </c>
      <c r="C250" s="2" t="s">
        <v>19</v>
      </c>
      <c r="D250" s="2" t="s">
        <v>31</v>
      </c>
      <c r="E250" s="2">
        <v>14</v>
      </c>
      <c r="F250" s="2">
        <v>12</v>
      </c>
      <c r="G250" s="2" t="s">
        <v>32</v>
      </c>
      <c r="H250" s="2" t="s">
        <v>15</v>
      </c>
      <c r="I250" s="2" t="s">
        <v>381</v>
      </c>
      <c r="J250" s="2">
        <v>65</v>
      </c>
    </row>
    <row r="251" spans="1:10" x14ac:dyDescent="0.3">
      <c r="A251" s="2" t="s">
        <v>514</v>
      </c>
      <c r="B251" s="2" t="s">
        <v>11</v>
      </c>
      <c r="C251" s="2" t="s">
        <v>12</v>
      </c>
      <c r="D251" s="2" t="s">
        <v>31</v>
      </c>
      <c r="E251" s="2">
        <v>15</v>
      </c>
      <c r="F251" s="2">
        <v>11</v>
      </c>
      <c r="G251" s="2" t="s">
        <v>25</v>
      </c>
      <c r="H251" s="2" t="s">
        <v>20</v>
      </c>
      <c r="I251" s="2" t="s">
        <v>515</v>
      </c>
      <c r="J251" s="2">
        <v>61</v>
      </c>
    </row>
    <row r="252" spans="1:10" x14ac:dyDescent="0.3">
      <c r="A252" s="2" t="s">
        <v>516</v>
      </c>
      <c r="B252" s="2" t="s">
        <v>18</v>
      </c>
      <c r="C252" s="2" t="s">
        <v>96</v>
      </c>
      <c r="D252" s="2" t="s">
        <v>31</v>
      </c>
      <c r="E252" s="2">
        <v>14</v>
      </c>
      <c r="F252" s="2">
        <v>11</v>
      </c>
      <c r="G252" s="2" t="s">
        <v>32</v>
      </c>
      <c r="H252" s="2" t="s">
        <v>46</v>
      </c>
      <c r="I252" s="2" t="s">
        <v>517</v>
      </c>
      <c r="J252" s="2">
        <v>86</v>
      </c>
    </row>
    <row r="253" spans="1:10" x14ac:dyDescent="0.3">
      <c r="A253" s="2" t="s">
        <v>518</v>
      </c>
      <c r="B253" s="2" t="s">
        <v>51</v>
      </c>
      <c r="C253" s="2" t="s">
        <v>96</v>
      </c>
      <c r="D253" s="2" t="s">
        <v>31</v>
      </c>
      <c r="E253" s="2">
        <v>17</v>
      </c>
      <c r="F253" s="2">
        <v>11</v>
      </c>
      <c r="G253" s="2" t="s">
        <v>25</v>
      </c>
      <c r="H253" s="2" t="s">
        <v>61</v>
      </c>
      <c r="I253" s="2" t="s">
        <v>519</v>
      </c>
      <c r="J253" s="2">
        <v>52</v>
      </c>
    </row>
    <row r="254" spans="1:10" x14ac:dyDescent="0.3">
      <c r="A254" s="2" t="s">
        <v>520</v>
      </c>
      <c r="B254" s="2" t="s">
        <v>68</v>
      </c>
      <c r="C254" s="2" t="s">
        <v>12</v>
      </c>
      <c r="D254" s="2" t="s">
        <v>31</v>
      </c>
      <c r="E254" s="2">
        <v>20</v>
      </c>
      <c r="F254" s="2">
        <v>10</v>
      </c>
      <c r="G254" s="2" t="s">
        <v>32</v>
      </c>
      <c r="H254" s="2" t="s">
        <v>26</v>
      </c>
      <c r="I254" s="2" t="s">
        <v>521</v>
      </c>
      <c r="J254" s="2">
        <v>42</v>
      </c>
    </row>
    <row r="255" spans="1:10" x14ac:dyDescent="0.3">
      <c r="A255" s="2" t="s">
        <v>522</v>
      </c>
      <c r="B255" s="2" t="s">
        <v>54</v>
      </c>
      <c r="C255" s="2" t="s">
        <v>79</v>
      </c>
      <c r="D255" s="2" t="s">
        <v>31</v>
      </c>
      <c r="E255" s="2">
        <v>18</v>
      </c>
      <c r="F255" s="2">
        <v>10</v>
      </c>
      <c r="G255" s="2" t="s">
        <v>14</v>
      </c>
      <c r="H255" s="2" t="s">
        <v>61</v>
      </c>
      <c r="I255" s="2" t="s">
        <v>523</v>
      </c>
      <c r="J255" s="2">
        <v>82</v>
      </c>
    </row>
    <row r="256" spans="1:10" x14ac:dyDescent="0.3">
      <c r="A256" s="2" t="s">
        <v>524</v>
      </c>
      <c r="B256" s="2" t="s">
        <v>35</v>
      </c>
      <c r="C256" s="2" t="s">
        <v>85</v>
      </c>
      <c r="D256" s="2" t="s">
        <v>13</v>
      </c>
      <c r="E256" s="2">
        <v>20</v>
      </c>
      <c r="F256" s="2">
        <v>10</v>
      </c>
      <c r="G256" s="2" t="s">
        <v>14</v>
      </c>
      <c r="H256" s="2" t="s">
        <v>40</v>
      </c>
      <c r="I256" s="2" t="s">
        <v>525</v>
      </c>
      <c r="J256" s="2">
        <v>92</v>
      </c>
    </row>
    <row r="257" spans="1:10" x14ac:dyDescent="0.3">
      <c r="A257" s="2" t="s">
        <v>526</v>
      </c>
      <c r="B257" s="2" t="s">
        <v>18</v>
      </c>
      <c r="C257" s="2" t="s">
        <v>12</v>
      </c>
      <c r="D257" s="2" t="s">
        <v>31</v>
      </c>
      <c r="E257" s="2">
        <v>18</v>
      </c>
      <c r="F257" s="2">
        <v>9</v>
      </c>
      <c r="G257" s="2" t="s">
        <v>14</v>
      </c>
      <c r="H257" s="2" t="s">
        <v>15</v>
      </c>
      <c r="I257" s="2" t="s">
        <v>346</v>
      </c>
      <c r="J257" s="2">
        <v>59</v>
      </c>
    </row>
    <row r="258" spans="1:10" x14ac:dyDescent="0.3">
      <c r="A258" s="2" t="s">
        <v>527</v>
      </c>
      <c r="B258" s="2" t="s">
        <v>11</v>
      </c>
      <c r="C258" s="2" t="s">
        <v>85</v>
      </c>
      <c r="D258" s="2" t="s">
        <v>13</v>
      </c>
      <c r="E258" s="2">
        <v>20</v>
      </c>
      <c r="F258" s="2">
        <v>12</v>
      </c>
      <c r="G258" s="2" t="s">
        <v>25</v>
      </c>
      <c r="H258" s="2" t="s">
        <v>46</v>
      </c>
      <c r="I258" s="2" t="s">
        <v>451</v>
      </c>
      <c r="J258" s="2">
        <v>86</v>
      </c>
    </row>
    <row r="259" spans="1:10" x14ac:dyDescent="0.3">
      <c r="A259" s="2" t="s">
        <v>528</v>
      </c>
      <c r="B259" s="2" t="s">
        <v>51</v>
      </c>
      <c r="C259" s="2" t="s">
        <v>19</v>
      </c>
      <c r="D259" s="2" t="s">
        <v>13</v>
      </c>
      <c r="E259" s="2">
        <v>19</v>
      </c>
      <c r="F259" s="2">
        <v>9</v>
      </c>
      <c r="G259" s="2" t="s">
        <v>43</v>
      </c>
      <c r="H259" s="2" t="s">
        <v>46</v>
      </c>
      <c r="I259" s="2" t="s">
        <v>222</v>
      </c>
      <c r="J259" s="2">
        <v>46</v>
      </c>
    </row>
    <row r="260" spans="1:10" x14ac:dyDescent="0.3">
      <c r="A260" s="2" t="s">
        <v>529</v>
      </c>
      <c r="B260" s="2" t="s">
        <v>84</v>
      </c>
      <c r="C260" s="2" t="s">
        <v>24</v>
      </c>
      <c r="D260" s="2" t="s">
        <v>31</v>
      </c>
      <c r="E260" s="2">
        <v>20</v>
      </c>
      <c r="F260" s="2">
        <v>12</v>
      </c>
      <c r="G260" s="2" t="s">
        <v>25</v>
      </c>
      <c r="H260" s="2" t="s">
        <v>76</v>
      </c>
      <c r="I260" s="2" t="s">
        <v>186</v>
      </c>
      <c r="J260" s="2">
        <v>51</v>
      </c>
    </row>
    <row r="261" spans="1:10" x14ac:dyDescent="0.3">
      <c r="A261" s="2" t="s">
        <v>530</v>
      </c>
      <c r="B261" s="2" t="s">
        <v>54</v>
      </c>
      <c r="C261" s="2" t="s">
        <v>58</v>
      </c>
      <c r="D261" s="2" t="s">
        <v>13</v>
      </c>
      <c r="E261" s="2">
        <v>17</v>
      </c>
      <c r="F261" s="2">
        <v>10</v>
      </c>
      <c r="G261" s="2" t="s">
        <v>32</v>
      </c>
      <c r="H261" s="2" t="s">
        <v>15</v>
      </c>
      <c r="I261" s="2" t="s">
        <v>64</v>
      </c>
      <c r="J261" s="2">
        <v>46</v>
      </c>
    </row>
    <row r="262" spans="1:10" x14ac:dyDescent="0.3">
      <c r="A262" s="2" t="s">
        <v>531</v>
      </c>
      <c r="B262" s="2" t="s">
        <v>23</v>
      </c>
      <c r="C262" s="2" t="s">
        <v>36</v>
      </c>
      <c r="D262" s="2" t="s">
        <v>13</v>
      </c>
      <c r="E262" s="2">
        <v>20</v>
      </c>
      <c r="F262" s="2">
        <v>11</v>
      </c>
      <c r="G262" s="2" t="s">
        <v>43</v>
      </c>
      <c r="H262" s="2" t="s">
        <v>20</v>
      </c>
      <c r="I262" s="2" t="s">
        <v>178</v>
      </c>
      <c r="J262" s="2">
        <v>44</v>
      </c>
    </row>
    <row r="263" spans="1:10" x14ac:dyDescent="0.3">
      <c r="A263" s="2" t="s">
        <v>532</v>
      </c>
      <c r="B263" s="2" t="s">
        <v>51</v>
      </c>
      <c r="C263" s="2" t="s">
        <v>19</v>
      </c>
      <c r="D263" s="2" t="s">
        <v>31</v>
      </c>
      <c r="E263" s="2">
        <v>14</v>
      </c>
      <c r="F263" s="2">
        <v>11</v>
      </c>
      <c r="G263" s="2" t="s">
        <v>43</v>
      </c>
      <c r="H263" s="2" t="s">
        <v>20</v>
      </c>
      <c r="I263" s="2" t="s">
        <v>533</v>
      </c>
      <c r="J263" s="2">
        <v>93</v>
      </c>
    </row>
    <row r="264" spans="1:10" x14ac:dyDescent="0.3">
      <c r="A264" s="2" t="s">
        <v>534</v>
      </c>
      <c r="B264" s="2" t="s">
        <v>23</v>
      </c>
      <c r="C264" s="2" t="s">
        <v>19</v>
      </c>
      <c r="D264" s="2" t="s">
        <v>13</v>
      </c>
      <c r="E264" s="2">
        <v>20</v>
      </c>
      <c r="F264" s="2">
        <v>11</v>
      </c>
      <c r="G264" s="2" t="s">
        <v>32</v>
      </c>
      <c r="H264" s="2" t="s">
        <v>76</v>
      </c>
      <c r="I264" s="2" t="s">
        <v>358</v>
      </c>
      <c r="J264" s="2">
        <v>41</v>
      </c>
    </row>
    <row r="265" spans="1:10" x14ac:dyDescent="0.3">
      <c r="A265" s="2" t="s">
        <v>535</v>
      </c>
      <c r="B265" s="2" t="s">
        <v>84</v>
      </c>
      <c r="C265" s="2" t="s">
        <v>58</v>
      </c>
      <c r="D265" s="2" t="s">
        <v>13</v>
      </c>
      <c r="E265" s="2">
        <v>20</v>
      </c>
      <c r="F265" s="2">
        <v>9</v>
      </c>
      <c r="G265" s="2" t="s">
        <v>25</v>
      </c>
      <c r="H265" s="2" t="s">
        <v>46</v>
      </c>
      <c r="I265" s="2" t="s">
        <v>536</v>
      </c>
      <c r="J265" s="2">
        <v>58</v>
      </c>
    </row>
    <row r="266" spans="1:10" x14ac:dyDescent="0.3">
      <c r="A266" s="2" t="s">
        <v>537</v>
      </c>
      <c r="B266" s="2" t="s">
        <v>68</v>
      </c>
      <c r="C266" s="2" t="s">
        <v>36</v>
      </c>
      <c r="D266" s="2" t="s">
        <v>31</v>
      </c>
      <c r="E266" s="2">
        <v>16</v>
      </c>
      <c r="F266" s="2">
        <v>12</v>
      </c>
      <c r="G266" s="2" t="s">
        <v>25</v>
      </c>
      <c r="H266" s="2" t="s">
        <v>26</v>
      </c>
      <c r="I266" s="2" t="s">
        <v>538</v>
      </c>
      <c r="J266" s="2">
        <v>42</v>
      </c>
    </row>
    <row r="267" spans="1:10" x14ac:dyDescent="0.3">
      <c r="A267" s="2" t="s">
        <v>539</v>
      </c>
      <c r="B267" s="2" t="s">
        <v>73</v>
      </c>
      <c r="C267" s="2" t="s">
        <v>36</v>
      </c>
      <c r="D267" s="2" t="s">
        <v>31</v>
      </c>
      <c r="E267" s="2">
        <v>14</v>
      </c>
      <c r="F267" s="2">
        <v>12</v>
      </c>
      <c r="G267" s="2" t="s">
        <v>43</v>
      </c>
      <c r="H267" s="2" t="s">
        <v>61</v>
      </c>
      <c r="I267" s="2" t="s">
        <v>387</v>
      </c>
      <c r="J267" s="2">
        <v>37</v>
      </c>
    </row>
    <row r="268" spans="1:10" x14ac:dyDescent="0.3">
      <c r="A268" s="2" t="s">
        <v>540</v>
      </c>
      <c r="B268" s="2" t="s">
        <v>51</v>
      </c>
      <c r="C268" s="2" t="s">
        <v>85</v>
      </c>
      <c r="D268" s="2" t="s">
        <v>13</v>
      </c>
      <c r="E268" s="2">
        <v>18</v>
      </c>
      <c r="F268" s="2">
        <v>10</v>
      </c>
      <c r="G268" s="2" t="s">
        <v>14</v>
      </c>
      <c r="H268" s="2" t="s">
        <v>46</v>
      </c>
      <c r="I268" s="2" t="s">
        <v>541</v>
      </c>
      <c r="J268" s="2">
        <v>63</v>
      </c>
    </row>
    <row r="269" spans="1:10" x14ac:dyDescent="0.3">
      <c r="A269" s="2" t="s">
        <v>542</v>
      </c>
      <c r="B269" s="2" t="s">
        <v>84</v>
      </c>
      <c r="C269" s="2" t="s">
        <v>55</v>
      </c>
      <c r="D269" s="2" t="s">
        <v>31</v>
      </c>
      <c r="E269" s="2">
        <v>18</v>
      </c>
      <c r="F269" s="2">
        <v>12</v>
      </c>
      <c r="G269" s="2" t="s">
        <v>32</v>
      </c>
      <c r="H269" s="2" t="s">
        <v>40</v>
      </c>
      <c r="I269" s="2" t="s">
        <v>543</v>
      </c>
      <c r="J269" s="2">
        <v>51</v>
      </c>
    </row>
    <row r="270" spans="1:10" x14ac:dyDescent="0.3">
      <c r="A270" s="2" t="s">
        <v>544</v>
      </c>
      <c r="B270" s="2" t="s">
        <v>68</v>
      </c>
      <c r="C270" s="2" t="s">
        <v>19</v>
      </c>
      <c r="D270" s="2" t="s">
        <v>31</v>
      </c>
      <c r="E270" s="2">
        <v>16</v>
      </c>
      <c r="F270" s="2">
        <v>9</v>
      </c>
      <c r="G270" s="2" t="s">
        <v>14</v>
      </c>
      <c r="H270" s="2" t="s">
        <v>40</v>
      </c>
      <c r="I270" s="2" t="s">
        <v>545</v>
      </c>
      <c r="J270" s="2">
        <v>37</v>
      </c>
    </row>
    <row r="271" spans="1:10" x14ac:dyDescent="0.3">
      <c r="A271" s="2" t="s">
        <v>546</v>
      </c>
      <c r="B271" s="2" t="s">
        <v>51</v>
      </c>
      <c r="C271" s="2" t="s">
        <v>36</v>
      </c>
      <c r="D271" s="2" t="s">
        <v>31</v>
      </c>
      <c r="E271" s="2">
        <v>14</v>
      </c>
      <c r="F271" s="2">
        <v>9</v>
      </c>
      <c r="G271" s="2" t="s">
        <v>14</v>
      </c>
      <c r="H271" s="2" t="s">
        <v>46</v>
      </c>
      <c r="I271" s="2" t="s">
        <v>547</v>
      </c>
      <c r="J271" s="2">
        <v>81</v>
      </c>
    </row>
    <row r="272" spans="1:10" x14ac:dyDescent="0.3">
      <c r="A272" s="2" t="s">
        <v>548</v>
      </c>
      <c r="B272" s="2" t="s">
        <v>51</v>
      </c>
      <c r="C272" s="2" t="s">
        <v>24</v>
      </c>
      <c r="D272" s="2" t="s">
        <v>31</v>
      </c>
      <c r="E272" s="2">
        <v>15</v>
      </c>
      <c r="F272" s="2">
        <v>11</v>
      </c>
      <c r="G272" s="2" t="s">
        <v>32</v>
      </c>
      <c r="H272" s="2" t="s">
        <v>40</v>
      </c>
      <c r="I272" s="2" t="s">
        <v>549</v>
      </c>
      <c r="J272" s="2">
        <v>90</v>
      </c>
    </row>
    <row r="273" spans="1:10" x14ac:dyDescent="0.3">
      <c r="A273" s="2" t="s">
        <v>550</v>
      </c>
      <c r="B273" s="2" t="s">
        <v>73</v>
      </c>
      <c r="C273" s="2" t="s">
        <v>19</v>
      </c>
      <c r="D273" s="2" t="s">
        <v>13</v>
      </c>
      <c r="E273" s="2">
        <v>14</v>
      </c>
      <c r="F273" s="2">
        <v>11</v>
      </c>
      <c r="G273" s="2" t="s">
        <v>32</v>
      </c>
      <c r="H273" s="2" t="s">
        <v>26</v>
      </c>
      <c r="I273" s="2" t="s">
        <v>551</v>
      </c>
      <c r="J273" s="2">
        <v>90</v>
      </c>
    </row>
    <row r="274" spans="1:10" x14ac:dyDescent="0.3">
      <c r="A274" s="2" t="s">
        <v>552</v>
      </c>
      <c r="B274" s="2" t="s">
        <v>35</v>
      </c>
      <c r="C274" s="2" t="s">
        <v>30</v>
      </c>
      <c r="D274" s="2" t="s">
        <v>13</v>
      </c>
      <c r="E274" s="2">
        <v>19</v>
      </c>
      <c r="F274" s="2">
        <v>11</v>
      </c>
      <c r="G274" s="2" t="s">
        <v>14</v>
      </c>
      <c r="H274" s="2" t="s">
        <v>76</v>
      </c>
      <c r="I274" s="2" t="s">
        <v>553</v>
      </c>
      <c r="J274" s="2">
        <v>81</v>
      </c>
    </row>
    <row r="275" spans="1:10" x14ac:dyDescent="0.3">
      <c r="A275" s="2" t="s">
        <v>554</v>
      </c>
      <c r="B275" s="2" t="s">
        <v>29</v>
      </c>
      <c r="C275" s="2" t="s">
        <v>79</v>
      </c>
      <c r="D275" s="2" t="s">
        <v>13</v>
      </c>
      <c r="E275" s="2">
        <v>15</v>
      </c>
      <c r="F275" s="2">
        <v>9</v>
      </c>
      <c r="G275" s="2" t="s">
        <v>32</v>
      </c>
      <c r="H275" s="2" t="s">
        <v>76</v>
      </c>
      <c r="I275" s="2" t="s">
        <v>184</v>
      </c>
      <c r="J275" s="2">
        <v>53</v>
      </c>
    </row>
    <row r="276" spans="1:10" x14ac:dyDescent="0.3">
      <c r="A276" s="2" t="s">
        <v>555</v>
      </c>
      <c r="B276" s="2" t="s">
        <v>73</v>
      </c>
      <c r="C276" s="2" t="s">
        <v>55</v>
      </c>
      <c r="D276" s="2" t="s">
        <v>31</v>
      </c>
      <c r="E276" s="2">
        <v>16</v>
      </c>
      <c r="F276" s="2">
        <v>9</v>
      </c>
      <c r="G276" s="2" t="s">
        <v>14</v>
      </c>
      <c r="H276" s="2" t="s">
        <v>76</v>
      </c>
      <c r="I276" s="2" t="s">
        <v>556</v>
      </c>
      <c r="J276" s="2">
        <v>93</v>
      </c>
    </row>
    <row r="277" spans="1:10" x14ac:dyDescent="0.3">
      <c r="A277" s="2" t="s">
        <v>557</v>
      </c>
      <c r="B277" s="2" t="s">
        <v>23</v>
      </c>
      <c r="C277" s="2" t="s">
        <v>96</v>
      </c>
      <c r="D277" s="2" t="s">
        <v>13</v>
      </c>
      <c r="E277" s="2">
        <v>18</v>
      </c>
      <c r="F277" s="2">
        <v>11</v>
      </c>
      <c r="G277" s="2" t="s">
        <v>25</v>
      </c>
      <c r="H277" s="2" t="s">
        <v>76</v>
      </c>
      <c r="I277" s="2" t="s">
        <v>182</v>
      </c>
      <c r="J277" s="2">
        <v>77</v>
      </c>
    </row>
    <row r="278" spans="1:10" x14ac:dyDescent="0.3">
      <c r="A278" s="2" t="s">
        <v>558</v>
      </c>
      <c r="B278" s="2" t="s">
        <v>54</v>
      </c>
      <c r="C278" s="2" t="s">
        <v>30</v>
      </c>
      <c r="D278" s="2" t="s">
        <v>31</v>
      </c>
      <c r="E278" s="2">
        <v>19</v>
      </c>
      <c r="F278" s="2">
        <v>10</v>
      </c>
      <c r="G278" s="2" t="s">
        <v>43</v>
      </c>
      <c r="H278" s="2" t="s">
        <v>76</v>
      </c>
      <c r="I278" s="2" t="s">
        <v>559</v>
      </c>
      <c r="J278" s="2">
        <v>40</v>
      </c>
    </row>
    <row r="279" spans="1:10" x14ac:dyDescent="0.3">
      <c r="A279" s="2" t="s">
        <v>560</v>
      </c>
      <c r="B279" s="2" t="s">
        <v>68</v>
      </c>
      <c r="C279" s="2" t="s">
        <v>85</v>
      </c>
      <c r="D279" s="2" t="s">
        <v>31</v>
      </c>
      <c r="E279" s="2">
        <v>15</v>
      </c>
      <c r="F279" s="2">
        <v>10</v>
      </c>
      <c r="G279" s="2" t="s">
        <v>43</v>
      </c>
      <c r="H279" s="2" t="s">
        <v>26</v>
      </c>
      <c r="I279" s="2" t="s">
        <v>561</v>
      </c>
      <c r="J279" s="2">
        <v>63</v>
      </c>
    </row>
    <row r="280" spans="1:10" x14ac:dyDescent="0.3">
      <c r="A280" s="2" t="s">
        <v>562</v>
      </c>
      <c r="B280" s="2" t="s">
        <v>29</v>
      </c>
      <c r="C280" s="2" t="s">
        <v>79</v>
      </c>
      <c r="D280" s="2" t="s">
        <v>31</v>
      </c>
      <c r="E280" s="2">
        <v>15</v>
      </c>
      <c r="F280" s="2">
        <v>12</v>
      </c>
      <c r="G280" s="2" t="s">
        <v>32</v>
      </c>
      <c r="H280" s="2" t="s">
        <v>46</v>
      </c>
      <c r="I280" s="2" t="s">
        <v>121</v>
      </c>
      <c r="J280" s="2">
        <v>53</v>
      </c>
    </row>
    <row r="281" spans="1:10" x14ac:dyDescent="0.3">
      <c r="A281" s="2" t="s">
        <v>563</v>
      </c>
      <c r="B281" s="2" t="s">
        <v>35</v>
      </c>
      <c r="C281" s="2" t="s">
        <v>55</v>
      </c>
      <c r="D281" s="2" t="s">
        <v>31</v>
      </c>
      <c r="E281" s="2">
        <v>19</v>
      </c>
      <c r="F281" s="2">
        <v>10</v>
      </c>
      <c r="G281" s="2" t="s">
        <v>43</v>
      </c>
      <c r="H281" s="2" t="s">
        <v>46</v>
      </c>
      <c r="I281" s="2" t="s">
        <v>564</v>
      </c>
      <c r="J281" s="2">
        <v>72</v>
      </c>
    </row>
    <row r="282" spans="1:10" x14ac:dyDescent="0.3">
      <c r="A282" s="2" t="s">
        <v>565</v>
      </c>
      <c r="B282" s="2" t="s">
        <v>54</v>
      </c>
      <c r="C282" s="2" t="s">
        <v>79</v>
      </c>
      <c r="D282" s="2" t="s">
        <v>31</v>
      </c>
      <c r="E282" s="2">
        <v>20</v>
      </c>
      <c r="F282" s="2">
        <v>9</v>
      </c>
      <c r="G282" s="2" t="s">
        <v>43</v>
      </c>
      <c r="H282" s="2" t="s">
        <v>20</v>
      </c>
      <c r="I282" s="2" t="s">
        <v>566</v>
      </c>
      <c r="J282" s="2">
        <v>67</v>
      </c>
    </row>
    <row r="283" spans="1:10" x14ac:dyDescent="0.3">
      <c r="A283" s="2" t="s">
        <v>567</v>
      </c>
      <c r="B283" s="2" t="s">
        <v>54</v>
      </c>
      <c r="C283" s="2" t="s">
        <v>12</v>
      </c>
      <c r="D283" s="2" t="s">
        <v>31</v>
      </c>
      <c r="E283" s="2">
        <v>18</v>
      </c>
      <c r="F283" s="2">
        <v>12</v>
      </c>
      <c r="G283" s="2" t="s">
        <v>25</v>
      </c>
      <c r="H283" s="2" t="s">
        <v>26</v>
      </c>
      <c r="I283" s="2" t="s">
        <v>568</v>
      </c>
      <c r="J283" s="2">
        <v>96</v>
      </c>
    </row>
    <row r="284" spans="1:10" x14ac:dyDescent="0.3">
      <c r="A284" s="2" t="s">
        <v>569</v>
      </c>
      <c r="B284" s="2" t="s">
        <v>54</v>
      </c>
      <c r="C284" s="2" t="s">
        <v>12</v>
      </c>
      <c r="D284" s="2" t="s">
        <v>31</v>
      </c>
      <c r="E284" s="2">
        <v>17</v>
      </c>
      <c r="F284" s="2">
        <v>9</v>
      </c>
      <c r="G284" s="2" t="s">
        <v>25</v>
      </c>
      <c r="H284" s="2" t="s">
        <v>37</v>
      </c>
      <c r="I284" s="2" t="s">
        <v>570</v>
      </c>
      <c r="J284" s="2">
        <v>100</v>
      </c>
    </row>
    <row r="285" spans="1:10" x14ac:dyDescent="0.3">
      <c r="A285" s="2" t="s">
        <v>571</v>
      </c>
      <c r="B285" s="2" t="s">
        <v>68</v>
      </c>
      <c r="C285" s="2" t="s">
        <v>12</v>
      </c>
      <c r="D285" s="2" t="s">
        <v>13</v>
      </c>
      <c r="E285" s="2">
        <v>16</v>
      </c>
      <c r="F285" s="2">
        <v>10</v>
      </c>
      <c r="G285" s="2" t="s">
        <v>25</v>
      </c>
      <c r="H285" s="2" t="s">
        <v>26</v>
      </c>
      <c r="I285" s="2" t="s">
        <v>434</v>
      </c>
      <c r="J285" s="2">
        <v>63</v>
      </c>
    </row>
    <row r="286" spans="1:10" x14ac:dyDescent="0.3">
      <c r="A286" s="2" t="s">
        <v>572</v>
      </c>
      <c r="B286" s="2" t="s">
        <v>23</v>
      </c>
      <c r="C286" s="2" t="s">
        <v>19</v>
      </c>
      <c r="D286" s="2" t="s">
        <v>31</v>
      </c>
      <c r="E286" s="2">
        <v>19</v>
      </c>
      <c r="F286" s="2">
        <v>10</v>
      </c>
      <c r="G286" s="2" t="s">
        <v>32</v>
      </c>
      <c r="H286" s="2" t="s">
        <v>20</v>
      </c>
      <c r="I286" s="2" t="s">
        <v>400</v>
      </c>
      <c r="J286" s="2">
        <v>53</v>
      </c>
    </row>
    <row r="287" spans="1:10" x14ac:dyDescent="0.3">
      <c r="A287" s="2" t="s">
        <v>573</v>
      </c>
      <c r="B287" s="2" t="s">
        <v>54</v>
      </c>
      <c r="C287" s="2" t="s">
        <v>24</v>
      </c>
      <c r="D287" s="2" t="s">
        <v>13</v>
      </c>
      <c r="E287" s="2">
        <v>19</v>
      </c>
      <c r="F287" s="2">
        <v>9</v>
      </c>
      <c r="G287" s="2" t="s">
        <v>43</v>
      </c>
      <c r="H287" s="2" t="s">
        <v>46</v>
      </c>
      <c r="I287" s="2" t="s">
        <v>574</v>
      </c>
      <c r="J287" s="2">
        <v>94</v>
      </c>
    </row>
    <row r="288" spans="1:10" x14ac:dyDescent="0.3">
      <c r="A288" s="2" t="s">
        <v>575</v>
      </c>
      <c r="B288" s="2" t="s">
        <v>35</v>
      </c>
      <c r="C288" s="2" t="s">
        <v>30</v>
      </c>
      <c r="D288" s="2" t="s">
        <v>31</v>
      </c>
      <c r="E288" s="2">
        <v>14</v>
      </c>
      <c r="F288" s="2">
        <v>10</v>
      </c>
      <c r="G288" s="2" t="s">
        <v>32</v>
      </c>
      <c r="H288" s="2" t="s">
        <v>40</v>
      </c>
      <c r="I288" s="2" t="s">
        <v>576</v>
      </c>
      <c r="J288" s="2">
        <v>50</v>
      </c>
    </row>
    <row r="289" spans="1:10" x14ac:dyDescent="0.3">
      <c r="A289" s="2" t="s">
        <v>577</v>
      </c>
      <c r="B289" s="2" t="s">
        <v>84</v>
      </c>
      <c r="C289" s="2" t="s">
        <v>79</v>
      </c>
      <c r="D289" s="2" t="s">
        <v>31</v>
      </c>
      <c r="E289" s="2">
        <v>15</v>
      </c>
      <c r="F289" s="2">
        <v>11</v>
      </c>
      <c r="G289" s="2" t="s">
        <v>25</v>
      </c>
      <c r="H289" s="2" t="s">
        <v>40</v>
      </c>
      <c r="I289" s="2" t="s">
        <v>578</v>
      </c>
      <c r="J289" s="2">
        <v>72</v>
      </c>
    </row>
    <row r="290" spans="1:10" x14ac:dyDescent="0.3">
      <c r="A290" s="2" t="s">
        <v>579</v>
      </c>
      <c r="B290" s="2" t="s">
        <v>51</v>
      </c>
      <c r="C290" s="2" t="s">
        <v>55</v>
      </c>
      <c r="D290" s="2" t="s">
        <v>31</v>
      </c>
      <c r="E290" s="2">
        <v>20</v>
      </c>
      <c r="F290" s="2">
        <v>9</v>
      </c>
      <c r="G290" s="2" t="s">
        <v>25</v>
      </c>
      <c r="H290" s="2" t="s">
        <v>26</v>
      </c>
      <c r="I290" s="2" t="s">
        <v>212</v>
      </c>
      <c r="J290" s="2">
        <v>35</v>
      </c>
    </row>
    <row r="291" spans="1:10" x14ac:dyDescent="0.3">
      <c r="A291" s="2" t="s">
        <v>580</v>
      </c>
      <c r="B291" s="2" t="s">
        <v>29</v>
      </c>
      <c r="C291" s="2" t="s">
        <v>36</v>
      </c>
      <c r="D291" s="2" t="s">
        <v>13</v>
      </c>
      <c r="E291" s="2">
        <v>17</v>
      </c>
      <c r="F291" s="2">
        <v>10</v>
      </c>
      <c r="G291" s="2" t="s">
        <v>32</v>
      </c>
      <c r="H291" s="2" t="s">
        <v>15</v>
      </c>
      <c r="I291" s="2" t="s">
        <v>581</v>
      </c>
      <c r="J291" s="2">
        <v>37</v>
      </c>
    </row>
    <row r="292" spans="1:10" x14ac:dyDescent="0.3">
      <c r="A292" s="2" t="s">
        <v>582</v>
      </c>
      <c r="B292" s="2" t="s">
        <v>51</v>
      </c>
      <c r="C292" s="2" t="s">
        <v>55</v>
      </c>
      <c r="D292" s="2" t="s">
        <v>31</v>
      </c>
      <c r="E292" s="2">
        <v>14</v>
      </c>
      <c r="F292" s="2">
        <v>11</v>
      </c>
      <c r="G292" s="2" t="s">
        <v>25</v>
      </c>
      <c r="H292" s="2" t="s">
        <v>37</v>
      </c>
      <c r="I292" s="2" t="s">
        <v>583</v>
      </c>
      <c r="J292" s="2">
        <v>47</v>
      </c>
    </row>
    <row r="293" spans="1:10" x14ac:dyDescent="0.3">
      <c r="A293" s="2" t="s">
        <v>584</v>
      </c>
      <c r="B293" s="2" t="s">
        <v>68</v>
      </c>
      <c r="C293" s="2" t="s">
        <v>55</v>
      </c>
      <c r="D293" s="2" t="s">
        <v>31</v>
      </c>
      <c r="E293" s="2">
        <v>16</v>
      </c>
      <c r="F293" s="2">
        <v>9</v>
      </c>
      <c r="G293" s="2" t="s">
        <v>14</v>
      </c>
      <c r="H293" s="2" t="s">
        <v>61</v>
      </c>
      <c r="I293" s="2" t="s">
        <v>585</v>
      </c>
      <c r="J293" s="2">
        <v>59</v>
      </c>
    </row>
    <row r="294" spans="1:10" x14ac:dyDescent="0.3">
      <c r="A294" s="2" t="s">
        <v>586</v>
      </c>
      <c r="B294" s="2" t="s">
        <v>11</v>
      </c>
      <c r="C294" s="2" t="s">
        <v>24</v>
      </c>
      <c r="D294" s="2" t="s">
        <v>31</v>
      </c>
      <c r="E294" s="2">
        <v>17</v>
      </c>
      <c r="F294" s="2">
        <v>11</v>
      </c>
      <c r="G294" s="2" t="s">
        <v>43</v>
      </c>
      <c r="H294" s="2" t="s">
        <v>61</v>
      </c>
      <c r="I294" s="2" t="s">
        <v>587</v>
      </c>
      <c r="J294" s="2">
        <v>73</v>
      </c>
    </row>
    <row r="295" spans="1:10" x14ac:dyDescent="0.3">
      <c r="A295" s="2" t="s">
        <v>588</v>
      </c>
      <c r="B295" s="2" t="s">
        <v>68</v>
      </c>
      <c r="C295" s="2" t="s">
        <v>85</v>
      </c>
      <c r="D295" s="2" t="s">
        <v>31</v>
      </c>
      <c r="E295" s="2">
        <v>17</v>
      </c>
      <c r="F295" s="2">
        <v>9</v>
      </c>
      <c r="G295" s="2" t="s">
        <v>25</v>
      </c>
      <c r="H295" s="2" t="s">
        <v>61</v>
      </c>
      <c r="I295" s="2" t="s">
        <v>589</v>
      </c>
      <c r="J295" s="2">
        <v>45</v>
      </c>
    </row>
    <row r="296" spans="1:10" x14ac:dyDescent="0.3">
      <c r="A296" s="2" t="s">
        <v>590</v>
      </c>
      <c r="B296" s="2" t="s">
        <v>35</v>
      </c>
      <c r="C296" s="2" t="s">
        <v>12</v>
      </c>
      <c r="D296" s="2" t="s">
        <v>13</v>
      </c>
      <c r="E296" s="2">
        <v>14</v>
      </c>
      <c r="F296" s="2">
        <v>11</v>
      </c>
      <c r="G296" s="2" t="s">
        <v>25</v>
      </c>
      <c r="H296" s="2" t="s">
        <v>20</v>
      </c>
      <c r="I296" s="2" t="s">
        <v>591</v>
      </c>
      <c r="J296" s="2">
        <v>64</v>
      </c>
    </row>
    <row r="297" spans="1:10" x14ac:dyDescent="0.3">
      <c r="A297" s="2" t="s">
        <v>592</v>
      </c>
      <c r="B297" s="2" t="s">
        <v>51</v>
      </c>
      <c r="C297" s="2" t="s">
        <v>19</v>
      </c>
      <c r="D297" s="2" t="s">
        <v>31</v>
      </c>
      <c r="E297" s="2">
        <v>18</v>
      </c>
      <c r="F297" s="2">
        <v>10</v>
      </c>
      <c r="G297" s="2" t="s">
        <v>43</v>
      </c>
      <c r="H297" s="2" t="s">
        <v>76</v>
      </c>
      <c r="I297" s="2" t="s">
        <v>593</v>
      </c>
      <c r="J297" s="2">
        <v>98</v>
      </c>
    </row>
    <row r="298" spans="1:10" x14ac:dyDescent="0.3">
      <c r="A298" s="2" t="s">
        <v>594</v>
      </c>
      <c r="B298" s="2" t="s">
        <v>54</v>
      </c>
      <c r="C298" s="2" t="s">
        <v>55</v>
      </c>
      <c r="D298" s="2" t="s">
        <v>13</v>
      </c>
      <c r="E298" s="2">
        <v>20</v>
      </c>
      <c r="F298" s="2">
        <v>11</v>
      </c>
      <c r="G298" s="2" t="s">
        <v>43</v>
      </c>
      <c r="H298" s="2" t="s">
        <v>40</v>
      </c>
      <c r="I298" s="2" t="s">
        <v>595</v>
      </c>
      <c r="J298" s="2">
        <v>84</v>
      </c>
    </row>
    <row r="299" spans="1:10" x14ac:dyDescent="0.3">
      <c r="A299" s="2" t="s">
        <v>596</v>
      </c>
      <c r="B299" s="2" t="s">
        <v>11</v>
      </c>
      <c r="C299" s="2" t="s">
        <v>30</v>
      </c>
      <c r="D299" s="2" t="s">
        <v>13</v>
      </c>
      <c r="E299" s="2">
        <v>14</v>
      </c>
      <c r="F299" s="2">
        <v>9</v>
      </c>
      <c r="G299" s="2" t="s">
        <v>25</v>
      </c>
      <c r="H299" s="2" t="s">
        <v>76</v>
      </c>
      <c r="I299" s="2" t="s">
        <v>447</v>
      </c>
      <c r="J299" s="2">
        <v>62</v>
      </c>
    </row>
    <row r="300" spans="1:10" x14ac:dyDescent="0.3">
      <c r="A300" s="2" t="s">
        <v>597</v>
      </c>
      <c r="B300" s="2" t="s">
        <v>18</v>
      </c>
      <c r="C300" s="2" t="s">
        <v>85</v>
      </c>
      <c r="D300" s="2" t="s">
        <v>31</v>
      </c>
      <c r="E300" s="2">
        <v>18</v>
      </c>
      <c r="F300" s="2">
        <v>11</v>
      </c>
      <c r="G300" s="2" t="s">
        <v>43</v>
      </c>
      <c r="H300" s="2" t="s">
        <v>40</v>
      </c>
      <c r="I300" s="2" t="s">
        <v>598</v>
      </c>
      <c r="J300" s="2">
        <v>55</v>
      </c>
    </row>
    <row r="301" spans="1:10" x14ac:dyDescent="0.3">
      <c r="A301" s="2" t="s">
        <v>599</v>
      </c>
      <c r="B301" s="2" t="s">
        <v>84</v>
      </c>
      <c r="C301" s="2" t="s">
        <v>30</v>
      </c>
      <c r="D301" s="2" t="s">
        <v>13</v>
      </c>
      <c r="E301" s="2">
        <v>17</v>
      </c>
      <c r="F301" s="2">
        <v>11</v>
      </c>
      <c r="G301" s="2" t="s">
        <v>43</v>
      </c>
      <c r="H301" s="2" t="s">
        <v>15</v>
      </c>
      <c r="I301" s="2" t="s">
        <v>600</v>
      </c>
      <c r="J301" s="2">
        <v>73</v>
      </c>
    </row>
    <row r="302" spans="1:10" x14ac:dyDescent="0.3">
      <c r="A302" s="2" t="s">
        <v>601</v>
      </c>
      <c r="B302" s="2" t="s">
        <v>73</v>
      </c>
      <c r="C302" s="2" t="s">
        <v>55</v>
      </c>
      <c r="D302" s="2" t="s">
        <v>31</v>
      </c>
      <c r="E302" s="2">
        <v>17</v>
      </c>
      <c r="F302" s="2">
        <v>11</v>
      </c>
      <c r="G302" s="2" t="s">
        <v>43</v>
      </c>
      <c r="H302" s="2" t="s">
        <v>61</v>
      </c>
      <c r="I302" s="2" t="s">
        <v>502</v>
      </c>
      <c r="J302" s="2">
        <v>76</v>
      </c>
    </row>
    <row r="303" spans="1:10" x14ac:dyDescent="0.3">
      <c r="A303" s="2" t="s">
        <v>602</v>
      </c>
      <c r="B303" s="2" t="s">
        <v>23</v>
      </c>
      <c r="C303" s="2" t="s">
        <v>19</v>
      </c>
      <c r="D303" s="2" t="s">
        <v>13</v>
      </c>
      <c r="E303" s="2">
        <v>15</v>
      </c>
      <c r="F303" s="2">
        <v>12</v>
      </c>
      <c r="G303" s="2" t="s">
        <v>14</v>
      </c>
      <c r="H303" s="2" t="s">
        <v>61</v>
      </c>
      <c r="I303" s="2" t="s">
        <v>603</v>
      </c>
      <c r="J303" s="2">
        <v>54</v>
      </c>
    </row>
    <row r="304" spans="1:10" x14ac:dyDescent="0.3">
      <c r="A304" s="2" t="s">
        <v>604</v>
      </c>
      <c r="B304" s="2" t="s">
        <v>51</v>
      </c>
      <c r="C304" s="2" t="s">
        <v>85</v>
      </c>
      <c r="D304" s="2" t="s">
        <v>31</v>
      </c>
      <c r="E304" s="2">
        <v>20</v>
      </c>
      <c r="F304" s="2">
        <v>12</v>
      </c>
      <c r="G304" s="2" t="s">
        <v>25</v>
      </c>
      <c r="H304" s="2" t="s">
        <v>26</v>
      </c>
      <c r="I304" s="2" t="s">
        <v>299</v>
      </c>
      <c r="J304" s="2">
        <v>69</v>
      </c>
    </row>
    <row r="305" spans="1:10" x14ac:dyDescent="0.3">
      <c r="A305" s="2" t="s">
        <v>605</v>
      </c>
      <c r="B305" s="2" t="s">
        <v>54</v>
      </c>
      <c r="C305" s="2" t="s">
        <v>19</v>
      </c>
      <c r="D305" s="2" t="s">
        <v>31</v>
      </c>
      <c r="E305" s="2">
        <v>20</v>
      </c>
      <c r="F305" s="2">
        <v>10</v>
      </c>
      <c r="G305" s="2" t="s">
        <v>43</v>
      </c>
      <c r="H305" s="2" t="s">
        <v>37</v>
      </c>
      <c r="I305" s="2" t="s">
        <v>606</v>
      </c>
      <c r="J305" s="2">
        <v>99</v>
      </c>
    </row>
    <row r="306" spans="1:10" x14ac:dyDescent="0.3">
      <c r="A306" s="2" t="s">
        <v>607</v>
      </c>
      <c r="B306" s="2" t="s">
        <v>68</v>
      </c>
      <c r="C306" s="2" t="s">
        <v>55</v>
      </c>
      <c r="D306" s="2" t="s">
        <v>13</v>
      </c>
      <c r="E306" s="2">
        <v>19</v>
      </c>
      <c r="F306" s="2">
        <v>11</v>
      </c>
      <c r="G306" s="2" t="s">
        <v>25</v>
      </c>
      <c r="H306" s="2" t="s">
        <v>20</v>
      </c>
      <c r="I306" s="2" t="s">
        <v>608</v>
      </c>
      <c r="J306" s="2">
        <v>43</v>
      </c>
    </row>
    <row r="307" spans="1:10" x14ac:dyDescent="0.3">
      <c r="A307" s="2" t="s">
        <v>609</v>
      </c>
      <c r="B307" s="2" t="s">
        <v>68</v>
      </c>
      <c r="C307" s="2" t="s">
        <v>58</v>
      </c>
      <c r="D307" s="2" t="s">
        <v>13</v>
      </c>
      <c r="E307" s="2">
        <v>14</v>
      </c>
      <c r="F307" s="2">
        <v>10</v>
      </c>
      <c r="G307" s="2" t="s">
        <v>25</v>
      </c>
      <c r="H307" s="2" t="s">
        <v>37</v>
      </c>
      <c r="I307" s="2" t="s">
        <v>610</v>
      </c>
      <c r="J307" s="2">
        <v>90</v>
      </c>
    </row>
    <row r="308" spans="1:10" x14ac:dyDescent="0.3">
      <c r="A308" s="2" t="s">
        <v>611</v>
      </c>
      <c r="B308" s="2" t="s">
        <v>18</v>
      </c>
      <c r="C308" s="2" t="s">
        <v>24</v>
      </c>
      <c r="D308" s="2" t="s">
        <v>31</v>
      </c>
      <c r="E308" s="2">
        <v>19</v>
      </c>
      <c r="F308" s="2">
        <v>12</v>
      </c>
      <c r="G308" s="2" t="s">
        <v>43</v>
      </c>
      <c r="H308" s="2" t="s">
        <v>26</v>
      </c>
      <c r="I308" s="2" t="s">
        <v>612</v>
      </c>
      <c r="J308" s="2">
        <v>82</v>
      </c>
    </row>
    <row r="309" spans="1:10" x14ac:dyDescent="0.3">
      <c r="A309" s="2" t="s">
        <v>613</v>
      </c>
      <c r="B309" s="2" t="s">
        <v>68</v>
      </c>
      <c r="C309" s="2" t="s">
        <v>85</v>
      </c>
      <c r="D309" s="2" t="s">
        <v>31</v>
      </c>
      <c r="E309" s="2">
        <v>15</v>
      </c>
      <c r="F309" s="2">
        <v>9</v>
      </c>
      <c r="G309" s="2" t="s">
        <v>32</v>
      </c>
      <c r="H309" s="2" t="s">
        <v>37</v>
      </c>
      <c r="I309" s="2" t="s">
        <v>614</v>
      </c>
      <c r="J309" s="2">
        <v>39</v>
      </c>
    </row>
    <row r="310" spans="1:10" x14ac:dyDescent="0.3">
      <c r="A310" s="2" t="s">
        <v>615</v>
      </c>
      <c r="B310" s="2" t="s">
        <v>18</v>
      </c>
      <c r="C310" s="2" t="s">
        <v>12</v>
      </c>
      <c r="D310" s="2" t="s">
        <v>13</v>
      </c>
      <c r="E310" s="2">
        <v>17</v>
      </c>
      <c r="F310" s="2">
        <v>12</v>
      </c>
      <c r="G310" s="2" t="s">
        <v>14</v>
      </c>
      <c r="H310" s="2" t="s">
        <v>61</v>
      </c>
      <c r="I310" s="2" t="s">
        <v>616</v>
      </c>
      <c r="J310" s="2">
        <v>99</v>
      </c>
    </row>
    <row r="311" spans="1:10" x14ac:dyDescent="0.3">
      <c r="A311" s="2" t="s">
        <v>617</v>
      </c>
      <c r="B311" s="2" t="s">
        <v>35</v>
      </c>
      <c r="C311" s="2" t="s">
        <v>12</v>
      </c>
      <c r="D311" s="2" t="s">
        <v>13</v>
      </c>
      <c r="E311" s="2">
        <v>15</v>
      </c>
      <c r="F311" s="2">
        <v>9</v>
      </c>
      <c r="G311" s="2" t="s">
        <v>25</v>
      </c>
      <c r="H311" s="2" t="s">
        <v>46</v>
      </c>
      <c r="I311" s="2" t="s">
        <v>155</v>
      </c>
      <c r="J311" s="2">
        <v>85</v>
      </c>
    </row>
    <row r="312" spans="1:10" x14ac:dyDescent="0.3">
      <c r="A312" s="2" t="s">
        <v>618</v>
      </c>
      <c r="B312" s="2" t="s">
        <v>73</v>
      </c>
      <c r="C312" s="2" t="s">
        <v>85</v>
      </c>
      <c r="D312" s="2" t="s">
        <v>31</v>
      </c>
      <c r="E312" s="2">
        <v>14</v>
      </c>
      <c r="F312" s="2">
        <v>11</v>
      </c>
      <c r="G312" s="2" t="s">
        <v>25</v>
      </c>
      <c r="H312" s="2" t="s">
        <v>20</v>
      </c>
      <c r="I312" s="2" t="s">
        <v>619</v>
      </c>
      <c r="J312" s="2">
        <v>67</v>
      </c>
    </row>
    <row r="313" spans="1:10" x14ac:dyDescent="0.3">
      <c r="A313" s="2" t="s">
        <v>620</v>
      </c>
      <c r="B313" s="2" t="s">
        <v>84</v>
      </c>
      <c r="C313" s="2" t="s">
        <v>24</v>
      </c>
      <c r="D313" s="2" t="s">
        <v>31</v>
      </c>
      <c r="E313" s="2">
        <v>19</v>
      </c>
      <c r="F313" s="2">
        <v>12</v>
      </c>
      <c r="G313" s="2" t="s">
        <v>14</v>
      </c>
      <c r="H313" s="2" t="s">
        <v>61</v>
      </c>
      <c r="I313" s="2" t="s">
        <v>621</v>
      </c>
      <c r="J313" s="2">
        <v>77</v>
      </c>
    </row>
    <row r="314" spans="1:10" x14ac:dyDescent="0.3">
      <c r="A314" s="2" t="s">
        <v>622</v>
      </c>
      <c r="B314" s="2" t="s">
        <v>23</v>
      </c>
      <c r="C314" s="2" t="s">
        <v>96</v>
      </c>
      <c r="D314" s="2" t="s">
        <v>31</v>
      </c>
      <c r="E314" s="2">
        <v>17</v>
      </c>
      <c r="F314" s="2">
        <v>12</v>
      </c>
      <c r="G314" s="2" t="s">
        <v>43</v>
      </c>
      <c r="H314" s="2" t="s">
        <v>46</v>
      </c>
      <c r="I314" s="2" t="s">
        <v>170</v>
      </c>
      <c r="J314" s="2">
        <v>62</v>
      </c>
    </row>
    <row r="315" spans="1:10" x14ac:dyDescent="0.3">
      <c r="A315" s="2" t="s">
        <v>623</v>
      </c>
      <c r="B315" s="2" t="s">
        <v>29</v>
      </c>
      <c r="C315" s="2" t="s">
        <v>12</v>
      </c>
      <c r="D315" s="2" t="s">
        <v>31</v>
      </c>
      <c r="E315" s="2">
        <v>19</v>
      </c>
      <c r="F315" s="2">
        <v>11</v>
      </c>
      <c r="G315" s="2" t="s">
        <v>25</v>
      </c>
      <c r="H315" s="2" t="s">
        <v>76</v>
      </c>
      <c r="I315" s="2" t="s">
        <v>624</v>
      </c>
      <c r="J315" s="2">
        <v>49</v>
      </c>
    </row>
    <row r="316" spans="1:10" x14ac:dyDescent="0.3">
      <c r="A316" s="2" t="s">
        <v>625</v>
      </c>
      <c r="B316" s="2" t="s">
        <v>68</v>
      </c>
      <c r="C316" s="2" t="s">
        <v>96</v>
      </c>
      <c r="D316" s="2" t="s">
        <v>31</v>
      </c>
      <c r="E316" s="2">
        <v>19</v>
      </c>
      <c r="F316" s="2">
        <v>12</v>
      </c>
      <c r="G316" s="2" t="s">
        <v>32</v>
      </c>
      <c r="H316" s="2" t="s">
        <v>15</v>
      </c>
      <c r="I316" s="2" t="s">
        <v>626</v>
      </c>
      <c r="J316" s="2">
        <v>86</v>
      </c>
    </row>
    <row r="317" spans="1:10" x14ac:dyDescent="0.3">
      <c r="A317" s="2" t="s">
        <v>627</v>
      </c>
      <c r="B317" s="2" t="s">
        <v>35</v>
      </c>
      <c r="C317" s="2" t="s">
        <v>85</v>
      </c>
      <c r="D317" s="2" t="s">
        <v>31</v>
      </c>
      <c r="E317" s="2">
        <v>16</v>
      </c>
      <c r="F317" s="2">
        <v>9</v>
      </c>
      <c r="G317" s="2" t="s">
        <v>43</v>
      </c>
      <c r="H317" s="2" t="s">
        <v>20</v>
      </c>
      <c r="I317" s="2" t="s">
        <v>628</v>
      </c>
      <c r="J317" s="2">
        <v>84</v>
      </c>
    </row>
    <row r="318" spans="1:10" x14ac:dyDescent="0.3">
      <c r="A318" s="2" t="s">
        <v>629</v>
      </c>
      <c r="B318" s="2" t="s">
        <v>35</v>
      </c>
      <c r="C318" s="2" t="s">
        <v>58</v>
      </c>
      <c r="D318" s="2" t="s">
        <v>13</v>
      </c>
      <c r="E318" s="2">
        <v>18</v>
      </c>
      <c r="F318" s="2">
        <v>9</v>
      </c>
      <c r="G318" s="2" t="s">
        <v>25</v>
      </c>
      <c r="H318" s="2" t="s">
        <v>76</v>
      </c>
      <c r="I318" s="2" t="s">
        <v>105</v>
      </c>
      <c r="J318" s="2">
        <v>82</v>
      </c>
    </row>
    <row r="319" spans="1:10" x14ac:dyDescent="0.3">
      <c r="A319" s="2" t="s">
        <v>630</v>
      </c>
      <c r="B319" s="2" t="s">
        <v>84</v>
      </c>
      <c r="C319" s="2" t="s">
        <v>96</v>
      </c>
      <c r="D319" s="2" t="s">
        <v>31</v>
      </c>
      <c r="E319" s="2">
        <v>19</v>
      </c>
      <c r="F319" s="2">
        <v>10</v>
      </c>
      <c r="G319" s="2" t="s">
        <v>43</v>
      </c>
      <c r="H319" s="2" t="s">
        <v>20</v>
      </c>
      <c r="I319" s="2" t="s">
        <v>631</v>
      </c>
      <c r="J319" s="2">
        <v>63</v>
      </c>
    </row>
    <row r="320" spans="1:10" x14ac:dyDescent="0.3">
      <c r="A320" s="2" t="s">
        <v>632</v>
      </c>
      <c r="B320" s="2" t="s">
        <v>54</v>
      </c>
      <c r="C320" s="2" t="s">
        <v>55</v>
      </c>
      <c r="D320" s="2" t="s">
        <v>31</v>
      </c>
      <c r="E320" s="2">
        <v>19</v>
      </c>
      <c r="F320" s="2">
        <v>11</v>
      </c>
      <c r="G320" s="2" t="s">
        <v>25</v>
      </c>
      <c r="H320" s="2" t="s">
        <v>61</v>
      </c>
      <c r="I320" s="2" t="s">
        <v>633</v>
      </c>
      <c r="J320" s="2">
        <v>82</v>
      </c>
    </row>
    <row r="321" spans="1:10" x14ac:dyDescent="0.3">
      <c r="A321" s="2" t="s">
        <v>634</v>
      </c>
      <c r="B321" s="2" t="s">
        <v>54</v>
      </c>
      <c r="C321" s="2" t="s">
        <v>30</v>
      </c>
      <c r="D321" s="2" t="s">
        <v>31</v>
      </c>
      <c r="E321" s="2">
        <v>15</v>
      </c>
      <c r="F321" s="2">
        <v>9</v>
      </c>
      <c r="G321" s="2" t="s">
        <v>25</v>
      </c>
      <c r="H321" s="2" t="s">
        <v>40</v>
      </c>
      <c r="I321" s="2" t="s">
        <v>635</v>
      </c>
      <c r="J321" s="2">
        <v>53</v>
      </c>
    </row>
    <row r="322" spans="1:10" x14ac:dyDescent="0.3">
      <c r="A322" s="2" t="s">
        <v>636</v>
      </c>
      <c r="B322" s="2" t="s">
        <v>11</v>
      </c>
      <c r="C322" s="2" t="s">
        <v>79</v>
      </c>
      <c r="D322" s="2" t="s">
        <v>13</v>
      </c>
      <c r="E322" s="2">
        <v>19</v>
      </c>
      <c r="F322" s="2">
        <v>9</v>
      </c>
      <c r="G322" s="2" t="s">
        <v>32</v>
      </c>
      <c r="H322" s="2" t="s">
        <v>76</v>
      </c>
      <c r="I322" s="2" t="s">
        <v>637</v>
      </c>
      <c r="J322" s="2">
        <v>97</v>
      </c>
    </row>
    <row r="323" spans="1:10" x14ac:dyDescent="0.3">
      <c r="A323" s="2" t="s">
        <v>638</v>
      </c>
      <c r="B323" s="2" t="s">
        <v>54</v>
      </c>
      <c r="C323" s="2" t="s">
        <v>12</v>
      </c>
      <c r="D323" s="2" t="s">
        <v>31</v>
      </c>
      <c r="E323" s="2">
        <v>15</v>
      </c>
      <c r="F323" s="2">
        <v>12</v>
      </c>
      <c r="G323" s="2" t="s">
        <v>43</v>
      </c>
      <c r="H323" s="2" t="s">
        <v>76</v>
      </c>
      <c r="I323" s="2" t="s">
        <v>639</v>
      </c>
      <c r="J323" s="2">
        <v>51</v>
      </c>
    </row>
    <row r="324" spans="1:10" x14ac:dyDescent="0.3">
      <c r="A324" s="2" t="s">
        <v>640</v>
      </c>
      <c r="B324" s="2" t="s">
        <v>84</v>
      </c>
      <c r="C324" s="2" t="s">
        <v>79</v>
      </c>
      <c r="D324" s="2" t="s">
        <v>31</v>
      </c>
      <c r="E324" s="2">
        <v>14</v>
      </c>
      <c r="F324" s="2">
        <v>9</v>
      </c>
      <c r="G324" s="2" t="s">
        <v>14</v>
      </c>
      <c r="H324" s="2" t="s">
        <v>37</v>
      </c>
      <c r="I324" s="2" t="s">
        <v>641</v>
      </c>
      <c r="J324" s="2">
        <v>43</v>
      </c>
    </row>
    <row r="325" spans="1:10" x14ac:dyDescent="0.3">
      <c r="A325" s="2" t="s">
        <v>642</v>
      </c>
      <c r="B325" s="2" t="s">
        <v>18</v>
      </c>
      <c r="C325" s="2" t="s">
        <v>19</v>
      </c>
      <c r="D325" s="2" t="s">
        <v>13</v>
      </c>
      <c r="E325" s="2">
        <v>14</v>
      </c>
      <c r="F325" s="2">
        <v>9</v>
      </c>
      <c r="G325" s="2" t="s">
        <v>43</v>
      </c>
      <c r="H325" s="2" t="s">
        <v>20</v>
      </c>
      <c r="I325" s="2" t="s">
        <v>643</v>
      </c>
      <c r="J325" s="2">
        <v>57</v>
      </c>
    </row>
    <row r="326" spans="1:10" x14ac:dyDescent="0.3">
      <c r="A326" s="2" t="s">
        <v>644</v>
      </c>
      <c r="B326" s="2" t="s">
        <v>51</v>
      </c>
      <c r="C326" s="2" t="s">
        <v>36</v>
      </c>
      <c r="D326" s="2" t="s">
        <v>31</v>
      </c>
      <c r="E326" s="2">
        <v>16</v>
      </c>
      <c r="F326" s="2">
        <v>11</v>
      </c>
      <c r="G326" s="2" t="s">
        <v>43</v>
      </c>
      <c r="H326" s="2" t="s">
        <v>20</v>
      </c>
      <c r="I326" s="2" t="s">
        <v>645</v>
      </c>
      <c r="J326" s="2">
        <v>81</v>
      </c>
    </row>
    <row r="327" spans="1:10" x14ac:dyDescent="0.3">
      <c r="A327" s="2" t="s">
        <v>646</v>
      </c>
      <c r="B327" s="2" t="s">
        <v>84</v>
      </c>
      <c r="C327" s="2" t="s">
        <v>12</v>
      </c>
      <c r="D327" s="2" t="s">
        <v>31</v>
      </c>
      <c r="E327" s="2">
        <v>17</v>
      </c>
      <c r="F327" s="2">
        <v>12</v>
      </c>
      <c r="G327" s="2" t="s">
        <v>25</v>
      </c>
      <c r="H327" s="2" t="s">
        <v>76</v>
      </c>
      <c r="I327" s="2" t="s">
        <v>647</v>
      </c>
      <c r="J327" s="2">
        <v>83</v>
      </c>
    </row>
    <row r="328" spans="1:10" x14ac:dyDescent="0.3">
      <c r="A328" s="2" t="s">
        <v>648</v>
      </c>
      <c r="B328" s="2" t="s">
        <v>51</v>
      </c>
      <c r="C328" s="2" t="s">
        <v>79</v>
      </c>
      <c r="D328" s="2" t="s">
        <v>13</v>
      </c>
      <c r="E328" s="2">
        <v>14</v>
      </c>
      <c r="F328" s="2">
        <v>9</v>
      </c>
      <c r="G328" s="2" t="s">
        <v>25</v>
      </c>
      <c r="H328" s="2" t="s">
        <v>15</v>
      </c>
      <c r="I328" s="2" t="s">
        <v>649</v>
      </c>
      <c r="J328" s="2">
        <v>77</v>
      </c>
    </row>
    <row r="329" spans="1:10" x14ac:dyDescent="0.3">
      <c r="A329" s="2" t="s">
        <v>650</v>
      </c>
      <c r="B329" s="2" t="s">
        <v>23</v>
      </c>
      <c r="C329" s="2" t="s">
        <v>24</v>
      </c>
      <c r="D329" s="2" t="s">
        <v>13</v>
      </c>
      <c r="E329" s="2">
        <v>17</v>
      </c>
      <c r="F329" s="2">
        <v>12</v>
      </c>
      <c r="G329" s="2" t="s">
        <v>25</v>
      </c>
      <c r="H329" s="2" t="s">
        <v>46</v>
      </c>
      <c r="I329" s="2" t="s">
        <v>651</v>
      </c>
      <c r="J329" s="2">
        <v>45</v>
      </c>
    </row>
    <row r="330" spans="1:10" x14ac:dyDescent="0.3">
      <c r="A330" s="2" t="s">
        <v>652</v>
      </c>
      <c r="B330" s="2" t="s">
        <v>51</v>
      </c>
      <c r="C330" s="2" t="s">
        <v>55</v>
      </c>
      <c r="D330" s="2" t="s">
        <v>13</v>
      </c>
      <c r="E330" s="2">
        <v>16</v>
      </c>
      <c r="F330" s="2">
        <v>12</v>
      </c>
      <c r="G330" s="2" t="s">
        <v>32</v>
      </c>
      <c r="H330" s="2" t="s">
        <v>61</v>
      </c>
      <c r="I330" s="2" t="s">
        <v>653</v>
      </c>
      <c r="J330" s="2">
        <v>45</v>
      </c>
    </row>
    <row r="331" spans="1:10" x14ac:dyDescent="0.3">
      <c r="A331" s="2" t="s">
        <v>654</v>
      </c>
      <c r="B331" s="2" t="s">
        <v>18</v>
      </c>
      <c r="C331" s="2" t="s">
        <v>24</v>
      </c>
      <c r="D331" s="2" t="s">
        <v>31</v>
      </c>
      <c r="E331" s="2">
        <v>14</v>
      </c>
      <c r="F331" s="2">
        <v>12</v>
      </c>
      <c r="G331" s="2" t="s">
        <v>14</v>
      </c>
      <c r="H331" s="2" t="s">
        <v>46</v>
      </c>
      <c r="I331" s="2" t="s">
        <v>655</v>
      </c>
      <c r="J331" s="2">
        <v>42</v>
      </c>
    </row>
    <row r="332" spans="1:10" x14ac:dyDescent="0.3">
      <c r="A332" s="2" t="s">
        <v>656</v>
      </c>
      <c r="B332" s="2" t="s">
        <v>29</v>
      </c>
      <c r="C332" s="2" t="s">
        <v>30</v>
      </c>
      <c r="D332" s="2" t="s">
        <v>13</v>
      </c>
      <c r="E332" s="2">
        <v>19</v>
      </c>
      <c r="F332" s="2">
        <v>10</v>
      </c>
      <c r="G332" s="2" t="s">
        <v>43</v>
      </c>
      <c r="H332" s="2" t="s">
        <v>15</v>
      </c>
      <c r="I332" s="2" t="s">
        <v>657</v>
      </c>
      <c r="J332" s="2">
        <v>85</v>
      </c>
    </row>
    <row r="333" spans="1:10" x14ac:dyDescent="0.3">
      <c r="A333" s="2" t="s">
        <v>658</v>
      </c>
      <c r="B333" s="2" t="s">
        <v>11</v>
      </c>
      <c r="C333" s="2" t="s">
        <v>96</v>
      </c>
      <c r="D333" s="2" t="s">
        <v>31</v>
      </c>
      <c r="E333" s="2">
        <v>20</v>
      </c>
      <c r="F333" s="2">
        <v>10</v>
      </c>
      <c r="G333" s="2" t="s">
        <v>43</v>
      </c>
      <c r="H333" s="2" t="s">
        <v>37</v>
      </c>
      <c r="I333" s="2" t="s">
        <v>659</v>
      </c>
      <c r="J333" s="2">
        <v>62</v>
      </c>
    </row>
    <row r="334" spans="1:10" x14ac:dyDescent="0.3">
      <c r="A334" s="2" t="s">
        <v>660</v>
      </c>
      <c r="B334" s="2" t="s">
        <v>23</v>
      </c>
      <c r="C334" s="2" t="s">
        <v>12</v>
      </c>
      <c r="D334" s="2" t="s">
        <v>13</v>
      </c>
      <c r="E334" s="2">
        <v>16</v>
      </c>
      <c r="F334" s="2">
        <v>11</v>
      </c>
      <c r="G334" s="2" t="s">
        <v>25</v>
      </c>
      <c r="H334" s="2" t="s">
        <v>40</v>
      </c>
      <c r="I334" s="2" t="s">
        <v>41</v>
      </c>
      <c r="J334" s="2">
        <v>86</v>
      </c>
    </row>
    <row r="335" spans="1:10" x14ac:dyDescent="0.3">
      <c r="A335" s="2" t="s">
        <v>661</v>
      </c>
      <c r="B335" s="2" t="s">
        <v>54</v>
      </c>
      <c r="C335" s="2" t="s">
        <v>12</v>
      </c>
      <c r="D335" s="2" t="s">
        <v>31</v>
      </c>
      <c r="E335" s="2">
        <v>19</v>
      </c>
      <c r="F335" s="2">
        <v>10</v>
      </c>
      <c r="G335" s="2" t="s">
        <v>14</v>
      </c>
      <c r="H335" s="2" t="s">
        <v>76</v>
      </c>
      <c r="I335" s="2" t="s">
        <v>662</v>
      </c>
      <c r="J335" s="2">
        <v>54</v>
      </c>
    </row>
    <row r="336" spans="1:10" x14ac:dyDescent="0.3">
      <c r="A336" s="2" t="s">
        <v>663</v>
      </c>
      <c r="B336" s="2" t="s">
        <v>73</v>
      </c>
      <c r="C336" s="2" t="s">
        <v>36</v>
      </c>
      <c r="D336" s="2" t="s">
        <v>13</v>
      </c>
      <c r="E336" s="2">
        <v>20</v>
      </c>
      <c r="F336" s="2">
        <v>12</v>
      </c>
      <c r="G336" s="2" t="s">
        <v>25</v>
      </c>
      <c r="H336" s="2" t="s">
        <v>40</v>
      </c>
      <c r="I336" s="2" t="s">
        <v>664</v>
      </c>
      <c r="J336" s="2">
        <v>50</v>
      </c>
    </row>
    <row r="337" spans="1:10" x14ac:dyDescent="0.3">
      <c r="A337" s="2" t="s">
        <v>665</v>
      </c>
      <c r="B337" s="2" t="s">
        <v>51</v>
      </c>
      <c r="C337" s="2" t="s">
        <v>96</v>
      </c>
      <c r="D337" s="2" t="s">
        <v>13</v>
      </c>
      <c r="E337" s="2">
        <v>14</v>
      </c>
      <c r="F337" s="2">
        <v>10</v>
      </c>
      <c r="G337" s="2" t="s">
        <v>14</v>
      </c>
      <c r="H337" s="2" t="s">
        <v>37</v>
      </c>
      <c r="I337" s="2" t="s">
        <v>666</v>
      </c>
      <c r="J337" s="2">
        <v>68</v>
      </c>
    </row>
    <row r="338" spans="1:10" x14ac:dyDescent="0.3">
      <c r="A338" s="2" t="s">
        <v>667</v>
      </c>
      <c r="B338" s="2" t="s">
        <v>35</v>
      </c>
      <c r="C338" s="2" t="s">
        <v>12</v>
      </c>
      <c r="D338" s="2" t="s">
        <v>31</v>
      </c>
      <c r="E338" s="2">
        <v>15</v>
      </c>
      <c r="F338" s="2">
        <v>12</v>
      </c>
      <c r="G338" s="2" t="s">
        <v>14</v>
      </c>
      <c r="H338" s="2" t="s">
        <v>46</v>
      </c>
      <c r="I338" s="2" t="s">
        <v>668</v>
      </c>
      <c r="J338" s="2">
        <v>82</v>
      </c>
    </row>
    <row r="339" spans="1:10" x14ac:dyDescent="0.3">
      <c r="A339" s="2" t="s">
        <v>669</v>
      </c>
      <c r="B339" s="2" t="s">
        <v>11</v>
      </c>
      <c r="C339" s="2" t="s">
        <v>24</v>
      </c>
      <c r="D339" s="2" t="s">
        <v>13</v>
      </c>
      <c r="E339" s="2">
        <v>19</v>
      </c>
      <c r="F339" s="2">
        <v>9</v>
      </c>
      <c r="G339" s="2" t="s">
        <v>32</v>
      </c>
      <c r="H339" s="2" t="s">
        <v>40</v>
      </c>
      <c r="I339" s="2" t="s">
        <v>670</v>
      </c>
      <c r="J339" s="2">
        <v>51</v>
      </c>
    </row>
    <row r="340" spans="1:10" x14ac:dyDescent="0.3">
      <c r="A340" s="2" t="s">
        <v>671</v>
      </c>
      <c r="B340" s="2" t="s">
        <v>11</v>
      </c>
      <c r="C340" s="2" t="s">
        <v>36</v>
      </c>
      <c r="D340" s="2" t="s">
        <v>13</v>
      </c>
      <c r="E340" s="2">
        <v>14</v>
      </c>
      <c r="F340" s="2">
        <v>10</v>
      </c>
      <c r="G340" s="2" t="s">
        <v>32</v>
      </c>
      <c r="H340" s="2" t="s">
        <v>40</v>
      </c>
      <c r="I340" s="2" t="s">
        <v>672</v>
      </c>
      <c r="J340" s="2">
        <v>64</v>
      </c>
    </row>
    <row r="341" spans="1:10" x14ac:dyDescent="0.3">
      <c r="A341" s="2" t="s">
        <v>673</v>
      </c>
      <c r="B341" s="2" t="s">
        <v>11</v>
      </c>
      <c r="C341" s="2" t="s">
        <v>19</v>
      </c>
      <c r="D341" s="2" t="s">
        <v>31</v>
      </c>
      <c r="E341" s="2">
        <v>17</v>
      </c>
      <c r="F341" s="2">
        <v>10</v>
      </c>
      <c r="G341" s="2" t="s">
        <v>32</v>
      </c>
      <c r="H341" s="2" t="s">
        <v>46</v>
      </c>
      <c r="I341" s="2" t="s">
        <v>674</v>
      </c>
      <c r="J341" s="2">
        <v>85</v>
      </c>
    </row>
    <row r="342" spans="1:10" x14ac:dyDescent="0.3">
      <c r="A342" s="2" t="s">
        <v>675</v>
      </c>
      <c r="B342" s="2" t="s">
        <v>73</v>
      </c>
      <c r="C342" s="2" t="s">
        <v>24</v>
      </c>
      <c r="D342" s="2" t="s">
        <v>13</v>
      </c>
      <c r="E342" s="2">
        <v>19</v>
      </c>
      <c r="F342" s="2">
        <v>11</v>
      </c>
      <c r="G342" s="2" t="s">
        <v>14</v>
      </c>
      <c r="H342" s="2" t="s">
        <v>37</v>
      </c>
      <c r="I342" s="2" t="s">
        <v>676</v>
      </c>
      <c r="J342" s="2">
        <v>51</v>
      </c>
    </row>
    <row r="343" spans="1:10" x14ac:dyDescent="0.3">
      <c r="A343" s="2" t="s">
        <v>677</v>
      </c>
      <c r="B343" s="2" t="s">
        <v>23</v>
      </c>
      <c r="C343" s="2" t="s">
        <v>85</v>
      </c>
      <c r="D343" s="2" t="s">
        <v>13</v>
      </c>
      <c r="E343" s="2">
        <v>20</v>
      </c>
      <c r="F343" s="2">
        <v>10</v>
      </c>
      <c r="G343" s="2" t="s">
        <v>32</v>
      </c>
      <c r="H343" s="2" t="s">
        <v>40</v>
      </c>
      <c r="I343" s="2" t="s">
        <v>678</v>
      </c>
      <c r="J343" s="2">
        <v>56</v>
      </c>
    </row>
    <row r="344" spans="1:10" x14ac:dyDescent="0.3">
      <c r="A344" s="2" t="s">
        <v>679</v>
      </c>
      <c r="B344" s="2" t="s">
        <v>18</v>
      </c>
      <c r="C344" s="2" t="s">
        <v>96</v>
      </c>
      <c r="D344" s="2" t="s">
        <v>13</v>
      </c>
      <c r="E344" s="2">
        <v>14</v>
      </c>
      <c r="F344" s="2">
        <v>12</v>
      </c>
      <c r="G344" s="2" t="s">
        <v>32</v>
      </c>
      <c r="H344" s="2" t="s">
        <v>46</v>
      </c>
      <c r="I344" s="2" t="s">
        <v>680</v>
      </c>
      <c r="J344" s="2">
        <v>44</v>
      </c>
    </row>
    <row r="345" spans="1:10" x14ac:dyDescent="0.3">
      <c r="A345" s="2" t="s">
        <v>681</v>
      </c>
      <c r="B345" s="2" t="s">
        <v>35</v>
      </c>
      <c r="C345" s="2" t="s">
        <v>36</v>
      </c>
      <c r="D345" s="2" t="s">
        <v>13</v>
      </c>
      <c r="E345" s="2">
        <v>14</v>
      </c>
      <c r="F345" s="2">
        <v>9</v>
      </c>
      <c r="G345" s="2" t="s">
        <v>43</v>
      </c>
      <c r="H345" s="2" t="s">
        <v>46</v>
      </c>
      <c r="I345" s="2" t="s">
        <v>682</v>
      </c>
      <c r="J345" s="2">
        <v>67</v>
      </c>
    </row>
    <row r="346" spans="1:10" x14ac:dyDescent="0.3">
      <c r="A346" s="2" t="s">
        <v>683</v>
      </c>
      <c r="B346" s="2" t="s">
        <v>84</v>
      </c>
      <c r="C346" s="2" t="s">
        <v>55</v>
      </c>
      <c r="D346" s="2" t="s">
        <v>31</v>
      </c>
      <c r="E346" s="2">
        <v>16</v>
      </c>
      <c r="F346" s="2">
        <v>12</v>
      </c>
      <c r="G346" s="2" t="s">
        <v>14</v>
      </c>
      <c r="H346" s="2" t="s">
        <v>76</v>
      </c>
      <c r="I346" s="2" t="s">
        <v>125</v>
      </c>
      <c r="J346" s="2">
        <v>60</v>
      </c>
    </row>
    <row r="347" spans="1:10" x14ac:dyDescent="0.3">
      <c r="A347" s="2" t="s">
        <v>684</v>
      </c>
      <c r="B347" s="2" t="s">
        <v>54</v>
      </c>
      <c r="C347" s="2" t="s">
        <v>24</v>
      </c>
      <c r="D347" s="2" t="s">
        <v>31</v>
      </c>
      <c r="E347" s="2">
        <v>17</v>
      </c>
      <c r="F347" s="2">
        <v>10</v>
      </c>
      <c r="G347" s="2" t="s">
        <v>43</v>
      </c>
      <c r="H347" s="2" t="s">
        <v>46</v>
      </c>
      <c r="I347" s="2" t="s">
        <v>685</v>
      </c>
      <c r="J347" s="2">
        <v>74</v>
      </c>
    </row>
    <row r="348" spans="1:10" x14ac:dyDescent="0.3">
      <c r="A348" s="2" t="s">
        <v>686</v>
      </c>
      <c r="B348" s="2" t="s">
        <v>23</v>
      </c>
      <c r="C348" s="2" t="s">
        <v>96</v>
      </c>
      <c r="D348" s="2" t="s">
        <v>31</v>
      </c>
      <c r="E348" s="2">
        <v>16</v>
      </c>
      <c r="F348" s="2">
        <v>9</v>
      </c>
      <c r="G348" s="2" t="s">
        <v>25</v>
      </c>
      <c r="H348" s="2" t="s">
        <v>20</v>
      </c>
      <c r="I348" s="2" t="s">
        <v>277</v>
      </c>
      <c r="J348" s="2">
        <v>71</v>
      </c>
    </row>
    <row r="349" spans="1:10" x14ac:dyDescent="0.3">
      <c r="A349" s="2" t="s">
        <v>687</v>
      </c>
      <c r="B349" s="2" t="s">
        <v>84</v>
      </c>
      <c r="C349" s="2" t="s">
        <v>19</v>
      </c>
      <c r="D349" s="2" t="s">
        <v>13</v>
      </c>
      <c r="E349" s="2">
        <v>16</v>
      </c>
      <c r="F349" s="2">
        <v>10</v>
      </c>
      <c r="G349" s="2" t="s">
        <v>25</v>
      </c>
      <c r="H349" s="2" t="s">
        <v>46</v>
      </c>
      <c r="I349" s="2" t="s">
        <v>564</v>
      </c>
      <c r="J349" s="2">
        <v>52</v>
      </c>
    </row>
    <row r="350" spans="1:10" x14ac:dyDescent="0.3">
      <c r="A350" s="2" t="s">
        <v>688</v>
      </c>
      <c r="B350" s="2" t="s">
        <v>23</v>
      </c>
      <c r="C350" s="2" t="s">
        <v>96</v>
      </c>
      <c r="D350" s="2" t="s">
        <v>31</v>
      </c>
      <c r="E350" s="2">
        <v>19</v>
      </c>
      <c r="F350" s="2">
        <v>10</v>
      </c>
      <c r="G350" s="2" t="s">
        <v>25</v>
      </c>
      <c r="H350" s="2" t="s">
        <v>40</v>
      </c>
      <c r="I350" s="2" t="s">
        <v>195</v>
      </c>
      <c r="J350" s="2">
        <v>55</v>
      </c>
    </row>
    <row r="351" spans="1:10" x14ac:dyDescent="0.3">
      <c r="A351" s="2" t="s">
        <v>689</v>
      </c>
      <c r="B351" s="2" t="s">
        <v>68</v>
      </c>
      <c r="C351" s="2" t="s">
        <v>96</v>
      </c>
      <c r="D351" s="2" t="s">
        <v>13</v>
      </c>
      <c r="E351" s="2">
        <v>20</v>
      </c>
      <c r="F351" s="2">
        <v>12</v>
      </c>
      <c r="G351" s="2" t="s">
        <v>43</v>
      </c>
      <c r="H351" s="2" t="s">
        <v>20</v>
      </c>
      <c r="I351" s="2" t="s">
        <v>626</v>
      </c>
      <c r="J351" s="2">
        <v>48</v>
      </c>
    </row>
    <row r="352" spans="1:10" x14ac:dyDescent="0.3">
      <c r="A352" s="2" t="s">
        <v>690</v>
      </c>
      <c r="B352" s="2" t="s">
        <v>23</v>
      </c>
      <c r="C352" s="2" t="s">
        <v>85</v>
      </c>
      <c r="D352" s="2" t="s">
        <v>13</v>
      </c>
      <c r="E352" s="2">
        <v>19</v>
      </c>
      <c r="F352" s="2">
        <v>9</v>
      </c>
      <c r="G352" s="2" t="s">
        <v>14</v>
      </c>
      <c r="H352" s="2" t="s">
        <v>76</v>
      </c>
      <c r="I352" s="2" t="s">
        <v>635</v>
      </c>
      <c r="J352" s="2">
        <v>91</v>
      </c>
    </row>
    <row r="353" spans="1:10" x14ac:dyDescent="0.3">
      <c r="A353" s="2" t="s">
        <v>691</v>
      </c>
      <c r="B353" s="2" t="s">
        <v>84</v>
      </c>
      <c r="C353" s="2" t="s">
        <v>55</v>
      </c>
      <c r="D353" s="2" t="s">
        <v>13</v>
      </c>
      <c r="E353" s="2">
        <v>16</v>
      </c>
      <c r="F353" s="2">
        <v>10</v>
      </c>
      <c r="G353" s="2" t="s">
        <v>43</v>
      </c>
      <c r="H353" s="2" t="s">
        <v>46</v>
      </c>
      <c r="I353" s="2" t="s">
        <v>692</v>
      </c>
      <c r="J353" s="2">
        <v>91</v>
      </c>
    </row>
    <row r="354" spans="1:10" x14ac:dyDescent="0.3">
      <c r="A354" s="2" t="s">
        <v>693</v>
      </c>
      <c r="B354" s="2" t="s">
        <v>73</v>
      </c>
      <c r="C354" s="2" t="s">
        <v>58</v>
      </c>
      <c r="D354" s="2" t="s">
        <v>31</v>
      </c>
      <c r="E354" s="2">
        <v>16</v>
      </c>
      <c r="F354" s="2">
        <v>11</v>
      </c>
      <c r="G354" s="2" t="s">
        <v>25</v>
      </c>
      <c r="H354" s="2" t="s">
        <v>37</v>
      </c>
      <c r="I354" s="2" t="s">
        <v>694</v>
      </c>
      <c r="J354" s="2">
        <v>65</v>
      </c>
    </row>
    <row r="355" spans="1:10" x14ac:dyDescent="0.3">
      <c r="A355" s="2" t="s">
        <v>695</v>
      </c>
      <c r="B355" s="2" t="s">
        <v>51</v>
      </c>
      <c r="C355" s="2" t="s">
        <v>24</v>
      </c>
      <c r="D355" s="2" t="s">
        <v>13</v>
      </c>
      <c r="E355" s="2">
        <v>17</v>
      </c>
      <c r="F355" s="2">
        <v>9</v>
      </c>
      <c r="G355" s="2" t="s">
        <v>32</v>
      </c>
      <c r="H355" s="2" t="s">
        <v>15</v>
      </c>
      <c r="I355" s="2" t="s">
        <v>696</v>
      </c>
      <c r="J355" s="2">
        <v>69</v>
      </c>
    </row>
    <row r="356" spans="1:10" x14ac:dyDescent="0.3">
      <c r="A356" s="2" t="s">
        <v>697</v>
      </c>
      <c r="B356" s="2" t="s">
        <v>29</v>
      </c>
      <c r="C356" s="2" t="s">
        <v>30</v>
      </c>
      <c r="D356" s="2" t="s">
        <v>31</v>
      </c>
      <c r="E356" s="2">
        <v>19</v>
      </c>
      <c r="F356" s="2">
        <v>10</v>
      </c>
      <c r="G356" s="2" t="s">
        <v>25</v>
      </c>
      <c r="H356" s="2" t="s">
        <v>61</v>
      </c>
      <c r="I356" s="2" t="s">
        <v>698</v>
      </c>
      <c r="J356" s="2">
        <v>75</v>
      </c>
    </row>
    <row r="357" spans="1:10" x14ac:dyDescent="0.3">
      <c r="A357" s="2" t="s">
        <v>699</v>
      </c>
      <c r="B357" s="2" t="s">
        <v>11</v>
      </c>
      <c r="C357" s="2" t="s">
        <v>30</v>
      </c>
      <c r="D357" s="2" t="s">
        <v>31</v>
      </c>
      <c r="E357" s="2">
        <v>16</v>
      </c>
      <c r="F357" s="2">
        <v>11</v>
      </c>
      <c r="G357" s="2" t="s">
        <v>43</v>
      </c>
      <c r="H357" s="2" t="s">
        <v>40</v>
      </c>
      <c r="I357" s="2" t="s">
        <v>97</v>
      </c>
      <c r="J357" s="2">
        <v>72</v>
      </c>
    </row>
    <row r="358" spans="1:10" x14ac:dyDescent="0.3">
      <c r="A358" s="2" t="s">
        <v>700</v>
      </c>
      <c r="B358" s="2" t="s">
        <v>23</v>
      </c>
      <c r="C358" s="2" t="s">
        <v>55</v>
      </c>
      <c r="D358" s="2" t="s">
        <v>31</v>
      </c>
      <c r="E358" s="2">
        <v>20</v>
      </c>
      <c r="F358" s="2">
        <v>10</v>
      </c>
      <c r="G358" s="2" t="s">
        <v>14</v>
      </c>
      <c r="H358" s="2" t="s">
        <v>15</v>
      </c>
      <c r="I358" s="2" t="s">
        <v>678</v>
      </c>
      <c r="J358" s="2">
        <v>59</v>
      </c>
    </row>
    <row r="359" spans="1:10" x14ac:dyDescent="0.3">
      <c r="A359" s="2" t="s">
        <v>701</v>
      </c>
      <c r="B359" s="2" t="s">
        <v>54</v>
      </c>
      <c r="C359" s="2" t="s">
        <v>30</v>
      </c>
      <c r="D359" s="2" t="s">
        <v>31</v>
      </c>
      <c r="E359" s="2">
        <v>15</v>
      </c>
      <c r="F359" s="2">
        <v>11</v>
      </c>
      <c r="G359" s="2" t="s">
        <v>14</v>
      </c>
      <c r="H359" s="2" t="s">
        <v>76</v>
      </c>
      <c r="I359" s="2" t="s">
        <v>702</v>
      </c>
      <c r="J359" s="2">
        <v>42</v>
      </c>
    </row>
    <row r="360" spans="1:10" x14ac:dyDescent="0.3">
      <c r="A360" s="2" t="s">
        <v>703</v>
      </c>
      <c r="B360" s="2" t="s">
        <v>73</v>
      </c>
      <c r="C360" s="2" t="s">
        <v>30</v>
      </c>
      <c r="D360" s="2" t="s">
        <v>31</v>
      </c>
      <c r="E360" s="2">
        <v>17</v>
      </c>
      <c r="F360" s="2">
        <v>12</v>
      </c>
      <c r="G360" s="2" t="s">
        <v>32</v>
      </c>
      <c r="H360" s="2" t="s">
        <v>40</v>
      </c>
      <c r="I360" s="2" t="s">
        <v>704</v>
      </c>
      <c r="J360" s="2">
        <v>93</v>
      </c>
    </row>
    <row r="361" spans="1:10" x14ac:dyDescent="0.3">
      <c r="A361" s="2" t="s">
        <v>705</v>
      </c>
      <c r="B361" s="2" t="s">
        <v>84</v>
      </c>
      <c r="C361" s="2" t="s">
        <v>55</v>
      </c>
      <c r="D361" s="2" t="s">
        <v>31</v>
      </c>
      <c r="E361" s="2">
        <v>14</v>
      </c>
      <c r="F361" s="2">
        <v>12</v>
      </c>
      <c r="G361" s="2" t="s">
        <v>43</v>
      </c>
      <c r="H361" s="2" t="s">
        <v>76</v>
      </c>
      <c r="I361" s="2" t="s">
        <v>706</v>
      </c>
      <c r="J361" s="2">
        <v>63</v>
      </c>
    </row>
    <row r="362" spans="1:10" x14ac:dyDescent="0.3">
      <c r="A362" s="2" t="s">
        <v>707</v>
      </c>
      <c r="B362" s="2" t="s">
        <v>68</v>
      </c>
      <c r="C362" s="2" t="s">
        <v>96</v>
      </c>
      <c r="D362" s="2" t="s">
        <v>31</v>
      </c>
      <c r="E362" s="2">
        <v>20</v>
      </c>
      <c r="F362" s="2">
        <v>12</v>
      </c>
      <c r="G362" s="2" t="s">
        <v>43</v>
      </c>
      <c r="H362" s="2" t="s">
        <v>37</v>
      </c>
      <c r="I362" s="2" t="s">
        <v>708</v>
      </c>
      <c r="J362" s="2">
        <v>35</v>
      </c>
    </row>
    <row r="363" spans="1:10" x14ac:dyDescent="0.3">
      <c r="A363" s="2" t="s">
        <v>709</v>
      </c>
      <c r="B363" s="2" t="s">
        <v>54</v>
      </c>
      <c r="C363" s="2" t="s">
        <v>19</v>
      </c>
      <c r="D363" s="2" t="s">
        <v>31</v>
      </c>
      <c r="E363" s="2">
        <v>18</v>
      </c>
      <c r="F363" s="2">
        <v>10</v>
      </c>
      <c r="G363" s="2" t="s">
        <v>43</v>
      </c>
      <c r="H363" s="2" t="s">
        <v>37</v>
      </c>
      <c r="I363" s="2" t="s">
        <v>710</v>
      </c>
      <c r="J363" s="2">
        <v>89</v>
      </c>
    </row>
    <row r="364" spans="1:10" x14ac:dyDescent="0.3">
      <c r="A364" s="2" t="s">
        <v>711</v>
      </c>
      <c r="B364" s="2" t="s">
        <v>29</v>
      </c>
      <c r="C364" s="2" t="s">
        <v>79</v>
      </c>
      <c r="D364" s="2" t="s">
        <v>13</v>
      </c>
      <c r="E364" s="2">
        <v>14</v>
      </c>
      <c r="F364" s="2">
        <v>9</v>
      </c>
      <c r="G364" s="2" t="s">
        <v>32</v>
      </c>
      <c r="H364" s="2" t="s">
        <v>15</v>
      </c>
      <c r="I364" s="2" t="s">
        <v>712</v>
      </c>
      <c r="J364" s="2">
        <v>72</v>
      </c>
    </row>
    <row r="365" spans="1:10" x14ac:dyDescent="0.3">
      <c r="A365" s="2" t="s">
        <v>713</v>
      </c>
      <c r="B365" s="2" t="s">
        <v>29</v>
      </c>
      <c r="C365" s="2" t="s">
        <v>24</v>
      </c>
      <c r="D365" s="2" t="s">
        <v>31</v>
      </c>
      <c r="E365" s="2">
        <v>16</v>
      </c>
      <c r="F365" s="2">
        <v>12</v>
      </c>
      <c r="G365" s="2" t="s">
        <v>32</v>
      </c>
      <c r="H365" s="2" t="s">
        <v>26</v>
      </c>
      <c r="I365" s="2" t="s">
        <v>714</v>
      </c>
      <c r="J365" s="2">
        <v>57</v>
      </c>
    </row>
    <row r="366" spans="1:10" x14ac:dyDescent="0.3">
      <c r="A366" s="2" t="s">
        <v>715</v>
      </c>
      <c r="B366" s="2" t="s">
        <v>51</v>
      </c>
      <c r="C366" s="2" t="s">
        <v>79</v>
      </c>
      <c r="D366" s="2" t="s">
        <v>13</v>
      </c>
      <c r="E366" s="2">
        <v>19</v>
      </c>
      <c r="F366" s="2">
        <v>10</v>
      </c>
      <c r="G366" s="2" t="s">
        <v>32</v>
      </c>
      <c r="H366" s="2" t="s">
        <v>40</v>
      </c>
      <c r="I366" s="2" t="s">
        <v>702</v>
      </c>
      <c r="J366" s="2">
        <v>84</v>
      </c>
    </row>
    <row r="367" spans="1:10" x14ac:dyDescent="0.3">
      <c r="A367" s="2" t="s">
        <v>716</v>
      </c>
      <c r="B367" s="2" t="s">
        <v>23</v>
      </c>
      <c r="C367" s="2" t="s">
        <v>58</v>
      </c>
      <c r="D367" s="2" t="s">
        <v>31</v>
      </c>
      <c r="E367" s="2">
        <v>17</v>
      </c>
      <c r="F367" s="2">
        <v>9</v>
      </c>
      <c r="G367" s="2" t="s">
        <v>25</v>
      </c>
      <c r="H367" s="2" t="s">
        <v>15</v>
      </c>
      <c r="I367" s="2" t="s">
        <v>717</v>
      </c>
      <c r="J367" s="2">
        <v>51</v>
      </c>
    </row>
    <row r="368" spans="1:10" x14ac:dyDescent="0.3">
      <c r="A368" s="2" t="s">
        <v>718</v>
      </c>
      <c r="B368" s="2" t="s">
        <v>84</v>
      </c>
      <c r="C368" s="2" t="s">
        <v>12</v>
      </c>
      <c r="D368" s="2" t="s">
        <v>31</v>
      </c>
      <c r="E368" s="2">
        <v>20</v>
      </c>
      <c r="F368" s="2">
        <v>10</v>
      </c>
      <c r="G368" s="2" t="s">
        <v>25</v>
      </c>
      <c r="H368" s="2" t="s">
        <v>61</v>
      </c>
      <c r="I368" s="2" t="s">
        <v>639</v>
      </c>
      <c r="J368" s="2">
        <v>35</v>
      </c>
    </row>
    <row r="369" spans="1:10" x14ac:dyDescent="0.3">
      <c r="A369" s="2" t="s">
        <v>719</v>
      </c>
      <c r="B369" s="2" t="s">
        <v>18</v>
      </c>
      <c r="C369" s="2" t="s">
        <v>24</v>
      </c>
      <c r="D369" s="2" t="s">
        <v>31</v>
      </c>
      <c r="E369" s="2">
        <v>18</v>
      </c>
      <c r="F369" s="2">
        <v>11</v>
      </c>
      <c r="G369" s="2" t="s">
        <v>43</v>
      </c>
      <c r="H369" s="2" t="s">
        <v>40</v>
      </c>
      <c r="I369" s="2" t="s">
        <v>720</v>
      </c>
      <c r="J369" s="2">
        <v>83</v>
      </c>
    </row>
    <row r="370" spans="1:10" x14ac:dyDescent="0.3">
      <c r="A370" s="2" t="s">
        <v>721</v>
      </c>
      <c r="B370" s="2" t="s">
        <v>23</v>
      </c>
      <c r="C370" s="2" t="s">
        <v>19</v>
      </c>
      <c r="D370" s="2" t="s">
        <v>31</v>
      </c>
      <c r="E370" s="2">
        <v>18</v>
      </c>
      <c r="F370" s="2">
        <v>10</v>
      </c>
      <c r="G370" s="2" t="s">
        <v>14</v>
      </c>
      <c r="H370" s="2" t="s">
        <v>26</v>
      </c>
      <c r="I370" s="2" t="s">
        <v>722</v>
      </c>
      <c r="J370" s="2">
        <v>43</v>
      </c>
    </row>
    <row r="371" spans="1:10" x14ac:dyDescent="0.3">
      <c r="A371" s="2" t="s">
        <v>723</v>
      </c>
      <c r="B371" s="2" t="s">
        <v>68</v>
      </c>
      <c r="C371" s="2" t="s">
        <v>79</v>
      </c>
      <c r="D371" s="2" t="s">
        <v>31</v>
      </c>
      <c r="E371" s="2">
        <v>19</v>
      </c>
      <c r="F371" s="2">
        <v>12</v>
      </c>
      <c r="G371" s="2" t="s">
        <v>25</v>
      </c>
      <c r="H371" s="2" t="s">
        <v>40</v>
      </c>
      <c r="I371" s="2" t="s">
        <v>724</v>
      </c>
      <c r="J371" s="2">
        <v>65</v>
      </c>
    </row>
    <row r="372" spans="1:10" x14ac:dyDescent="0.3">
      <c r="A372" s="2" t="s">
        <v>725</v>
      </c>
      <c r="B372" s="2" t="s">
        <v>11</v>
      </c>
      <c r="C372" s="2" t="s">
        <v>55</v>
      </c>
      <c r="D372" s="2" t="s">
        <v>31</v>
      </c>
      <c r="E372" s="2">
        <v>15</v>
      </c>
      <c r="F372" s="2">
        <v>9</v>
      </c>
      <c r="G372" s="2" t="s">
        <v>25</v>
      </c>
      <c r="H372" s="2" t="s">
        <v>37</v>
      </c>
      <c r="I372" s="2" t="s">
        <v>726</v>
      </c>
      <c r="J372" s="2">
        <v>72</v>
      </c>
    </row>
    <row r="373" spans="1:10" x14ac:dyDescent="0.3">
      <c r="A373" s="2" t="s">
        <v>727</v>
      </c>
      <c r="B373" s="2" t="s">
        <v>68</v>
      </c>
      <c r="C373" s="2" t="s">
        <v>12</v>
      </c>
      <c r="D373" s="2" t="s">
        <v>13</v>
      </c>
      <c r="E373" s="2">
        <v>14</v>
      </c>
      <c r="F373" s="2">
        <v>9</v>
      </c>
      <c r="G373" s="2" t="s">
        <v>14</v>
      </c>
      <c r="H373" s="2" t="s">
        <v>20</v>
      </c>
      <c r="I373" s="2" t="s">
        <v>728</v>
      </c>
      <c r="J373" s="2">
        <v>68</v>
      </c>
    </row>
    <row r="374" spans="1:10" x14ac:dyDescent="0.3">
      <c r="A374" s="2" t="s">
        <v>729</v>
      </c>
      <c r="B374" s="2" t="s">
        <v>35</v>
      </c>
      <c r="C374" s="2" t="s">
        <v>79</v>
      </c>
      <c r="D374" s="2" t="s">
        <v>13</v>
      </c>
      <c r="E374" s="2">
        <v>15</v>
      </c>
      <c r="F374" s="2">
        <v>9</v>
      </c>
      <c r="G374" s="2" t="s">
        <v>43</v>
      </c>
      <c r="H374" s="2" t="s">
        <v>76</v>
      </c>
      <c r="I374" s="2" t="s">
        <v>730</v>
      </c>
      <c r="J374" s="2">
        <v>39</v>
      </c>
    </row>
    <row r="375" spans="1:10" x14ac:dyDescent="0.3">
      <c r="A375" s="2" t="s">
        <v>731</v>
      </c>
      <c r="B375" s="2" t="s">
        <v>84</v>
      </c>
      <c r="C375" s="2" t="s">
        <v>85</v>
      </c>
      <c r="D375" s="2" t="s">
        <v>31</v>
      </c>
      <c r="E375" s="2">
        <v>17</v>
      </c>
      <c r="F375" s="2">
        <v>9</v>
      </c>
      <c r="G375" s="2" t="s">
        <v>43</v>
      </c>
      <c r="H375" s="2" t="s">
        <v>76</v>
      </c>
      <c r="I375" s="2" t="s">
        <v>732</v>
      </c>
      <c r="J375" s="2">
        <v>97</v>
      </c>
    </row>
    <row r="376" spans="1:10" x14ac:dyDescent="0.3">
      <c r="A376" s="2" t="s">
        <v>733</v>
      </c>
      <c r="B376" s="2" t="s">
        <v>84</v>
      </c>
      <c r="C376" s="2" t="s">
        <v>85</v>
      </c>
      <c r="D376" s="2" t="s">
        <v>31</v>
      </c>
      <c r="E376" s="2">
        <v>17</v>
      </c>
      <c r="F376" s="2">
        <v>12</v>
      </c>
      <c r="G376" s="2" t="s">
        <v>43</v>
      </c>
      <c r="H376" s="2" t="s">
        <v>15</v>
      </c>
      <c r="I376" s="2" t="s">
        <v>734</v>
      </c>
      <c r="J376" s="2">
        <v>77</v>
      </c>
    </row>
    <row r="377" spans="1:10" x14ac:dyDescent="0.3">
      <c r="A377" s="2" t="s">
        <v>735</v>
      </c>
      <c r="B377" s="2" t="s">
        <v>68</v>
      </c>
      <c r="C377" s="2" t="s">
        <v>24</v>
      </c>
      <c r="D377" s="2" t="s">
        <v>31</v>
      </c>
      <c r="E377" s="2">
        <v>16</v>
      </c>
      <c r="F377" s="2">
        <v>12</v>
      </c>
      <c r="G377" s="2" t="s">
        <v>43</v>
      </c>
      <c r="H377" s="2" t="s">
        <v>26</v>
      </c>
      <c r="I377" s="2" t="s">
        <v>736</v>
      </c>
      <c r="J377" s="2">
        <v>85</v>
      </c>
    </row>
    <row r="378" spans="1:10" x14ac:dyDescent="0.3">
      <c r="A378" s="2" t="s">
        <v>737</v>
      </c>
      <c r="B378" s="2" t="s">
        <v>54</v>
      </c>
      <c r="C378" s="2" t="s">
        <v>96</v>
      </c>
      <c r="D378" s="2" t="s">
        <v>13</v>
      </c>
      <c r="E378" s="2">
        <v>19</v>
      </c>
      <c r="F378" s="2">
        <v>12</v>
      </c>
      <c r="G378" s="2" t="s">
        <v>25</v>
      </c>
      <c r="H378" s="2" t="s">
        <v>20</v>
      </c>
      <c r="I378" s="2" t="s">
        <v>738</v>
      </c>
      <c r="J378" s="2">
        <v>85</v>
      </c>
    </row>
    <row r="379" spans="1:10" x14ac:dyDescent="0.3">
      <c r="A379" s="2" t="s">
        <v>739</v>
      </c>
      <c r="B379" s="2" t="s">
        <v>18</v>
      </c>
      <c r="C379" s="2" t="s">
        <v>79</v>
      </c>
      <c r="D379" s="2" t="s">
        <v>31</v>
      </c>
      <c r="E379" s="2">
        <v>14</v>
      </c>
      <c r="F379" s="2">
        <v>10</v>
      </c>
      <c r="G379" s="2" t="s">
        <v>32</v>
      </c>
      <c r="H379" s="2" t="s">
        <v>20</v>
      </c>
      <c r="I379" s="2" t="s">
        <v>740</v>
      </c>
      <c r="J379" s="2">
        <v>99</v>
      </c>
    </row>
    <row r="380" spans="1:10" x14ac:dyDescent="0.3">
      <c r="A380" s="2" t="s">
        <v>741</v>
      </c>
      <c r="B380" s="2" t="s">
        <v>54</v>
      </c>
      <c r="C380" s="2" t="s">
        <v>24</v>
      </c>
      <c r="D380" s="2" t="s">
        <v>13</v>
      </c>
      <c r="E380" s="2">
        <v>14</v>
      </c>
      <c r="F380" s="2">
        <v>9</v>
      </c>
      <c r="G380" s="2" t="s">
        <v>14</v>
      </c>
      <c r="H380" s="2" t="s">
        <v>76</v>
      </c>
      <c r="I380" s="2" t="s">
        <v>742</v>
      </c>
      <c r="J380" s="2">
        <v>55</v>
      </c>
    </row>
    <row r="381" spans="1:10" x14ac:dyDescent="0.3">
      <c r="A381" s="2" t="s">
        <v>743</v>
      </c>
      <c r="B381" s="2" t="s">
        <v>84</v>
      </c>
      <c r="C381" s="2" t="s">
        <v>19</v>
      </c>
      <c r="D381" s="2" t="s">
        <v>13</v>
      </c>
      <c r="E381" s="2">
        <v>15</v>
      </c>
      <c r="F381" s="2">
        <v>10</v>
      </c>
      <c r="G381" s="2" t="s">
        <v>43</v>
      </c>
      <c r="H381" s="2" t="s">
        <v>26</v>
      </c>
      <c r="I381" s="2" t="s">
        <v>744</v>
      </c>
      <c r="J381" s="2">
        <v>60</v>
      </c>
    </row>
    <row r="382" spans="1:10" x14ac:dyDescent="0.3">
      <c r="A382" s="2" t="s">
        <v>745</v>
      </c>
      <c r="B382" s="2" t="s">
        <v>73</v>
      </c>
      <c r="C382" s="2" t="s">
        <v>36</v>
      </c>
      <c r="D382" s="2" t="s">
        <v>13</v>
      </c>
      <c r="E382" s="2">
        <v>16</v>
      </c>
      <c r="F382" s="2">
        <v>9</v>
      </c>
      <c r="G382" s="2" t="s">
        <v>32</v>
      </c>
      <c r="H382" s="2" t="s">
        <v>76</v>
      </c>
      <c r="I382" s="2" t="s">
        <v>746</v>
      </c>
      <c r="J382" s="2">
        <v>38</v>
      </c>
    </row>
    <row r="383" spans="1:10" x14ac:dyDescent="0.3">
      <c r="A383" s="2" t="s">
        <v>747</v>
      </c>
      <c r="B383" s="2" t="s">
        <v>51</v>
      </c>
      <c r="C383" s="2" t="s">
        <v>96</v>
      </c>
      <c r="D383" s="2" t="s">
        <v>13</v>
      </c>
      <c r="E383" s="2">
        <v>17</v>
      </c>
      <c r="F383" s="2">
        <v>12</v>
      </c>
      <c r="G383" s="2" t="s">
        <v>14</v>
      </c>
      <c r="H383" s="2" t="s">
        <v>26</v>
      </c>
      <c r="I383" s="2" t="s">
        <v>748</v>
      </c>
      <c r="J383" s="2">
        <v>67</v>
      </c>
    </row>
    <row r="384" spans="1:10" x14ac:dyDescent="0.3">
      <c r="A384" s="2" t="s">
        <v>749</v>
      </c>
      <c r="B384" s="2" t="s">
        <v>84</v>
      </c>
      <c r="C384" s="2" t="s">
        <v>30</v>
      </c>
      <c r="D384" s="2" t="s">
        <v>13</v>
      </c>
      <c r="E384" s="2">
        <v>15</v>
      </c>
      <c r="F384" s="2">
        <v>12</v>
      </c>
      <c r="G384" s="2" t="s">
        <v>25</v>
      </c>
      <c r="H384" s="2" t="s">
        <v>61</v>
      </c>
      <c r="I384" s="2" t="s">
        <v>750</v>
      </c>
      <c r="J384" s="2">
        <v>95</v>
      </c>
    </row>
    <row r="385" spans="1:10" x14ac:dyDescent="0.3">
      <c r="A385" s="2" t="s">
        <v>751</v>
      </c>
      <c r="B385" s="2" t="s">
        <v>73</v>
      </c>
      <c r="C385" s="2" t="s">
        <v>79</v>
      </c>
      <c r="D385" s="2" t="s">
        <v>31</v>
      </c>
      <c r="E385" s="2">
        <v>20</v>
      </c>
      <c r="F385" s="2">
        <v>12</v>
      </c>
      <c r="G385" s="2" t="s">
        <v>25</v>
      </c>
      <c r="H385" s="2" t="s">
        <v>76</v>
      </c>
      <c r="I385" s="2" t="s">
        <v>752</v>
      </c>
      <c r="J385" s="2">
        <v>91</v>
      </c>
    </row>
    <row r="386" spans="1:10" x14ac:dyDescent="0.3">
      <c r="A386" s="2" t="s">
        <v>753</v>
      </c>
      <c r="B386" s="2" t="s">
        <v>73</v>
      </c>
      <c r="C386" s="2" t="s">
        <v>24</v>
      </c>
      <c r="D386" s="2" t="s">
        <v>13</v>
      </c>
      <c r="E386" s="2">
        <v>18</v>
      </c>
      <c r="F386" s="2">
        <v>11</v>
      </c>
      <c r="G386" s="2" t="s">
        <v>32</v>
      </c>
      <c r="H386" s="2" t="s">
        <v>40</v>
      </c>
      <c r="I386" s="2" t="s">
        <v>313</v>
      </c>
      <c r="J386" s="2">
        <v>58</v>
      </c>
    </row>
    <row r="387" spans="1:10" x14ac:dyDescent="0.3">
      <c r="A387" s="2" t="s">
        <v>754</v>
      </c>
      <c r="B387" s="2" t="s">
        <v>54</v>
      </c>
      <c r="C387" s="2" t="s">
        <v>12</v>
      </c>
      <c r="D387" s="2" t="s">
        <v>13</v>
      </c>
      <c r="E387" s="2">
        <v>14</v>
      </c>
      <c r="F387" s="2">
        <v>12</v>
      </c>
      <c r="G387" s="2" t="s">
        <v>32</v>
      </c>
      <c r="H387" s="2" t="s">
        <v>20</v>
      </c>
      <c r="I387" s="2" t="s">
        <v>755</v>
      </c>
      <c r="J387" s="2">
        <v>98</v>
      </c>
    </row>
    <row r="388" spans="1:10" x14ac:dyDescent="0.3">
      <c r="A388" s="2" t="s">
        <v>756</v>
      </c>
      <c r="B388" s="2" t="s">
        <v>11</v>
      </c>
      <c r="C388" s="2" t="s">
        <v>30</v>
      </c>
      <c r="D388" s="2" t="s">
        <v>13</v>
      </c>
      <c r="E388" s="2">
        <v>15</v>
      </c>
      <c r="F388" s="2">
        <v>11</v>
      </c>
      <c r="G388" s="2" t="s">
        <v>14</v>
      </c>
      <c r="H388" s="2" t="s">
        <v>76</v>
      </c>
      <c r="I388" s="2" t="s">
        <v>757</v>
      </c>
      <c r="J388" s="2">
        <v>39</v>
      </c>
    </row>
    <row r="389" spans="1:10" x14ac:dyDescent="0.3">
      <c r="A389" s="2" t="s">
        <v>758</v>
      </c>
      <c r="B389" s="2" t="s">
        <v>73</v>
      </c>
      <c r="C389" s="2" t="s">
        <v>12</v>
      </c>
      <c r="D389" s="2" t="s">
        <v>31</v>
      </c>
      <c r="E389" s="2">
        <v>16</v>
      </c>
      <c r="F389" s="2">
        <v>11</v>
      </c>
      <c r="G389" s="2" t="s">
        <v>43</v>
      </c>
      <c r="H389" s="2" t="s">
        <v>40</v>
      </c>
      <c r="I389" s="2" t="s">
        <v>759</v>
      </c>
      <c r="J389" s="2">
        <v>70</v>
      </c>
    </row>
    <row r="390" spans="1:10" x14ac:dyDescent="0.3">
      <c r="A390" s="2" t="s">
        <v>760</v>
      </c>
      <c r="B390" s="2" t="s">
        <v>84</v>
      </c>
      <c r="C390" s="2" t="s">
        <v>96</v>
      </c>
      <c r="D390" s="2" t="s">
        <v>31</v>
      </c>
      <c r="E390" s="2">
        <v>16</v>
      </c>
      <c r="F390" s="2">
        <v>11</v>
      </c>
      <c r="G390" s="2" t="s">
        <v>32</v>
      </c>
      <c r="H390" s="2" t="s">
        <v>76</v>
      </c>
      <c r="I390" s="2" t="s">
        <v>761</v>
      </c>
      <c r="J390" s="2">
        <v>83</v>
      </c>
    </row>
    <row r="391" spans="1:10" x14ac:dyDescent="0.3">
      <c r="A391" s="2" t="s">
        <v>762</v>
      </c>
      <c r="B391" s="2" t="s">
        <v>68</v>
      </c>
      <c r="C391" s="2" t="s">
        <v>85</v>
      </c>
      <c r="D391" s="2" t="s">
        <v>31</v>
      </c>
      <c r="E391" s="2">
        <v>20</v>
      </c>
      <c r="F391" s="2">
        <v>12</v>
      </c>
      <c r="G391" s="2" t="s">
        <v>43</v>
      </c>
      <c r="H391" s="2" t="s">
        <v>20</v>
      </c>
      <c r="I391" s="2" t="s">
        <v>763</v>
      </c>
      <c r="J391" s="2">
        <v>82</v>
      </c>
    </row>
    <row r="392" spans="1:10" x14ac:dyDescent="0.3">
      <c r="A392" s="2" t="s">
        <v>764</v>
      </c>
      <c r="B392" s="2" t="s">
        <v>18</v>
      </c>
      <c r="C392" s="2" t="s">
        <v>55</v>
      </c>
      <c r="D392" s="2" t="s">
        <v>13</v>
      </c>
      <c r="E392" s="2">
        <v>16</v>
      </c>
      <c r="F392" s="2">
        <v>12</v>
      </c>
      <c r="G392" s="2" t="s">
        <v>14</v>
      </c>
      <c r="H392" s="2" t="s">
        <v>40</v>
      </c>
      <c r="I392" s="2" t="s">
        <v>765</v>
      </c>
      <c r="J392" s="2">
        <v>61</v>
      </c>
    </row>
    <row r="393" spans="1:10" x14ac:dyDescent="0.3">
      <c r="A393" s="2" t="s">
        <v>766</v>
      </c>
      <c r="B393" s="2" t="s">
        <v>35</v>
      </c>
      <c r="C393" s="2" t="s">
        <v>58</v>
      </c>
      <c r="D393" s="2" t="s">
        <v>13</v>
      </c>
      <c r="E393" s="2">
        <v>20</v>
      </c>
      <c r="F393" s="2">
        <v>11</v>
      </c>
      <c r="G393" s="2" t="s">
        <v>32</v>
      </c>
      <c r="H393" s="2" t="s">
        <v>46</v>
      </c>
      <c r="I393" s="2" t="s">
        <v>767</v>
      </c>
      <c r="J393" s="2">
        <v>54</v>
      </c>
    </row>
    <row r="394" spans="1:10" x14ac:dyDescent="0.3">
      <c r="A394" s="2" t="s">
        <v>768</v>
      </c>
      <c r="B394" s="2" t="s">
        <v>23</v>
      </c>
      <c r="C394" s="2" t="s">
        <v>24</v>
      </c>
      <c r="D394" s="2" t="s">
        <v>13</v>
      </c>
      <c r="E394" s="2">
        <v>17</v>
      </c>
      <c r="F394" s="2">
        <v>11</v>
      </c>
      <c r="G394" s="2" t="s">
        <v>25</v>
      </c>
      <c r="H394" s="2" t="s">
        <v>40</v>
      </c>
      <c r="I394" s="2" t="s">
        <v>258</v>
      </c>
      <c r="J394" s="2">
        <v>61</v>
      </c>
    </row>
    <row r="395" spans="1:10" x14ac:dyDescent="0.3">
      <c r="A395" s="2" t="s">
        <v>769</v>
      </c>
      <c r="B395" s="2" t="s">
        <v>35</v>
      </c>
      <c r="C395" s="2" t="s">
        <v>30</v>
      </c>
      <c r="D395" s="2" t="s">
        <v>13</v>
      </c>
      <c r="E395" s="2">
        <v>16</v>
      </c>
      <c r="F395" s="2">
        <v>11</v>
      </c>
      <c r="G395" s="2" t="s">
        <v>32</v>
      </c>
      <c r="H395" s="2" t="s">
        <v>46</v>
      </c>
      <c r="I395" s="2" t="s">
        <v>770</v>
      </c>
      <c r="J395" s="2">
        <v>85</v>
      </c>
    </row>
    <row r="396" spans="1:10" x14ac:dyDescent="0.3">
      <c r="A396" s="2" t="s">
        <v>771</v>
      </c>
      <c r="B396" s="2" t="s">
        <v>23</v>
      </c>
      <c r="C396" s="2" t="s">
        <v>24</v>
      </c>
      <c r="D396" s="2" t="s">
        <v>31</v>
      </c>
      <c r="E396" s="2">
        <v>18</v>
      </c>
      <c r="F396" s="2">
        <v>11</v>
      </c>
      <c r="G396" s="2" t="s">
        <v>25</v>
      </c>
      <c r="H396" s="2" t="s">
        <v>46</v>
      </c>
      <c r="I396" s="2" t="s">
        <v>772</v>
      </c>
      <c r="J396" s="2">
        <v>89</v>
      </c>
    </row>
    <row r="397" spans="1:10" x14ac:dyDescent="0.3">
      <c r="A397" s="2" t="s">
        <v>773</v>
      </c>
      <c r="B397" s="2" t="s">
        <v>68</v>
      </c>
      <c r="C397" s="2" t="s">
        <v>19</v>
      </c>
      <c r="D397" s="2" t="s">
        <v>13</v>
      </c>
      <c r="E397" s="2">
        <v>14</v>
      </c>
      <c r="F397" s="2">
        <v>11</v>
      </c>
      <c r="G397" s="2" t="s">
        <v>14</v>
      </c>
      <c r="H397" s="2" t="s">
        <v>20</v>
      </c>
      <c r="I397" s="2" t="s">
        <v>774</v>
      </c>
      <c r="J397" s="2">
        <v>72</v>
      </c>
    </row>
    <row r="398" spans="1:10" x14ac:dyDescent="0.3">
      <c r="A398" s="2" t="s">
        <v>775</v>
      </c>
      <c r="B398" s="2" t="s">
        <v>29</v>
      </c>
      <c r="C398" s="2" t="s">
        <v>85</v>
      </c>
      <c r="D398" s="2" t="s">
        <v>31</v>
      </c>
      <c r="E398" s="2">
        <v>20</v>
      </c>
      <c r="F398" s="2">
        <v>10</v>
      </c>
      <c r="G398" s="2" t="s">
        <v>14</v>
      </c>
      <c r="H398" s="2" t="s">
        <v>46</v>
      </c>
      <c r="I398" s="2" t="s">
        <v>366</v>
      </c>
      <c r="J398" s="2">
        <v>100</v>
      </c>
    </row>
    <row r="399" spans="1:10" x14ac:dyDescent="0.3">
      <c r="A399" s="2" t="s">
        <v>776</v>
      </c>
      <c r="B399" s="2" t="s">
        <v>11</v>
      </c>
      <c r="C399" s="2" t="s">
        <v>12</v>
      </c>
      <c r="D399" s="2" t="s">
        <v>31</v>
      </c>
      <c r="E399" s="2">
        <v>20</v>
      </c>
      <c r="F399" s="2">
        <v>9</v>
      </c>
      <c r="G399" s="2" t="s">
        <v>14</v>
      </c>
      <c r="H399" s="2" t="s">
        <v>76</v>
      </c>
      <c r="I399" s="2" t="s">
        <v>777</v>
      </c>
      <c r="J399" s="2">
        <v>84</v>
      </c>
    </row>
    <row r="400" spans="1:10" x14ac:dyDescent="0.3">
      <c r="A400" s="2" t="s">
        <v>778</v>
      </c>
      <c r="B400" s="2" t="s">
        <v>73</v>
      </c>
      <c r="C400" s="2" t="s">
        <v>19</v>
      </c>
      <c r="D400" s="2" t="s">
        <v>13</v>
      </c>
      <c r="E400" s="2">
        <v>17</v>
      </c>
      <c r="F400" s="2">
        <v>12</v>
      </c>
      <c r="G400" s="2" t="s">
        <v>14</v>
      </c>
      <c r="H400" s="2" t="s">
        <v>37</v>
      </c>
      <c r="I400" s="2" t="s">
        <v>779</v>
      </c>
      <c r="J400" s="2">
        <v>76</v>
      </c>
    </row>
    <row r="401" spans="1:10" x14ac:dyDescent="0.3">
      <c r="A401" s="2" t="s">
        <v>780</v>
      </c>
      <c r="B401" s="2" t="s">
        <v>35</v>
      </c>
      <c r="C401" s="2" t="s">
        <v>36</v>
      </c>
      <c r="D401" s="2" t="s">
        <v>31</v>
      </c>
      <c r="E401" s="2">
        <v>14</v>
      </c>
      <c r="F401" s="2">
        <v>9</v>
      </c>
      <c r="G401" s="2" t="s">
        <v>25</v>
      </c>
      <c r="H401" s="2" t="s">
        <v>40</v>
      </c>
      <c r="I401" s="2" t="s">
        <v>781</v>
      </c>
      <c r="J401" s="2">
        <v>36</v>
      </c>
    </row>
    <row r="402" spans="1:10" x14ac:dyDescent="0.3">
      <c r="A402" s="2" t="s">
        <v>782</v>
      </c>
      <c r="B402" s="2" t="s">
        <v>84</v>
      </c>
      <c r="C402" s="2" t="s">
        <v>12</v>
      </c>
      <c r="D402" s="2" t="s">
        <v>31</v>
      </c>
      <c r="E402" s="2">
        <v>14</v>
      </c>
      <c r="F402" s="2">
        <v>11</v>
      </c>
      <c r="G402" s="2" t="s">
        <v>14</v>
      </c>
      <c r="H402" s="2" t="s">
        <v>37</v>
      </c>
      <c r="I402" s="2" t="s">
        <v>252</v>
      </c>
      <c r="J402" s="2">
        <v>95</v>
      </c>
    </row>
    <row r="403" spans="1:10" x14ac:dyDescent="0.3">
      <c r="A403" s="2" t="s">
        <v>783</v>
      </c>
      <c r="B403" s="2" t="s">
        <v>54</v>
      </c>
      <c r="C403" s="2" t="s">
        <v>79</v>
      </c>
      <c r="D403" s="2" t="s">
        <v>31</v>
      </c>
      <c r="E403" s="2">
        <v>15</v>
      </c>
      <c r="F403" s="2">
        <v>11</v>
      </c>
      <c r="G403" s="2" t="s">
        <v>25</v>
      </c>
      <c r="H403" s="2" t="s">
        <v>61</v>
      </c>
      <c r="I403" s="2" t="s">
        <v>628</v>
      </c>
      <c r="J403" s="2">
        <v>39</v>
      </c>
    </row>
    <row r="404" spans="1:10" x14ac:dyDescent="0.3">
      <c r="A404" s="2" t="s">
        <v>784</v>
      </c>
      <c r="B404" s="2" t="s">
        <v>84</v>
      </c>
      <c r="C404" s="2" t="s">
        <v>12</v>
      </c>
      <c r="D404" s="2" t="s">
        <v>13</v>
      </c>
      <c r="E404" s="2">
        <v>17</v>
      </c>
      <c r="F404" s="2">
        <v>9</v>
      </c>
      <c r="G404" s="2" t="s">
        <v>43</v>
      </c>
      <c r="H404" s="2" t="s">
        <v>76</v>
      </c>
      <c r="I404" s="2" t="s">
        <v>685</v>
      </c>
      <c r="J404" s="2">
        <v>89</v>
      </c>
    </row>
    <row r="405" spans="1:10" x14ac:dyDescent="0.3">
      <c r="A405" s="2" t="s">
        <v>785</v>
      </c>
      <c r="B405" s="2" t="s">
        <v>35</v>
      </c>
      <c r="C405" s="2" t="s">
        <v>58</v>
      </c>
      <c r="D405" s="2" t="s">
        <v>13</v>
      </c>
      <c r="E405" s="2">
        <v>18</v>
      </c>
      <c r="F405" s="2">
        <v>12</v>
      </c>
      <c r="G405" s="2" t="s">
        <v>43</v>
      </c>
      <c r="H405" s="2" t="s">
        <v>20</v>
      </c>
      <c r="I405" s="2" t="s">
        <v>786</v>
      </c>
      <c r="J405" s="2">
        <v>93</v>
      </c>
    </row>
    <row r="406" spans="1:10" x14ac:dyDescent="0.3">
      <c r="A406" s="2" t="s">
        <v>787</v>
      </c>
      <c r="B406" s="2" t="s">
        <v>18</v>
      </c>
      <c r="C406" s="2" t="s">
        <v>36</v>
      </c>
      <c r="D406" s="2" t="s">
        <v>31</v>
      </c>
      <c r="E406" s="2">
        <v>16</v>
      </c>
      <c r="F406" s="2">
        <v>9</v>
      </c>
      <c r="G406" s="2" t="s">
        <v>14</v>
      </c>
      <c r="H406" s="2" t="s">
        <v>76</v>
      </c>
      <c r="I406" s="2" t="s">
        <v>788</v>
      </c>
      <c r="J406" s="2">
        <v>88</v>
      </c>
    </row>
    <row r="407" spans="1:10" x14ac:dyDescent="0.3">
      <c r="A407" s="2" t="s">
        <v>789</v>
      </c>
      <c r="B407" s="2" t="s">
        <v>54</v>
      </c>
      <c r="C407" s="2" t="s">
        <v>12</v>
      </c>
      <c r="D407" s="2" t="s">
        <v>31</v>
      </c>
      <c r="E407" s="2">
        <v>18</v>
      </c>
      <c r="F407" s="2">
        <v>10</v>
      </c>
      <c r="G407" s="2" t="s">
        <v>25</v>
      </c>
      <c r="H407" s="2" t="s">
        <v>15</v>
      </c>
      <c r="I407" s="2" t="s">
        <v>790</v>
      </c>
      <c r="J407" s="2">
        <v>95</v>
      </c>
    </row>
    <row r="408" spans="1:10" x14ac:dyDescent="0.3">
      <c r="A408" s="2" t="s">
        <v>791</v>
      </c>
      <c r="B408" s="2" t="s">
        <v>51</v>
      </c>
      <c r="C408" s="2" t="s">
        <v>85</v>
      </c>
      <c r="D408" s="2" t="s">
        <v>13</v>
      </c>
      <c r="E408" s="2">
        <v>14</v>
      </c>
      <c r="F408" s="2">
        <v>9</v>
      </c>
      <c r="G408" s="2" t="s">
        <v>43</v>
      </c>
      <c r="H408" s="2" t="s">
        <v>61</v>
      </c>
      <c r="I408" s="2" t="s">
        <v>792</v>
      </c>
      <c r="J408" s="2">
        <v>96</v>
      </c>
    </row>
    <row r="409" spans="1:10" x14ac:dyDescent="0.3">
      <c r="A409" s="2" t="s">
        <v>793</v>
      </c>
      <c r="B409" s="2" t="s">
        <v>35</v>
      </c>
      <c r="C409" s="2" t="s">
        <v>19</v>
      </c>
      <c r="D409" s="2" t="s">
        <v>31</v>
      </c>
      <c r="E409" s="2">
        <v>20</v>
      </c>
      <c r="F409" s="2">
        <v>11</v>
      </c>
      <c r="G409" s="2" t="s">
        <v>32</v>
      </c>
      <c r="H409" s="2" t="s">
        <v>20</v>
      </c>
      <c r="I409" s="2" t="s">
        <v>794</v>
      </c>
      <c r="J409" s="2">
        <v>74</v>
      </c>
    </row>
    <row r="410" spans="1:10" x14ac:dyDescent="0.3">
      <c r="A410" s="2" t="s">
        <v>795</v>
      </c>
      <c r="B410" s="2" t="s">
        <v>54</v>
      </c>
      <c r="C410" s="2" t="s">
        <v>30</v>
      </c>
      <c r="D410" s="2" t="s">
        <v>13</v>
      </c>
      <c r="E410" s="2">
        <v>18</v>
      </c>
      <c r="F410" s="2">
        <v>12</v>
      </c>
      <c r="G410" s="2" t="s">
        <v>32</v>
      </c>
      <c r="H410" s="2" t="s">
        <v>20</v>
      </c>
      <c r="I410" s="2" t="s">
        <v>796</v>
      </c>
      <c r="J410" s="2">
        <v>55</v>
      </c>
    </row>
    <row r="411" spans="1:10" x14ac:dyDescent="0.3">
      <c r="A411" s="2" t="s">
        <v>797</v>
      </c>
      <c r="B411" s="2" t="s">
        <v>23</v>
      </c>
      <c r="C411" s="2" t="s">
        <v>85</v>
      </c>
      <c r="D411" s="2" t="s">
        <v>13</v>
      </c>
      <c r="E411" s="2">
        <v>17</v>
      </c>
      <c r="F411" s="2">
        <v>12</v>
      </c>
      <c r="G411" s="2" t="s">
        <v>14</v>
      </c>
      <c r="H411" s="2" t="s">
        <v>76</v>
      </c>
      <c r="I411" s="2" t="s">
        <v>71</v>
      </c>
      <c r="J411" s="2">
        <v>77</v>
      </c>
    </row>
    <row r="412" spans="1:10" x14ac:dyDescent="0.3">
      <c r="A412" s="2" t="s">
        <v>798</v>
      </c>
      <c r="B412" s="2" t="s">
        <v>23</v>
      </c>
      <c r="C412" s="2" t="s">
        <v>19</v>
      </c>
      <c r="D412" s="2" t="s">
        <v>13</v>
      </c>
      <c r="E412" s="2">
        <v>17</v>
      </c>
      <c r="F412" s="2">
        <v>12</v>
      </c>
      <c r="G412" s="2" t="s">
        <v>14</v>
      </c>
      <c r="H412" s="2" t="s">
        <v>40</v>
      </c>
      <c r="I412" s="2" t="s">
        <v>159</v>
      </c>
      <c r="J412" s="2">
        <v>95</v>
      </c>
    </row>
    <row r="413" spans="1:10" x14ac:dyDescent="0.3">
      <c r="A413" s="2" t="s">
        <v>799</v>
      </c>
      <c r="B413" s="2" t="s">
        <v>54</v>
      </c>
      <c r="C413" s="2" t="s">
        <v>36</v>
      </c>
      <c r="D413" s="2" t="s">
        <v>31</v>
      </c>
      <c r="E413" s="2">
        <v>17</v>
      </c>
      <c r="F413" s="2">
        <v>12</v>
      </c>
      <c r="G413" s="2" t="s">
        <v>14</v>
      </c>
      <c r="H413" s="2" t="s">
        <v>46</v>
      </c>
      <c r="I413" s="2" t="s">
        <v>533</v>
      </c>
      <c r="J413" s="2">
        <v>59</v>
      </c>
    </row>
    <row r="414" spans="1:10" x14ac:dyDescent="0.3">
      <c r="A414" s="2" t="s">
        <v>800</v>
      </c>
      <c r="B414" s="2" t="s">
        <v>23</v>
      </c>
      <c r="C414" s="2" t="s">
        <v>79</v>
      </c>
      <c r="D414" s="2" t="s">
        <v>31</v>
      </c>
      <c r="E414" s="2">
        <v>18</v>
      </c>
      <c r="F414" s="2">
        <v>11</v>
      </c>
      <c r="G414" s="2" t="s">
        <v>32</v>
      </c>
      <c r="H414" s="2" t="s">
        <v>76</v>
      </c>
      <c r="I414" s="2" t="s">
        <v>801</v>
      </c>
      <c r="J414" s="2">
        <v>97</v>
      </c>
    </row>
    <row r="415" spans="1:10" x14ac:dyDescent="0.3">
      <c r="A415" s="2" t="s">
        <v>802</v>
      </c>
      <c r="B415" s="2" t="s">
        <v>29</v>
      </c>
      <c r="C415" s="2" t="s">
        <v>96</v>
      </c>
      <c r="D415" s="2" t="s">
        <v>13</v>
      </c>
      <c r="E415" s="2">
        <v>14</v>
      </c>
      <c r="F415" s="2">
        <v>10</v>
      </c>
      <c r="G415" s="2" t="s">
        <v>25</v>
      </c>
      <c r="H415" s="2" t="s">
        <v>61</v>
      </c>
      <c r="I415" s="2" t="s">
        <v>803</v>
      </c>
      <c r="J415" s="2">
        <v>89</v>
      </c>
    </row>
    <row r="416" spans="1:10" x14ac:dyDescent="0.3">
      <c r="A416" s="2" t="s">
        <v>804</v>
      </c>
      <c r="B416" s="2" t="s">
        <v>54</v>
      </c>
      <c r="C416" s="2" t="s">
        <v>79</v>
      </c>
      <c r="D416" s="2" t="s">
        <v>13</v>
      </c>
      <c r="E416" s="2">
        <v>19</v>
      </c>
      <c r="F416" s="2">
        <v>9</v>
      </c>
      <c r="G416" s="2" t="s">
        <v>25</v>
      </c>
      <c r="H416" s="2" t="s">
        <v>61</v>
      </c>
      <c r="I416" s="2" t="s">
        <v>56</v>
      </c>
      <c r="J416" s="2">
        <v>43</v>
      </c>
    </row>
    <row r="417" spans="1:10" x14ac:dyDescent="0.3">
      <c r="A417" s="2" t="s">
        <v>805</v>
      </c>
      <c r="B417" s="2" t="s">
        <v>29</v>
      </c>
      <c r="C417" s="2" t="s">
        <v>36</v>
      </c>
      <c r="D417" s="2" t="s">
        <v>31</v>
      </c>
      <c r="E417" s="2">
        <v>17</v>
      </c>
      <c r="F417" s="2">
        <v>10</v>
      </c>
      <c r="G417" s="2" t="s">
        <v>25</v>
      </c>
      <c r="H417" s="2" t="s">
        <v>15</v>
      </c>
      <c r="I417" s="2" t="s">
        <v>806</v>
      </c>
      <c r="J417" s="2">
        <v>59</v>
      </c>
    </row>
    <row r="418" spans="1:10" x14ac:dyDescent="0.3">
      <c r="A418" s="2" t="s">
        <v>807</v>
      </c>
      <c r="B418" s="2" t="s">
        <v>68</v>
      </c>
      <c r="C418" s="2" t="s">
        <v>79</v>
      </c>
      <c r="D418" s="2" t="s">
        <v>31</v>
      </c>
      <c r="E418" s="2">
        <v>16</v>
      </c>
      <c r="F418" s="2">
        <v>10</v>
      </c>
      <c r="G418" s="2" t="s">
        <v>43</v>
      </c>
      <c r="H418" s="2" t="s">
        <v>76</v>
      </c>
      <c r="I418" s="2" t="s">
        <v>305</v>
      </c>
      <c r="J418" s="2">
        <v>40</v>
      </c>
    </row>
    <row r="419" spans="1:10" x14ac:dyDescent="0.3">
      <c r="A419" s="2" t="s">
        <v>808</v>
      </c>
      <c r="B419" s="2" t="s">
        <v>54</v>
      </c>
      <c r="C419" s="2" t="s">
        <v>24</v>
      </c>
      <c r="D419" s="2" t="s">
        <v>13</v>
      </c>
      <c r="E419" s="2">
        <v>14</v>
      </c>
      <c r="F419" s="2">
        <v>9</v>
      </c>
      <c r="G419" s="2" t="s">
        <v>25</v>
      </c>
      <c r="H419" s="2" t="s">
        <v>46</v>
      </c>
      <c r="I419" s="2" t="s">
        <v>809</v>
      </c>
      <c r="J419" s="2">
        <v>92</v>
      </c>
    </row>
    <row r="420" spans="1:10" x14ac:dyDescent="0.3">
      <c r="A420" s="2" t="s">
        <v>810</v>
      </c>
      <c r="B420" s="2" t="s">
        <v>73</v>
      </c>
      <c r="C420" s="2" t="s">
        <v>12</v>
      </c>
      <c r="D420" s="2" t="s">
        <v>13</v>
      </c>
      <c r="E420" s="2">
        <v>14</v>
      </c>
      <c r="F420" s="2">
        <v>10</v>
      </c>
      <c r="G420" s="2" t="s">
        <v>14</v>
      </c>
      <c r="H420" s="2" t="s">
        <v>46</v>
      </c>
      <c r="I420" s="2" t="s">
        <v>385</v>
      </c>
      <c r="J420" s="2">
        <v>49</v>
      </c>
    </row>
    <row r="421" spans="1:10" x14ac:dyDescent="0.3">
      <c r="A421" s="2" t="s">
        <v>811</v>
      </c>
      <c r="B421" s="2" t="s">
        <v>29</v>
      </c>
      <c r="C421" s="2" t="s">
        <v>58</v>
      </c>
      <c r="D421" s="2" t="s">
        <v>13</v>
      </c>
      <c r="E421" s="2">
        <v>20</v>
      </c>
      <c r="F421" s="2">
        <v>11</v>
      </c>
      <c r="G421" s="2" t="s">
        <v>14</v>
      </c>
      <c r="H421" s="2" t="s">
        <v>61</v>
      </c>
      <c r="I421" s="2" t="s">
        <v>358</v>
      </c>
      <c r="J421" s="2">
        <v>44</v>
      </c>
    </row>
    <row r="422" spans="1:10" x14ac:dyDescent="0.3">
      <c r="A422" s="2" t="s">
        <v>812</v>
      </c>
      <c r="B422" s="2" t="s">
        <v>51</v>
      </c>
      <c r="C422" s="2" t="s">
        <v>55</v>
      </c>
      <c r="D422" s="2" t="s">
        <v>13</v>
      </c>
      <c r="E422" s="2">
        <v>15</v>
      </c>
      <c r="F422" s="2">
        <v>10</v>
      </c>
      <c r="G422" s="2" t="s">
        <v>43</v>
      </c>
      <c r="H422" s="2" t="s">
        <v>46</v>
      </c>
      <c r="I422" s="2" t="s">
        <v>82</v>
      </c>
      <c r="J422" s="2">
        <v>62</v>
      </c>
    </row>
    <row r="423" spans="1:10" x14ac:dyDescent="0.3">
      <c r="A423" s="2" t="s">
        <v>813</v>
      </c>
      <c r="B423" s="2" t="s">
        <v>73</v>
      </c>
      <c r="C423" s="2" t="s">
        <v>58</v>
      </c>
      <c r="D423" s="2" t="s">
        <v>13</v>
      </c>
      <c r="E423" s="2">
        <v>17</v>
      </c>
      <c r="F423" s="2">
        <v>12</v>
      </c>
      <c r="G423" s="2" t="s">
        <v>32</v>
      </c>
      <c r="H423" s="2" t="s">
        <v>46</v>
      </c>
      <c r="I423" s="2" t="s">
        <v>346</v>
      </c>
      <c r="J423" s="2">
        <v>60</v>
      </c>
    </row>
    <row r="424" spans="1:10" x14ac:dyDescent="0.3">
      <c r="A424" s="2" t="s">
        <v>814</v>
      </c>
      <c r="B424" s="2" t="s">
        <v>18</v>
      </c>
      <c r="C424" s="2" t="s">
        <v>24</v>
      </c>
      <c r="D424" s="2" t="s">
        <v>31</v>
      </c>
      <c r="E424" s="2">
        <v>17</v>
      </c>
      <c r="F424" s="2">
        <v>10</v>
      </c>
      <c r="G424" s="2" t="s">
        <v>14</v>
      </c>
      <c r="H424" s="2" t="s">
        <v>76</v>
      </c>
      <c r="I424" s="2" t="s">
        <v>815</v>
      </c>
      <c r="J424" s="2">
        <v>47</v>
      </c>
    </row>
    <row r="425" spans="1:10" x14ac:dyDescent="0.3">
      <c r="A425" s="2" t="s">
        <v>816</v>
      </c>
      <c r="B425" s="2" t="s">
        <v>23</v>
      </c>
      <c r="C425" s="2" t="s">
        <v>79</v>
      </c>
      <c r="D425" s="2" t="s">
        <v>31</v>
      </c>
      <c r="E425" s="2">
        <v>15</v>
      </c>
      <c r="F425" s="2">
        <v>9</v>
      </c>
      <c r="G425" s="2" t="s">
        <v>25</v>
      </c>
      <c r="H425" s="2" t="s">
        <v>76</v>
      </c>
      <c r="I425" s="2" t="s">
        <v>149</v>
      </c>
      <c r="J425" s="2">
        <v>79</v>
      </c>
    </row>
    <row r="426" spans="1:10" x14ac:dyDescent="0.3">
      <c r="A426" s="2" t="s">
        <v>817</v>
      </c>
      <c r="B426" s="2" t="s">
        <v>51</v>
      </c>
      <c r="C426" s="2" t="s">
        <v>55</v>
      </c>
      <c r="D426" s="2" t="s">
        <v>31</v>
      </c>
      <c r="E426" s="2">
        <v>19</v>
      </c>
      <c r="F426" s="2">
        <v>11</v>
      </c>
      <c r="G426" s="2" t="s">
        <v>14</v>
      </c>
      <c r="H426" s="2" t="s">
        <v>26</v>
      </c>
      <c r="I426" s="2" t="s">
        <v>818</v>
      </c>
      <c r="J426" s="2">
        <v>56</v>
      </c>
    </row>
    <row r="427" spans="1:10" x14ac:dyDescent="0.3">
      <c r="A427" s="2" t="s">
        <v>819</v>
      </c>
      <c r="B427" s="2" t="s">
        <v>18</v>
      </c>
      <c r="C427" s="2" t="s">
        <v>36</v>
      </c>
      <c r="D427" s="2" t="s">
        <v>31</v>
      </c>
      <c r="E427" s="2">
        <v>14</v>
      </c>
      <c r="F427" s="2">
        <v>10</v>
      </c>
      <c r="G427" s="2" t="s">
        <v>43</v>
      </c>
      <c r="H427" s="2" t="s">
        <v>76</v>
      </c>
      <c r="I427" s="2" t="s">
        <v>820</v>
      </c>
      <c r="J427" s="2">
        <v>56</v>
      </c>
    </row>
    <row r="428" spans="1:10" x14ac:dyDescent="0.3">
      <c r="A428" s="2" t="s">
        <v>821</v>
      </c>
      <c r="B428" s="2" t="s">
        <v>18</v>
      </c>
      <c r="C428" s="2" t="s">
        <v>79</v>
      </c>
      <c r="D428" s="2" t="s">
        <v>13</v>
      </c>
      <c r="E428" s="2">
        <v>20</v>
      </c>
      <c r="F428" s="2">
        <v>12</v>
      </c>
      <c r="G428" s="2" t="s">
        <v>32</v>
      </c>
      <c r="H428" s="2" t="s">
        <v>26</v>
      </c>
      <c r="I428" s="2" t="s">
        <v>822</v>
      </c>
      <c r="J428" s="2">
        <v>52</v>
      </c>
    </row>
    <row r="429" spans="1:10" x14ac:dyDescent="0.3">
      <c r="A429" s="2" t="s">
        <v>823</v>
      </c>
      <c r="B429" s="2" t="s">
        <v>11</v>
      </c>
      <c r="C429" s="2" t="s">
        <v>79</v>
      </c>
      <c r="D429" s="2" t="s">
        <v>31</v>
      </c>
      <c r="E429" s="2">
        <v>18</v>
      </c>
      <c r="F429" s="2">
        <v>12</v>
      </c>
      <c r="G429" s="2" t="s">
        <v>43</v>
      </c>
      <c r="H429" s="2" t="s">
        <v>37</v>
      </c>
      <c r="I429" s="2" t="s">
        <v>292</v>
      </c>
      <c r="J429" s="2">
        <v>94</v>
      </c>
    </row>
    <row r="430" spans="1:10" x14ac:dyDescent="0.3">
      <c r="A430" s="2" t="s">
        <v>824</v>
      </c>
      <c r="B430" s="2" t="s">
        <v>54</v>
      </c>
      <c r="C430" s="2" t="s">
        <v>19</v>
      </c>
      <c r="D430" s="2" t="s">
        <v>31</v>
      </c>
      <c r="E430" s="2">
        <v>20</v>
      </c>
      <c r="F430" s="2">
        <v>9</v>
      </c>
      <c r="G430" s="2" t="s">
        <v>14</v>
      </c>
      <c r="H430" s="2" t="s">
        <v>37</v>
      </c>
      <c r="I430" s="2" t="s">
        <v>825</v>
      </c>
      <c r="J430" s="2">
        <v>43</v>
      </c>
    </row>
    <row r="431" spans="1:10" x14ac:dyDescent="0.3">
      <c r="A431" s="2" t="s">
        <v>826</v>
      </c>
      <c r="B431" s="2" t="s">
        <v>51</v>
      </c>
      <c r="C431" s="2" t="s">
        <v>55</v>
      </c>
      <c r="D431" s="2" t="s">
        <v>31</v>
      </c>
      <c r="E431" s="2">
        <v>15</v>
      </c>
      <c r="F431" s="2">
        <v>10</v>
      </c>
      <c r="G431" s="2" t="s">
        <v>43</v>
      </c>
      <c r="H431" s="2" t="s">
        <v>37</v>
      </c>
      <c r="I431" s="2" t="s">
        <v>174</v>
      </c>
      <c r="J431" s="2">
        <v>42</v>
      </c>
    </row>
    <row r="432" spans="1:10" x14ac:dyDescent="0.3">
      <c r="A432" s="2" t="s">
        <v>827</v>
      </c>
      <c r="B432" s="2" t="s">
        <v>35</v>
      </c>
      <c r="C432" s="2" t="s">
        <v>12</v>
      </c>
      <c r="D432" s="2" t="s">
        <v>13</v>
      </c>
      <c r="E432" s="2">
        <v>14</v>
      </c>
      <c r="F432" s="2">
        <v>12</v>
      </c>
      <c r="G432" s="2" t="s">
        <v>25</v>
      </c>
      <c r="H432" s="2" t="s">
        <v>61</v>
      </c>
      <c r="I432" s="2" t="s">
        <v>570</v>
      </c>
      <c r="J432" s="2">
        <v>65</v>
      </c>
    </row>
    <row r="433" spans="1:10" x14ac:dyDescent="0.3">
      <c r="A433" s="2" t="s">
        <v>828</v>
      </c>
      <c r="B433" s="2" t="s">
        <v>29</v>
      </c>
      <c r="C433" s="2" t="s">
        <v>55</v>
      </c>
      <c r="D433" s="2" t="s">
        <v>13</v>
      </c>
      <c r="E433" s="2">
        <v>15</v>
      </c>
      <c r="F433" s="2">
        <v>9</v>
      </c>
      <c r="G433" s="2" t="s">
        <v>32</v>
      </c>
      <c r="H433" s="2" t="s">
        <v>40</v>
      </c>
      <c r="I433" s="2" t="s">
        <v>829</v>
      </c>
      <c r="J433" s="2">
        <v>64</v>
      </c>
    </row>
    <row r="434" spans="1:10" x14ac:dyDescent="0.3">
      <c r="A434" s="2" t="s">
        <v>830</v>
      </c>
      <c r="B434" s="2" t="s">
        <v>23</v>
      </c>
      <c r="C434" s="2" t="s">
        <v>58</v>
      </c>
      <c r="D434" s="2" t="s">
        <v>31</v>
      </c>
      <c r="E434" s="2">
        <v>17</v>
      </c>
      <c r="F434" s="2">
        <v>9</v>
      </c>
      <c r="G434" s="2" t="s">
        <v>43</v>
      </c>
      <c r="H434" s="2" t="s">
        <v>61</v>
      </c>
      <c r="I434" s="2" t="s">
        <v>820</v>
      </c>
      <c r="J434" s="2">
        <v>59</v>
      </c>
    </row>
    <row r="435" spans="1:10" x14ac:dyDescent="0.3">
      <c r="A435" s="2" t="s">
        <v>831</v>
      </c>
      <c r="B435" s="2" t="s">
        <v>54</v>
      </c>
      <c r="C435" s="2" t="s">
        <v>36</v>
      </c>
      <c r="D435" s="2" t="s">
        <v>31</v>
      </c>
      <c r="E435" s="2">
        <v>19</v>
      </c>
      <c r="F435" s="2">
        <v>9</v>
      </c>
      <c r="G435" s="2" t="s">
        <v>32</v>
      </c>
      <c r="H435" s="2" t="s">
        <v>15</v>
      </c>
      <c r="I435" s="2" t="s">
        <v>832</v>
      </c>
      <c r="J435" s="2">
        <v>35</v>
      </c>
    </row>
    <row r="436" spans="1:10" x14ac:dyDescent="0.3">
      <c r="A436" s="2" t="s">
        <v>833</v>
      </c>
      <c r="B436" s="2" t="s">
        <v>73</v>
      </c>
      <c r="C436" s="2" t="s">
        <v>96</v>
      </c>
      <c r="D436" s="2" t="s">
        <v>31</v>
      </c>
      <c r="E436" s="2">
        <v>15</v>
      </c>
      <c r="F436" s="2">
        <v>10</v>
      </c>
      <c r="G436" s="2" t="s">
        <v>43</v>
      </c>
      <c r="H436" s="2" t="s">
        <v>76</v>
      </c>
      <c r="I436" s="2" t="s">
        <v>834</v>
      </c>
      <c r="J436" s="2">
        <v>37</v>
      </c>
    </row>
    <row r="437" spans="1:10" x14ac:dyDescent="0.3">
      <c r="A437" s="2" t="s">
        <v>835</v>
      </c>
      <c r="B437" s="2" t="s">
        <v>18</v>
      </c>
      <c r="C437" s="2" t="s">
        <v>55</v>
      </c>
      <c r="D437" s="2" t="s">
        <v>31</v>
      </c>
      <c r="E437" s="2">
        <v>16</v>
      </c>
      <c r="F437" s="2">
        <v>10</v>
      </c>
      <c r="G437" s="2" t="s">
        <v>14</v>
      </c>
      <c r="H437" s="2" t="s">
        <v>61</v>
      </c>
      <c r="I437" s="2" t="s">
        <v>411</v>
      </c>
      <c r="J437" s="2">
        <v>52</v>
      </c>
    </row>
    <row r="438" spans="1:10" x14ac:dyDescent="0.3">
      <c r="A438" s="2" t="s">
        <v>836</v>
      </c>
      <c r="B438" s="2" t="s">
        <v>18</v>
      </c>
      <c r="C438" s="2" t="s">
        <v>58</v>
      </c>
      <c r="D438" s="2" t="s">
        <v>13</v>
      </c>
      <c r="E438" s="2">
        <v>16</v>
      </c>
      <c r="F438" s="2">
        <v>9</v>
      </c>
      <c r="G438" s="2" t="s">
        <v>14</v>
      </c>
      <c r="H438" s="2" t="s">
        <v>37</v>
      </c>
      <c r="I438" s="2" t="s">
        <v>837</v>
      </c>
      <c r="J438" s="2">
        <v>64</v>
      </c>
    </row>
    <row r="439" spans="1:10" x14ac:dyDescent="0.3">
      <c r="A439" s="2" t="s">
        <v>838</v>
      </c>
      <c r="B439" s="2" t="s">
        <v>29</v>
      </c>
      <c r="C439" s="2" t="s">
        <v>36</v>
      </c>
      <c r="D439" s="2" t="s">
        <v>31</v>
      </c>
      <c r="E439" s="2">
        <v>17</v>
      </c>
      <c r="F439" s="2">
        <v>10</v>
      </c>
      <c r="G439" s="2" t="s">
        <v>25</v>
      </c>
      <c r="H439" s="2" t="s">
        <v>15</v>
      </c>
      <c r="I439" s="2" t="s">
        <v>839</v>
      </c>
      <c r="J439" s="2">
        <v>35</v>
      </c>
    </row>
    <row r="440" spans="1:10" x14ac:dyDescent="0.3">
      <c r="A440" s="2" t="s">
        <v>840</v>
      </c>
      <c r="B440" s="2" t="s">
        <v>29</v>
      </c>
      <c r="C440" s="2" t="s">
        <v>12</v>
      </c>
      <c r="D440" s="2" t="s">
        <v>31</v>
      </c>
      <c r="E440" s="2">
        <v>20</v>
      </c>
      <c r="F440" s="2">
        <v>10</v>
      </c>
      <c r="G440" s="2" t="s">
        <v>43</v>
      </c>
      <c r="H440" s="2" t="s">
        <v>15</v>
      </c>
      <c r="I440" s="2" t="s">
        <v>841</v>
      </c>
      <c r="J440" s="2">
        <v>37</v>
      </c>
    </row>
    <row r="441" spans="1:10" x14ac:dyDescent="0.3">
      <c r="A441" s="2" t="s">
        <v>842</v>
      </c>
      <c r="B441" s="2" t="s">
        <v>23</v>
      </c>
      <c r="C441" s="2" t="s">
        <v>30</v>
      </c>
      <c r="D441" s="2" t="s">
        <v>13</v>
      </c>
      <c r="E441" s="2">
        <v>15</v>
      </c>
      <c r="F441" s="2">
        <v>9</v>
      </c>
      <c r="G441" s="2" t="s">
        <v>32</v>
      </c>
      <c r="H441" s="2" t="s">
        <v>37</v>
      </c>
      <c r="I441" s="2" t="s">
        <v>477</v>
      </c>
      <c r="J441" s="2">
        <v>51</v>
      </c>
    </row>
    <row r="442" spans="1:10" x14ac:dyDescent="0.3">
      <c r="A442" s="2" t="s">
        <v>843</v>
      </c>
      <c r="B442" s="2" t="s">
        <v>54</v>
      </c>
      <c r="C442" s="2" t="s">
        <v>12</v>
      </c>
      <c r="D442" s="2" t="s">
        <v>31</v>
      </c>
      <c r="E442" s="2">
        <v>17</v>
      </c>
      <c r="F442" s="2">
        <v>10</v>
      </c>
      <c r="G442" s="2" t="s">
        <v>25</v>
      </c>
      <c r="H442" s="2" t="s">
        <v>40</v>
      </c>
      <c r="I442" s="2" t="s">
        <v>844</v>
      </c>
      <c r="J442" s="2">
        <v>43</v>
      </c>
    </row>
    <row r="443" spans="1:10" x14ac:dyDescent="0.3">
      <c r="A443" s="2" t="s">
        <v>845</v>
      </c>
      <c r="B443" s="2" t="s">
        <v>11</v>
      </c>
      <c r="C443" s="2" t="s">
        <v>19</v>
      </c>
      <c r="D443" s="2" t="s">
        <v>31</v>
      </c>
      <c r="E443" s="2">
        <v>19</v>
      </c>
      <c r="F443" s="2">
        <v>11</v>
      </c>
      <c r="G443" s="2" t="s">
        <v>43</v>
      </c>
      <c r="H443" s="2" t="s">
        <v>76</v>
      </c>
      <c r="I443" s="2" t="s">
        <v>282</v>
      </c>
      <c r="J443" s="2">
        <v>44</v>
      </c>
    </row>
    <row r="444" spans="1:10" x14ac:dyDescent="0.3">
      <c r="A444" s="2" t="s">
        <v>846</v>
      </c>
      <c r="B444" s="2" t="s">
        <v>35</v>
      </c>
      <c r="C444" s="2" t="s">
        <v>79</v>
      </c>
      <c r="D444" s="2" t="s">
        <v>13</v>
      </c>
      <c r="E444" s="2">
        <v>17</v>
      </c>
      <c r="F444" s="2">
        <v>12</v>
      </c>
      <c r="G444" s="2" t="s">
        <v>25</v>
      </c>
      <c r="H444" s="2" t="s">
        <v>46</v>
      </c>
      <c r="I444" s="2" t="s">
        <v>847</v>
      </c>
      <c r="J444" s="2">
        <v>41</v>
      </c>
    </row>
    <row r="445" spans="1:10" x14ac:dyDescent="0.3">
      <c r="A445" s="2" t="s">
        <v>848</v>
      </c>
      <c r="B445" s="2" t="s">
        <v>18</v>
      </c>
      <c r="C445" s="2" t="s">
        <v>24</v>
      </c>
      <c r="D445" s="2" t="s">
        <v>31</v>
      </c>
      <c r="E445" s="2">
        <v>16</v>
      </c>
      <c r="F445" s="2">
        <v>10</v>
      </c>
      <c r="G445" s="2" t="s">
        <v>25</v>
      </c>
      <c r="H445" s="2" t="s">
        <v>61</v>
      </c>
      <c r="I445" s="2" t="s">
        <v>849</v>
      </c>
      <c r="J445" s="2">
        <v>78</v>
      </c>
    </row>
    <row r="446" spans="1:10" x14ac:dyDescent="0.3">
      <c r="A446" s="2" t="s">
        <v>850</v>
      </c>
      <c r="B446" s="2" t="s">
        <v>51</v>
      </c>
      <c r="C446" s="2" t="s">
        <v>96</v>
      </c>
      <c r="D446" s="2" t="s">
        <v>13</v>
      </c>
      <c r="E446" s="2">
        <v>14</v>
      </c>
      <c r="F446" s="2">
        <v>9</v>
      </c>
      <c r="G446" s="2" t="s">
        <v>25</v>
      </c>
      <c r="H446" s="2" t="s">
        <v>26</v>
      </c>
      <c r="I446" s="2" t="s">
        <v>851</v>
      </c>
      <c r="J446" s="2">
        <v>90</v>
      </c>
    </row>
    <row r="447" spans="1:10" x14ac:dyDescent="0.3">
      <c r="A447" s="2" t="s">
        <v>852</v>
      </c>
      <c r="B447" s="2" t="s">
        <v>29</v>
      </c>
      <c r="C447" s="2" t="s">
        <v>55</v>
      </c>
      <c r="D447" s="2" t="s">
        <v>13</v>
      </c>
      <c r="E447" s="2">
        <v>15</v>
      </c>
      <c r="F447" s="2">
        <v>9</v>
      </c>
      <c r="G447" s="2" t="s">
        <v>14</v>
      </c>
      <c r="H447" s="2" t="s">
        <v>20</v>
      </c>
      <c r="I447" s="2" t="s">
        <v>853</v>
      </c>
      <c r="J447" s="2">
        <v>74</v>
      </c>
    </row>
    <row r="448" spans="1:10" x14ac:dyDescent="0.3">
      <c r="A448" s="2" t="s">
        <v>854</v>
      </c>
      <c r="B448" s="2" t="s">
        <v>51</v>
      </c>
      <c r="C448" s="2" t="s">
        <v>55</v>
      </c>
      <c r="D448" s="2" t="s">
        <v>13</v>
      </c>
      <c r="E448" s="2">
        <v>15</v>
      </c>
      <c r="F448" s="2">
        <v>11</v>
      </c>
      <c r="G448" s="2" t="s">
        <v>14</v>
      </c>
      <c r="H448" s="2" t="s">
        <v>61</v>
      </c>
      <c r="I448" s="2" t="s">
        <v>855</v>
      </c>
      <c r="J448" s="2">
        <v>84</v>
      </c>
    </row>
    <row r="449" spans="1:10" x14ac:dyDescent="0.3">
      <c r="A449" s="2" t="s">
        <v>856</v>
      </c>
      <c r="B449" s="2" t="s">
        <v>29</v>
      </c>
      <c r="C449" s="2" t="s">
        <v>85</v>
      </c>
      <c r="D449" s="2" t="s">
        <v>13</v>
      </c>
      <c r="E449" s="2">
        <v>16</v>
      </c>
      <c r="F449" s="2">
        <v>9</v>
      </c>
      <c r="G449" s="2" t="s">
        <v>14</v>
      </c>
      <c r="H449" s="2" t="s">
        <v>61</v>
      </c>
      <c r="I449" s="2" t="s">
        <v>262</v>
      </c>
      <c r="J449" s="2">
        <v>78</v>
      </c>
    </row>
    <row r="450" spans="1:10" x14ac:dyDescent="0.3">
      <c r="A450" s="2" t="s">
        <v>857</v>
      </c>
      <c r="B450" s="2" t="s">
        <v>18</v>
      </c>
      <c r="C450" s="2" t="s">
        <v>96</v>
      </c>
      <c r="D450" s="2" t="s">
        <v>13</v>
      </c>
      <c r="E450" s="2">
        <v>20</v>
      </c>
      <c r="F450" s="2">
        <v>11</v>
      </c>
      <c r="G450" s="2" t="s">
        <v>32</v>
      </c>
      <c r="H450" s="2" t="s">
        <v>61</v>
      </c>
      <c r="I450" s="2" t="s">
        <v>570</v>
      </c>
      <c r="J450" s="2">
        <v>94</v>
      </c>
    </row>
    <row r="451" spans="1:10" x14ac:dyDescent="0.3">
      <c r="A451" s="2" t="s">
        <v>858</v>
      </c>
      <c r="B451" s="2" t="s">
        <v>35</v>
      </c>
      <c r="C451" s="2" t="s">
        <v>12</v>
      </c>
      <c r="D451" s="2" t="s">
        <v>31</v>
      </c>
      <c r="E451" s="2">
        <v>19</v>
      </c>
      <c r="F451" s="2">
        <v>9</v>
      </c>
      <c r="G451" s="2" t="s">
        <v>43</v>
      </c>
      <c r="H451" s="2" t="s">
        <v>26</v>
      </c>
      <c r="I451" s="2" t="s">
        <v>859</v>
      </c>
      <c r="J451" s="2">
        <v>88</v>
      </c>
    </row>
    <row r="452" spans="1:10" x14ac:dyDescent="0.3">
      <c r="A452" s="2" t="s">
        <v>860</v>
      </c>
      <c r="B452" s="2" t="s">
        <v>68</v>
      </c>
      <c r="C452" s="2" t="s">
        <v>12</v>
      </c>
      <c r="D452" s="2" t="s">
        <v>13</v>
      </c>
      <c r="E452" s="2">
        <v>16</v>
      </c>
      <c r="F452" s="2">
        <v>12</v>
      </c>
      <c r="G452" s="2" t="s">
        <v>14</v>
      </c>
      <c r="H452" s="2" t="s">
        <v>37</v>
      </c>
      <c r="I452" s="2" t="s">
        <v>861</v>
      </c>
      <c r="J452" s="2">
        <v>84</v>
      </c>
    </row>
    <row r="453" spans="1:10" x14ac:dyDescent="0.3">
      <c r="A453" s="2" t="s">
        <v>862</v>
      </c>
      <c r="B453" s="2" t="s">
        <v>51</v>
      </c>
      <c r="C453" s="2" t="s">
        <v>24</v>
      </c>
      <c r="D453" s="2" t="s">
        <v>13</v>
      </c>
      <c r="E453" s="2">
        <v>17</v>
      </c>
      <c r="F453" s="2">
        <v>9</v>
      </c>
      <c r="G453" s="2" t="s">
        <v>43</v>
      </c>
      <c r="H453" s="2" t="s">
        <v>15</v>
      </c>
      <c r="I453" s="2" t="s">
        <v>863</v>
      </c>
      <c r="J453" s="2">
        <v>86</v>
      </c>
    </row>
    <row r="454" spans="1:10" x14ac:dyDescent="0.3">
      <c r="A454" s="2" t="s">
        <v>864</v>
      </c>
      <c r="B454" s="2" t="s">
        <v>35</v>
      </c>
      <c r="C454" s="2" t="s">
        <v>58</v>
      </c>
      <c r="D454" s="2" t="s">
        <v>13</v>
      </c>
      <c r="E454" s="2">
        <v>17</v>
      </c>
      <c r="F454" s="2">
        <v>10</v>
      </c>
      <c r="G454" s="2" t="s">
        <v>14</v>
      </c>
      <c r="H454" s="2" t="s">
        <v>20</v>
      </c>
      <c r="I454" s="2" t="s">
        <v>865</v>
      </c>
      <c r="J454" s="2">
        <v>92</v>
      </c>
    </row>
    <row r="455" spans="1:10" x14ac:dyDescent="0.3">
      <c r="A455" s="2" t="s">
        <v>866</v>
      </c>
      <c r="B455" s="2" t="s">
        <v>18</v>
      </c>
      <c r="C455" s="2" t="s">
        <v>24</v>
      </c>
      <c r="D455" s="2" t="s">
        <v>13</v>
      </c>
      <c r="E455" s="2">
        <v>15</v>
      </c>
      <c r="F455" s="2">
        <v>11</v>
      </c>
      <c r="G455" s="2" t="s">
        <v>14</v>
      </c>
      <c r="H455" s="2" t="s">
        <v>61</v>
      </c>
      <c r="I455" s="2" t="s">
        <v>867</v>
      </c>
      <c r="J455" s="2">
        <v>97</v>
      </c>
    </row>
    <row r="456" spans="1:10" x14ac:dyDescent="0.3">
      <c r="A456" s="2" t="s">
        <v>868</v>
      </c>
      <c r="B456" s="2" t="s">
        <v>84</v>
      </c>
      <c r="C456" s="2" t="s">
        <v>30</v>
      </c>
      <c r="D456" s="2" t="s">
        <v>31</v>
      </c>
      <c r="E456" s="2">
        <v>15</v>
      </c>
      <c r="F456" s="2">
        <v>9</v>
      </c>
      <c r="G456" s="2" t="s">
        <v>43</v>
      </c>
      <c r="H456" s="2" t="s">
        <v>61</v>
      </c>
      <c r="I456" s="2" t="s">
        <v>151</v>
      </c>
      <c r="J456" s="2">
        <v>45</v>
      </c>
    </row>
    <row r="457" spans="1:10" x14ac:dyDescent="0.3">
      <c r="A457" s="2" t="s">
        <v>869</v>
      </c>
      <c r="B457" s="2" t="s">
        <v>73</v>
      </c>
      <c r="C457" s="2" t="s">
        <v>96</v>
      </c>
      <c r="D457" s="2" t="s">
        <v>31</v>
      </c>
      <c r="E457" s="2">
        <v>17</v>
      </c>
      <c r="F457" s="2">
        <v>9</v>
      </c>
      <c r="G457" s="2" t="s">
        <v>43</v>
      </c>
      <c r="H457" s="2" t="s">
        <v>26</v>
      </c>
      <c r="I457" s="2" t="s">
        <v>870</v>
      </c>
      <c r="J457" s="2">
        <v>53</v>
      </c>
    </row>
    <row r="458" spans="1:10" x14ac:dyDescent="0.3">
      <c r="A458" s="2" t="s">
        <v>871</v>
      </c>
      <c r="B458" s="2" t="s">
        <v>11</v>
      </c>
      <c r="C458" s="2" t="s">
        <v>12</v>
      </c>
      <c r="D458" s="2" t="s">
        <v>13</v>
      </c>
      <c r="E458" s="2">
        <v>20</v>
      </c>
      <c r="F458" s="2">
        <v>10</v>
      </c>
      <c r="G458" s="2" t="s">
        <v>25</v>
      </c>
      <c r="H458" s="2" t="s">
        <v>76</v>
      </c>
      <c r="I458" s="2" t="s">
        <v>872</v>
      </c>
      <c r="J458" s="2">
        <v>66</v>
      </c>
    </row>
    <row r="459" spans="1:10" x14ac:dyDescent="0.3">
      <c r="A459" s="2" t="s">
        <v>873</v>
      </c>
      <c r="B459" s="2" t="s">
        <v>18</v>
      </c>
      <c r="C459" s="2" t="s">
        <v>79</v>
      </c>
      <c r="D459" s="2" t="s">
        <v>31</v>
      </c>
      <c r="E459" s="2">
        <v>19</v>
      </c>
      <c r="F459" s="2">
        <v>12</v>
      </c>
      <c r="G459" s="2" t="s">
        <v>32</v>
      </c>
      <c r="H459" s="2" t="s">
        <v>76</v>
      </c>
      <c r="I459" s="2" t="s">
        <v>742</v>
      </c>
      <c r="J459" s="2">
        <v>83</v>
      </c>
    </row>
    <row r="460" spans="1:10" x14ac:dyDescent="0.3">
      <c r="A460" s="2" t="s">
        <v>874</v>
      </c>
      <c r="B460" s="2" t="s">
        <v>35</v>
      </c>
      <c r="C460" s="2" t="s">
        <v>36</v>
      </c>
      <c r="D460" s="2" t="s">
        <v>13</v>
      </c>
      <c r="E460" s="2">
        <v>16</v>
      </c>
      <c r="F460" s="2">
        <v>10</v>
      </c>
      <c r="G460" s="2" t="s">
        <v>14</v>
      </c>
      <c r="H460" s="2" t="s">
        <v>61</v>
      </c>
      <c r="I460" s="2" t="s">
        <v>875</v>
      </c>
      <c r="J460" s="2">
        <v>35</v>
      </c>
    </row>
    <row r="461" spans="1:10" x14ac:dyDescent="0.3">
      <c r="A461" s="2" t="s">
        <v>876</v>
      </c>
      <c r="B461" s="2" t="s">
        <v>18</v>
      </c>
      <c r="C461" s="2" t="s">
        <v>24</v>
      </c>
      <c r="D461" s="2" t="s">
        <v>31</v>
      </c>
      <c r="E461" s="2">
        <v>16</v>
      </c>
      <c r="F461" s="2">
        <v>9</v>
      </c>
      <c r="G461" s="2" t="s">
        <v>43</v>
      </c>
      <c r="H461" s="2" t="s">
        <v>26</v>
      </c>
      <c r="I461" s="2" t="s">
        <v>515</v>
      </c>
      <c r="J461" s="2">
        <v>48</v>
      </c>
    </row>
    <row r="462" spans="1:10" x14ac:dyDescent="0.3">
      <c r="A462" s="2" t="s">
        <v>877</v>
      </c>
      <c r="B462" s="2" t="s">
        <v>73</v>
      </c>
      <c r="C462" s="2" t="s">
        <v>85</v>
      </c>
      <c r="D462" s="2" t="s">
        <v>13</v>
      </c>
      <c r="E462" s="2">
        <v>19</v>
      </c>
      <c r="F462" s="2">
        <v>10</v>
      </c>
      <c r="G462" s="2" t="s">
        <v>25</v>
      </c>
      <c r="H462" s="2" t="s">
        <v>26</v>
      </c>
      <c r="I462" s="2" t="s">
        <v>878</v>
      </c>
      <c r="J462" s="2">
        <v>81</v>
      </c>
    </row>
    <row r="463" spans="1:10" x14ac:dyDescent="0.3">
      <c r="A463" s="2" t="s">
        <v>879</v>
      </c>
      <c r="B463" s="2" t="s">
        <v>18</v>
      </c>
      <c r="C463" s="2" t="s">
        <v>85</v>
      </c>
      <c r="D463" s="2" t="s">
        <v>13</v>
      </c>
      <c r="E463" s="2">
        <v>15</v>
      </c>
      <c r="F463" s="2">
        <v>11</v>
      </c>
      <c r="G463" s="2" t="s">
        <v>32</v>
      </c>
      <c r="H463" s="2" t="s">
        <v>37</v>
      </c>
      <c r="I463" s="2" t="s">
        <v>880</v>
      </c>
      <c r="J463" s="2">
        <v>86</v>
      </c>
    </row>
    <row r="464" spans="1:10" x14ac:dyDescent="0.3">
      <c r="A464" s="2" t="s">
        <v>881</v>
      </c>
      <c r="B464" s="2" t="s">
        <v>73</v>
      </c>
      <c r="C464" s="2" t="s">
        <v>24</v>
      </c>
      <c r="D464" s="2" t="s">
        <v>31</v>
      </c>
      <c r="E464" s="2">
        <v>14</v>
      </c>
      <c r="F464" s="2">
        <v>12</v>
      </c>
      <c r="G464" s="2" t="s">
        <v>25</v>
      </c>
      <c r="H464" s="2" t="s">
        <v>46</v>
      </c>
      <c r="I464" s="2" t="s">
        <v>882</v>
      </c>
      <c r="J464" s="2">
        <v>58</v>
      </c>
    </row>
    <row r="465" spans="1:10" x14ac:dyDescent="0.3">
      <c r="A465" s="2" t="s">
        <v>883</v>
      </c>
      <c r="B465" s="2" t="s">
        <v>23</v>
      </c>
      <c r="C465" s="2" t="s">
        <v>85</v>
      </c>
      <c r="D465" s="2" t="s">
        <v>13</v>
      </c>
      <c r="E465" s="2">
        <v>19</v>
      </c>
      <c r="F465" s="2">
        <v>9</v>
      </c>
      <c r="G465" s="2" t="s">
        <v>43</v>
      </c>
      <c r="H465" s="2" t="s">
        <v>20</v>
      </c>
      <c r="I465" s="2" t="s">
        <v>884</v>
      </c>
      <c r="J465" s="2">
        <v>69</v>
      </c>
    </row>
    <row r="466" spans="1:10" x14ac:dyDescent="0.3">
      <c r="A466" s="2" t="s">
        <v>885</v>
      </c>
      <c r="B466" s="2" t="s">
        <v>51</v>
      </c>
      <c r="C466" s="2" t="s">
        <v>55</v>
      </c>
      <c r="D466" s="2" t="s">
        <v>13</v>
      </c>
      <c r="E466" s="2">
        <v>16</v>
      </c>
      <c r="F466" s="2">
        <v>11</v>
      </c>
      <c r="G466" s="2" t="s">
        <v>32</v>
      </c>
      <c r="H466" s="2" t="s">
        <v>76</v>
      </c>
      <c r="I466" s="2" t="s">
        <v>886</v>
      </c>
      <c r="J466" s="2">
        <v>65</v>
      </c>
    </row>
    <row r="467" spans="1:10" x14ac:dyDescent="0.3">
      <c r="A467" s="2" t="s">
        <v>887</v>
      </c>
      <c r="B467" s="2" t="s">
        <v>11</v>
      </c>
      <c r="C467" s="2" t="s">
        <v>30</v>
      </c>
      <c r="D467" s="2" t="s">
        <v>31</v>
      </c>
      <c r="E467" s="2">
        <v>17</v>
      </c>
      <c r="F467" s="2">
        <v>9</v>
      </c>
      <c r="G467" s="2" t="s">
        <v>14</v>
      </c>
      <c r="H467" s="2" t="s">
        <v>76</v>
      </c>
      <c r="I467" s="2" t="s">
        <v>653</v>
      </c>
      <c r="J467" s="2">
        <v>53</v>
      </c>
    </row>
    <row r="468" spans="1:10" x14ac:dyDescent="0.3">
      <c r="A468" s="2" t="s">
        <v>888</v>
      </c>
      <c r="B468" s="2" t="s">
        <v>23</v>
      </c>
      <c r="C468" s="2" t="s">
        <v>58</v>
      </c>
      <c r="D468" s="2" t="s">
        <v>31</v>
      </c>
      <c r="E468" s="2">
        <v>18</v>
      </c>
      <c r="F468" s="2">
        <v>10</v>
      </c>
      <c r="G468" s="2" t="s">
        <v>14</v>
      </c>
      <c r="H468" s="2" t="s">
        <v>20</v>
      </c>
      <c r="I468" s="2" t="s">
        <v>153</v>
      </c>
      <c r="J468" s="2">
        <v>92</v>
      </c>
    </row>
    <row r="469" spans="1:10" x14ac:dyDescent="0.3">
      <c r="A469" s="2" t="s">
        <v>889</v>
      </c>
      <c r="B469" s="2" t="s">
        <v>68</v>
      </c>
      <c r="C469" s="2" t="s">
        <v>19</v>
      </c>
      <c r="D469" s="2" t="s">
        <v>31</v>
      </c>
      <c r="E469" s="2">
        <v>18</v>
      </c>
      <c r="F469" s="2">
        <v>12</v>
      </c>
      <c r="G469" s="2" t="s">
        <v>32</v>
      </c>
      <c r="H469" s="2" t="s">
        <v>46</v>
      </c>
      <c r="I469" s="2" t="s">
        <v>890</v>
      </c>
      <c r="J469" s="2">
        <v>88</v>
      </c>
    </row>
    <row r="470" spans="1:10" x14ac:dyDescent="0.3">
      <c r="A470" s="2" t="s">
        <v>891</v>
      </c>
      <c r="B470" s="2" t="s">
        <v>68</v>
      </c>
      <c r="C470" s="2" t="s">
        <v>79</v>
      </c>
      <c r="D470" s="2" t="s">
        <v>31</v>
      </c>
      <c r="E470" s="2">
        <v>17</v>
      </c>
      <c r="F470" s="2">
        <v>10</v>
      </c>
      <c r="G470" s="2" t="s">
        <v>32</v>
      </c>
      <c r="H470" s="2" t="s">
        <v>61</v>
      </c>
      <c r="I470" s="2" t="s">
        <v>892</v>
      </c>
      <c r="J470" s="2">
        <v>56</v>
      </c>
    </row>
    <row r="471" spans="1:10" x14ac:dyDescent="0.3">
      <c r="A471" s="2" t="s">
        <v>893</v>
      </c>
      <c r="B471" s="2" t="s">
        <v>29</v>
      </c>
      <c r="C471" s="2" t="s">
        <v>30</v>
      </c>
      <c r="D471" s="2" t="s">
        <v>13</v>
      </c>
      <c r="E471" s="2">
        <v>17</v>
      </c>
      <c r="F471" s="2">
        <v>9</v>
      </c>
      <c r="G471" s="2" t="s">
        <v>14</v>
      </c>
      <c r="H471" s="2" t="s">
        <v>46</v>
      </c>
      <c r="I471" s="2" t="s">
        <v>423</v>
      </c>
      <c r="J471" s="2">
        <v>46</v>
      </c>
    </row>
    <row r="472" spans="1:10" x14ac:dyDescent="0.3">
      <c r="A472" s="2" t="s">
        <v>894</v>
      </c>
      <c r="B472" s="2" t="s">
        <v>23</v>
      </c>
      <c r="C472" s="2" t="s">
        <v>79</v>
      </c>
      <c r="D472" s="2" t="s">
        <v>31</v>
      </c>
      <c r="E472" s="2">
        <v>20</v>
      </c>
      <c r="F472" s="2">
        <v>9</v>
      </c>
      <c r="G472" s="2" t="s">
        <v>14</v>
      </c>
      <c r="H472" s="2" t="s">
        <v>26</v>
      </c>
      <c r="I472" s="2" t="s">
        <v>895</v>
      </c>
      <c r="J472" s="2">
        <v>36</v>
      </c>
    </row>
    <row r="473" spans="1:10" x14ac:dyDescent="0.3">
      <c r="A473" s="2" t="s">
        <v>896</v>
      </c>
      <c r="B473" s="2" t="s">
        <v>11</v>
      </c>
      <c r="C473" s="2" t="s">
        <v>36</v>
      </c>
      <c r="D473" s="2" t="s">
        <v>13</v>
      </c>
      <c r="E473" s="2">
        <v>15</v>
      </c>
      <c r="F473" s="2">
        <v>11</v>
      </c>
      <c r="G473" s="2" t="s">
        <v>14</v>
      </c>
      <c r="H473" s="2" t="s">
        <v>26</v>
      </c>
      <c r="I473" s="2" t="s">
        <v>897</v>
      </c>
      <c r="J473" s="2">
        <v>95</v>
      </c>
    </row>
    <row r="474" spans="1:10" x14ac:dyDescent="0.3">
      <c r="A474" s="2" t="s">
        <v>898</v>
      </c>
      <c r="B474" s="2" t="s">
        <v>18</v>
      </c>
      <c r="C474" s="2" t="s">
        <v>19</v>
      </c>
      <c r="D474" s="2" t="s">
        <v>13</v>
      </c>
      <c r="E474" s="2">
        <v>17</v>
      </c>
      <c r="F474" s="2">
        <v>10</v>
      </c>
      <c r="G474" s="2" t="s">
        <v>25</v>
      </c>
      <c r="H474" s="2" t="s">
        <v>61</v>
      </c>
      <c r="I474" s="2" t="s">
        <v>471</v>
      </c>
      <c r="J474" s="2">
        <v>58</v>
      </c>
    </row>
    <row r="475" spans="1:10" x14ac:dyDescent="0.3">
      <c r="A475" s="2" t="s">
        <v>899</v>
      </c>
      <c r="B475" s="2" t="s">
        <v>11</v>
      </c>
      <c r="C475" s="2" t="s">
        <v>79</v>
      </c>
      <c r="D475" s="2" t="s">
        <v>13</v>
      </c>
      <c r="E475" s="2">
        <v>15</v>
      </c>
      <c r="F475" s="2">
        <v>10</v>
      </c>
      <c r="G475" s="2" t="s">
        <v>14</v>
      </c>
      <c r="H475" s="2" t="s">
        <v>37</v>
      </c>
      <c r="I475" s="2" t="s">
        <v>900</v>
      </c>
      <c r="J475" s="2">
        <v>88</v>
      </c>
    </row>
    <row r="476" spans="1:10" x14ac:dyDescent="0.3">
      <c r="A476" s="2" t="s">
        <v>901</v>
      </c>
      <c r="B476" s="2" t="s">
        <v>68</v>
      </c>
      <c r="C476" s="2" t="s">
        <v>19</v>
      </c>
      <c r="D476" s="2" t="s">
        <v>31</v>
      </c>
      <c r="E476" s="2">
        <v>18</v>
      </c>
      <c r="F476" s="2">
        <v>11</v>
      </c>
      <c r="G476" s="2" t="s">
        <v>14</v>
      </c>
      <c r="H476" s="2" t="s">
        <v>40</v>
      </c>
      <c r="I476" s="2" t="s">
        <v>139</v>
      </c>
      <c r="J476" s="2">
        <v>75</v>
      </c>
    </row>
    <row r="477" spans="1:10" x14ac:dyDescent="0.3">
      <c r="A477" s="2" t="s">
        <v>902</v>
      </c>
      <c r="B477" s="2" t="s">
        <v>35</v>
      </c>
      <c r="C477" s="2" t="s">
        <v>12</v>
      </c>
      <c r="D477" s="2" t="s">
        <v>31</v>
      </c>
      <c r="E477" s="2">
        <v>14</v>
      </c>
      <c r="F477" s="2">
        <v>11</v>
      </c>
      <c r="G477" s="2" t="s">
        <v>14</v>
      </c>
      <c r="H477" s="2" t="s">
        <v>37</v>
      </c>
      <c r="I477" s="2" t="s">
        <v>271</v>
      </c>
      <c r="J477" s="2">
        <v>59</v>
      </c>
    </row>
    <row r="478" spans="1:10" x14ac:dyDescent="0.3">
      <c r="A478" s="2" t="s">
        <v>903</v>
      </c>
      <c r="B478" s="2" t="s">
        <v>54</v>
      </c>
      <c r="C478" s="2" t="s">
        <v>30</v>
      </c>
      <c r="D478" s="2" t="s">
        <v>31</v>
      </c>
      <c r="E478" s="2">
        <v>20</v>
      </c>
      <c r="F478" s="2">
        <v>12</v>
      </c>
      <c r="G478" s="2" t="s">
        <v>43</v>
      </c>
      <c r="H478" s="2" t="s">
        <v>40</v>
      </c>
      <c r="I478" s="2" t="s">
        <v>904</v>
      </c>
      <c r="J478" s="2">
        <v>55</v>
      </c>
    </row>
    <row r="479" spans="1:10" x14ac:dyDescent="0.3">
      <c r="A479" s="2" t="s">
        <v>905</v>
      </c>
      <c r="B479" s="2" t="s">
        <v>54</v>
      </c>
      <c r="C479" s="2" t="s">
        <v>30</v>
      </c>
      <c r="D479" s="2" t="s">
        <v>13</v>
      </c>
      <c r="E479" s="2">
        <v>16</v>
      </c>
      <c r="F479" s="2">
        <v>12</v>
      </c>
      <c r="G479" s="2" t="s">
        <v>43</v>
      </c>
      <c r="H479" s="2" t="s">
        <v>40</v>
      </c>
      <c r="I479" s="2" t="s">
        <v>556</v>
      </c>
      <c r="J479" s="2">
        <v>81</v>
      </c>
    </row>
    <row r="480" spans="1:10" x14ac:dyDescent="0.3">
      <c r="A480" s="2" t="s">
        <v>906</v>
      </c>
      <c r="B480" s="2" t="s">
        <v>73</v>
      </c>
      <c r="C480" s="2" t="s">
        <v>36</v>
      </c>
      <c r="D480" s="2" t="s">
        <v>13</v>
      </c>
      <c r="E480" s="2">
        <v>17</v>
      </c>
      <c r="F480" s="2">
        <v>12</v>
      </c>
      <c r="G480" s="2" t="s">
        <v>25</v>
      </c>
      <c r="H480" s="2" t="s">
        <v>76</v>
      </c>
      <c r="I480" s="2" t="s">
        <v>907</v>
      </c>
      <c r="J480" s="2">
        <v>75</v>
      </c>
    </row>
    <row r="481" spans="1:10" x14ac:dyDescent="0.3">
      <c r="A481" s="2" t="s">
        <v>908</v>
      </c>
      <c r="B481" s="2" t="s">
        <v>11</v>
      </c>
      <c r="C481" s="2" t="s">
        <v>79</v>
      </c>
      <c r="D481" s="2" t="s">
        <v>31</v>
      </c>
      <c r="E481" s="2">
        <v>14</v>
      </c>
      <c r="F481" s="2">
        <v>10</v>
      </c>
      <c r="G481" s="2" t="s">
        <v>14</v>
      </c>
      <c r="H481" s="2" t="s">
        <v>46</v>
      </c>
      <c r="I481" s="2" t="s">
        <v>909</v>
      </c>
      <c r="J481" s="2">
        <v>55</v>
      </c>
    </row>
    <row r="482" spans="1:10" x14ac:dyDescent="0.3">
      <c r="A482" s="2" t="s">
        <v>910</v>
      </c>
      <c r="B482" s="2" t="s">
        <v>84</v>
      </c>
      <c r="C482" s="2" t="s">
        <v>12</v>
      </c>
      <c r="D482" s="2" t="s">
        <v>31</v>
      </c>
      <c r="E482" s="2">
        <v>18</v>
      </c>
      <c r="F482" s="2">
        <v>11</v>
      </c>
      <c r="G482" s="2" t="s">
        <v>25</v>
      </c>
      <c r="H482" s="2" t="s">
        <v>15</v>
      </c>
      <c r="I482" s="2" t="s">
        <v>911</v>
      </c>
      <c r="J482" s="2">
        <v>87</v>
      </c>
    </row>
    <row r="483" spans="1:10" x14ac:dyDescent="0.3">
      <c r="A483" s="2" t="s">
        <v>912</v>
      </c>
      <c r="B483" s="2" t="s">
        <v>23</v>
      </c>
      <c r="C483" s="2" t="s">
        <v>79</v>
      </c>
      <c r="D483" s="2" t="s">
        <v>31</v>
      </c>
      <c r="E483" s="2">
        <v>17</v>
      </c>
      <c r="F483" s="2">
        <v>12</v>
      </c>
      <c r="G483" s="2" t="s">
        <v>32</v>
      </c>
      <c r="H483" s="2" t="s">
        <v>46</v>
      </c>
      <c r="I483" s="2" t="s">
        <v>400</v>
      </c>
      <c r="J483" s="2">
        <v>70</v>
      </c>
    </row>
    <row r="484" spans="1:10" x14ac:dyDescent="0.3">
      <c r="A484" s="2" t="s">
        <v>913</v>
      </c>
      <c r="B484" s="2" t="s">
        <v>68</v>
      </c>
      <c r="C484" s="2" t="s">
        <v>58</v>
      </c>
      <c r="D484" s="2" t="s">
        <v>13</v>
      </c>
      <c r="E484" s="2">
        <v>14</v>
      </c>
      <c r="F484" s="2">
        <v>10</v>
      </c>
      <c r="G484" s="2" t="s">
        <v>14</v>
      </c>
      <c r="H484" s="2" t="s">
        <v>15</v>
      </c>
      <c r="I484" s="2" t="s">
        <v>914</v>
      </c>
      <c r="J484" s="2">
        <v>69</v>
      </c>
    </row>
    <row r="485" spans="1:10" x14ac:dyDescent="0.3">
      <c r="A485" s="2" t="s">
        <v>915</v>
      </c>
      <c r="B485" s="2" t="s">
        <v>23</v>
      </c>
      <c r="C485" s="2" t="s">
        <v>58</v>
      </c>
      <c r="D485" s="2" t="s">
        <v>31</v>
      </c>
      <c r="E485" s="2">
        <v>17</v>
      </c>
      <c r="F485" s="2">
        <v>9</v>
      </c>
      <c r="G485" s="2" t="s">
        <v>25</v>
      </c>
      <c r="H485" s="2" t="s">
        <v>46</v>
      </c>
      <c r="I485" s="2" t="s">
        <v>916</v>
      </c>
      <c r="J485" s="2">
        <v>85</v>
      </c>
    </row>
    <row r="486" spans="1:10" x14ac:dyDescent="0.3">
      <c r="A486" s="2" t="s">
        <v>917</v>
      </c>
      <c r="B486" s="2" t="s">
        <v>11</v>
      </c>
      <c r="C486" s="2" t="s">
        <v>96</v>
      </c>
      <c r="D486" s="2" t="s">
        <v>31</v>
      </c>
      <c r="E486" s="2">
        <v>19</v>
      </c>
      <c r="F486" s="2">
        <v>11</v>
      </c>
      <c r="G486" s="2" t="s">
        <v>43</v>
      </c>
      <c r="H486" s="2" t="s">
        <v>26</v>
      </c>
      <c r="I486" s="2" t="s">
        <v>918</v>
      </c>
      <c r="J486" s="2">
        <v>87</v>
      </c>
    </row>
    <row r="487" spans="1:10" x14ac:dyDescent="0.3">
      <c r="A487" s="2" t="s">
        <v>919</v>
      </c>
      <c r="B487" s="2" t="s">
        <v>23</v>
      </c>
      <c r="C487" s="2" t="s">
        <v>19</v>
      </c>
      <c r="D487" s="2" t="s">
        <v>13</v>
      </c>
      <c r="E487" s="2">
        <v>14</v>
      </c>
      <c r="F487" s="2">
        <v>12</v>
      </c>
      <c r="G487" s="2" t="s">
        <v>14</v>
      </c>
      <c r="H487" s="2" t="s">
        <v>15</v>
      </c>
      <c r="I487" s="2" t="s">
        <v>920</v>
      </c>
      <c r="J487" s="2">
        <v>92</v>
      </c>
    </row>
    <row r="488" spans="1:10" x14ac:dyDescent="0.3">
      <c r="A488" s="2" t="s">
        <v>921</v>
      </c>
      <c r="B488" s="2" t="s">
        <v>18</v>
      </c>
      <c r="C488" s="2" t="s">
        <v>24</v>
      </c>
      <c r="D488" s="2" t="s">
        <v>13</v>
      </c>
      <c r="E488" s="2">
        <v>19</v>
      </c>
      <c r="F488" s="2">
        <v>10</v>
      </c>
      <c r="G488" s="2" t="s">
        <v>14</v>
      </c>
      <c r="H488" s="2" t="s">
        <v>20</v>
      </c>
      <c r="I488" s="2" t="s">
        <v>922</v>
      </c>
      <c r="J488" s="2">
        <v>58</v>
      </c>
    </row>
    <row r="489" spans="1:10" x14ac:dyDescent="0.3">
      <c r="A489" s="2" t="s">
        <v>923</v>
      </c>
      <c r="B489" s="2" t="s">
        <v>68</v>
      </c>
      <c r="C489" s="2" t="s">
        <v>55</v>
      </c>
      <c r="D489" s="2" t="s">
        <v>31</v>
      </c>
      <c r="E489" s="2">
        <v>16</v>
      </c>
      <c r="F489" s="2">
        <v>12</v>
      </c>
      <c r="G489" s="2" t="s">
        <v>43</v>
      </c>
      <c r="H489" s="2" t="s">
        <v>37</v>
      </c>
      <c r="I489" s="2" t="s">
        <v>924</v>
      </c>
      <c r="J489" s="2">
        <v>77</v>
      </c>
    </row>
    <row r="490" spans="1:10" x14ac:dyDescent="0.3">
      <c r="A490" s="2" t="s">
        <v>925</v>
      </c>
      <c r="B490" s="2" t="s">
        <v>68</v>
      </c>
      <c r="C490" s="2" t="s">
        <v>30</v>
      </c>
      <c r="D490" s="2" t="s">
        <v>31</v>
      </c>
      <c r="E490" s="2">
        <v>18</v>
      </c>
      <c r="F490" s="2">
        <v>9</v>
      </c>
      <c r="G490" s="2" t="s">
        <v>32</v>
      </c>
      <c r="H490" s="2" t="s">
        <v>20</v>
      </c>
      <c r="I490" s="2" t="s">
        <v>732</v>
      </c>
      <c r="J490" s="2">
        <v>86</v>
      </c>
    </row>
    <row r="491" spans="1:10" x14ac:dyDescent="0.3">
      <c r="A491" s="2" t="s">
        <v>926</v>
      </c>
      <c r="B491" s="2" t="s">
        <v>73</v>
      </c>
      <c r="C491" s="2" t="s">
        <v>85</v>
      </c>
      <c r="D491" s="2" t="s">
        <v>13</v>
      </c>
      <c r="E491" s="2">
        <v>14</v>
      </c>
      <c r="F491" s="2">
        <v>9</v>
      </c>
      <c r="G491" s="2" t="s">
        <v>32</v>
      </c>
      <c r="H491" s="2" t="s">
        <v>20</v>
      </c>
      <c r="I491" s="2" t="s">
        <v>927</v>
      </c>
      <c r="J491" s="2">
        <v>94</v>
      </c>
    </row>
    <row r="492" spans="1:10" x14ac:dyDescent="0.3">
      <c r="A492" s="2" t="s">
        <v>928</v>
      </c>
      <c r="B492" s="2" t="s">
        <v>23</v>
      </c>
      <c r="C492" s="2" t="s">
        <v>55</v>
      </c>
      <c r="D492" s="2" t="s">
        <v>13</v>
      </c>
      <c r="E492" s="2">
        <v>20</v>
      </c>
      <c r="F492" s="2">
        <v>11</v>
      </c>
      <c r="G492" s="2" t="s">
        <v>14</v>
      </c>
      <c r="H492" s="2" t="s">
        <v>15</v>
      </c>
      <c r="I492" s="2" t="s">
        <v>608</v>
      </c>
      <c r="J492" s="2">
        <v>49</v>
      </c>
    </row>
    <row r="493" spans="1:10" x14ac:dyDescent="0.3">
      <c r="A493" s="2" t="s">
        <v>929</v>
      </c>
      <c r="B493" s="2" t="s">
        <v>35</v>
      </c>
      <c r="C493" s="2" t="s">
        <v>30</v>
      </c>
      <c r="D493" s="2" t="s">
        <v>13</v>
      </c>
      <c r="E493" s="2">
        <v>15</v>
      </c>
      <c r="F493" s="2">
        <v>12</v>
      </c>
      <c r="G493" s="2" t="s">
        <v>32</v>
      </c>
      <c r="H493" s="2" t="s">
        <v>26</v>
      </c>
      <c r="I493" s="2" t="s">
        <v>262</v>
      </c>
      <c r="J493" s="2">
        <v>55</v>
      </c>
    </row>
    <row r="494" spans="1:10" x14ac:dyDescent="0.3">
      <c r="A494" s="2" t="s">
        <v>930</v>
      </c>
      <c r="B494" s="2" t="s">
        <v>35</v>
      </c>
      <c r="C494" s="2" t="s">
        <v>96</v>
      </c>
      <c r="D494" s="2" t="s">
        <v>31</v>
      </c>
      <c r="E494" s="2">
        <v>20</v>
      </c>
      <c r="F494" s="2">
        <v>9</v>
      </c>
      <c r="G494" s="2" t="s">
        <v>25</v>
      </c>
      <c r="H494" s="2" t="s">
        <v>61</v>
      </c>
      <c r="I494" s="2" t="s">
        <v>342</v>
      </c>
      <c r="J494" s="2">
        <v>62</v>
      </c>
    </row>
    <row r="495" spans="1:10" x14ac:dyDescent="0.3">
      <c r="A495" s="2" t="s">
        <v>931</v>
      </c>
      <c r="B495" s="2" t="s">
        <v>23</v>
      </c>
      <c r="C495" s="2" t="s">
        <v>36</v>
      </c>
      <c r="D495" s="2" t="s">
        <v>13</v>
      </c>
      <c r="E495" s="2">
        <v>20</v>
      </c>
      <c r="F495" s="2">
        <v>9</v>
      </c>
      <c r="G495" s="2" t="s">
        <v>43</v>
      </c>
      <c r="H495" s="2" t="s">
        <v>40</v>
      </c>
      <c r="I495" s="2" t="s">
        <v>932</v>
      </c>
      <c r="J495" s="2">
        <v>85</v>
      </c>
    </row>
    <row r="496" spans="1:10" x14ac:dyDescent="0.3">
      <c r="A496" s="2" t="s">
        <v>933</v>
      </c>
      <c r="B496" s="2" t="s">
        <v>51</v>
      </c>
      <c r="C496" s="2" t="s">
        <v>96</v>
      </c>
      <c r="D496" s="2" t="s">
        <v>13</v>
      </c>
      <c r="E496" s="2">
        <v>20</v>
      </c>
      <c r="F496" s="2">
        <v>11</v>
      </c>
      <c r="G496" s="2" t="s">
        <v>25</v>
      </c>
      <c r="H496" s="2" t="s">
        <v>15</v>
      </c>
      <c r="I496" s="2" t="s">
        <v>494</v>
      </c>
      <c r="J496" s="2">
        <v>42</v>
      </c>
    </row>
    <row r="497" spans="1:10" x14ac:dyDescent="0.3">
      <c r="A497" s="2" t="s">
        <v>934</v>
      </c>
      <c r="B497" s="2" t="s">
        <v>51</v>
      </c>
      <c r="C497" s="2" t="s">
        <v>58</v>
      </c>
      <c r="D497" s="2" t="s">
        <v>31</v>
      </c>
      <c r="E497" s="2">
        <v>18</v>
      </c>
      <c r="F497" s="2">
        <v>11</v>
      </c>
      <c r="G497" s="2" t="s">
        <v>14</v>
      </c>
      <c r="H497" s="2" t="s">
        <v>37</v>
      </c>
      <c r="I497" s="2" t="s">
        <v>806</v>
      </c>
      <c r="J497" s="2">
        <v>88</v>
      </c>
    </row>
    <row r="498" spans="1:10" x14ac:dyDescent="0.3">
      <c r="A498" s="2" t="s">
        <v>935</v>
      </c>
      <c r="B498" s="2" t="s">
        <v>18</v>
      </c>
      <c r="C498" s="2" t="s">
        <v>12</v>
      </c>
      <c r="D498" s="2" t="s">
        <v>13</v>
      </c>
      <c r="E498" s="2">
        <v>20</v>
      </c>
      <c r="F498" s="2">
        <v>11</v>
      </c>
      <c r="G498" s="2" t="s">
        <v>43</v>
      </c>
      <c r="H498" s="2" t="s">
        <v>46</v>
      </c>
      <c r="I498" s="2" t="s">
        <v>936</v>
      </c>
      <c r="J498" s="2">
        <v>94</v>
      </c>
    </row>
    <row r="499" spans="1:10" x14ac:dyDescent="0.3">
      <c r="A499" s="2" t="s">
        <v>937</v>
      </c>
      <c r="B499" s="2" t="s">
        <v>73</v>
      </c>
      <c r="C499" s="2" t="s">
        <v>85</v>
      </c>
      <c r="D499" s="2" t="s">
        <v>31</v>
      </c>
      <c r="E499" s="2">
        <v>16</v>
      </c>
      <c r="F499" s="2">
        <v>10</v>
      </c>
      <c r="G499" s="2" t="s">
        <v>25</v>
      </c>
      <c r="H499" s="2" t="s">
        <v>76</v>
      </c>
      <c r="I499" s="2" t="s">
        <v>305</v>
      </c>
      <c r="J499" s="2">
        <v>90</v>
      </c>
    </row>
    <row r="500" spans="1:10" x14ac:dyDescent="0.3">
      <c r="A500" s="2" t="s">
        <v>938</v>
      </c>
      <c r="B500" s="2" t="s">
        <v>18</v>
      </c>
      <c r="C500" s="2" t="s">
        <v>58</v>
      </c>
      <c r="D500" s="2" t="s">
        <v>13</v>
      </c>
      <c r="E500" s="2">
        <v>16</v>
      </c>
      <c r="F500" s="2">
        <v>12</v>
      </c>
      <c r="G500" s="2" t="s">
        <v>25</v>
      </c>
      <c r="H500" s="2" t="s">
        <v>26</v>
      </c>
      <c r="I500" s="2" t="s">
        <v>939</v>
      </c>
      <c r="J500" s="2">
        <v>41</v>
      </c>
    </row>
    <row r="501" spans="1:10" x14ac:dyDescent="0.3">
      <c r="A501" s="2" t="s">
        <v>940</v>
      </c>
      <c r="B501" s="2" t="s">
        <v>51</v>
      </c>
      <c r="C501" s="2" t="s">
        <v>96</v>
      </c>
      <c r="D501" s="2" t="s">
        <v>31</v>
      </c>
      <c r="E501" s="2">
        <v>18</v>
      </c>
      <c r="F501" s="2">
        <v>9</v>
      </c>
      <c r="G501" s="2" t="s">
        <v>43</v>
      </c>
      <c r="H501" s="2" t="s">
        <v>76</v>
      </c>
      <c r="I501" s="2" t="s">
        <v>506</v>
      </c>
      <c r="J501" s="2">
        <v>36</v>
      </c>
    </row>
  </sheetData>
  <mergeCells count="8">
    <mergeCell ref="M3:S3"/>
    <mergeCell ref="M15:S15"/>
    <mergeCell ref="M18:S18"/>
    <mergeCell ref="M21:S21"/>
    <mergeCell ref="M24:S24"/>
    <mergeCell ref="M9:S9"/>
    <mergeCell ref="M6:S6"/>
    <mergeCell ref="M12:S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1491-53F4-41C2-B50C-AE440BFD3658}">
  <dimension ref="A2:P13"/>
  <sheetViews>
    <sheetView workbookViewId="0">
      <selection activeCell="R18" sqref="R18"/>
    </sheetView>
  </sheetViews>
  <sheetFormatPr defaultRowHeight="14.4" x14ac:dyDescent="0.3"/>
  <cols>
    <col min="1" max="1" width="10.77734375" bestFit="1" customWidth="1"/>
    <col min="2" max="2" width="15.88671875" bestFit="1" customWidth="1"/>
    <col min="4" max="4" width="10.77734375" bestFit="1" customWidth="1"/>
    <col min="5" max="5" width="19.21875" customWidth="1"/>
    <col min="6" max="6" width="13.88671875" customWidth="1"/>
    <col min="7" max="7" width="10.77734375" bestFit="1" customWidth="1"/>
    <col min="8" max="8" width="13.88671875" bestFit="1" customWidth="1"/>
    <col min="9" max="9" width="15.5546875" bestFit="1" customWidth="1"/>
    <col min="10" max="10" width="18.44140625" bestFit="1" customWidth="1"/>
    <col min="11" max="11" width="15.5546875" bestFit="1" customWidth="1"/>
    <col min="12" max="12" width="5.21875" bestFit="1" customWidth="1"/>
    <col min="13" max="13" width="10.77734375" bestFit="1" customWidth="1"/>
    <col min="15" max="16" width="12.5546875" bestFit="1" customWidth="1"/>
  </cols>
  <sheetData>
    <row r="2" spans="1:16" ht="18" x14ac:dyDescent="0.35">
      <c r="A2" s="30" t="s">
        <v>987</v>
      </c>
      <c r="B2" s="30"/>
      <c r="D2" s="30" t="s">
        <v>989</v>
      </c>
      <c r="E2" s="30"/>
      <c r="G2" s="30" t="s">
        <v>986</v>
      </c>
      <c r="H2" s="30"/>
      <c r="J2" s="30" t="s">
        <v>988</v>
      </c>
      <c r="K2" s="30"/>
      <c r="L2" s="30"/>
      <c r="M2" s="30"/>
      <c r="O2" s="31" t="s">
        <v>990</v>
      </c>
      <c r="P2" s="31"/>
    </row>
    <row r="3" spans="1:16" x14ac:dyDescent="0.3">
      <c r="A3" s="12" t="s">
        <v>7</v>
      </c>
      <c r="B3" t="s">
        <v>960</v>
      </c>
      <c r="D3" s="12" t="s">
        <v>3</v>
      </c>
      <c r="E3" t="s">
        <v>961</v>
      </c>
      <c r="G3" s="12" t="s">
        <v>5</v>
      </c>
      <c r="H3" t="s">
        <v>984</v>
      </c>
      <c r="J3" s="12" t="s">
        <v>961</v>
      </c>
      <c r="K3" s="12" t="s">
        <v>985</v>
      </c>
      <c r="O3" s="12" t="s">
        <v>5</v>
      </c>
      <c r="P3" t="s">
        <v>991</v>
      </c>
    </row>
    <row r="4" spans="1:16" x14ac:dyDescent="0.3">
      <c r="A4" s="13" t="s">
        <v>37</v>
      </c>
      <c r="B4" s="24">
        <v>66.84482758620689</v>
      </c>
      <c r="D4" s="13" t="s">
        <v>31</v>
      </c>
      <c r="E4">
        <v>271</v>
      </c>
      <c r="G4" s="13">
        <v>9</v>
      </c>
      <c r="H4" s="24">
        <v>17.021428571428572</v>
      </c>
      <c r="J4" s="12" t="s">
        <v>7</v>
      </c>
      <c r="K4" t="s">
        <v>31</v>
      </c>
      <c r="L4" t="s">
        <v>13</v>
      </c>
      <c r="M4" t="s">
        <v>959</v>
      </c>
      <c r="O4" s="13">
        <v>9</v>
      </c>
      <c r="P4">
        <v>100</v>
      </c>
    </row>
    <row r="5" spans="1:16" x14ac:dyDescent="0.3">
      <c r="A5" s="13" t="s">
        <v>76</v>
      </c>
      <c r="B5" s="24">
        <v>66.681818181818187</v>
      </c>
      <c r="D5" s="13" t="s">
        <v>13</v>
      </c>
      <c r="E5">
        <v>229</v>
      </c>
      <c r="G5" s="13">
        <v>10</v>
      </c>
      <c r="H5" s="24">
        <v>17.139130434782608</v>
      </c>
      <c r="J5" s="13" t="s">
        <v>37</v>
      </c>
      <c r="K5">
        <v>36</v>
      </c>
      <c r="L5">
        <v>22</v>
      </c>
      <c r="M5">
        <v>58</v>
      </c>
      <c r="O5" s="13">
        <v>10</v>
      </c>
      <c r="P5">
        <v>100</v>
      </c>
    </row>
    <row r="6" spans="1:16" x14ac:dyDescent="0.3">
      <c r="A6" s="13" t="s">
        <v>61</v>
      </c>
      <c r="B6" s="24">
        <v>66.69736842105263</v>
      </c>
      <c r="D6" s="13" t="s">
        <v>959</v>
      </c>
      <c r="E6">
        <v>500</v>
      </c>
      <c r="G6" s="13">
        <v>11</v>
      </c>
      <c r="H6" s="24">
        <v>16.923728813559322</v>
      </c>
      <c r="J6" s="13" t="s">
        <v>76</v>
      </c>
      <c r="K6">
        <v>41</v>
      </c>
      <c r="L6">
        <v>25</v>
      </c>
      <c r="M6">
        <v>66</v>
      </c>
      <c r="O6" s="13">
        <v>11</v>
      </c>
      <c r="P6">
        <v>100</v>
      </c>
    </row>
    <row r="7" spans="1:16" x14ac:dyDescent="0.3">
      <c r="A7" s="13" t="s">
        <v>40</v>
      </c>
      <c r="B7" s="24">
        <v>65.140625</v>
      </c>
      <c r="G7" s="13">
        <v>12</v>
      </c>
      <c r="H7" s="24">
        <v>16.826771653543307</v>
      </c>
      <c r="J7" s="13" t="s">
        <v>61</v>
      </c>
      <c r="K7">
        <v>45</v>
      </c>
      <c r="L7">
        <v>31</v>
      </c>
      <c r="M7">
        <v>76</v>
      </c>
      <c r="O7" s="13">
        <v>12</v>
      </c>
      <c r="P7">
        <v>100</v>
      </c>
    </row>
    <row r="8" spans="1:16" x14ac:dyDescent="0.3">
      <c r="A8" s="13" t="s">
        <v>20</v>
      </c>
      <c r="B8" s="24">
        <v>69.951612903225808</v>
      </c>
      <c r="G8" s="13" t="s">
        <v>959</v>
      </c>
      <c r="H8">
        <v>16.975999999999999</v>
      </c>
      <c r="J8" s="13" t="s">
        <v>40</v>
      </c>
      <c r="K8">
        <v>35</v>
      </c>
      <c r="L8">
        <v>29</v>
      </c>
      <c r="M8">
        <v>64</v>
      </c>
      <c r="O8" s="13" t="s">
        <v>959</v>
      </c>
      <c r="P8">
        <v>100</v>
      </c>
    </row>
    <row r="9" spans="1:16" x14ac:dyDescent="0.3">
      <c r="A9" s="13" t="s">
        <v>26</v>
      </c>
      <c r="B9" s="24">
        <v>65.05263157894737</v>
      </c>
      <c r="J9" s="13" t="s">
        <v>20</v>
      </c>
      <c r="K9">
        <v>31</v>
      </c>
      <c r="L9">
        <v>31</v>
      </c>
      <c r="M9">
        <v>62</v>
      </c>
    </row>
    <row r="10" spans="1:16" x14ac:dyDescent="0.3">
      <c r="A10" s="13" t="s">
        <v>46</v>
      </c>
      <c r="B10" s="24">
        <v>66.666666666666671</v>
      </c>
      <c r="J10" s="13" t="s">
        <v>26</v>
      </c>
      <c r="K10">
        <v>32</v>
      </c>
      <c r="L10">
        <v>25</v>
      </c>
      <c r="M10">
        <v>57</v>
      </c>
    </row>
    <row r="11" spans="1:16" x14ac:dyDescent="0.3">
      <c r="A11" s="13" t="s">
        <v>15</v>
      </c>
      <c r="B11" s="24">
        <v>64.4375</v>
      </c>
      <c r="J11" s="13" t="s">
        <v>46</v>
      </c>
      <c r="K11">
        <v>30</v>
      </c>
      <c r="L11">
        <v>39</v>
      </c>
      <c r="M11">
        <v>69</v>
      </c>
    </row>
    <row r="12" spans="1:16" x14ac:dyDescent="0.3">
      <c r="A12" s="13" t="s">
        <v>959</v>
      </c>
      <c r="B12">
        <v>66.507999999999996</v>
      </c>
      <c r="J12" s="13" t="s">
        <v>15</v>
      </c>
      <c r="K12">
        <v>21</v>
      </c>
      <c r="L12">
        <v>27</v>
      </c>
      <c r="M12">
        <v>48</v>
      </c>
    </row>
    <row r="13" spans="1:16" x14ac:dyDescent="0.3">
      <c r="J13" s="13" t="s">
        <v>959</v>
      </c>
      <c r="K13">
        <v>271</v>
      </c>
      <c r="L13">
        <v>229</v>
      </c>
      <c r="M13">
        <v>500</v>
      </c>
    </row>
  </sheetData>
  <mergeCells count="5">
    <mergeCell ref="A2:B2"/>
    <mergeCell ref="D2:E2"/>
    <mergeCell ref="G2:H2"/>
    <mergeCell ref="J2:M2"/>
    <mergeCell ref="O2:P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AC86-438D-43DE-A799-9A71349D7C2E}">
  <dimension ref="A1:BM504"/>
  <sheetViews>
    <sheetView workbookViewId="0">
      <selection activeCell="K9" sqref="K9"/>
    </sheetView>
  </sheetViews>
  <sheetFormatPr defaultRowHeight="14.4" x14ac:dyDescent="0.3"/>
  <cols>
    <col min="1" max="2" width="10.44140625" bestFit="1" customWidth="1"/>
    <col min="3" max="3" width="10.33203125" bestFit="1" customWidth="1"/>
    <col min="4" max="4" width="7.109375" bestFit="1" customWidth="1"/>
    <col min="5" max="5" width="4.21875" bestFit="1" customWidth="1"/>
    <col min="6" max="6" width="5.109375" bestFit="1" customWidth="1"/>
    <col min="7" max="7" width="7.21875" bestFit="1" customWidth="1"/>
    <col min="8" max="8" width="9.77734375" bestFit="1" customWidth="1"/>
    <col min="9" max="9" width="14.6640625" bestFit="1" customWidth="1"/>
    <col min="10" max="10" width="6.21875" bestFit="1" customWidth="1"/>
    <col min="12" max="13" width="10.44140625" bestFit="1" customWidth="1"/>
    <col min="14" max="14" width="10.33203125" bestFit="1" customWidth="1"/>
    <col min="15" max="15" width="7.109375" bestFit="1" customWidth="1"/>
    <col min="16" max="16" width="4.21875" bestFit="1" customWidth="1"/>
    <col min="17" max="17" width="5.109375" bestFit="1" customWidth="1"/>
    <col min="18" max="18" width="7.21875" bestFit="1" customWidth="1"/>
    <col min="19" max="19" width="7.109375" bestFit="1" customWidth="1"/>
    <col min="20" max="20" width="14.6640625" bestFit="1" customWidth="1"/>
    <col min="21" max="21" width="7.33203125" bestFit="1" customWidth="1"/>
    <col min="23" max="24" width="10.44140625" bestFit="1" customWidth="1"/>
    <col min="25" max="25" width="10.33203125" bestFit="1" customWidth="1"/>
    <col min="26" max="26" width="7.109375" bestFit="1" customWidth="1"/>
    <col min="27" max="27" width="4.21875" bestFit="1" customWidth="1"/>
    <col min="28" max="28" width="5.109375" bestFit="1" customWidth="1"/>
    <col min="29" max="29" width="7.21875" bestFit="1" customWidth="1"/>
    <col min="30" max="30" width="9.77734375" bestFit="1" customWidth="1"/>
    <col min="31" max="31" width="14.6640625" bestFit="1" customWidth="1"/>
    <col min="32" max="32" width="6.21875" bestFit="1" customWidth="1"/>
    <col min="34" max="35" width="10.44140625" bestFit="1" customWidth="1"/>
    <col min="36" max="36" width="10.33203125" bestFit="1" customWidth="1"/>
    <col min="37" max="37" width="7.109375" bestFit="1" customWidth="1"/>
    <col min="38" max="38" width="4.21875" bestFit="1" customWidth="1"/>
    <col min="39" max="39" width="5.109375" bestFit="1" customWidth="1"/>
    <col min="40" max="40" width="7.21875" bestFit="1" customWidth="1"/>
    <col min="41" max="41" width="9.77734375" bestFit="1" customWidth="1"/>
    <col min="42" max="42" width="14.6640625" bestFit="1" customWidth="1"/>
    <col min="43" max="43" width="6.21875" bestFit="1" customWidth="1"/>
    <col min="45" max="46" width="10.44140625" bestFit="1" customWidth="1"/>
    <col min="47" max="47" width="10.33203125" bestFit="1" customWidth="1"/>
    <col min="48" max="48" width="7.109375" bestFit="1" customWidth="1"/>
    <col min="49" max="49" width="4.21875" bestFit="1" customWidth="1"/>
    <col min="50" max="50" width="5.109375" bestFit="1" customWidth="1"/>
    <col min="51" max="51" width="7.21875" bestFit="1" customWidth="1"/>
    <col min="52" max="52" width="9.77734375" bestFit="1" customWidth="1"/>
    <col min="53" max="53" width="14.6640625" bestFit="1" customWidth="1"/>
    <col min="54" max="54" width="6.21875" bestFit="1" customWidth="1"/>
    <col min="56" max="57" width="10.44140625" bestFit="1" customWidth="1"/>
    <col min="58" max="58" width="10.33203125" bestFit="1" customWidth="1"/>
    <col min="59" max="59" width="7.109375" bestFit="1" customWidth="1"/>
    <col min="60" max="60" width="4.21875" bestFit="1" customWidth="1"/>
    <col min="61" max="61" width="5.109375" bestFit="1" customWidth="1"/>
    <col min="62" max="62" width="7.21875" bestFit="1" customWidth="1"/>
    <col min="63" max="63" width="7.6640625" bestFit="1" customWidth="1"/>
    <col min="64" max="64" width="14.6640625" bestFit="1" customWidth="1"/>
    <col min="65" max="65" width="8.109375" bestFit="1" customWidth="1"/>
  </cols>
  <sheetData>
    <row r="1" spans="1:65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s="16">
        <v>29</v>
      </c>
      <c r="M1" s="28" t="s">
        <v>1000</v>
      </c>
      <c r="N1" s="28"/>
      <c r="O1" s="28"/>
      <c r="P1" s="28"/>
      <c r="Q1" s="28"/>
      <c r="R1" s="28"/>
      <c r="S1" s="28"/>
      <c r="U1" s="26" t="s">
        <v>7</v>
      </c>
      <c r="W1" s="16">
        <v>30</v>
      </c>
      <c r="X1" s="28" t="s">
        <v>999</v>
      </c>
      <c r="Y1" s="28"/>
      <c r="Z1" s="28"/>
      <c r="AA1" s="28"/>
      <c r="AB1" s="28"/>
      <c r="AC1" s="28"/>
      <c r="AD1" s="28"/>
      <c r="AF1" s="26" t="s">
        <v>9</v>
      </c>
      <c r="AH1" s="16">
        <v>31</v>
      </c>
      <c r="AI1" s="29" t="s">
        <v>1001</v>
      </c>
      <c r="AJ1" s="29"/>
      <c r="AK1" s="29"/>
      <c r="AL1" s="29"/>
      <c r="AM1" s="29"/>
      <c r="AN1" s="29"/>
      <c r="AP1" s="26" t="s">
        <v>3</v>
      </c>
      <c r="AQ1" s="26" t="s">
        <v>5</v>
      </c>
      <c r="AS1" s="16">
        <v>32</v>
      </c>
      <c r="AT1" s="29" t="s">
        <v>1002</v>
      </c>
      <c r="AU1" s="29"/>
      <c r="AV1" s="29"/>
      <c r="AW1" s="29"/>
      <c r="AX1" s="29"/>
      <c r="AY1" s="29"/>
      <c r="AZ1" s="29"/>
      <c r="BB1" s="26" t="s">
        <v>4</v>
      </c>
      <c r="BD1" s="16">
        <v>33</v>
      </c>
      <c r="BE1" s="29" t="s">
        <v>1002</v>
      </c>
      <c r="BF1" s="29"/>
      <c r="BG1" s="29"/>
      <c r="BH1" s="29"/>
      <c r="BI1" s="29"/>
      <c r="BJ1" s="29"/>
      <c r="BK1" s="29"/>
      <c r="BM1" s="26" t="s">
        <v>7</v>
      </c>
    </row>
    <row r="2" spans="1:65" x14ac:dyDescent="0.3">
      <c r="A2" s="2" t="s">
        <v>10</v>
      </c>
      <c r="B2" s="2" t="s">
        <v>11</v>
      </c>
      <c r="C2" s="2" t="s">
        <v>12</v>
      </c>
      <c r="D2" s="2" t="s">
        <v>13</v>
      </c>
      <c r="E2" s="2">
        <v>16</v>
      </c>
      <c r="F2" s="2">
        <v>10</v>
      </c>
      <c r="G2" s="2" t="s">
        <v>14</v>
      </c>
      <c r="H2" s="2" t="s">
        <v>15</v>
      </c>
      <c r="I2" s="2" t="s">
        <v>16</v>
      </c>
      <c r="J2" s="2">
        <v>37</v>
      </c>
      <c r="U2" s="26" t="s">
        <v>26</v>
      </c>
      <c r="AF2" s="26" t="s">
        <v>992</v>
      </c>
      <c r="AP2" s="26" t="s">
        <v>31</v>
      </c>
      <c r="AQ2" s="26">
        <v>12</v>
      </c>
      <c r="BB2" s="26" t="s">
        <v>994</v>
      </c>
      <c r="BM2" s="26" t="s">
        <v>46</v>
      </c>
    </row>
    <row r="3" spans="1:65" x14ac:dyDescent="0.3">
      <c r="A3" s="2" t="s">
        <v>17</v>
      </c>
      <c r="B3" s="2" t="s">
        <v>18</v>
      </c>
      <c r="C3" s="2" t="s">
        <v>19</v>
      </c>
      <c r="D3" s="2" t="s">
        <v>13</v>
      </c>
      <c r="E3" s="2">
        <v>15</v>
      </c>
      <c r="F3" s="2">
        <v>12</v>
      </c>
      <c r="G3" s="2" t="s">
        <v>14</v>
      </c>
      <c r="H3" s="2" t="s">
        <v>20</v>
      </c>
      <c r="I3" s="2" t="s">
        <v>21</v>
      </c>
      <c r="J3" s="2">
        <v>98</v>
      </c>
      <c r="BB3" s="26" t="s">
        <v>993</v>
      </c>
      <c r="BM3" s="26" t="s">
        <v>61</v>
      </c>
    </row>
    <row r="4" spans="1:65" x14ac:dyDescent="0.3">
      <c r="A4" s="2" t="s">
        <v>22</v>
      </c>
      <c r="B4" s="2" t="s">
        <v>23</v>
      </c>
      <c r="C4" s="2" t="s">
        <v>24</v>
      </c>
      <c r="D4" s="2" t="s">
        <v>13</v>
      </c>
      <c r="E4" s="2">
        <v>14</v>
      </c>
      <c r="F4" s="2">
        <v>12</v>
      </c>
      <c r="G4" s="2" t="s">
        <v>25</v>
      </c>
      <c r="H4" s="2" t="s">
        <v>26</v>
      </c>
      <c r="I4" s="2" t="s">
        <v>27</v>
      </c>
      <c r="J4" s="2">
        <v>38</v>
      </c>
      <c r="L4" s="3" t="s">
        <v>0</v>
      </c>
      <c r="M4" s="3" t="s">
        <v>1</v>
      </c>
      <c r="N4" s="3" t="s">
        <v>2</v>
      </c>
      <c r="O4" s="3" t="s">
        <v>3</v>
      </c>
      <c r="P4" s="3" t="s">
        <v>4</v>
      </c>
      <c r="Q4" s="3" t="s">
        <v>5</v>
      </c>
      <c r="R4" s="3" t="s">
        <v>6</v>
      </c>
      <c r="S4" s="3" t="s">
        <v>7</v>
      </c>
      <c r="T4" s="3" t="s">
        <v>8</v>
      </c>
      <c r="U4" s="3" t="s">
        <v>9</v>
      </c>
      <c r="W4" s="3" t="s">
        <v>0</v>
      </c>
      <c r="X4" s="3" t="s">
        <v>1</v>
      </c>
      <c r="Y4" s="3" t="s">
        <v>2</v>
      </c>
      <c r="Z4" s="3" t="s">
        <v>3</v>
      </c>
      <c r="AA4" s="3" t="s">
        <v>4</v>
      </c>
      <c r="AB4" s="3" t="s">
        <v>5</v>
      </c>
      <c r="AC4" s="3" t="s">
        <v>6</v>
      </c>
      <c r="AD4" s="3" t="s">
        <v>7</v>
      </c>
      <c r="AE4" s="3" t="s">
        <v>8</v>
      </c>
      <c r="AF4" s="3" t="s">
        <v>9</v>
      </c>
      <c r="AH4" s="3" t="s">
        <v>0</v>
      </c>
      <c r="AI4" s="3" t="s">
        <v>1</v>
      </c>
      <c r="AJ4" s="3" t="s">
        <v>2</v>
      </c>
      <c r="AK4" s="3" t="s">
        <v>3</v>
      </c>
      <c r="AL4" s="3" t="s">
        <v>4</v>
      </c>
      <c r="AM4" s="3" t="s">
        <v>5</v>
      </c>
      <c r="AN4" s="3" t="s">
        <v>6</v>
      </c>
      <c r="AO4" s="3" t="s">
        <v>7</v>
      </c>
      <c r="AP4" s="3" t="s">
        <v>8</v>
      </c>
      <c r="AQ4" s="3" t="s">
        <v>9</v>
      </c>
      <c r="AS4" s="3" t="s">
        <v>0</v>
      </c>
      <c r="AT4" s="3" t="s">
        <v>1</v>
      </c>
      <c r="AU4" s="3" t="s">
        <v>2</v>
      </c>
      <c r="AV4" s="3" t="s">
        <v>3</v>
      </c>
      <c r="AW4" s="3" t="s">
        <v>4</v>
      </c>
      <c r="AX4" s="3" t="s">
        <v>5</v>
      </c>
      <c r="AY4" s="3" t="s">
        <v>6</v>
      </c>
      <c r="AZ4" s="3" t="s">
        <v>7</v>
      </c>
      <c r="BA4" s="3" t="s">
        <v>8</v>
      </c>
      <c r="BB4" s="3" t="s">
        <v>9</v>
      </c>
      <c r="BD4" s="3" t="s">
        <v>0</v>
      </c>
      <c r="BE4" s="3" t="s">
        <v>1</v>
      </c>
      <c r="BF4" s="3" t="s">
        <v>2</v>
      </c>
      <c r="BG4" s="3" t="s">
        <v>3</v>
      </c>
      <c r="BH4" s="3" t="s">
        <v>4</v>
      </c>
      <c r="BI4" s="3" t="s">
        <v>5</v>
      </c>
      <c r="BJ4" s="3" t="s">
        <v>6</v>
      </c>
      <c r="BK4" s="3" t="s">
        <v>7</v>
      </c>
      <c r="BL4" s="3" t="s">
        <v>8</v>
      </c>
      <c r="BM4" s="3" t="s">
        <v>9</v>
      </c>
    </row>
    <row r="5" spans="1:65" x14ac:dyDescent="0.3">
      <c r="A5" s="2" t="s">
        <v>28</v>
      </c>
      <c r="B5" s="2" t="s">
        <v>29</v>
      </c>
      <c r="C5" s="2" t="s">
        <v>30</v>
      </c>
      <c r="D5" s="2" t="s">
        <v>31</v>
      </c>
      <c r="E5" s="2">
        <v>20</v>
      </c>
      <c r="F5" s="2">
        <v>9</v>
      </c>
      <c r="G5" s="2" t="s">
        <v>32</v>
      </c>
      <c r="H5" s="2" t="s">
        <v>26</v>
      </c>
      <c r="I5" s="2" t="s">
        <v>33</v>
      </c>
      <c r="J5" s="2">
        <v>84</v>
      </c>
      <c r="L5" s="2" t="s">
        <v>22</v>
      </c>
      <c r="M5" s="2" t="s">
        <v>23</v>
      </c>
      <c r="N5" s="2" t="s">
        <v>24</v>
      </c>
      <c r="O5" s="2" t="s">
        <v>13</v>
      </c>
      <c r="P5" s="2">
        <v>14</v>
      </c>
      <c r="Q5" s="2">
        <v>12</v>
      </c>
      <c r="R5" s="2" t="s">
        <v>25</v>
      </c>
      <c r="S5" s="61" t="s">
        <v>26</v>
      </c>
      <c r="T5" s="2" t="s">
        <v>27</v>
      </c>
      <c r="U5" s="2">
        <v>38</v>
      </c>
      <c r="W5" s="2" t="s">
        <v>17</v>
      </c>
      <c r="X5" s="2" t="s">
        <v>18</v>
      </c>
      <c r="Y5" s="2" t="s">
        <v>19</v>
      </c>
      <c r="Z5" s="2" t="s">
        <v>13</v>
      </c>
      <c r="AA5" s="2">
        <v>15</v>
      </c>
      <c r="AB5" s="2">
        <v>12</v>
      </c>
      <c r="AC5" s="2" t="s">
        <v>14</v>
      </c>
      <c r="AD5" s="2" t="s">
        <v>20</v>
      </c>
      <c r="AE5" s="2" t="s">
        <v>21</v>
      </c>
      <c r="AF5" s="61">
        <v>98</v>
      </c>
      <c r="AH5" s="2" t="s">
        <v>48</v>
      </c>
      <c r="AI5" s="2" t="s">
        <v>18</v>
      </c>
      <c r="AJ5" s="2" t="s">
        <v>30</v>
      </c>
      <c r="AK5" s="2" t="s">
        <v>31</v>
      </c>
      <c r="AL5" s="2">
        <v>19</v>
      </c>
      <c r="AM5" s="61">
        <v>12</v>
      </c>
      <c r="AN5" s="2" t="s">
        <v>14</v>
      </c>
      <c r="AO5" s="2" t="s">
        <v>46</v>
      </c>
      <c r="AP5" s="2" t="s">
        <v>49</v>
      </c>
      <c r="AQ5" s="2">
        <v>92</v>
      </c>
      <c r="AS5" s="2" t="s">
        <v>10</v>
      </c>
      <c r="AT5" s="2" t="s">
        <v>11</v>
      </c>
      <c r="AU5" s="2" t="s">
        <v>12</v>
      </c>
      <c r="AV5" s="2" t="s">
        <v>13</v>
      </c>
      <c r="AW5" s="61">
        <v>16</v>
      </c>
      <c r="AX5" s="2">
        <v>10</v>
      </c>
      <c r="AY5" s="2" t="s">
        <v>14</v>
      </c>
      <c r="AZ5" s="2" t="s">
        <v>15</v>
      </c>
      <c r="BA5" s="2" t="s">
        <v>16</v>
      </c>
      <c r="BB5" s="2">
        <v>37</v>
      </c>
      <c r="BD5" s="2" t="s">
        <v>45</v>
      </c>
      <c r="BE5" s="2" t="s">
        <v>35</v>
      </c>
      <c r="BF5" s="2" t="s">
        <v>12</v>
      </c>
      <c r="BG5" s="2" t="s">
        <v>13</v>
      </c>
      <c r="BH5" s="2">
        <v>19</v>
      </c>
      <c r="BI5" s="2">
        <v>12</v>
      </c>
      <c r="BJ5" s="2" t="s">
        <v>32</v>
      </c>
      <c r="BK5" s="61" t="s">
        <v>46</v>
      </c>
      <c r="BL5" s="2" t="s">
        <v>47</v>
      </c>
      <c r="BM5" s="2">
        <v>60</v>
      </c>
    </row>
    <row r="6" spans="1:65" x14ac:dyDescent="0.3">
      <c r="A6" s="2" t="s">
        <v>34</v>
      </c>
      <c r="B6" s="2" t="s">
        <v>35</v>
      </c>
      <c r="C6" s="2" t="s">
        <v>36</v>
      </c>
      <c r="D6" s="2" t="s">
        <v>31</v>
      </c>
      <c r="E6" s="2">
        <v>17</v>
      </c>
      <c r="F6" s="2">
        <v>10</v>
      </c>
      <c r="G6" s="2" t="s">
        <v>32</v>
      </c>
      <c r="H6" s="2" t="s">
        <v>37</v>
      </c>
      <c r="I6" s="2" t="s">
        <v>38</v>
      </c>
      <c r="J6" s="2">
        <v>45</v>
      </c>
      <c r="L6" s="2" t="s">
        <v>28</v>
      </c>
      <c r="M6" s="2" t="s">
        <v>29</v>
      </c>
      <c r="N6" s="2" t="s">
        <v>30</v>
      </c>
      <c r="O6" s="2" t="s">
        <v>31</v>
      </c>
      <c r="P6" s="2">
        <v>20</v>
      </c>
      <c r="Q6" s="2">
        <v>9</v>
      </c>
      <c r="R6" s="2" t="s">
        <v>32</v>
      </c>
      <c r="S6" s="61" t="s">
        <v>26</v>
      </c>
      <c r="T6" s="2" t="s">
        <v>33</v>
      </c>
      <c r="U6" s="2">
        <v>84</v>
      </c>
      <c r="W6" s="2" t="s">
        <v>28</v>
      </c>
      <c r="X6" s="2" t="s">
        <v>29</v>
      </c>
      <c r="Y6" s="2" t="s">
        <v>30</v>
      </c>
      <c r="Z6" s="2" t="s">
        <v>31</v>
      </c>
      <c r="AA6" s="2">
        <v>20</v>
      </c>
      <c r="AB6" s="2">
        <v>9</v>
      </c>
      <c r="AC6" s="2" t="s">
        <v>32</v>
      </c>
      <c r="AD6" s="2" t="s">
        <v>26</v>
      </c>
      <c r="AE6" s="2" t="s">
        <v>33</v>
      </c>
      <c r="AF6" s="61">
        <v>84</v>
      </c>
      <c r="AH6" s="2" t="s">
        <v>75</v>
      </c>
      <c r="AI6" s="2" t="s">
        <v>29</v>
      </c>
      <c r="AJ6" s="2" t="s">
        <v>58</v>
      </c>
      <c r="AK6" s="2" t="s">
        <v>31</v>
      </c>
      <c r="AL6" s="2">
        <v>17</v>
      </c>
      <c r="AM6" s="61">
        <v>12</v>
      </c>
      <c r="AN6" s="2" t="s">
        <v>32</v>
      </c>
      <c r="AO6" s="2" t="s">
        <v>76</v>
      </c>
      <c r="AP6" s="2" t="s">
        <v>77</v>
      </c>
      <c r="AQ6" s="2">
        <v>66</v>
      </c>
      <c r="AS6" s="2" t="s">
        <v>17</v>
      </c>
      <c r="AT6" s="2" t="s">
        <v>18</v>
      </c>
      <c r="AU6" s="2" t="s">
        <v>19</v>
      </c>
      <c r="AV6" s="2" t="s">
        <v>13</v>
      </c>
      <c r="AW6" s="61">
        <v>15</v>
      </c>
      <c r="AX6" s="2">
        <v>12</v>
      </c>
      <c r="AY6" s="2" t="s">
        <v>14</v>
      </c>
      <c r="AZ6" s="2" t="s">
        <v>20</v>
      </c>
      <c r="BA6" s="2" t="s">
        <v>21</v>
      </c>
      <c r="BB6" s="2">
        <v>98</v>
      </c>
      <c r="BD6" s="2" t="s">
        <v>48</v>
      </c>
      <c r="BE6" s="2" t="s">
        <v>18</v>
      </c>
      <c r="BF6" s="2" t="s">
        <v>30</v>
      </c>
      <c r="BG6" s="2" t="s">
        <v>31</v>
      </c>
      <c r="BH6" s="2">
        <v>19</v>
      </c>
      <c r="BI6" s="2">
        <v>12</v>
      </c>
      <c r="BJ6" s="2" t="s">
        <v>14</v>
      </c>
      <c r="BK6" s="61" t="s">
        <v>46</v>
      </c>
      <c r="BL6" s="2" t="s">
        <v>49</v>
      </c>
      <c r="BM6" s="2">
        <v>92</v>
      </c>
    </row>
    <row r="7" spans="1:65" x14ac:dyDescent="0.3">
      <c r="A7" s="2" t="s">
        <v>39</v>
      </c>
      <c r="B7" s="2" t="s">
        <v>11</v>
      </c>
      <c r="C7" s="2" t="s">
        <v>12</v>
      </c>
      <c r="D7" s="2" t="s">
        <v>31</v>
      </c>
      <c r="E7" s="2">
        <v>19</v>
      </c>
      <c r="F7" s="2">
        <v>10</v>
      </c>
      <c r="G7" s="2" t="s">
        <v>14</v>
      </c>
      <c r="H7" s="2" t="s">
        <v>40</v>
      </c>
      <c r="I7" s="2" t="s">
        <v>41</v>
      </c>
      <c r="J7" s="2">
        <v>36</v>
      </c>
      <c r="L7" s="2" t="s">
        <v>63</v>
      </c>
      <c r="M7" s="2" t="s">
        <v>11</v>
      </c>
      <c r="N7" s="2" t="s">
        <v>55</v>
      </c>
      <c r="O7" s="2" t="s">
        <v>13</v>
      </c>
      <c r="P7" s="2">
        <v>16</v>
      </c>
      <c r="Q7" s="2">
        <v>10</v>
      </c>
      <c r="R7" s="2" t="s">
        <v>25</v>
      </c>
      <c r="S7" s="61" t="s">
        <v>26</v>
      </c>
      <c r="T7" s="2" t="s">
        <v>64</v>
      </c>
      <c r="U7" s="2">
        <v>42</v>
      </c>
      <c r="W7" s="2" t="s">
        <v>42</v>
      </c>
      <c r="X7" s="2" t="s">
        <v>29</v>
      </c>
      <c r="Y7" s="2" t="s">
        <v>24</v>
      </c>
      <c r="Z7" s="2" t="s">
        <v>31</v>
      </c>
      <c r="AA7" s="2">
        <v>20</v>
      </c>
      <c r="AB7" s="2">
        <v>9</v>
      </c>
      <c r="AC7" s="2" t="s">
        <v>43</v>
      </c>
      <c r="AD7" s="2" t="s">
        <v>40</v>
      </c>
      <c r="AE7" s="2" t="s">
        <v>44</v>
      </c>
      <c r="AF7" s="61">
        <v>88</v>
      </c>
      <c r="AH7" s="2" t="s">
        <v>93</v>
      </c>
      <c r="AI7" s="2" t="s">
        <v>29</v>
      </c>
      <c r="AJ7" s="2" t="s">
        <v>24</v>
      </c>
      <c r="AK7" s="2" t="s">
        <v>31</v>
      </c>
      <c r="AL7" s="2">
        <v>14</v>
      </c>
      <c r="AM7" s="61">
        <v>12</v>
      </c>
      <c r="AN7" s="2" t="s">
        <v>32</v>
      </c>
      <c r="AO7" s="2" t="s">
        <v>61</v>
      </c>
      <c r="AP7" s="2" t="s">
        <v>94</v>
      </c>
      <c r="AQ7" s="2">
        <v>72</v>
      </c>
      <c r="AS7" s="2" t="s">
        <v>22</v>
      </c>
      <c r="AT7" s="2" t="s">
        <v>23</v>
      </c>
      <c r="AU7" s="2" t="s">
        <v>24</v>
      </c>
      <c r="AV7" s="2" t="s">
        <v>13</v>
      </c>
      <c r="AW7" s="61">
        <v>14</v>
      </c>
      <c r="AX7" s="2">
        <v>12</v>
      </c>
      <c r="AY7" s="2" t="s">
        <v>25</v>
      </c>
      <c r="AZ7" s="2" t="s">
        <v>26</v>
      </c>
      <c r="BA7" s="2" t="s">
        <v>27</v>
      </c>
      <c r="BB7" s="2">
        <v>38</v>
      </c>
      <c r="BD7" s="2" t="s">
        <v>60</v>
      </c>
      <c r="BE7" s="2" t="s">
        <v>35</v>
      </c>
      <c r="BF7" s="2" t="s">
        <v>55</v>
      </c>
      <c r="BG7" s="2" t="s">
        <v>13</v>
      </c>
      <c r="BH7" s="2">
        <v>15</v>
      </c>
      <c r="BI7" s="2">
        <v>12</v>
      </c>
      <c r="BJ7" s="2" t="s">
        <v>14</v>
      </c>
      <c r="BK7" s="61" t="s">
        <v>61</v>
      </c>
      <c r="BL7" s="2" t="s">
        <v>62</v>
      </c>
      <c r="BM7" s="2">
        <v>51</v>
      </c>
    </row>
    <row r="8" spans="1:65" x14ac:dyDescent="0.3">
      <c r="A8" s="2" t="s">
        <v>42</v>
      </c>
      <c r="B8" s="2" t="s">
        <v>29</v>
      </c>
      <c r="C8" s="2" t="s">
        <v>24</v>
      </c>
      <c r="D8" s="2" t="s">
        <v>31</v>
      </c>
      <c r="E8" s="2">
        <v>20</v>
      </c>
      <c r="F8" s="2">
        <v>9</v>
      </c>
      <c r="G8" s="2" t="s">
        <v>43</v>
      </c>
      <c r="H8" s="2" t="s">
        <v>40</v>
      </c>
      <c r="I8" s="2" t="s">
        <v>44</v>
      </c>
      <c r="J8" s="2">
        <v>88</v>
      </c>
      <c r="L8" s="2" t="s">
        <v>87</v>
      </c>
      <c r="M8" s="2" t="s">
        <v>18</v>
      </c>
      <c r="N8" s="2" t="s">
        <v>12</v>
      </c>
      <c r="O8" s="2" t="s">
        <v>13</v>
      </c>
      <c r="P8" s="2">
        <v>20</v>
      </c>
      <c r="Q8" s="2">
        <v>12</v>
      </c>
      <c r="R8" s="2" t="s">
        <v>32</v>
      </c>
      <c r="S8" s="61" t="s">
        <v>26</v>
      </c>
      <c r="T8" s="2" t="s">
        <v>88</v>
      </c>
      <c r="U8" s="2">
        <v>86</v>
      </c>
      <c r="W8" s="2" t="s">
        <v>48</v>
      </c>
      <c r="X8" s="2" t="s">
        <v>18</v>
      </c>
      <c r="Y8" s="2" t="s">
        <v>30</v>
      </c>
      <c r="Z8" s="2" t="s">
        <v>31</v>
      </c>
      <c r="AA8" s="2">
        <v>19</v>
      </c>
      <c r="AB8" s="2">
        <v>12</v>
      </c>
      <c r="AC8" s="2" t="s">
        <v>14</v>
      </c>
      <c r="AD8" s="2" t="s">
        <v>46</v>
      </c>
      <c r="AE8" s="2" t="s">
        <v>49</v>
      </c>
      <c r="AF8" s="61">
        <v>92</v>
      </c>
      <c r="AH8" s="2" t="s">
        <v>100</v>
      </c>
      <c r="AI8" s="2" t="s">
        <v>35</v>
      </c>
      <c r="AJ8" s="2" t="s">
        <v>12</v>
      </c>
      <c r="AK8" s="2" t="s">
        <v>31</v>
      </c>
      <c r="AL8" s="2">
        <v>19</v>
      </c>
      <c r="AM8" s="61">
        <v>12</v>
      </c>
      <c r="AN8" s="2" t="s">
        <v>25</v>
      </c>
      <c r="AO8" s="2" t="s">
        <v>76</v>
      </c>
      <c r="AP8" s="2" t="s">
        <v>101</v>
      </c>
      <c r="AQ8" s="2">
        <v>54</v>
      </c>
      <c r="AS8" s="2" t="s">
        <v>28</v>
      </c>
      <c r="AT8" s="2" t="s">
        <v>29</v>
      </c>
      <c r="AU8" s="2" t="s">
        <v>30</v>
      </c>
      <c r="AV8" s="2" t="s">
        <v>31</v>
      </c>
      <c r="AW8" s="61">
        <v>20</v>
      </c>
      <c r="AX8" s="2">
        <v>9</v>
      </c>
      <c r="AY8" s="2" t="s">
        <v>32</v>
      </c>
      <c r="AZ8" s="2" t="s">
        <v>26</v>
      </c>
      <c r="BA8" s="2" t="s">
        <v>33</v>
      </c>
      <c r="BB8" s="2">
        <v>84</v>
      </c>
      <c r="BD8" s="2" t="s">
        <v>72</v>
      </c>
      <c r="BE8" s="2" t="s">
        <v>73</v>
      </c>
      <c r="BF8" s="2" t="s">
        <v>58</v>
      </c>
      <c r="BG8" s="2" t="s">
        <v>31</v>
      </c>
      <c r="BH8" s="2">
        <v>19</v>
      </c>
      <c r="BI8" s="2">
        <v>9</v>
      </c>
      <c r="BJ8" s="2" t="s">
        <v>32</v>
      </c>
      <c r="BK8" s="61" t="s">
        <v>46</v>
      </c>
      <c r="BL8" s="2" t="s">
        <v>74</v>
      </c>
      <c r="BM8" s="2">
        <v>76</v>
      </c>
    </row>
    <row r="9" spans="1:65" x14ac:dyDescent="0.3">
      <c r="A9" s="2" t="s">
        <v>45</v>
      </c>
      <c r="B9" s="2" t="s">
        <v>35</v>
      </c>
      <c r="C9" s="2" t="s">
        <v>12</v>
      </c>
      <c r="D9" s="2" t="s">
        <v>13</v>
      </c>
      <c r="E9" s="2">
        <v>19</v>
      </c>
      <c r="F9" s="2">
        <v>12</v>
      </c>
      <c r="G9" s="2" t="s">
        <v>32</v>
      </c>
      <c r="H9" s="2" t="s">
        <v>46</v>
      </c>
      <c r="I9" s="2" t="s">
        <v>47</v>
      </c>
      <c r="J9" s="2">
        <v>60</v>
      </c>
      <c r="L9" s="2" t="s">
        <v>102</v>
      </c>
      <c r="M9" s="2" t="s">
        <v>35</v>
      </c>
      <c r="N9" s="2" t="s">
        <v>12</v>
      </c>
      <c r="O9" s="2" t="s">
        <v>13</v>
      </c>
      <c r="P9" s="2">
        <v>20</v>
      </c>
      <c r="Q9" s="2">
        <v>11</v>
      </c>
      <c r="R9" s="2" t="s">
        <v>14</v>
      </c>
      <c r="S9" s="61" t="s">
        <v>26</v>
      </c>
      <c r="T9" s="2" t="s">
        <v>103</v>
      </c>
      <c r="U9" s="2">
        <v>70</v>
      </c>
      <c r="W9" s="2" t="s">
        <v>50</v>
      </c>
      <c r="X9" s="2" t="s">
        <v>51</v>
      </c>
      <c r="Y9" s="2" t="s">
        <v>24</v>
      </c>
      <c r="Z9" s="2" t="s">
        <v>31</v>
      </c>
      <c r="AA9" s="2">
        <v>15</v>
      </c>
      <c r="AB9" s="2">
        <v>9</v>
      </c>
      <c r="AC9" s="2" t="s">
        <v>43</v>
      </c>
      <c r="AD9" s="2" t="s">
        <v>15</v>
      </c>
      <c r="AE9" s="2" t="s">
        <v>52</v>
      </c>
      <c r="AF9" s="61">
        <v>90</v>
      </c>
      <c r="AH9" s="2" t="s">
        <v>128</v>
      </c>
      <c r="AI9" s="2" t="s">
        <v>11</v>
      </c>
      <c r="AJ9" s="2" t="s">
        <v>24</v>
      </c>
      <c r="AK9" s="2" t="s">
        <v>31</v>
      </c>
      <c r="AL9" s="2">
        <v>17</v>
      </c>
      <c r="AM9" s="61">
        <v>12</v>
      </c>
      <c r="AN9" s="2" t="s">
        <v>32</v>
      </c>
      <c r="AO9" s="2" t="s">
        <v>15</v>
      </c>
      <c r="AP9" s="2" t="s">
        <v>129</v>
      </c>
      <c r="AQ9" s="2">
        <v>68</v>
      </c>
      <c r="AS9" s="2" t="s">
        <v>34</v>
      </c>
      <c r="AT9" s="2" t="s">
        <v>35</v>
      </c>
      <c r="AU9" s="2" t="s">
        <v>36</v>
      </c>
      <c r="AV9" s="2" t="s">
        <v>31</v>
      </c>
      <c r="AW9" s="61">
        <v>17</v>
      </c>
      <c r="AX9" s="2">
        <v>10</v>
      </c>
      <c r="AY9" s="2" t="s">
        <v>32</v>
      </c>
      <c r="AZ9" s="2" t="s">
        <v>37</v>
      </c>
      <c r="BA9" s="2" t="s">
        <v>38</v>
      </c>
      <c r="BB9" s="2">
        <v>45</v>
      </c>
      <c r="BD9" s="2" t="s">
        <v>81</v>
      </c>
      <c r="BE9" s="2" t="s">
        <v>29</v>
      </c>
      <c r="BF9" s="2" t="s">
        <v>58</v>
      </c>
      <c r="BG9" s="2" t="s">
        <v>31</v>
      </c>
      <c r="BH9" s="2">
        <v>19</v>
      </c>
      <c r="BI9" s="2">
        <v>9</v>
      </c>
      <c r="BJ9" s="2" t="s">
        <v>14</v>
      </c>
      <c r="BK9" s="61" t="s">
        <v>61</v>
      </c>
      <c r="BL9" s="2" t="s">
        <v>82</v>
      </c>
      <c r="BM9" s="2">
        <v>50</v>
      </c>
    </row>
    <row r="10" spans="1:65" x14ac:dyDescent="0.3">
      <c r="A10" s="2" t="s">
        <v>48</v>
      </c>
      <c r="B10" s="2" t="s">
        <v>18</v>
      </c>
      <c r="C10" s="2" t="s">
        <v>30</v>
      </c>
      <c r="D10" s="2" t="s">
        <v>31</v>
      </c>
      <c r="E10" s="2">
        <v>19</v>
      </c>
      <c r="F10" s="2">
        <v>12</v>
      </c>
      <c r="G10" s="2" t="s">
        <v>14</v>
      </c>
      <c r="H10" s="2" t="s">
        <v>46</v>
      </c>
      <c r="I10" s="2" t="s">
        <v>49</v>
      </c>
      <c r="J10" s="2">
        <v>92</v>
      </c>
      <c r="L10" s="2" t="s">
        <v>106</v>
      </c>
      <c r="M10" s="2" t="s">
        <v>51</v>
      </c>
      <c r="N10" s="2" t="s">
        <v>55</v>
      </c>
      <c r="O10" s="2" t="s">
        <v>13</v>
      </c>
      <c r="P10" s="2">
        <v>20</v>
      </c>
      <c r="Q10" s="2">
        <v>9</v>
      </c>
      <c r="R10" s="2" t="s">
        <v>32</v>
      </c>
      <c r="S10" s="61" t="s">
        <v>26</v>
      </c>
      <c r="T10" s="2" t="s">
        <v>107</v>
      </c>
      <c r="U10" s="2">
        <v>91</v>
      </c>
      <c r="W10" s="2" t="s">
        <v>87</v>
      </c>
      <c r="X10" s="2" t="s">
        <v>18</v>
      </c>
      <c r="Y10" s="2" t="s">
        <v>12</v>
      </c>
      <c r="Z10" s="2" t="s">
        <v>13</v>
      </c>
      <c r="AA10" s="2">
        <v>20</v>
      </c>
      <c r="AB10" s="2">
        <v>12</v>
      </c>
      <c r="AC10" s="2" t="s">
        <v>32</v>
      </c>
      <c r="AD10" s="2" t="s">
        <v>26</v>
      </c>
      <c r="AE10" s="2" t="s">
        <v>88</v>
      </c>
      <c r="AF10" s="61">
        <v>86</v>
      </c>
      <c r="AH10" s="2" t="s">
        <v>142</v>
      </c>
      <c r="AI10" s="2" t="s">
        <v>29</v>
      </c>
      <c r="AJ10" s="2" t="s">
        <v>96</v>
      </c>
      <c r="AK10" s="2" t="s">
        <v>31</v>
      </c>
      <c r="AL10" s="2">
        <v>16</v>
      </c>
      <c r="AM10" s="61">
        <v>12</v>
      </c>
      <c r="AN10" s="2" t="s">
        <v>14</v>
      </c>
      <c r="AO10" s="2" t="s">
        <v>37</v>
      </c>
      <c r="AP10" s="2" t="s">
        <v>143</v>
      </c>
      <c r="AQ10" s="2">
        <v>85</v>
      </c>
      <c r="AS10" s="2" t="s">
        <v>39</v>
      </c>
      <c r="AT10" s="2" t="s">
        <v>11</v>
      </c>
      <c r="AU10" s="2" t="s">
        <v>12</v>
      </c>
      <c r="AV10" s="2" t="s">
        <v>31</v>
      </c>
      <c r="AW10" s="61">
        <v>19</v>
      </c>
      <c r="AX10" s="2">
        <v>10</v>
      </c>
      <c r="AY10" s="2" t="s">
        <v>14</v>
      </c>
      <c r="AZ10" s="2" t="s">
        <v>40</v>
      </c>
      <c r="BA10" s="2" t="s">
        <v>41</v>
      </c>
      <c r="BB10" s="2">
        <v>36</v>
      </c>
      <c r="BD10" s="2" t="s">
        <v>91</v>
      </c>
      <c r="BE10" s="2" t="s">
        <v>73</v>
      </c>
      <c r="BF10" s="2" t="s">
        <v>12</v>
      </c>
      <c r="BG10" s="2" t="s">
        <v>13</v>
      </c>
      <c r="BH10" s="2">
        <v>20</v>
      </c>
      <c r="BI10" s="2">
        <v>10</v>
      </c>
      <c r="BJ10" s="2" t="s">
        <v>43</v>
      </c>
      <c r="BK10" s="61" t="s">
        <v>46</v>
      </c>
      <c r="BL10" s="2" t="s">
        <v>92</v>
      </c>
      <c r="BM10" s="2">
        <v>82</v>
      </c>
    </row>
    <row r="11" spans="1:65" x14ac:dyDescent="0.3">
      <c r="A11" s="2" t="s">
        <v>50</v>
      </c>
      <c r="B11" s="2" t="s">
        <v>51</v>
      </c>
      <c r="C11" s="2" t="s">
        <v>24</v>
      </c>
      <c r="D11" s="2" t="s">
        <v>31</v>
      </c>
      <c r="E11" s="2">
        <v>15</v>
      </c>
      <c r="F11" s="2">
        <v>9</v>
      </c>
      <c r="G11" s="2" t="s">
        <v>43</v>
      </c>
      <c r="H11" s="2" t="s">
        <v>15</v>
      </c>
      <c r="I11" s="2" t="s">
        <v>52</v>
      </c>
      <c r="J11" s="2">
        <v>90</v>
      </c>
      <c r="L11" s="2" t="s">
        <v>108</v>
      </c>
      <c r="M11" s="2" t="s">
        <v>29</v>
      </c>
      <c r="N11" s="2" t="s">
        <v>96</v>
      </c>
      <c r="O11" s="2" t="s">
        <v>31</v>
      </c>
      <c r="P11" s="2">
        <v>15</v>
      </c>
      <c r="Q11" s="2">
        <v>11</v>
      </c>
      <c r="R11" s="2" t="s">
        <v>43</v>
      </c>
      <c r="S11" s="61" t="s">
        <v>26</v>
      </c>
      <c r="T11" s="2" t="s">
        <v>109</v>
      </c>
      <c r="U11" s="2">
        <v>77</v>
      </c>
      <c r="W11" s="2" t="s">
        <v>91</v>
      </c>
      <c r="X11" s="2" t="s">
        <v>73</v>
      </c>
      <c r="Y11" s="2" t="s">
        <v>12</v>
      </c>
      <c r="Z11" s="2" t="s">
        <v>13</v>
      </c>
      <c r="AA11" s="2">
        <v>20</v>
      </c>
      <c r="AB11" s="2">
        <v>10</v>
      </c>
      <c r="AC11" s="2" t="s">
        <v>43</v>
      </c>
      <c r="AD11" s="2" t="s">
        <v>46</v>
      </c>
      <c r="AE11" s="2" t="s">
        <v>92</v>
      </c>
      <c r="AF11" s="61">
        <v>82</v>
      </c>
      <c r="AH11" s="2" t="s">
        <v>154</v>
      </c>
      <c r="AI11" s="2" t="s">
        <v>51</v>
      </c>
      <c r="AJ11" s="2" t="s">
        <v>36</v>
      </c>
      <c r="AK11" s="2" t="s">
        <v>31</v>
      </c>
      <c r="AL11" s="2">
        <v>18</v>
      </c>
      <c r="AM11" s="61">
        <v>12</v>
      </c>
      <c r="AN11" s="2" t="s">
        <v>43</v>
      </c>
      <c r="AO11" s="2" t="s">
        <v>76</v>
      </c>
      <c r="AP11" s="2" t="s">
        <v>155</v>
      </c>
      <c r="AQ11" s="2">
        <v>77</v>
      </c>
      <c r="AS11" s="2" t="s">
        <v>42</v>
      </c>
      <c r="AT11" s="2" t="s">
        <v>29</v>
      </c>
      <c r="AU11" s="2" t="s">
        <v>24</v>
      </c>
      <c r="AV11" s="2" t="s">
        <v>31</v>
      </c>
      <c r="AW11" s="61">
        <v>20</v>
      </c>
      <c r="AX11" s="2">
        <v>9</v>
      </c>
      <c r="AY11" s="2" t="s">
        <v>43</v>
      </c>
      <c r="AZ11" s="2" t="s">
        <v>40</v>
      </c>
      <c r="BA11" s="2" t="s">
        <v>44</v>
      </c>
      <c r="BB11" s="2">
        <v>88</v>
      </c>
      <c r="BD11" s="2" t="s">
        <v>93</v>
      </c>
      <c r="BE11" s="2" t="s">
        <v>29</v>
      </c>
      <c r="BF11" s="2" t="s">
        <v>24</v>
      </c>
      <c r="BG11" s="2" t="s">
        <v>31</v>
      </c>
      <c r="BH11" s="2">
        <v>14</v>
      </c>
      <c r="BI11" s="2">
        <v>12</v>
      </c>
      <c r="BJ11" s="2" t="s">
        <v>32</v>
      </c>
      <c r="BK11" s="61" t="s">
        <v>61</v>
      </c>
      <c r="BL11" s="2" t="s">
        <v>94</v>
      </c>
      <c r="BM11" s="2">
        <v>72</v>
      </c>
    </row>
    <row r="12" spans="1:65" x14ac:dyDescent="0.3">
      <c r="A12" s="2" t="s">
        <v>53</v>
      </c>
      <c r="B12" s="2" t="s">
        <v>54</v>
      </c>
      <c r="C12" s="2" t="s">
        <v>55</v>
      </c>
      <c r="D12" s="2" t="s">
        <v>31</v>
      </c>
      <c r="E12" s="2">
        <v>20</v>
      </c>
      <c r="F12" s="2">
        <v>10</v>
      </c>
      <c r="G12" s="2" t="s">
        <v>25</v>
      </c>
      <c r="H12" s="2" t="s">
        <v>40</v>
      </c>
      <c r="I12" s="2" t="s">
        <v>56</v>
      </c>
      <c r="J12" s="2">
        <v>59</v>
      </c>
      <c r="L12" s="2" t="s">
        <v>112</v>
      </c>
      <c r="M12" s="2" t="s">
        <v>73</v>
      </c>
      <c r="N12" s="2" t="s">
        <v>30</v>
      </c>
      <c r="O12" s="2" t="s">
        <v>13</v>
      </c>
      <c r="P12" s="2">
        <v>15</v>
      </c>
      <c r="Q12" s="2">
        <v>9</v>
      </c>
      <c r="R12" s="2" t="s">
        <v>14</v>
      </c>
      <c r="S12" s="61" t="s">
        <v>26</v>
      </c>
      <c r="T12" s="2" t="s">
        <v>113</v>
      </c>
      <c r="U12" s="2">
        <v>58</v>
      </c>
      <c r="W12" s="2" t="s">
        <v>106</v>
      </c>
      <c r="X12" s="2" t="s">
        <v>51</v>
      </c>
      <c r="Y12" s="2" t="s">
        <v>55</v>
      </c>
      <c r="Z12" s="2" t="s">
        <v>13</v>
      </c>
      <c r="AA12" s="2">
        <v>20</v>
      </c>
      <c r="AB12" s="2">
        <v>9</v>
      </c>
      <c r="AC12" s="2" t="s">
        <v>32</v>
      </c>
      <c r="AD12" s="2" t="s">
        <v>26</v>
      </c>
      <c r="AE12" s="2" t="s">
        <v>107</v>
      </c>
      <c r="AF12" s="61">
        <v>91</v>
      </c>
      <c r="AH12" s="2" t="s">
        <v>177</v>
      </c>
      <c r="AI12" s="2" t="s">
        <v>29</v>
      </c>
      <c r="AJ12" s="2" t="s">
        <v>58</v>
      </c>
      <c r="AK12" s="2" t="s">
        <v>31</v>
      </c>
      <c r="AL12" s="2">
        <v>19</v>
      </c>
      <c r="AM12" s="61">
        <v>12</v>
      </c>
      <c r="AN12" s="2" t="s">
        <v>43</v>
      </c>
      <c r="AO12" s="2" t="s">
        <v>61</v>
      </c>
      <c r="AP12" s="2" t="s">
        <v>178</v>
      </c>
      <c r="AQ12" s="2">
        <v>99</v>
      </c>
      <c r="AS12" s="2" t="s">
        <v>45</v>
      </c>
      <c r="AT12" s="2" t="s">
        <v>35</v>
      </c>
      <c r="AU12" s="2" t="s">
        <v>12</v>
      </c>
      <c r="AV12" s="2" t="s">
        <v>13</v>
      </c>
      <c r="AW12" s="61">
        <v>19</v>
      </c>
      <c r="AX12" s="2">
        <v>12</v>
      </c>
      <c r="AY12" s="2" t="s">
        <v>32</v>
      </c>
      <c r="AZ12" s="2" t="s">
        <v>46</v>
      </c>
      <c r="BA12" s="2" t="s">
        <v>47</v>
      </c>
      <c r="BB12" s="2">
        <v>60</v>
      </c>
      <c r="BD12" s="2" t="s">
        <v>104</v>
      </c>
      <c r="BE12" s="2" t="s">
        <v>29</v>
      </c>
      <c r="BF12" s="2" t="s">
        <v>79</v>
      </c>
      <c r="BG12" s="2" t="s">
        <v>31</v>
      </c>
      <c r="BH12" s="2">
        <v>18</v>
      </c>
      <c r="BI12" s="2">
        <v>10</v>
      </c>
      <c r="BJ12" s="2" t="s">
        <v>25</v>
      </c>
      <c r="BK12" s="61" t="s">
        <v>61</v>
      </c>
      <c r="BL12" s="2" t="s">
        <v>105</v>
      </c>
      <c r="BM12" s="2">
        <v>57</v>
      </c>
    </row>
    <row r="13" spans="1:65" x14ac:dyDescent="0.3">
      <c r="A13" s="2" t="s">
        <v>57</v>
      </c>
      <c r="B13" s="2" t="s">
        <v>51</v>
      </c>
      <c r="C13" s="2" t="s">
        <v>58</v>
      </c>
      <c r="D13" s="2" t="s">
        <v>13</v>
      </c>
      <c r="E13" s="2">
        <v>14</v>
      </c>
      <c r="F13" s="2">
        <v>12</v>
      </c>
      <c r="G13" s="2" t="s">
        <v>32</v>
      </c>
      <c r="H13" s="2" t="s">
        <v>40</v>
      </c>
      <c r="I13" s="2" t="s">
        <v>59</v>
      </c>
      <c r="J13" s="2">
        <v>43</v>
      </c>
      <c r="L13" s="2" t="s">
        <v>118</v>
      </c>
      <c r="M13" s="2" t="s">
        <v>84</v>
      </c>
      <c r="N13" s="2" t="s">
        <v>58</v>
      </c>
      <c r="O13" s="2" t="s">
        <v>31</v>
      </c>
      <c r="P13" s="2">
        <v>20</v>
      </c>
      <c r="Q13" s="2">
        <v>10</v>
      </c>
      <c r="R13" s="2" t="s">
        <v>32</v>
      </c>
      <c r="S13" s="61" t="s">
        <v>26</v>
      </c>
      <c r="T13" s="2" t="s">
        <v>119</v>
      </c>
      <c r="U13" s="2">
        <v>52</v>
      </c>
      <c r="W13" s="2" t="s">
        <v>130</v>
      </c>
      <c r="X13" s="2" t="s">
        <v>73</v>
      </c>
      <c r="Y13" s="2" t="s">
        <v>30</v>
      </c>
      <c r="Z13" s="2" t="s">
        <v>13</v>
      </c>
      <c r="AA13" s="2">
        <v>17</v>
      </c>
      <c r="AB13" s="2">
        <v>12</v>
      </c>
      <c r="AC13" s="2" t="s">
        <v>25</v>
      </c>
      <c r="AD13" s="2" t="s">
        <v>40</v>
      </c>
      <c r="AE13" s="2" t="s">
        <v>131</v>
      </c>
      <c r="AF13" s="61">
        <v>82</v>
      </c>
      <c r="AH13" s="2" t="s">
        <v>183</v>
      </c>
      <c r="AI13" s="2" t="s">
        <v>11</v>
      </c>
      <c r="AJ13" s="2" t="s">
        <v>30</v>
      </c>
      <c r="AK13" s="2" t="s">
        <v>31</v>
      </c>
      <c r="AL13" s="2">
        <v>17</v>
      </c>
      <c r="AM13" s="61">
        <v>12</v>
      </c>
      <c r="AN13" s="2" t="s">
        <v>14</v>
      </c>
      <c r="AO13" s="2" t="s">
        <v>37</v>
      </c>
      <c r="AP13" s="2" t="s">
        <v>184</v>
      </c>
      <c r="AQ13" s="2">
        <v>49</v>
      </c>
      <c r="AS13" s="2" t="s">
        <v>48</v>
      </c>
      <c r="AT13" s="2" t="s">
        <v>18</v>
      </c>
      <c r="AU13" s="2" t="s">
        <v>30</v>
      </c>
      <c r="AV13" s="2" t="s">
        <v>31</v>
      </c>
      <c r="AW13" s="61">
        <v>19</v>
      </c>
      <c r="AX13" s="2">
        <v>12</v>
      </c>
      <c r="AY13" s="2" t="s">
        <v>14</v>
      </c>
      <c r="AZ13" s="2" t="s">
        <v>46</v>
      </c>
      <c r="BA13" s="2" t="s">
        <v>49</v>
      </c>
      <c r="BB13" s="2">
        <v>92</v>
      </c>
      <c r="BD13" s="2" t="s">
        <v>114</v>
      </c>
      <c r="BE13" s="2" t="s">
        <v>73</v>
      </c>
      <c r="BF13" s="2" t="s">
        <v>58</v>
      </c>
      <c r="BG13" s="2" t="s">
        <v>13</v>
      </c>
      <c r="BH13" s="2">
        <v>20</v>
      </c>
      <c r="BI13" s="2">
        <v>9</v>
      </c>
      <c r="BJ13" s="2" t="s">
        <v>25</v>
      </c>
      <c r="BK13" s="61" t="s">
        <v>46</v>
      </c>
      <c r="BL13" s="2" t="s">
        <v>115</v>
      </c>
      <c r="BM13" s="2">
        <v>40</v>
      </c>
    </row>
    <row r="14" spans="1:65" x14ac:dyDescent="0.3">
      <c r="A14" s="2" t="s">
        <v>60</v>
      </c>
      <c r="B14" s="2" t="s">
        <v>35</v>
      </c>
      <c r="C14" s="2" t="s">
        <v>55</v>
      </c>
      <c r="D14" s="2" t="s">
        <v>13</v>
      </c>
      <c r="E14" s="2">
        <v>15</v>
      </c>
      <c r="F14" s="2">
        <v>12</v>
      </c>
      <c r="G14" s="2" t="s">
        <v>14</v>
      </c>
      <c r="H14" s="2" t="s">
        <v>61</v>
      </c>
      <c r="I14" s="2" t="s">
        <v>62</v>
      </c>
      <c r="J14" s="2">
        <v>51</v>
      </c>
      <c r="L14" s="2" t="s">
        <v>144</v>
      </c>
      <c r="M14" s="2" t="s">
        <v>73</v>
      </c>
      <c r="N14" s="2" t="s">
        <v>12</v>
      </c>
      <c r="O14" s="2" t="s">
        <v>31</v>
      </c>
      <c r="P14" s="2">
        <v>20</v>
      </c>
      <c r="Q14" s="2">
        <v>10</v>
      </c>
      <c r="R14" s="2" t="s">
        <v>14</v>
      </c>
      <c r="S14" s="61" t="s">
        <v>26</v>
      </c>
      <c r="T14" s="2" t="s">
        <v>145</v>
      </c>
      <c r="U14" s="2">
        <v>71</v>
      </c>
      <c r="W14" s="2" t="s">
        <v>132</v>
      </c>
      <c r="X14" s="2" t="s">
        <v>29</v>
      </c>
      <c r="Y14" s="2" t="s">
        <v>12</v>
      </c>
      <c r="Z14" s="2" t="s">
        <v>13</v>
      </c>
      <c r="AA14" s="2">
        <v>17</v>
      </c>
      <c r="AB14" s="2">
        <v>10</v>
      </c>
      <c r="AC14" s="2" t="s">
        <v>25</v>
      </c>
      <c r="AD14" s="2" t="s">
        <v>37</v>
      </c>
      <c r="AE14" s="2" t="s">
        <v>133</v>
      </c>
      <c r="AF14" s="61">
        <v>88</v>
      </c>
      <c r="AH14" s="2" t="s">
        <v>185</v>
      </c>
      <c r="AI14" s="2" t="s">
        <v>35</v>
      </c>
      <c r="AJ14" s="2" t="s">
        <v>30</v>
      </c>
      <c r="AK14" s="2" t="s">
        <v>31</v>
      </c>
      <c r="AL14" s="2">
        <v>14</v>
      </c>
      <c r="AM14" s="61">
        <v>12</v>
      </c>
      <c r="AN14" s="2" t="s">
        <v>43</v>
      </c>
      <c r="AO14" s="2" t="s">
        <v>61</v>
      </c>
      <c r="AP14" s="2" t="s">
        <v>186</v>
      </c>
      <c r="AQ14" s="2">
        <v>45</v>
      </c>
      <c r="AS14" s="2" t="s">
        <v>50</v>
      </c>
      <c r="AT14" s="2" t="s">
        <v>51</v>
      </c>
      <c r="AU14" s="2" t="s">
        <v>24</v>
      </c>
      <c r="AV14" s="2" t="s">
        <v>31</v>
      </c>
      <c r="AW14" s="61">
        <v>15</v>
      </c>
      <c r="AX14" s="2">
        <v>9</v>
      </c>
      <c r="AY14" s="2" t="s">
        <v>43</v>
      </c>
      <c r="AZ14" s="2" t="s">
        <v>15</v>
      </c>
      <c r="BA14" s="2" t="s">
        <v>52</v>
      </c>
      <c r="BB14" s="2">
        <v>90</v>
      </c>
      <c r="BD14" s="2" t="s">
        <v>120</v>
      </c>
      <c r="BE14" s="2" t="s">
        <v>35</v>
      </c>
      <c r="BF14" s="2" t="s">
        <v>36</v>
      </c>
      <c r="BG14" s="2" t="s">
        <v>31</v>
      </c>
      <c r="BH14" s="2">
        <v>20</v>
      </c>
      <c r="BI14" s="2">
        <v>10</v>
      </c>
      <c r="BJ14" s="2" t="s">
        <v>43</v>
      </c>
      <c r="BK14" s="61" t="s">
        <v>61</v>
      </c>
      <c r="BL14" s="2" t="s">
        <v>121</v>
      </c>
      <c r="BM14" s="2">
        <v>37</v>
      </c>
    </row>
    <row r="15" spans="1:65" x14ac:dyDescent="0.3">
      <c r="A15" s="2" t="s">
        <v>63</v>
      </c>
      <c r="B15" s="2" t="s">
        <v>11</v>
      </c>
      <c r="C15" s="2" t="s">
        <v>55</v>
      </c>
      <c r="D15" s="2" t="s">
        <v>13</v>
      </c>
      <c r="E15" s="2">
        <v>16</v>
      </c>
      <c r="F15" s="2">
        <v>10</v>
      </c>
      <c r="G15" s="2" t="s">
        <v>25</v>
      </c>
      <c r="H15" s="2" t="s">
        <v>26</v>
      </c>
      <c r="I15" s="2" t="s">
        <v>64</v>
      </c>
      <c r="J15" s="2">
        <v>42</v>
      </c>
      <c r="L15" s="2" t="s">
        <v>168</v>
      </c>
      <c r="M15" s="2" t="s">
        <v>18</v>
      </c>
      <c r="N15" s="2" t="s">
        <v>79</v>
      </c>
      <c r="O15" s="2" t="s">
        <v>13</v>
      </c>
      <c r="P15" s="2">
        <v>17</v>
      </c>
      <c r="Q15" s="2">
        <v>12</v>
      </c>
      <c r="R15" s="2" t="s">
        <v>25</v>
      </c>
      <c r="S15" s="61" t="s">
        <v>26</v>
      </c>
      <c r="T15" s="2" t="s">
        <v>137</v>
      </c>
      <c r="U15" s="2">
        <v>82</v>
      </c>
      <c r="W15" s="2" t="s">
        <v>138</v>
      </c>
      <c r="X15" s="2" t="s">
        <v>51</v>
      </c>
      <c r="Y15" s="2" t="s">
        <v>85</v>
      </c>
      <c r="Z15" s="2" t="s">
        <v>13</v>
      </c>
      <c r="AA15" s="2">
        <v>18</v>
      </c>
      <c r="AB15" s="2">
        <v>11</v>
      </c>
      <c r="AC15" s="2" t="s">
        <v>43</v>
      </c>
      <c r="AD15" s="2" t="s">
        <v>61</v>
      </c>
      <c r="AE15" s="2" t="s">
        <v>139</v>
      </c>
      <c r="AF15" s="61">
        <v>100</v>
      </c>
      <c r="AH15" s="2" t="s">
        <v>190</v>
      </c>
      <c r="AI15" s="2" t="s">
        <v>18</v>
      </c>
      <c r="AJ15" s="2" t="s">
        <v>19</v>
      </c>
      <c r="AK15" s="2" t="s">
        <v>31</v>
      </c>
      <c r="AL15" s="2">
        <v>14</v>
      </c>
      <c r="AM15" s="61">
        <v>12</v>
      </c>
      <c r="AN15" s="2" t="s">
        <v>32</v>
      </c>
      <c r="AO15" s="2" t="s">
        <v>37</v>
      </c>
      <c r="AP15" s="2" t="s">
        <v>191</v>
      </c>
      <c r="AQ15" s="2">
        <v>63</v>
      </c>
      <c r="AS15" s="2" t="s">
        <v>53</v>
      </c>
      <c r="AT15" s="2" t="s">
        <v>54</v>
      </c>
      <c r="AU15" s="2" t="s">
        <v>55</v>
      </c>
      <c r="AV15" s="2" t="s">
        <v>31</v>
      </c>
      <c r="AW15" s="61">
        <v>20</v>
      </c>
      <c r="AX15" s="2">
        <v>10</v>
      </c>
      <c r="AY15" s="2" t="s">
        <v>25</v>
      </c>
      <c r="AZ15" s="2" t="s">
        <v>40</v>
      </c>
      <c r="BA15" s="2" t="s">
        <v>56</v>
      </c>
      <c r="BB15" s="2">
        <v>59</v>
      </c>
      <c r="BD15" s="2" t="s">
        <v>136</v>
      </c>
      <c r="BE15" s="2" t="s">
        <v>11</v>
      </c>
      <c r="BF15" s="2" t="s">
        <v>79</v>
      </c>
      <c r="BG15" s="2" t="s">
        <v>13</v>
      </c>
      <c r="BH15" s="2">
        <v>14</v>
      </c>
      <c r="BI15" s="2">
        <v>10</v>
      </c>
      <c r="BJ15" s="2" t="s">
        <v>43</v>
      </c>
      <c r="BK15" s="61" t="s">
        <v>61</v>
      </c>
      <c r="BL15" s="2" t="s">
        <v>137</v>
      </c>
      <c r="BM15" s="2">
        <v>65</v>
      </c>
    </row>
    <row r="16" spans="1:65" x14ac:dyDescent="0.3">
      <c r="A16" s="2" t="s">
        <v>65</v>
      </c>
      <c r="B16" s="2" t="s">
        <v>23</v>
      </c>
      <c r="C16" s="2" t="s">
        <v>30</v>
      </c>
      <c r="D16" s="2" t="s">
        <v>13</v>
      </c>
      <c r="E16" s="2">
        <v>20</v>
      </c>
      <c r="F16" s="2">
        <v>12</v>
      </c>
      <c r="G16" s="2" t="s">
        <v>14</v>
      </c>
      <c r="H16" s="2" t="s">
        <v>40</v>
      </c>
      <c r="I16" s="2" t="s">
        <v>66</v>
      </c>
      <c r="J16" s="2">
        <v>62</v>
      </c>
      <c r="L16" s="2" t="s">
        <v>179</v>
      </c>
      <c r="M16" s="2" t="s">
        <v>29</v>
      </c>
      <c r="N16" s="2" t="s">
        <v>58</v>
      </c>
      <c r="O16" s="2" t="s">
        <v>31</v>
      </c>
      <c r="P16" s="2">
        <v>16</v>
      </c>
      <c r="Q16" s="2">
        <v>11</v>
      </c>
      <c r="R16" s="2" t="s">
        <v>25</v>
      </c>
      <c r="S16" s="61" t="s">
        <v>26</v>
      </c>
      <c r="T16" s="2" t="s">
        <v>180</v>
      </c>
      <c r="U16" s="2">
        <v>75</v>
      </c>
      <c r="W16" s="2" t="s">
        <v>140</v>
      </c>
      <c r="X16" s="2" t="s">
        <v>35</v>
      </c>
      <c r="Y16" s="2" t="s">
        <v>30</v>
      </c>
      <c r="Z16" s="2" t="s">
        <v>31</v>
      </c>
      <c r="AA16" s="2">
        <v>19</v>
      </c>
      <c r="AB16" s="2">
        <v>10</v>
      </c>
      <c r="AC16" s="2" t="s">
        <v>32</v>
      </c>
      <c r="AD16" s="2" t="s">
        <v>76</v>
      </c>
      <c r="AE16" s="2" t="s">
        <v>141</v>
      </c>
      <c r="AF16" s="61">
        <v>93</v>
      </c>
      <c r="AH16" s="2" t="s">
        <v>215</v>
      </c>
      <c r="AI16" s="2" t="s">
        <v>84</v>
      </c>
      <c r="AJ16" s="2" t="s">
        <v>36</v>
      </c>
      <c r="AK16" s="2" t="s">
        <v>31</v>
      </c>
      <c r="AL16" s="2">
        <v>19</v>
      </c>
      <c r="AM16" s="61">
        <v>12</v>
      </c>
      <c r="AN16" s="2" t="s">
        <v>14</v>
      </c>
      <c r="AO16" s="2" t="s">
        <v>37</v>
      </c>
      <c r="AP16" s="2" t="s">
        <v>216</v>
      </c>
      <c r="AQ16" s="2">
        <v>84</v>
      </c>
      <c r="AS16" s="2" t="s">
        <v>57</v>
      </c>
      <c r="AT16" s="2" t="s">
        <v>51</v>
      </c>
      <c r="AU16" s="2" t="s">
        <v>58</v>
      </c>
      <c r="AV16" s="2" t="s">
        <v>13</v>
      </c>
      <c r="AW16" s="61">
        <v>14</v>
      </c>
      <c r="AX16" s="2">
        <v>12</v>
      </c>
      <c r="AY16" s="2" t="s">
        <v>32</v>
      </c>
      <c r="AZ16" s="2" t="s">
        <v>40</v>
      </c>
      <c r="BA16" s="2" t="s">
        <v>59</v>
      </c>
      <c r="BB16" s="2">
        <v>43</v>
      </c>
      <c r="BD16" s="2" t="s">
        <v>138</v>
      </c>
      <c r="BE16" s="2" t="s">
        <v>51</v>
      </c>
      <c r="BF16" s="2" t="s">
        <v>85</v>
      </c>
      <c r="BG16" s="2" t="s">
        <v>13</v>
      </c>
      <c r="BH16" s="2">
        <v>18</v>
      </c>
      <c r="BI16" s="2">
        <v>11</v>
      </c>
      <c r="BJ16" s="2" t="s">
        <v>43</v>
      </c>
      <c r="BK16" s="61" t="s">
        <v>61</v>
      </c>
      <c r="BL16" s="2" t="s">
        <v>139</v>
      </c>
      <c r="BM16" s="2">
        <v>100</v>
      </c>
    </row>
    <row r="17" spans="1:65" x14ac:dyDescent="0.3">
      <c r="A17" s="2" t="s">
        <v>67</v>
      </c>
      <c r="B17" s="2" t="s">
        <v>68</v>
      </c>
      <c r="C17" s="2" t="s">
        <v>19</v>
      </c>
      <c r="D17" s="2" t="s">
        <v>13</v>
      </c>
      <c r="E17" s="2">
        <v>20</v>
      </c>
      <c r="F17" s="2">
        <v>9</v>
      </c>
      <c r="G17" s="2" t="s">
        <v>14</v>
      </c>
      <c r="H17" s="2" t="s">
        <v>20</v>
      </c>
      <c r="I17" s="2" t="s">
        <v>69</v>
      </c>
      <c r="J17" s="2">
        <v>55</v>
      </c>
      <c r="L17" s="2" t="s">
        <v>200</v>
      </c>
      <c r="M17" s="2" t="s">
        <v>29</v>
      </c>
      <c r="N17" s="2" t="s">
        <v>12</v>
      </c>
      <c r="O17" s="2" t="s">
        <v>13</v>
      </c>
      <c r="P17" s="2">
        <v>18</v>
      </c>
      <c r="Q17" s="2">
        <v>12</v>
      </c>
      <c r="R17" s="2" t="s">
        <v>25</v>
      </c>
      <c r="S17" s="61" t="s">
        <v>26</v>
      </c>
      <c r="T17" s="2" t="s">
        <v>201</v>
      </c>
      <c r="U17" s="2">
        <v>89</v>
      </c>
      <c r="W17" s="2" t="s">
        <v>142</v>
      </c>
      <c r="X17" s="2" t="s">
        <v>29</v>
      </c>
      <c r="Y17" s="2" t="s">
        <v>96</v>
      </c>
      <c r="Z17" s="2" t="s">
        <v>31</v>
      </c>
      <c r="AA17" s="2">
        <v>16</v>
      </c>
      <c r="AB17" s="2">
        <v>12</v>
      </c>
      <c r="AC17" s="2" t="s">
        <v>14</v>
      </c>
      <c r="AD17" s="2" t="s">
        <v>37</v>
      </c>
      <c r="AE17" s="2" t="s">
        <v>143</v>
      </c>
      <c r="AF17" s="61">
        <v>85</v>
      </c>
      <c r="AH17" s="2" t="s">
        <v>235</v>
      </c>
      <c r="AI17" s="2" t="s">
        <v>11</v>
      </c>
      <c r="AJ17" s="2" t="s">
        <v>36</v>
      </c>
      <c r="AK17" s="2" t="s">
        <v>31</v>
      </c>
      <c r="AL17" s="2">
        <v>14</v>
      </c>
      <c r="AM17" s="61">
        <v>12</v>
      </c>
      <c r="AN17" s="2" t="s">
        <v>43</v>
      </c>
      <c r="AO17" s="2" t="s">
        <v>40</v>
      </c>
      <c r="AP17" s="2" t="s">
        <v>236</v>
      </c>
      <c r="AQ17" s="2">
        <v>65</v>
      </c>
      <c r="AS17" s="2" t="s">
        <v>60</v>
      </c>
      <c r="AT17" s="2" t="s">
        <v>35</v>
      </c>
      <c r="AU17" s="2" t="s">
        <v>55</v>
      </c>
      <c r="AV17" s="2" t="s">
        <v>13</v>
      </c>
      <c r="AW17" s="61">
        <v>15</v>
      </c>
      <c r="AX17" s="2">
        <v>12</v>
      </c>
      <c r="AY17" s="2" t="s">
        <v>14</v>
      </c>
      <c r="AZ17" s="2" t="s">
        <v>61</v>
      </c>
      <c r="BA17" s="2" t="s">
        <v>62</v>
      </c>
      <c r="BB17" s="2">
        <v>51</v>
      </c>
      <c r="BD17" s="2" t="s">
        <v>152</v>
      </c>
      <c r="BE17" s="2" t="s">
        <v>23</v>
      </c>
      <c r="BF17" s="2" t="s">
        <v>55</v>
      </c>
      <c r="BG17" s="2" t="s">
        <v>13</v>
      </c>
      <c r="BH17" s="2">
        <v>17</v>
      </c>
      <c r="BI17" s="2">
        <v>12</v>
      </c>
      <c r="BJ17" s="2" t="s">
        <v>32</v>
      </c>
      <c r="BK17" s="61" t="s">
        <v>46</v>
      </c>
      <c r="BL17" s="2" t="s">
        <v>153</v>
      </c>
      <c r="BM17" s="2">
        <v>39</v>
      </c>
    </row>
    <row r="18" spans="1:65" x14ac:dyDescent="0.3">
      <c r="A18" s="2" t="s">
        <v>70</v>
      </c>
      <c r="B18" s="2" t="s">
        <v>51</v>
      </c>
      <c r="C18" s="2" t="s">
        <v>36</v>
      </c>
      <c r="D18" s="2" t="s">
        <v>13</v>
      </c>
      <c r="E18" s="2">
        <v>14</v>
      </c>
      <c r="F18" s="2">
        <v>12</v>
      </c>
      <c r="G18" s="2" t="s">
        <v>25</v>
      </c>
      <c r="H18" s="2" t="s">
        <v>37</v>
      </c>
      <c r="I18" s="2" t="s">
        <v>71</v>
      </c>
      <c r="J18" s="2">
        <v>42</v>
      </c>
      <c r="L18" s="2" t="s">
        <v>227</v>
      </c>
      <c r="M18" s="2" t="s">
        <v>68</v>
      </c>
      <c r="N18" s="2" t="s">
        <v>58</v>
      </c>
      <c r="O18" s="2" t="s">
        <v>13</v>
      </c>
      <c r="P18" s="2">
        <v>17</v>
      </c>
      <c r="Q18" s="2">
        <v>12</v>
      </c>
      <c r="R18" s="2" t="s">
        <v>32</v>
      </c>
      <c r="S18" s="61" t="s">
        <v>26</v>
      </c>
      <c r="T18" s="2" t="s">
        <v>228</v>
      </c>
      <c r="U18" s="2">
        <v>37</v>
      </c>
      <c r="W18" s="2" t="s">
        <v>148</v>
      </c>
      <c r="X18" s="2" t="s">
        <v>51</v>
      </c>
      <c r="Y18" s="2" t="s">
        <v>96</v>
      </c>
      <c r="Z18" s="2" t="s">
        <v>13</v>
      </c>
      <c r="AA18" s="2">
        <v>19</v>
      </c>
      <c r="AB18" s="2">
        <v>11</v>
      </c>
      <c r="AC18" s="2" t="s">
        <v>14</v>
      </c>
      <c r="AD18" s="2" t="s">
        <v>76</v>
      </c>
      <c r="AE18" s="2" t="s">
        <v>149</v>
      </c>
      <c r="AF18" s="61">
        <v>83</v>
      </c>
      <c r="AH18" s="2" t="s">
        <v>241</v>
      </c>
      <c r="AI18" s="2" t="s">
        <v>54</v>
      </c>
      <c r="AJ18" s="2" t="s">
        <v>85</v>
      </c>
      <c r="AK18" s="2" t="s">
        <v>31</v>
      </c>
      <c r="AL18" s="2">
        <v>15</v>
      </c>
      <c r="AM18" s="61">
        <v>12</v>
      </c>
      <c r="AN18" s="2" t="s">
        <v>14</v>
      </c>
      <c r="AO18" s="2" t="s">
        <v>40</v>
      </c>
      <c r="AP18" s="2" t="s">
        <v>242</v>
      </c>
      <c r="AQ18" s="2">
        <v>100</v>
      </c>
      <c r="AS18" s="2" t="s">
        <v>63</v>
      </c>
      <c r="AT18" s="2" t="s">
        <v>11</v>
      </c>
      <c r="AU18" s="2" t="s">
        <v>55</v>
      </c>
      <c r="AV18" s="2" t="s">
        <v>13</v>
      </c>
      <c r="AW18" s="61">
        <v>16</v>
      </c>
      <c r="AX18" s="2">
        <v>10</v>
      </c>
      <c r="AY18" s="2" t="s">
        <v>25</v>
      </c>
      <c r="AZ18" s="2" t="s">
        <v>26</v>
      </c>
      <c r="BA18" s="2" t="s">
        <v>64</v>
      </c>
      <c r="BB18" s="2">
        <v>42</v>
      </c>
      <c r="BD18" s="2" t="s">
        <v>169</v>
      </c>
      <c r="BE18" s="2" t="s">
        <v>11</v>
      </c>
      <c r="BF18" s="2" t="s">
        <v>30</v>
      </c>
      <c r="BG18" s="2" t="s">
        <v>31</v>
      </c>
      <c r="BH18" s="2">
        <v>18</v>
      </c>
      <c r="BI18" s="2">
        <v>9</v>
      </c>
      <c r="BJ18" s="2" t="s">
        <v>25</v>
      </c>
      <c r="BK18" s="61" t="s">
        <v>46</v>
      </c>
      <c r="BL18" s="2" t="s">
        <v>170</v>
      </c>
      <c r="BM18" s="2">
        <v>60</v>
      </c>
    </row>
    <row r="19" spans="1:65" x14ac:dyDescent="0.3">
      <c r="A19" s="2" t="s">
        <v>72</v>
      </c>
      <c r="B19" s="2" t="s">
        <v>73</v>
      </c>
      <c r="C19" s="2" t="s">
        <v>58</v>
      </c>
      <c r="D19" s="2" t="s">
        <v>31</v>
      </c>
      <c r="E19" s="2">
        <v>19</v>
      </c>
      <c r="F19" s="2">
        <v>9</v>
      </c>
      <c r="G19" s="2" t="s">
        <v>32</v>
      </c>
      <c r="H19" s="2" t="s">
        <v>46</v>
      </c>
      <c r="I19" s="2" t="s">
        <v>74</v>
      </c>
      <c r="J19" s="2">
        <v>76</v>
      </c>
      <c r="L19" s="2" t="s">
        <v>229</v>
      </c>
      <c r="M19" s="2" t="s">
        <v>68</v>
      </c>
      <c r="N19" s="2" t="s">
        <v>24</v>
      </c>
      <c r="O19" s="2" t="s">
        <v>13</v>
      </c>
      <c r="P19" s="2">
        <v>17</v>
      </c>
      <c r="Q19" s="2">
        <v>11</v>
      </c>
      <c r="R19" s="2" t="s">
        <v>43</v>
      </c>
      <c r="S19" s="61" t="s">
        <v>26</v>
      </c>
      <c r="T19" s="2" t="s">
        <v>230</v>
      </c>
      <c r="U19" s="2">
        <v>53</v>
      </c>
      <c r="W19" s="2" t="s">
        <v>160</v>
      </c>
      <c r="X19" s="2" t="s">
        <v>51</v>
      </c>
      <c r="Y19" s="2" t="s">
        <v>85</v>
      </c>
      <c r="Z19" s="2" t="s">
        <v>31</v>
      </c>
      <c r="AA19" s="2">
        <v>17</v>
      </c>
      <c r="AB19" s="2">
        <v>11</v>
      </c>
      <c r="AC19" s="2" t="s">
        <v>43</v>
      </c>
      <c r="AD19" s="2" t="s">
        <v>37</v>
      </c>
      <c r="AE19" s="2" t="s">
        <v>161</v>
      </c>
      <c r="AF19" s="61">
        <v>99</v>
      </c>
      <c r="AH19" s="2" t="s">
        <v>245</v>
      </c>
      <c r="AI19" s="2" t="s">
        <v>54</v>
      </c>
      <c r="AJ19" s="2" t="s">
        <v>19</v>
      </c>
      <c r="AK19" s="2" t="s">
        <v>31</v>
      </c>
      <c r="AL19" s="2">
        <v>18</v>
      </c>
      <c r="AM19" s="61">
        <v>12</v>
      </c>
      <c r="AN19" s="2" t="s">
        <v>32</v>
      </c>
      <c r="AO19" s="2" t="s">
        <v>26</v>
      </c>
      <c r="AP19" s="2" t="s">
        <v>246</v>
      </c>
      <c r="AQ19" s="2">
        <v>74</v>
      </c>
      <c r="AS19" s="2" t="s">
        <v>65</v>
      </c>
      <c r="AT19" s="2" t="s">
        <v>23</v>
      </c>
      <c r="AU19" s="2" t="s">
        <v>30</v>
      </c>
      <c r="AV19" s="2" t="s">
        <v>13</v>
      </c>
      <c r="AW19" s="61">
        <v>20</v>
      </c>
      <c r="AX19" s="2">
        <v>12</v>
      </c>
      <c r="AY19" s="2" t="s">
        <v>14</v>
      </c>
      <c r="AZ19" s="2" t="s">
        <v>40</v>
      </c>
      <c r="BA19" s="2" t="s">
        <v>66</v>
      </c>
      <c r="BB19" s="2">
        <v>62</v>
      </c>
      <c r="BD19" s="2" t="s">
        <v>171</v>
      </c>
      <c r="BE19" s="2" t="s">
        <v>29</v>
      </c>
      <c r="BF19" s="2" t="s">
        <v>85</v>
      </c>
      <c r="BG19" s="2" t="s">
        <v>13</v>
      </c>
      <c r="BH19" s="2">
        <v>14</v>
      </c>
      <c r="BI19" s="2">
        <v>10</v>
      </c>
      <c r="BJ19" s="2" t="s">
        <v>32</v>
      </c>
      <c r="BK19" s="61" t="s">
        <v>61</v>
      </c>
      <c r="BL19" s="2" t="s">
        <v>172</v>
      </c>
      <c r="BM19" s="2">
        <v>51</v>
      </c>
    </row>
    <row r="20" spans="1:65" x14ac:dyDescent="0.3">
      <c r="A20" s="2" t="s">
        <v>75</v>
      </c>
      <c r="B20" s="2" t="s">
        <v>29</v>
      </c>
      <c r="C20" s="2" t="s">
        <v>58</v>
      </c>
      <c r="D20" s="2" t="s">
        <v>31</v>
      </c>
      <c r="E20" s="2">
        <v>17</v>
      </c>
      <c r="F20" s="2">
        <v>12</v>
      </c>
      <c r="G20" s="2" t="s">
        <v>32</v>
      </c>
      <c r="H20" s="2" t="s">
        <v>76</v>
      </c>
      <c r="I20" s="2" t="s">
        <v>77</v>
      </c>
      <c r="J20" s="2">
        <v>66</v>
      </c>
      <c r="L20" s="2" t="s">
        <v>245</v>
      </c>
      <c r="M20" s="2" t="s">
        <v>54</v>
      </c>
      <c r="N20" s="2" t="s">
        <v>19</v>
      </c>
      <c r="O20" s="2" t="s">
        <v>31</v>
      </c>
      <c r="P20" s="2">
        <v>18</v>
      </c>
      <c r="Q20" s="2">
        <v>12</v>
      </c>
      <c r="R20" s="2" t="s">
        <v>32</v>
      </c>
      <c r="S20" s="61" t="s">
        <v>26</v>
      </c>
      <c r="T20" s="2" t="s">
        <v>246</v>
      </c>
      <c r="U20" s="2">
        <v>74</v>
      </c>
      <c r="W20" s="2" t="s">
        <v>168</v>
      </c>
      <c r="X20" s="2" t="s">
        <v>18</v>
      </c>
      <c r="Y20" s="2" t="s">
        <v>79</v>
      </c>
      <c r="Z20" s="2" t="s">
        <v>13</v>
      </c>
      <c r="AA20" s="2">
        <v>17</v>
      </c>
      <c r="AB20" s="2">
        <v>12</v>
      </c>
      <c r="AC20" s="2" t="s">
        <v>25</v>
      </c>
      <c r="AD20" s="2" t="s">
        <v>26</v>
      </c>
      <c r="AE20" s="2" t="s">
        <v>137</v>
      </c>
      <c r="AF20" s="61">
        <v>82</v>
      </c>
      <c r="AH20" s="2" t="s">
        <v>247</v>
      </c>
      <c r="AI20" s="2" t="s">
        <v>29</v>
      </c>
      <c r="AJ20" s="2" t="s">
        <v>58</v>
      </c>
      <c r="AK20" s="2" t="s">
        <v>31</v>
      </c>
      <c r="AL20" s="2">
        <v>14</v>
      </c>
      <c r="AM20" s="61">
        <v>12</v>
      </c>
      <c r="AN20" s="2" t="s">
        <v>14</v>
      </c>
      <c r="AO20" s="2" t="s">
        <v>40</v>
      </c>
      <c r="AP20" s="2" t="s">
        <v>248</v>
      </c>
      <c r="AQ20" s="2">
        <v>66</v>
      </c>
      <c r="AS20" s="2" t="s">
        <v>67</v>
      </c>
      <c r="AT20" s="2" t="s">
        <v>68</v>
      </c>
      <c r="AU20" s="2" t="s">
        <v>19</v>
      </c>
      <c r="AV20" s="2" t="s">
        <v>13</v>
      </c>
      <c r="AW20" s="61">
        <v>20</v>
      </c>
      <c r="AX20" s="2">
        <v>9</v>
      </c>
      <c r="AY20" s="2" t="s">
        <v>14</v>
      </c>
      <c r="AZ20" s="2" t="s">
        <v>20</v>
      </c>
      <c r="BA20" s="2" t="s">
        <v>69</v>
      </c>
      <c r="BB20" s="2">
        <v>55</v>
      </c>
      <c r="BD20" s="2" t="s">
        <v>175</v>
      </c>
      <c r="BE20" s="2" t="s">
        <v>35</v>
      </c>
      <c r="BF20" s="2" t="s">
        <v>30</v>
      </c>
      <c r="BG20" s="2" t="s">
        <v>31</v>
      </c>
      <c r="BH20" s="2">
        <v>20</v>
      </c>
      <c r="BI20" s="2">
        <v>9</v>
      </c>
      <c r="BJ20" s="2" t="s">
        <v>14</v>
      </c>
      <c r="BK20" s="61" t="s">
        <v>61</v>
      </c>
      <c r="BL20" s="2" t="s">
        <v>176</v>
      </c>
      <c r="BM20" s="2">
        <v>76</v>
      </c>
    </row>
    <row r="21" spans="1:65" x14ac:dyDescent="0.3">
      <c r="A21" s="2" t="s">
        <v>78</v>
      </c>
      <c r="B21" s="2" t="s">
        <v>68</v>
      </c>
      <c r="C21" s="2" t="s">
        <v>79</v>
      </c>
      <c r="D21" s="2" t="s">
        <v>31</v>
      </c>
      <c r="E21" s="2">
        <v>15</v>
      </c>
      <c r="F21" s="2">
        <v>10</v>
      </c>
      <c r="G21" s="2" t="s">
        <v>14</v>
      </c>
      <c r="H21" s="2" t="s">
        <v>20</v>
      </c>
      <c r="I21" s="2" t="s">
        <v>80</v>
      </c>
      <c r="J21" s="2">
        <v>59</v>
      </c>
      <c r="L21" s="2" t="s">
        <v>261</v>
      </c>
      <c r="M21" s="2" t="s">
        <v>23</v>
      </c>
      <c r="N21" s="2" t="s">
        <v>36</v>
      </c>
      <c r="O21" s="2" t="s">
        <v>13</v>
      </c>
      <c r="P21" s="2">
        <v>15</v>
      </c>
      <c r="Q21" s="2">
        <v>11</v>
      </c>
      <c r="R21" s="2" t="s">
        <v>25</v>
      </c>
      <c r="S21" s="61" t="s">
        <v>26</v>
      </c>
      <c r="T21" s="2" t="s">
        <v>262</v>
      </c>
      <c r="U21" s="2">
        <v>63</v>
      </c>
      <c r="W21" s="2" t="s">
        <v>177</v>
      </c>
      <c r="X21" s="2" t="s">
        <v>29</v>
      </c>
      <c r="Y21" s="2" t="s">
        <v>58</v>
      </c>
      <c r="Z21" s="2" t="s">
        <v>31</v>
      </c>
      <c r="AA21" s="2">
        <v>19</v>
      </c>
      <c r="AB21" s="2">
        <v>12</v>
      </c>
      <c r="AC21" s="2" t="s">
        <v>43</v>
      </c>
      <c r="AD21" s="2" t="s">
        <v>61</v>
      </c>
      <c r="AE21" s="2" t="s">
        <v>178</v>
      </c>
      <c r="AF21" s="61">
        <v>99</v>
      </c>
      <c r="AH21" s="2" t="s">
        <v>255</v>
      </c>
      <c r="AI21" s="2" t="s">
        <v>51</v>
      </c>
      <c r="AJ21" s="2" t="s">
        <v>79</v>
      </c>
      <c r="AK21" s="2" t="s">
        <v>31</v>
      </c>
      <c r="AL21" s="2">
        <v>20</v>
      </c>
      <c r="AM21" s="61">
        <v>12</v>
      </c>
      <c r="AN21" s="2" t="s">
        <v>43</v>
      </c>
      <c r="AO21" s="2" t="s">
        <v>40</v>
      </c>
      <c r="AP21" s="2" t="s">
        <v>256</v>
      </c>
      <c r="AQ21" s="2">
        <v>48</v>
      </c>
      <c r="AS21" s="2" t="s">
        <v>70</v>
      </c>
      <c r="AT21" s="2" t="s">
        <v>51</v>
      </c>
      <c r="AU21" s="2" t="s">
        <v>36</v>
      </c>
      <c r="AV21" s="2" t="s">
        <v>13</v>
      </c>
      <c r="AW21" s="61">
        <v>14</v>
      </c>
      <c r="AX21" s="2">
        <v>12</v>
      </c>
      <c r="AY21" s="2" t="s">
        <v>25</v>
      </c>
      <c r="AZ21" s="2" t="s">
        <v>37</v>
      </c>
      <c r="BA21" s="2" t="s">
        <v>71</v>
      </c>
      <c r="BB21" s="2">
        <v>42</v>
      </c>
      <c r="BD21" s="2" t="s">
        <v>177</v>
      </c>
      <c r="BE21" s="2" t="s">
        <v>29</v>
      </c>
      <c r="BF21" s="2" t="s">
        <v>58</v>
      </c>
      <c r="BG21" s="2" t="s">
        <v>31</v>
      </c>
      <c r="BH21" s="2">
        <v>19</v>
      </c>
      <c r="BI21" s="2">
        <v>12</v>
      </c>
      <c r="BJ21" s="2" t="s">
        <v>43</v>
      </c>
      <c r="BK21" s="61" t="s">
        <v>61</v>
      </c>
      <c r="BL21" s="2" t="s">
        <v>178</v>
      </c>
      <c r="BM21" s="2">
        <v>99</v>
      </c>
    </row>
    <row r="22" spans="1:65" x14ac:dyDescent="0.3">
      <c r="A22" s="2" t="s">
        <v>81</v>
      </c>
      <c r="B22" s="2" t="s">
        <v>29</v>
      </c>
      <c r="C22" s="2" t="s">
        <v>58</v>
      </c>
      <c r="D22" s="2" t="s">
        <v>31</v>
      </c>
      <c r="E22" s="2">
        <v>19</v>
      </c>
      <c r="F22" s="2">
        <v>9</v>
      </c>
      <c r="G22" s="2" t="s">
        <v>14</v>
      </c>
      <c r="H22" s="2" t="s">
        <v>61</v>
      </c>
      <c r="I22" s="2" t="s">
        <v>82</v>
      </c>
      <c r="J22" s="2">
        <v>50</v>
      </c>
      <c r="L22" s="2" t="s">
        <v>268</v>
      </c>
      <c r="M22" s="2" t="s">
        <v>68</v>
      </c>
      <c r="N22" s="2" t="s">
        <v>24</v>
      </c>
      <c r="O22" s="2" t="s">
        <v>31</v>
      </c>
      <c r="P22" s="2">
        <v>16</v>
      </c>
      <c r="Q22" s="2">
        <v>12</v>
      </c>
      <c r="R22" s="2" t="s">
        <v>43</v>
      </c>
      <c r="S22" s="61" t="s">
        <v>26</v>
      </c>
      <c r="T22" s="2" t="s">
        <v>269</v>
      </c>
      <c r="U22" s="2">
        <v>47</v>
      </c>
      <c r="W22" s="2" t="s">
        <v>181</v>
      </c>
      <c r="X22" s="2" t="s">
        <v>11</v>
      </c>
      <c r="Y22" s="2" t="s">
        <v>55</v>
      </c>
      <c r="Z22" s="2" t="s">
        <v>31</v>
      </c>
      <c r="AA22" s="2">
        <v>18</v>
      </c>
      <c r="AB22" s="2">
        <v>10</v>
      </c>
      <c r="AC22" s="2" t="s">
        <v>25</v>
      </c>
      <c r="AD22" s="2" t="s">
        <v>46</v>
      </c>
      <c r="AE22" s="2" t="s">
        <v>182</v>
      </c>
      <c r="AF22" s="61">
        <v>98</v>
      </c>
      <c r="AH22" s="2" t="s">
        <v>268</v>
      </c>
      <c r="AI22" s="2" t="s">
        <v>68</v>
      </c>
      <c r="AJ22" s="2" t="s">
        <v>24</v>
      </c>
      <c r="AK22" s="2" t="s">
        <v>31</v>
      </c>
      <c r="AL22" s="2">
        <v>16</v>
      </c>
      <c r="AM22" s="61">
        <v>12</v>
      </c>
      <c r="AN22" s="2" t="s">
        <v>43</v>
      </c>
      <c r="AO22" s="2" t="s">
        <v>26</v>
      </c>
      <c r="AP22" s="2" t="s">
        <v>269</v>
      </c>
      <c r="AQ22" s="2">
        <v>47</v>
      </c>
      <c r="AS22" s="2" t="s">
        <v>72</v>
      </c>
      <c r="AT22" s="2" t="s">
        <v>73</v>
      </c>
      <c r="AU22" s="2" t="s">
        <v>58</v>
      </c>
      <c r="AV22" s="2" t="s">
        <v>31</v>
      </c>
      <c r="AW22" s="61">
        <v>19</v>
      </c>
      <c r="AX22" s="2">
        <v>9</v>
      </c>
      <c r="AY22" s="2" t="s">
        <v>32</v>
      </c>
      <c r="AZ22" s="2" t="s">
        <v>46</v>
      </c>
      <c r="BA22" s="2" t="s">
        <v>74</v>
      </c>
      <c r="BB22" s="2">
        <v>76</v>
      </c>
      <c r="BD22" s="2" t="s">
        <v>181</v>
      </c>
      <c r="BE22" s="2" t="s">
        <v>11</v>
      </c>
      <c r="BF22" s="2" t="s">
        <v>55</v>
      </c>
      <c r="BG22" s="2" t="s">
        <v>31</v>
      </c>
      <c r="BH22" s="2">
        <v>18</v>
      </c>
      <c r="BI22" s="2">
        <v>10</v>
      </c>
      <c r="BJ22" s="2" t="s">
        <v>25</v>
      </c>
      <c r="BK22" s="61" t="s">
        <v>46</v>
      </c>
      <c r="BL22" s="2" t="s">
        <v>182</v>
      </c>
      <c r="BM22" s="2">
        <v>98</v>
      </c>
    </row>
    <row r="23" spans="1:65" x14ac:dyDescent="0.3">
      <c r="A23" s="2" t="s">
        <v>83</v>
      </c>
      <c r="B23" s="2" t="s">
        <v>84</v>
      </c>
      <c r="C23" s="2" t="s">
        <v>85</v>
      </c>
      <c r="D23" s="2" t="s">
        <v>31</v>
      </c>
      <c r="E23" s="2">
        <v>16</v>
      </c>
      <c r="F23" s="2">
        <v>9</v>
      </c>
      <c r="G23" s="2" t="s">
        <v>43</v>
      </c>
      <c r="H23" s="2" t="s">
        <v>37</v>
      </c>
      <c r="I23" s="2" t="s">
        <v>86</v>
      </c>
      <c r="J23" s="2">
        <v>52</v>
      </c>
      <c r="L23" s="2" t="s">
        <v>270</v>
      </c>
      <c r="M23" s="2" t="s">
        <v>73</v>
      </c>
      <c r="N23" s="2" t="s">
        <v>30</v>
      </c>
      <c r="O23" s="2" t="s">
        <v>31</v>
      </c>
      <c r="P23" s="2">
        <v>15</v>
      </c>
      <c r="Q23" s="2">
        <v>9</v>
      </c>
      <c r="R23" s="2" t="s">
        <v>43</v>
      </c>
      <c r="S23" s="61" t="s">
        <v>26</v>
      </c>
      <c r="T23" s="2" t="s">
        <v>271</v>
      </c>
      <c r="U23" s="2">
        <v>76</v>
      </c>
      <c r="W23" s="2" t="s">
        <v>188</v>
      </c>
      <c r="X23" s="2" t="s">
        <v>23</v>
      </c>
      <c r="Y23" s="2" t="s">
        <v>55</v>
      </c>
      <c r="Z23" s="2" t="s">
        <v>31</v>
      </c>
      <c r="AA23" s="2">
        <v>15</v>
      </c>
      <c r="AB23" s="2">
        <v>9</v>
      </c>
      <c r="AC23" s="2" t="s">
        <v>43</v>
      </c>
      <c r="AD23" s="2" t="s">
        <v>20</v>
      </c>
      <c r="AE23" s="2" t="s">
        <v>189</v>
      </c>
      <c r="AF23" s="61">
        <v>88</v>
      </c>
      <c r="AH23" s="2" t="s">
        <v>276</v>
      </c>
      <c r="AI23" s="2" t="s">
        <v>84</v>
      </c>
      <c r="AJ23" s="2" t="s">
        <v>30</v>
      </c>
      <c r="AK23" s="2" t="s">
        <v>31</v>
      </c>
      <c r="AL23" s="2">
        <v>14</v>
      </c>
      <c r="AM23" s="61">
        <v>12</v>
      </c>
      <c r="AN23" s="2" t="s">
        <v>14</v>
      </c>
      <c r="AO23" s="2" t="s">
        <v>26</v>
      </c>
      <c r="AP23" s="2" t="s">
        <v>277</v>
      </c>
      <c r="AQ23" s="2">
        <v>62</v>
      </c>
      <c r="AS23" s="2" t="s">
        <v>75</v>
      </c>
      <c r="AT23" s="2" t="s">
        <v>29</v>
      </c>
      <c r="AU23" s="2" t="s">
        <v>58</v>
      </c>
      <c r="AV23" s="2" t="s">
        <v>31</v>
      </c>
      <c r="AW23" s="61">
        <v>17</v>
      </c>
      <c r="AX23" s="2">
        <v>12</v>
      </c>
      <c r="AY23" s="2" t="s">
        <v>32</v>
      </c>
      <c r="AZ23" s="2" t="s">
        <v>76</v>
      </c>
      <c r="BA23" s="2" t="s">
        <v>77</v>
      </c>
      <c r="BB23" s="2">
        <v>66</v>
      </c>
      <c r="BD23" s="2" t="s">
        <v>185</v>
      </c>
      <c r="BE23" s="2" t="s">
        <v>35</v>
      </c>
      <c r="BF23" s="2" t="s">
        <v>30</v>
      </c>
      <c r="BG23" s="2" t="s">
        <v>31</v>
      </c>
      <c r="BH23" s="2">
        <v>14</v>
      </c>
      <c r="BI23" s="2">
        <v>12</v>
      </c>
      <c r="BJ23" s="2" t="s">
        <v>43</v>
      </c>
      <c r="BK23" s="61" t="s">
        <v>61</v>
      </c>
      <c r="BL23" s="2" t="s">
        <v>186</v>
      </c>
      <c r="BM23" s="2">
        <v>45</v>
      </c>
    </row>
    <row r="24" spans="1:65" x14ac:dyDescent="0.3">
      <c r="A24" s="2" t="s">
        <v>87</v>
      </c>
      <c r="B24" s="2" t="s">
        <v>18</v>
      </c>
      <c r="C24" s="2" t="s">
        <v>12</v>
      </c>
      <c r="D24" s="2" t="s">
        <v>13</v>
      </c>
      <c r="E24" s="2">
        <v>20</v>
      </c>
      <c r="F24" s="2">
        <v>12</v>
      </c>
      <c r="G24" s="2" t="s">
        <v>32</v>
      </c>
      <c r="H24" s="2" t="s">
        <v>26</v>
      </c>
      <c r="I24" s="2" t="s">
        <v>88</v>
      </c>
      <c r="J24" s="2">
        <v>86</v>
      </c>
      <c r="L24" s="2" t="s">
        <v>276</v>
      </c>
      <c r="M24" s="2" t="s">
        <v>84</v>
      </c>
      <c r="N24" s="2" t="s">
        <v>30</v>
      </c>
      <c r="O24" s="2" t="s">
        <v>31</v>
      </c>
      <c r="P24" s="2">
        <v>14</v>
      </c>
      <c r="Q24" s="2">
        <v>12</v>
      </c>
      <c r="R24" s="2" t="s">
        <v>14</v>
      </c>
      <c r="S24" s="61" t="s">
        <v>26</v>
      </c>
      <c r="T24" s="2" t="s">
        <v>277</v>
      </c>
      <c r="U24" s="2">
        <v>62</v>
      </c>
      <c r="W24" s="2" t="s">
        <v>198</v>
      </c>
      <c r="X24" s="2" t="s">
        <v>11</v>
      </c>
      <c r="Y24" s="2" t="s">
        <v>85</v>
      </c>
      <c r="Z24" s="2" t="s">
        <v>31</v>
      </c>
      <c r="AA24" s="2">
        <v>14</v>
      </c>
      <c r="AB24" s="2">
        <v>10</v>
      </c>
      <c r="AC24" s="2" t="s">
        <v>25</v>
      </c>
      <c r="AD24" s="2" t="s">
        <v>61</v>
      </c>
      <c r="AE24" s="2" t="s">
        <v>199</v>
      </c>
      <c r="AF24" s="61">
        <v>97</v>
      </c>
      <c r="AH24" s="2" t="s">
        <v>287</v>
      </c>
      <c r="AI24" s="2" t="s">
        <v>54</v>
      </c>
      <c r="AJ24" s="2" t="s">
        <v>24</v>
      </c>
      <c r="AK24" s="2" t="s">
        <v>31</v>
      </c>
      <c r="AL24" s="2">
        <v>14</v>
      </c>
      <c r="AM24" s="61">
        <v>12</v>
      </c>
      <c r="AN24" s="2" t="s">
        <v>32</v>
      </c>
      <c r="AO24" s="2" t="s">
        <v>76</v>
      </c>
      <c r="AP24" s="2" t="s">
        <v>288</v>
      </c>
      <c r="AQ24" s="2">
        <v>48</v>
      </c>
      <c r="AS24" s="2" t="s">
        <v>78</v>
      </c>
      <c r="AT24" s="2" t="s">
        <v>68</v>
      </c>
      <c r="AU24" s="2" t="s">
        <v>79</v>
      </c>
      <c r="AV24" s="2" t="s">
        <v>31</v>
      </c>
      <c r="AW24" s="61">
        <v>15</v>
      </c>
      <c r="AX24" s="2">
        <v>10</v>
      </c>
      <c r="AY24" s="2" t="s">
        <v>14</v>
      </c>
      <c r="AZ24" s="2" t="s">
        <v>20</v>
      </c>
      <c r="BA24" s="2" t="s">
        <v>80</v>
      </c>
      <c r="BB24" s="2">
        <v>59</v>
      </c>
      <c r="BD24" s="2" t="s">
        <v>187</v>
      </c>
      <c r="BE24" s="2" t="s">
        <v>51</v>
      </c>
      <c r="BF24" s="2" t="s">
        <v>12</v>
      </c>
      <c r="BG24" s="2" t="s">
        <v>31</v>
      </c>
      <c r="BH24" s="2">
        <v>17</v>
      </c>
      <c r="BI24" s="2">
        <v>10</v>
      </c>
      <c r="BJ24" s="2" t="s">
        <v>43</v>
      </c>
      <c r="BK24" s="61" t="s">
        <v>46</v>
      </c>
      <c r="BL24" s="2" t="s">
        <v>101</v>
      </c>
      <c r="BM24" s="2">
        <v>66</v>
      </c>
    </row>
    <row r="25" spans="1:65" x14ac:dyDescent="0.3">
      <c r="A25" s="2" t="s">
        <v>89</v>
      </c>
      <c r="B25" s="2" t="s">
        <v>68</v>
      </c>
      <c r="C25" s="2" t="s">
        <v>85</v>
      </c>
      <c r="D25" s="2" t="s">
        <v>31</v>
      </c>
      <c r="E25" s="2">
        <v>16</v>
      </c>
      <c r="F25" s="2">
        <v>9</v>
      </c>
      <c r="G25" s="2" t="s">
        <v>43</v>
      </c>
      <c r="H25" s="2" t="s">
        <v>20</v>
      </c>
      <c r="I25" s="2" t="s">
        <v>90</v>
      </c>
      <c r="J25" s="2">
        <v>52</v>
      </c>
      <c r="L25" s="2" t="s">
        <v>293</v>
      </c>
      <c r="M25" s="2" t="s">
        <v>73</v>
      </c>
      <c r="N25" s="2" t="s">
        <v>96</v>
      </c>
      <c r="O25" s="2" t="s">
        <v>31</v>
      </c>
      <c r="P25" s="2">
        <v>20</v>
      </c>
      <c r="Q25" s="2">
        <v>9</v>
      </c>
      <c r="R25" s="2" t="s">
        <v>43</v>
      </c>
      <c r="S25" s="61" t="s">
        <v>26</v>
      </c>
      <c r="T25" s="2" t="s">
        <v>74</v>
      </c>
      <c r="U25" s="2">
        <v>100</v>
      </c>
      <c r="W25" s="2" t="s">
        <v>200</v>
      </c>
      <c r="X25" s="2" t="s">
        <v>29</v>
      </c>
      <c r="Y25" s="2" t="s">
        <v>12</v>
      </c>
      <c r="Z25" s="2" t="s">
        <v>13</v>
      </c>
      <c r="AA25" s="2">
        <v>18</v>
      </c>
      <c r="AB25" s="2">
        <v>12</v>
      </c>
      <c r="AC25" s="2" t="s">
        <v>25</v>
      </c>
      <c r="AD25" s="2" t="s">
        <v>26</v>
      </c>
      <c r="AE25" s="2" t="s">
        <v>201</v>
      </c>
      <c r="AF25" s="61">
        <v>89</v>
      </c>
      <c r="AH25" s="2" t="s">
        <v>304</v>
      </c>
      <c r="AI25" s="2" t="s">
        <v>51</v>
      </c>
      <c r="AJ25" s="2" t="s">
        <v>36</v>
      </c>
      <c r="AK25" s="2" t="s">
        <v>31</v>
      </c>
      <c r="AL25" s="2">
        <v>15</v>
      </c>
      <c r="AM25" s="61">
        <v>12</v>
      </c>
      <c r="AN25" s="2" t="s">
        <v>32</v>
      </c>
      <c r="AO25" s="2" t="s">
        <v>46</v>
      </c>
      <c r="AP25" s="2" t="s">
        <v>305</v>
      </c>
      <c r="AQ25" s="2">
        <v>77</v>
      </c>
      <c r="AS25" s="2" t="s">
        <v>81</v>
      </c>
      <c r="AT25" s="2" t="s">
        <v>29</v>
      </c>
      <c r="AU25" s="2" t="s">
        <v>58</v>
      </c>
      <c r="AV25" s="2" t="s">
        <v>31</v>
      </c>
      <c r="AW25" s="61">
        <v>19</v>
      </c>
      <c r="AX25" s="2">
        <v>9</v>
      </c>
      <c r="AY25" s="2" t="s">
        <v>14</v>
      </c>
      <c r="AZ25" s="2" t="s">
        <v>61</v>
      </c>
      <c r="BA25" s="2" t="s">
        <v>82</v>
      </c>
      <c r="BB25" s="2">
        <v>50</v>
      </c>
      <c r="BD25" s="2" t="s">
        <v>192</v>
      </c>
      <c r="BE25" s="2" t="s">
        <v>68</v>
      </c>
      <c r="BF25" s="2" t="s">
        <v>85</v>
      </c>
      <c r="BG25" s="2" t="s">
        <v>13</v>
      </c>
      <c r="BH25" s="2">
        <v>19</v>
      </c>
      <c r="BI25" s="2">
        <v>11</v>
      </c>
      <c r="BJ25" s="2" t="s">
        <v>43</v>
      </c>
      <c r="BK25" s="61" t="s">
        <v>61</v>
      </c>
      <c r="BL25" s="2" t="s">
        <v>193</v>
      </c>
      <c r="BM25" s="2">
        <v>78</v>
      </c>
    </row>
    <row r="26" spans="1:65" x14ac:dyDescent="0.3">
      <c r="A26" s="2" t="s">
        <v>91</v>
      </c>
      <c r="B26" s="2" t="s">
        <v>73</v>
      </c>
      <c r="C26" s="2" t="s">
        <v>12</v>
      </c>
      <c r="D26" s="2" t="s">
        <v>13</v>
      </c>
      <c r="E26" s="2">
        <v>20</v>
      </c>
      <c r="F26" s="2">
        <v>10</v>
      </c>
      <c r="G26" s="2" t="s">
        <v>43</v>
      </c>
      <c r="H26" s="2" t="s">
        <v>46</v>
      </c>
      <c r="I26" s="2" t="s">
        <v>92</v>
      </c>
      <c r="J26" s="2">
        <v>82</v>
      </c>
      <c r="L26" s="2" t="s">
        <v>298</v>
      </c>
      <c r="M26" s="2" t="s">
        <v>29</v>
      </c>
      <c r="N26" s="2" t="s">
        <v>96</v>
      </c>
      <c r="O26" s="2" t="s">
        <v>31</v>
      </c>
      <c r="P26" s="2">
        <v>20</v>
      </c>
      <c r="Q26" s="2">
        <v>10</v>
      </c>
      <c r="R26" s="2" t="s">
        <v>32</v>
      </c>
      <c r="S26" s="61" t="s">
        <v>26</v>
      </c>
      <c r="T26" s="2" t="s">
        <v>299</v>
      </c>
      <c r="U26" s="2">
        <v>56</v>
      </c>
      <c r="W26" s="2" t="s">
        <v>203</v>
      </c>
      <c r="X26" s="2" t="s">
        <v>35</v>
      </c>
      <c r="Y26" s="2" t="s">
        <v>96</v>
      </c>
      <c r="Z26" s="2" t="s">
        <v>13</v>
      </c>
      <c r="AA26" s="2">
        <v>17</v>
      </c>
      <c r="AB26" s="2">
        <v>12</v>
      </c>
      <c r="AC26" s="2" t="s">
        <v>25</v>
      </c>
      <c r="AD26" s="2" t="s">
        <v>20</v>
      </c>
      <c r="AE26" s="2" t="s">
        <v>204</v>
      </c>
      <c r="AF26" s="61">
        <v>90</v>
      </c>
      <c r="AH26" s="2" t="s">
        <v>312</v>
      </c>
      <c r="AI26" s="2" t="s">
        <v>29</v>
      </c>
      <c r="AJ26" s="2" t="s">
        <v>12</v>
      </c>
      <c r="AK26" s="2" t="s">
        <v>31</v>
      </c>
      <c r="AL26" s="2">
        <v>14</v>
      </c>
      <c r="AM26" s="61">
        <v>12</v>
      </c>
      <c r="AN26" s="2" t="s">
        <v>43</v>
      </c>
      <c r="AO26" s="2" t="s">
        <v>61</v>
      </c>
      <c r="AP26" s="2" t="s">
        <v>313</v>
      </c>
      <c r="AQ26" s="2">
        <v>44</v>
      </c>
      <c r="AS26" s="2" t="s">
        <v>83</v>
      </c>
      <c r="AT26" s="2" t="s">
        <v>84</v>
      </c>
      <c r="AU26" s="2" t="s">
        <v>85</v>
      </c>
      <c r="AV26" s="2" t="s">
        <v>31</v>
      </c>
      <c r="AW26" s="61">
        <v>16</v>
      </c>
      <c r="AX26" s="2">
        <v>9</v>
      </c>
      <c r="AY26" s="2" t="s">
        <v>43</v>
      </c>
      <c r="AZ26" s="2" t="s">
        <v>37</v>
      </c>
      <c r="BA26" s="2" t="s">
        <v>86</v>
      </c>
      <c r="BB26" s="2">
        <v>52</v>
      </c>
      <c r="BD26" s="2" t="s">
        <v>198</v>
      </c>
      <c r="BE26" s="2" t="s">
        <v>11</v>
      </c>
      <c r="BF26" s="2" t="s">
        <v>85</v>
      </c>
      <c r="BG26" s="2" t="s">
        <v>31</v>
      </c>
      <c r="BH26" s="2">
        <v>14</v>
      </c>
      <c r="BI26" s="2">
        <v>10</v>
      </c>
      <c r="BJ26" s="2" t="s">
        <v>25</v>
      </c>
      <c r="BK26" s="61" t="s">
        <v>61</v>
      </c>
      <c r="BL26" s="2" t="s">
        <v>199</v>
      </c>
      <c r="BM26" s="2">
        <v>97</v>
      </c>
    </row>
    <row r="27" spans="1:65" x14ac:dyDescent="0.3">
      <c r="A27" s="2" t="s">
        <v>93</v>
      </c>
      <c r="B27" s="2" t="s">
        <v>29</v>
      </c>
      <c r="C27" s="2" t="s">
        <v>24</v>
      </c>
      <c r="D27" s="2" t="s">
        <v>31</v>
      </c>
      <c r="E27" s="2">
        <v>14</v>
      </c>
      <c r="F27" s="2">
        <v>12</v>
      </c>
      <c r="G27" s="2" t="s">
        <v>32</v>
      </c>
      <c r="H27" s="2" t="s">
        <v>61</v>
      </c>
      <c r="I27" s="2" t="s">
        <v>94</v>
      </c>
      <c r="J27" s="2">
        <v>72</v>
      </c>
      <c r="L27" s="2" t="s">
        <v>322</v>
      </c>
      <c r="M27" s="2" t="s">
        <v>35</v>
      </c>
      <c r="N27" s="2" t="s">
        <v>12</v>
      </c>
      <c r="O27" s="2" t="s">
        <v>13</v>
      </c>
      <c r="P27" s="2">
        <v>14</v>
      </c>
      <c r="Q27" s="2">
        <v>11</v>
      </c>
      <c r="R27" s="2" t="s">
        <v>14</v>
      </c>
      <c r="S27" s="61" t="s">
        <v>26</v>
      </c>
      <c r="T27" s="2" t="s">
        <v>323</v>
      </c>
      <c r="U27" s="2">
        <v>93</v>
      </c>
      <c r="W27" s="2" t="s">
        <v>215</v>
      </c>
      <c r="X27" s="2" t="s">
        <v>84</v>
      </c>
      <c r="Y27" s="2" t="s">
        <v>36</v>
      </c>
      <c r="Z27" s="2" t="s">
        <v>31</v>
      </c>
      <c r="AA27" s="2">
        <v>19</v>
      </c>
      <c r="AB27" s="2">
        <v>12</v>
      </c>
      <c r="AC27" s="2" t="s">
        <v>14</v>
      </c>
      <c r="AD27" s="2" t="s">
        <v>37</v>
      </c>
      <c r="AE27" s="2" t="s">
        <v>216</v>
      </c>
      <c r="AF27" s="61">
        <v>84</v>
      </c>
      <c r="AH27" s="2" t="s">
        <v>320</v>
      </c>
      <c r="AI27" s="2" t="s">
        <v>84</v>
      </c>
      <c r="AJ27" s="2" t="s">
        <v>55</v>
      </c>
      <c r="AK27" s="2" t="s">
        <v>31</v>
      </c>
      <c r="AL27" s="2">
        <v>16</v>
      </c>
      <c r="AM27" s="61">
        <v>12</v>
      </c>
      <c r="AN27" s="2" t="s">
        <v>32</v>
      </c>
      <c r="AO27" s="2" t="s">
        <v>76</v>
      </c>
      <c r="AP27" s="2" t="s">
        <v>321</v>
      </c>
      <c r="AQ27" s="2">
        <v>66</v>
      </c>
      <c r="AS27" s="2" t="s">
        <v>87</v>
      </c>
      <c r="AT27" s="2" t="s">
        <v>18</v>
      </c>
      <c r="AU27" s="2" t="s">
        <v>12</v>
      </c>
      <c r="AV27" s="2" t="s">
        <v>13</v>
      </c>
      <c r="AW27" s="61">
        <v>20</v>
      </c>
      <c r="AX27" s="2">
        <v>12</v>
      </c>
      <c r="AY27" s="2" t="s">
        <v>32</v>
      </c>
      <c r="AZ27" s="2" t="s">
        <v>26</v>
      </c>
      <c r="BA27" s="2" t="s">
        <v>88</v>
      </c>
      <c r="BB27" s="2">
        <v>86</v>
      </c>
      <c r="BD27" s="2" t="s">
        <v>205</v>
      </c>
      <c r="BE27" s="2" t="s">
        <v>73</v>
      </c>
      <c r="BF27" s="2" t="s">
        <v>24</v>
      </c>
      <c r="BG27" s="2" t="s">
        <v>13</v>
      </c>
      <c r="BH27" s="2">
        <v>17</v>
      </c>
      <c r="BI27" s="2">
        <v>9</v>
      </c>
      <c r="BJ27" s="2" t="s">
        <v>14</v>
      </c>
      <c r="BK27" s="61" t="s">
        <v>46</v>
      </c>
      <c r="BL27" s="2" t="s">
        <v>206</v>
      </c>
      <c r="BM27" s="2">
        <v>59</v>
      </c>
    </row>
    <row r="28" spans="1:65" x14ac:dyDescent="0.3">
      <c r="A28" s="2" t="s">
        <v>95</v>
      </c>
      <c r="B28" s="2" t="s">
        <v>18</v>
      </c>
      <c r="C28" s="2" t="s">
        <v>96</v>
      </c>
      <c r="D28" s="2" t="s">
        <v>13</v>
      </c>
      <c r="E28" s="2">
        <v>19</v>
      </c>
      <c r="F28" s="2">
        <v>12</v>
      </c>
      <c r="G28" s="2" t="s">
        <v>14</v>
      </c>
      <c r="H28" s="2" t="s">
        <v>15</v>
      </c>
      <c r="I28" s="2" t="s">
        <v>97</v>
      </c>
      <c r="J28" s="2">
        <v>56</v>
      </c>
      <c r="L28" s="2" t="s">
        <v>345</v>
      </c>
      <c r="M28" s="2" t="s">
        <v>29</v>
      </c>
      <c r="N28" s="2" t="s">
        <v>24</v>
      </c>
      <c r="O28" s="2" t="s">
        <v>31</v>
      </c>
      <c r="P28" s="2">
        <v>15</v>
      </c>
      <c r="Q28" s="2">
        <v>9</v>
      </c>
      <c r="R28" s="2" t="s">
        <v>14</v>
      </c>
      <c r="S28" s="61" t="s">
        <v>26</v>
      </c>
      <c r="T28" s="2" t="s">
        <v>346</v>
      </c>
      <c r="U28" s="2">
        <v>49</v>
      </c>
      <c r="W28" s="2" t="s">
        <v>223</v>
      </c>
      <c r="X28" s="2" t="s">
        <v>68</v>
      </c>
      <c r="Y28" s="2" t="s">
        <v>24</v>
      </c>
      <c r="Z28" s="2" t="s">
        <v>13</v>
      </c>
      <c r="AA28" s="2">
        <v>18</v>
      </c>
      <c r="AB28" s="2">
        <v>11</v>
      </c>
      <c r="AC28" s="2" t="s">
        <v>32</v>
      </c>
      <c r="AD28" s="2" t="s">
        <v>40</v>
      </c>
      <c r="AE28" s="2" t="s">
        <v>224</v>
      </c>
      <c r="AF28" s="61">
        <v>87</v>
      </c>
      <c r="AH28" s="2" t="s">
        <v>336</v>
      </c>
      <c r="AI28" s="2" t="s">
        <v>11</v>
      </c>
      <c r="AJ28" s="2" t="s">
        <v>58</v>
      </c>
      <c r="AK28" s="2" t="s">
        <v>31</v>
      </c>
      <c r="AL28" s="2">
        <v>19</v>
      </c>
      <c r="AM28" s="61">
        <v>12</v>
      </c>
      <c r="AN28" s="2" t="s">
        <v>25</v>
      </c>
      <c r="AO28" s="2" t="s">
        <v>61</v>
      </c>
      <c r="AP28" s="2" t="s">
        <v>218</v>
      </c>
      <c r="AQ28" s="2">
        <v>68</v>
      </c>
      <c r="AS28" s="2" t="s">
        <v>89</v>
      </c>
      <c r="AT28" s="2" t="s">
        <v>68</v>
      </c>
      <c r="AU28" s="2" t="s">
        <v>85</v>
      </c>
      <c r="AV28" s="2" t="s">
        <v>31</v>
      </c>
      <c r="AW28" s="61">
        <v>16</v>
      </c>
      <c r="AX28" s="2">
        <v>9</v>
      </c>
      <c r="AY28" s="2" t="s">
        <v>43</v>
      </c>
      <c r="AZ28" s="2" t="s">
        <v>20</v>
      </c>
      <c r="BA28" s="2" t="s">
        <v>90</v>
      </c>
      <c r="BB28" s="2">
        <v>52</v>
      </c>
      <c r="BD28" s="2" t="s">
        <v>207</v>
      </c>
      <c r="BE28" s="2" t="s">
        <v>54</v>
      </c>
      <c r="BF28" s="2" t="s">
        <v>19</v>
      </c>
      <c r="BG28" s="2" t="s">
        <v>31</v>
      </c>
      <c r="BH28" s="2">
        <v>19</v>
      </c>
      <c r="BI28" s="2">
        <v>9</v>
      </c>
      <c r="BJ28" s="2" t="s">
        <v>14</v>
      </c>
      <c r="BK28" s="61" t="s">
        <v>61</v>
      </c>
      <c r="BL28" s="2" t="s">
        <v>208</v>
      </c>
      <c r="BM28" s="2">
        <v>76</v>
      </c>
    </row>
    <row r="29" spans="1:65" x14ac:dyDescent="0.3">
      <c r="A29" s="2" t="s">
        <v>98</v>
      </c>
      <c r="B29" s="2" t="s">
        <v>68</v>
      </c>
      <c r="C29" s="2" t="s">
        <v>55</v>
      </c>
      <c r="D29" s="2" t="s">
        <v>13</v>
      </c>
      <c r="E29" s="2">
        <v>19</v>
      </c>
      <c r="F29" s="2">
        <v>11</v>
      </c>
      <c r="G29" s="2" t="s">
        <v>43</v>
      </c>
      <c r="H29" s="2" t="s">
        <v>15</v>
      </c>
      <c r="I29" s="2" t="s">
        <v>99</v>
      </c>
      <c r="J29" s="2">
        <v>56</v>
      </c>
      <c r="L29" s="2" t="s">
        <v>347</v>
      </c>
      <c r="M29" s="2" t="s">
        <v>23</v>
      </c>
      <c r="N29" s="2" t="s">
        <v>85</v>
      </c>
      <c r="O29" s="2" t="s">
        <v>31</v>
      </c>
      <c r="P29" s="2">
        <v>15</v>
      </c>
      <c r="Q29" s="2">
        <v>11</v>
      </c>
      <c r="R29" s="2" t="s">
        <v>32</v>
      </c>
      <c r="S29" s="61" t="s">
        <v>26</v>
      </c>
      <c r="T29" s="2" t="s">
        <v>348</v>
      </c>
      <c r="U29" s="2">
        <v>37</v>
      </c>
      <c r="W29" s="2" t="s">
        <v>231</v>
      </c>
      <c r="X29" s="2" t="s">
        <v>23</v>
      </c>
      <c r="Y29" s="2" t="s">
        <v>24</v>
      </c>
      <c r="Z29" s="2" t="s">
        <v>31</v>
      </c>
      <c r="AA29" s="2">
        <v>18</v>
      </c>
      <c r="AB29" s="2">
        <v>9</v>
      </c>
      <c r="AC29" s="2" t="s">
        <v>25</v>
      </c>
      <c r="AD29" s="2" t="s">
        <v>61</v>
      </c>
      <c r="AE29" s="2" t="s">
        <v>232</v>
      </c>
      <c r="AF29" s="61">
        <v>88</v>
      </c>
      <c r="AH29" s="2" t="s">
        <v>349</v>
      </c>
      <c r="AI29" s="2" t="s">
        <v>35</v>
      </c>
      <c r="AJ29" s="2" t="s">
        <v>30</v>
      </c>
      <c r="AK29" s="2" t="s">
        <v>31</v>
      </c>
      <c r="AL29" s="2">
        <v>18</v>
      </c>
      <c r="AM29" s="61">
        <v>12</v>
      </c>
      <c r="AN29" s="2" t="s">
        <v>43</v>
      </c>
      <c r="AO29" s="2" t="s">
        <v>37</v>
      </c>
      <c r="AP29" s="2" t="s">
        <v>350</v>
      </c>
      <c r="AQ29" s="2">
        <v>53</v>
      </c>
      <c r="AS29" s="2" t="s">
        <v>91</v>
      </c>
      <c r="AT29" s="2" t="s">
        <v>73</v>
      </c>
      <c r="AU29" s="2" t="s">
        <v>12</v>
      </c>
      <c r="AV29" s="2" t="s">
        <v>13</v>
      </c>
      <c r="AW29" s="61">
        <v>20</v>
      </c>
      <c r="AX29" s="2">
        <v>10</v>
      </c>
      <c r="AY29" s="2" t="s">
        <v>43</v>
      </c>
      <c r="AZ29" s="2" t="s">
        <v>46</v>
      </c>
      <c r="BA29" s="2" t="s">
        <v>92</v>
      </c>
      <c r="BB29" s="2">
        <v>82</v>
      </c>
      <c r="BD29" s="2" t="s">
        <v>217</v>
      </c>
      <c r="BE29" s="2" t="s">
        <v>84</v>
      </c>
      <c r="BF29" s="2" t="s">
        <v>96</v>
      </c>
      <c r="BG29" s="2" t="s">
        <v>31</v>
      </c>
      <c r="BH29" s="2">
        <v>17</v>
      </c>
      <c r="BI29" s="2">
        <v>10</v>
      </c>
      <c r="BJ29" s="2" t="s">
        <v>43</v>
      </c>
      <c r="BK29" s="61" t="s">
        <v>46</v>
      </c>
      <c r="BL29" s="2" t="s">
        <v>218</v>
      </c>
      <c r="BM29" s="2">
        <v>46</v>
      </c>
    </row>
    <row r="30" spans="1:65" x14ac:dyDescent="0.3">
      <c r="A30" s="2" t="s">
        <v>100</v>
      </c>
      <c r="B30" s="2" t="s">
        <v>35</v>
      </c>
      <c r="C30" s="2" t="s">
        <v>12</v>
      </c>
      <c r="D30" s="2" t="s">
        <v>31</v>
      </c>
      <c r="E30" s="2">
        <v>19</v>
      </c>
      <c r="F30" s="2">
        <v>12</v>
      </c>
      <c r="G30" s="2" t="s">
        <v>25</v>
      </c>
      <c r="H30" s="2" t="s">
        <v>76</v>
      </c>
      <c r="I30" s="2" t="s">
        <v>101</v>
      </c>
      <c r="J30" s="2">
        <v>54</v>
      </c>
      <c r="L30" s="2" t="s">
        <v>378</v>
      </c>
      <c r="M30" s="2" t="s">
        <v>18</v>
      </c>
      <c r="N30" s="2" t="s">
        <v>55</v>
      </c>
      <c r="O30" s="2" t="s">
        <v>31</v>
      </c>
      <c r="P30" s="2">
        <v>17</v>
      </c>
      <c r="Q30" s="2">
        <v>9</v>
      </c>
      <c r="R30" s="2" t="s">
        <v>32</v>
      </c>
      <c r="S30" s="61" t="s">
        <v>26</v>
      </c>
      <c r="T30" s="2" t="s">
        <v>379</v>
      </c>
      <c r="U30" s="2">
        <v>66</v>
      </c>
      <c r="W30" s="2" t="s">
        <v>241</v>
      </c>
      <c r="X30" s="2" t="s">
        <v>54</v>
      </c>
      <c r="Y30" s="2" t="s">
        <v>85</v>
      </c>
      <c r="Z30" s="2" t="s">
        <v>31</v>
      </c>
      <c r="AA30" s="2">
        <v>15</v>
      </c>
      <c r="AB30" s="2">
        <v>12</v>
      </c>
      <c r="AC30" s="2" t="s">
        <v>14</v>
      </c>
      <c r="AD30" s="2" t="s">
        <v>40</v>
      </c>
      <c r="AE30" s="2" t="s">
        <v>242</v>
      </c>
      <c r="AF30" s="61">
        <v>100</v>
      </c>
      <c r="AH30" s="2" t="s">
        <v>369</v>
      </c>
      <c r="AI30" s="2" t="s">
        <v>23</v>
      </c>
      <c r="AJ30" s="2" t="s">
        <v>24</v>
      </c>
      <c r="AK30" s="2" t="s">
        <v>31</v>
      </c>
      <c r="AL30" s="2">
        <v>17</v>
      </c>
      <c r="AM30" s="61">
        <v>12</v>
      </c>
      <c r="AN30" s="2" t="s">
        <v>43</v>
      </c>
      <c r="AO30" s="2" t="s">
        <v>61</v>
      </c>
      <c r="AP30" s="2" t="s">
        <v>370</v>
      </c>
      <c r="AQ30" s="2">
        <v>96</v>
      </c>
      <c r="AS30" s="2" t="s">
        <v>93</v>
      </c>
      <c r="AT30" s="2" t="s">
        <v>29</v>
      </c>
      <c r="AU30" s="2" t="s">
        <v>24</v>
      </c>
      <c r="AV30" s="2" t="s">
        <v>31</v>
      </c>
      <c r="AW30" s="61">
        <v>14</v>
      </c>
      <c r="AX30" s="2">
        <v>12</v>
      </c>
      <c r="AY30" s="2" t="s">
        <v>32</v>
      </c>
      <c r="AZ30" s="2" t="s">
        <v>61</v>
      </c>
      <c r="BA30" s="2" t="s">
        <v>94</v>
      </c>
      <c r="BB30" s="2">
        <v>72</v>
      </c>
      <c r="BD30" s="2" t="s">
        <v>221</v>
      </c>
      <c r="BE30" s="2" t="s">
        <v>51</v>
      </c>
      <c r="BF30" s="2" t="s">
        <v>55</v>
      </c>
      <c r="BG30" s="2" t="s">
        <v>13</v>
      </c>
      <c r="BH30" s="2">
        <v>14</v>
      </c>
      <c r="BI30" s="2">
        <v>10</v>
      </c>
      <c r="BJ30" s="2" t="s">
        <v>43</v>
      </c>
      <c r="BK30" s="61" t="s">
        <v>61</v>
      </c>
      <c r="BL30" s="2" t="s">
        <v>222</v>
      </c>
      <c r="BM30" s="2">
        <v>72</v>
      </c>
    </row>
    <row r="31" spans="1:65" x14ac:dyDescent="0.3">
      <c r="A31" s="2" t="s">
        <v>102</v>
      </c>
      <c r="B31" s="2" t="s">
        <v>35</v>
      </c>
      <c r="C31" s="2" t="s">
        <v>12</v>
      </c>
      <c r="D31" s="2" t="s">
        <v>13</v>
      </c>
      <c r="E31" s="2">
        <v>20</v>
      </c>
      <c r="F31" s="2">
        <v>11</v>
      </c>
      <c r="G31" s="2" t="s">
        <v>14</v>
      </c>
      <c r="H31" s="2" t="s">
        <v>26</v>
      </c>
      <c r="I31" s="2" t="s">
        <v>103</v>
      </c>
      <c r="J31" s="2">
        <v>70</v>
      </c>
      <c r="L31" s="2" t="s">
        <v>430</v>
      </c>
      <c r="M31" s="2" t="s">
        <v>54</v>
      </c>
      <c r="N31" s="2" t="s">
        <v>30</v>
      </c>
      <c r="O31" s="2" t="s">
        <v>13</v>
      </c>
      <c r="P31" s="2">
        <v>18</v>
      </c>
      <c r="Q31" s="2">
        <v>11</v>
      </c>
      <c r="R31" s="2" t="s">
        <v>25</v>
      </c>
      <c r="S31" s="61" t="s">
        <v>26</v>
      </c>
      <c r="T31" s="2" t="s">
        <v>431</v>
      </c>
      <c r="U31" s="2">
        <v>91</v>
      </c>
      <c r="W31" s="2" t="s">
        <v>249</v>
      </c>
      <c r="X31" s="2" t="s">
        <v>68</v>
      </c>
      <c r="Y31" s="2" t="s">
        <v>30</v>
      </c>
      <c r="Z31" s="2" t="s">
        <v>31</v>
      </c>
      <c r="AA31" s="2">
        <v>16</v>
      </c>
      <c r="AB31" s="2">
        <v>11</v>
      </c>
      <c r="AC31" s="2" t="s">
        <v>32</v>
      </c>
      <c r="AD31" s="2" t="s">
        <v>20</v>
      </c>
      <c r="AE31" s="2" t="s">
        <v>250</v>
      </c>
      <c r="AF31" s="61">
        <v>90</v>
      </c>
      <c r="AH31" s="2" t="s">
        <v>384</v>
      </c>
      <c r="AI31" s="2" t="s">
        <v>54</v>
      </c>
      <c r="AJ31" s="2" t="s">
        <v>19</v>
      </c>
      <c r="AK31" s="2" t="s">
        <v>31</v>
      </c>
      <c r="AL31" s="2">
        <v>16</v>
      </c>
      <c r="AM31" s="61">
        <v>12</v>
      </c>
      <c r="AN31" s="2" t="s">
        <v>25</v>
      </c>
      <c r="AO31" s="2" t="s">
        <v>20</v>
      </c>
      <c r="AP31" s="2" t="s">
        <v>385</v>
      </c>
      <c r="AQ31" s="2">
        <v>39</v>
      </c>
      <c r="AS31" s="2" t="s">
        <v>95</v>
      </c>
      <c r="AT31" s="2" t="s">
        <v>18</v>
      </c>
      <c r="AU31" s="2" t="s">
        <v>96</v>
      </c>
      <c r="AV31" s="2" t="s">
        <v>13</v>
      </c>
      <c r="AW31" s="61">
        <v>19</v>
      </c>
      <c r="AX31" s="2">
        <v>12</v>
      </c>
      <c r="AY31" s="2" t="s">
        <v>14</v>
      </c>
      <c r="AZ31" s="2" t="s">
        <v>15</v>
      </c>
      <c r="BA31" s="2" t="s">
        <v>97</v>
      </c>
      <c r="BB31" s="2">
        <v>56</v>
      </c>
      <c r="BD31" s="2" t="s">
        <v>231</v>
      </c>
      <c r="BE31" s="2" t="s">
        <v>23</v>
      </c>
      <c r="BF31" s="2" t="s">
        <v>24</v>
      </c>
      <c r="BG31" s="2" t="s">
        <v>31</v>
      </c>
      <c r="BH31" s="2">
        <v>18</v>
      </c>
      <c r="BI31" s="2">
        <v>9</v>
      </c>
      <c r="BJ31" s="2" t="s">
        <v>25</v>
      </c>
      <c r="BK31" s="61" t="s">
        <v>61</v>
      </c>
      <c r="BL31" s="2" t="s">
        <v>232</v>
      </c>
      <c r="BM31" s="2">
        <v>88</v>
      </c>
    </row>
    <row r="32" spans="1:65" x14ac:dyDescent="0.3">
      <c r="A32" s="2" t="s">
        <v>104</v>
      </c>
      <c r="B32" s="2" t="s">
        <v>29</v>
      </c>
      <c r="C32" s="2" t="s">
        <v>79</v>
      </c>
      <c r="D32" s="2" t="s">
        <v>31</v>
      </c>
      <c r="E32" s="2">
        <v>18</v>
      </c>
      <c r="F32" s="2">
        <v>10</v>
      </c>
      <c r="G32" s="2" t="s">
        <v>25</v>
      </c>
      <c r="H32" s="2" t="s">
        <v>61</v>
      </c>
      <c r="I32" s="2" t="s">
        <v>105</v>
      </c>
      <c r="J32" s="2">
        <v>57</v>
      </c>
      <c r="L32" s="2" t="s">
        <v>435</v>
      </c>
      <c r="M32" s="2" t="s">
        <v>29</v>
      </c>
      <c r="N32" s="2" t="s">
        <v>30</v>
      </c>
      <c r="O32" s="2" t="s">
        <v>31</v>
      </c>
      <c r="P32" s="2">
        <v>20</v>
      </c>
      <c r="Q32" s="2">
        <v>12</v>
      </c>
      <c r="R32" s="2" t="s">
        <v>43</v>
      </c>
      <c r="S32" s="61" t="s">
        <v>26</v>
      </c>
      <c r="T32" s="2" t="s">
        <v>436</v>
      </c>
      <c r="U32" s="2">
        <v>36</v>
      </c>
      <c r="W32" s="2" t="s">
        <v>280</v>
      </c>
      <c r="X32" s="2" t="s">
        <v>84</v>
      </c>
      <c r="Y32" s="2" t="s">
        <v>58</v>
      </c>
      <c r="Z32" s="2" t="s">
        <v>13</v>
      </c>
      <c r="AA32" s="2">
        <v>18</v>
      </c>
      <c r="AB32" s="2">
        <v>12</v>
      </c>
      <c r="AC32" s="2" t="s">
        <v>32</v>
      </c>
      <c r="AD32" s="2" t="s">
        <v>76</v>
      </c>
      <c r="AE32" s="2" t="s">
        <v>159</v>
      </c>
      <c r="AF32" s="61">
        <v>98</v>
      </c>
      <c r="AH32" s="2" t="s">
        <v>405</v>
      </c>
      <c r="AI32" s="2" t="s">
        <v>18</v>
      </c>
      <c r="AJ32" s="2" t="s">
        <v>19</v>
      </c>
      <c r="AK32" s="2" t="s">
        <v>31</v>
      </c>
      <c r="AL32" s="2">
        <v>18</v>
      </c>
      <c r="AM32" s="61">
        <v>12</v>
      </c>
      <c r="AN32" s="2" t="s">
        <v>25</v>
      </c>
      <c r="AO32" s="2" t="s">
        <v>37</v>
      </c>
      <c r="AP32" s="2" t="s">
        <v>406</v>
      </c>
      <c r="AQ32" s="2">
        <v>70</v>
      </c>
      <c r="AS32" s="2" t="s">
        <v>98</v>
      </c>
      <c r="AT32" s="2" t="s">
        <v>68</v>
      </c>
      <c r="AU32" s="2" t="s">
        <v>55</v>
      </c>
      <c r="AV32" s="2" t="s">
        <v>13</v>
      </c>
      <c r="AW32" s="61">
        <v>19</v>
      </c>
      <c r="AX32" s="2">
        <v>11</v>
      </c>
      <c r="AY32" s="2" t="s">
        <v>43</v>
      </c>
      <c r="AZ32" s="2" t="s">
        <v>15</v>
      </c>
      <c r="BA32" s="2" t="s">
        <v>99</v>
      </c>
      <c r="BB32" s="2">
        <v>56</v>
      </c>
      <c r="BD32" s="2" t="s">
        <v>243</v>
      </c>
      <c r="BE32" s="2" t="s">
        <v>23</v>
      </c>
      <c r="BF32" s="2" t="s">
        <v>96</v>
      </c>
      <c r="BG32" s="2" t="s">
        <v>31</v>
      </c>
      <c r="BH32" s="2">
        <v>15</v>
      </c>
      <c r="BI32" s="2">
        <v>11</v>
      </c>
      <c r="BJ32" s="2" t="s">
        <v>25</v>
      </c>
      <c r="BK32" s="61" t="s">
        <v>61</v>
      </c>
      <c r="BL32" s="2" t="s">
        <v>244</v>
      </c>
      <c r="BM32" s="2">
        <v>72</v>
      </c>
    </row>
    <row r="33" spans="1:65" x14ac:dyDescent="0.3">
      <c r="A33" s="2" t="s">
        <v>106</v>
      </c>
      <c r="B33" s="2" t="s">
        <v>51</v>
      </c>
      <c r="C33" s="2" t="s">
        <v>55</v>
      </c>
      <c r="D33" s="2" t="s">
        <v>13</v>
      </c>
      <c r="E33" s="2">
        <v>20</v>
      </c>
      <c r="F33" s="2">
        <v>9</v>
      </c>
      <c r="G33" s="2" t="s">
        <v>32</v>
      </c>
      <c r="H33" s="2" t="s">
        <v>26</v>
      </c>
      <c r="I33" s="2" t="s">
        <v>107</v>
      </c>
      <c r="J33" s="2">
        <v>91</v>
      </c>
      <c r="L33" s="2" t="s">
        <v>476</v>
      </c>
      <c r="M33" s="2" t="s">
        <v>29</v>
      </c>
      <c r="N33" s="2" t="s">
        <v>55</v>
      </c>
      <c r="O33" s="2" t="s">
        <v>13</v>
      </c>
      <c r="P33" s="2">
        <v>19</v>
      </c>
      <c r="Q33" s="2">
        <v>10</v>
      </c>
      <c r="R33" s="2" t="s">
        <v>43</v>
      </c>
      <c r="S33" s="61" t="s">
        <v>26</v>
      </c>
      <c r="T33" s="2" t="s">
        <v>477</v>
      </c>
      <c r="U33" s="2">
        <v>88</v>
      </c>
      <c r="W33" s="2" t="s">
        <v>283</v>
      </c>
      <c r="X33" s="2" t="s">
        <v>68</v>
      </c>
      <c r="Y33" s="2" t="s">
        <v>79</v>
      </c>
      <c r="Z33" s="2" t="s">
        <v>31</v>
      </c>
      <c r="AA33" s="2">
        <v>16</v>
      </c>
      <c r="AB33" s="2">
        <v>11</v>
      </c>
      <c r="AC33" s="2" t="s">
        <v>32</v>
      </c>
      <c r="AD33" s="2" t="s">
        <v>40</v>
      </c>
      <c r="AE33" s="2" t="s">
        <v>284</v>
      </c>
      <c r="AF33" s="61">
        <v>95</v>
      </c>
      <c r="AH33" s="2" t="s">
        <v>424</v>
      </c>
      <c r="AI33" s="2" t="s">
        <v>29</v>
      </c>
      <c r="AJ33" s="2" t="s">
        <v>36</v>
      </c>
      <c r="AK33" s="2" t="s">
        <v>31</v>
      </c>
      <c r="AL33" s="2">
        <v>16</v>
      </c>
      <c r="AM33" s="61">
        <v>12</v>
      </c>
      <c r="AN33" s="2" t="s">
        <v>32</v>
      </c>
      <c r="AO33" s="2" t="s">
        <v>37</v>
      </c>
      <c r="AP33" s="2" t="s">
        <v>180</v>
      </c>
      <c r="AQ33" s="2">
        <v>89</v>
      </c>
      <c r="AS33" s="2" t="s">
        <v>100</v>
      </c>
      <c r="AT33" s="2" t="s">
        <v>35</v>
      </c>
      <c r="AU33" s="2" t="s">
        <v>12</v>
      </c>
      <c r="AV33" s="2" t="s">
        <v>31</v>
      </c>
      <c r="AW33" s="61">
        <v>19</v>
      </c>
      <c r="AX33" s="2">
        <v>12</v>
      </c>
      <c r="AY33" s="2" t="s">
        <v>25</v>
      </c>
      <c r="AZ33" s="2" t="s">
        <v>76</v>
      </c>
      <c r="BA33" s="2" t="s">
        <v>101</v>
      </c>
      <c r="BB33" s="2">
        <v>54</v>
      </c>
      <c r="BD33" s="2" t="s">
        <v>257</v>
      </c>
      <c r="BE33" s="2" t="s">
        <v>68</v>
      </c>
      <c r="BF33" s="2" t="s">
        <v>79</v>
      </c>
      <c r="BG33" s="2" t="s">
        <v>31</v>
      </c>
      <c r="BH33" s="2">
        <v>20</v>
      </c>
      <c r="BI33" s="2">
        <v>11</v>
      </c>
      <c r="BJ33" s="2" t="s">
        <v>43</v>
      </c>
      <c r="BK33" s="61" t="s">
        <v>46</v>
      </c>
      <c r="BL33" s="2" t="s">
        <v>258</v>
      </c>
      <c r="BM33" s="2">
        <v>52</v>
      </c>
    </row>
    <row r="34" spans="1:65" x14ac:dyDescent="0.3">
      <c r="A34" s="2" t="s">
        <v>108</v>
      </c>
      <c r="B34" s="2" t="s">
        <v>29</v>
      </c>
      <c r="C34" s="2" t="s">
        <v>96</v>
      </c>
      <c r="D34" s="2" t="s">
        <v>31</v>
      </c>
      <c r="E34" s="2">
        <v>15</v>
      </c>
      <c r="F34" s="2">
        <v>11</v>
      </c>
      <c r="G34" s="2" t="s">
        <v>43</v>
      </c>
      <c r="H34" s="2" t="s">
        <v>26</v>
      </c>
      <c r="I34" s="2" t="s">
        <v>109</v>
      </c>
      <c r="J34" s="2">
        <v>77</v>
      </c>
      <c r="L34" s="2" t="s">
        <v>493</v>
      </c>
      <c r="M34" s="2" t="s">
        <v>51</v>
      </c>
      <c r="N34" s="2" t="s">
        <v>96</v>
      </c>
      <c r="O34" s="2" t="s">
        <v>31</v>
      </c>
      <c r="P34" s="2">
        <v>14</v>
      </c>
      <c r="Q34" s="2">
        <v>12</v>
      </c>
      <c r="R34" s="2" t="s">
        <v>14</v>
      </c>
      <c r="S34" s="61" t="s">
        <v>26</v>
      </c>
      <c r="T34" s="2" t="s">
        <v>494</v>
      </c>
      <c r="U34" s="2">
        <v>47</v>
      </c>
      <c r="W34" s="2" t="s">
        <v>291</v>
      </c>
      <c r="X34" s="2" t="s">
        <v>11</v>
      </c>
      <c r="Y34" s="2" t="s">
        <v>30</v>
      </c>
      <c r="Z34" s="2" t="s">
        <v>31</v>
      </c>
      <c r="AA34" s="2">
        <v>16</v>
      </c>
      <c r="AB34" s="2">
        <v>9</v>
      </c>
      <c r="AC34" s="2" t="s">
        <v>25</v>
      </c>
      <c r="AD34" s="2" t="s">
        <v>61</v>
      </c>
      <c r="AE34" s="2" t="s">
        <v>292</v>
      </c>
      <c r="AF34" s="61">
        <v>97</v>
      </c>
      <c r="AH34" s="2" t="s">
        <v>426</v>
      </c>
      <c r="AI34" s="2" t="s">
        <v>54</v>
      </c>
      <c r="AJ34" s="2" t="s">
        <v>96</v>
      </c>
      <c r="AK34" s="2" t="s">
        <v>31</v>
      </c>
      <c r="AL34" s="2">
        <v>16</v>
      </c>
      <c r="AM34" s="61">
        <v>12</v>
      </c>
      <c r="AN34" s="2" t="s">
        <v>25</v>
      </c>
      <c r="AO34" s="2" t="s">
        <v>20</v>
      </c>
      <c r="AP34" s="2" t="s">
        <v>427</v>
      </c>
      <c r="AQ34" s="2">
        <v>82</v>
      </c>
      <c r="AS34" s="2" t="s">
        <v>102</v>
      </c>
      <c r="AT34" s="2" t="s">
        <v>35</v>
      </c>
      <c r="AU34" s="2" t="s">
        <v>12</v>
      </c>
      <c r="AV34" s="2" t="s">
        <v>13</v>
      </c>
      <c r="AW34" s="61">
        <v>20</v>
      </c>
      <c r="AX34" s="2">
        <v>11</v>
      </c>
      <c r="AY34" s="2" t="s">
        <v>14</v>
      </c>
      <c r="AZ34" s="2" t="s">
        <v>26</v>
      </c>
      <c r="BA34" s="2" t="s">
        <v>103</v>
      </c>
      <c r="BB34" s="2">
        <v>70</v>
      </c>
      <c r="BD34" s="2" t="s">
        <v>259</v>
      </c>
      <c r="BE34" s="2" t="s">
        <v>54</v>
      </c>
      <c r="BF34" s="2" t="s">
        <v>85</v>
      </c>
      <c r="BG34" s="2" t="s">
        <v>13</v>
      </c>
      <c r="BH34" s="2">
        <v>14</v>
      </c>
      <c r="BI34" s="2">
        <v>11</v>
      </c>
      <c r="BJ34" s="2" t="s">
        <v>43</v>
      </c>
      <c r="BK34" s="61" t="s">
        <v>46</v>
      </c>
      <c r="BL34" s="2" t="s">
        <v>260</v>
      </c>
      <c r="BM34" s="2">
        <v>62</v>
      </c>
    </row>
    <row r="35" spans="1:65" x14ac:dyDescent="0.3">
      <c r="A35" s="2" t="s">
        <v>110</v>
      </c>
      <c r="B35" s="2" t="s">
        <v>51</v>
      </c>
      <c r="C35" s="2" t="s">
        <v>58</v>
      </c>
      <c r="D35" s="2" t="s">
        <v>31</v>
      </c>
      <c r="E35" s="2">
        <v>14</v>
      </c>
      <c r="F35" s="2">
        <v>10</v>
      </c>
      <c r="G35" s="2" t="s">
        <v>32</v>
      </c>
      <c r="H35" s="2" t="s">
        <v>76</v>
      </c>
      <c r="I35" s="2" t="s">
        <v>111</v>
      </c>
      <c r="J35" s="2">
        <v>60</v>
      </c>
      <c r="L35" s="2" t="s">
        <v>497</v>
      </c>
      <c r="M35" s="2" t="s">
        <v>51</v>
      </c>
      <c r="N35" s="2" t="s">
        <v>96</v>
      </c>
      <c r="O35" s="2" t="s">
        <v>13</v>
      </c>
      <c r="P35" s="2">
        <v>16</v>
      </c>
      <c r="Q35" s="2">
        <v>9</v>
      </c>
      <c r="R35" s="2" t="s">
        <v>25</v>
      </c>
      <c r="S35" s="61" t="s">
        <v>26</v>
      </c>
      <c r="T35" s="2" t="s">
        <v>498</v>
      </c>
      <c r="U35" s="2">
        <v>42</v>
      </c>
      <c r="W35" s="2" t="s">
        <v>293</v>
      </c>
      <c r="X35" s="2" t="s">
        <v>73</v>
      </c>
      <c r="Y35" s="2" t="s">
        <v>96</v>
      </c>
      <c r="Z35" s="2" t="s">
        <v>31</v>
      </c>
      <c r="AA35" s="2">
        <v>20</v>
      </c>
      <c r="AB35" s="2">
        <v>9</v>
      </c>
      <c r="AC35" s="2" t="s">
        <v>43</v>
      </c>
      <c r="AD35" s="2" t="s">
        <v>26</v>
      </c>
      <c r="AE35" s="2" t="s">
        <v>74</v>
      </c>
      <c r="AF35" s="61">
        <v>100</v>
      </c>
      <c r="AH35" s="2" t="s">
        <v>435</v>
      </c>
      <c r="AI35" s="2" t="s">
        <v>29</v>
      </c>
      <c r="AJ35" s="2" t="s">
        <v>30</v>
      </c>
      <c r="AK35" s="2" t="s">
        <v>31</v>
      </c>
      <c r="AL35" s="2">
        <v>20</v>
      </c>
      <c r="AM35" s="61">
        <v>12</v>
      </c>
      <c r="AN35" s="2" t="s">
        <v>43</v>
      </c>
      <c r="AO35" s="2" t="s">
        <v>26</v>
      </c>
      <c r="AP35" s="2" t="s">
        <v>436</v>
      </c>
      <c r="AQ35" s="2">
        <v>36</v>
      </c>
      <c r="AS35" s="2" t="s">
        <v>104</v>
      </c>
      <c r="AT35" s="2" t="s">
        <v>29</v>
      </c>
      <c r="AU35" s="2" t="s">
        <v>79</v>
      </c>
      <c r="AV35" s="2" t="s">
        <v>31</v>
      </c>
      <c r="AW35" s="61">
        <v>18</v>
      </c>
      <c r="AX35" s="2">
        <v>10</v>
      </c>
      <c r="AY35" s="2" t="s">
        <v>25</v>
      </c>
      <c r="AZ35" s="2" t="s">
        <v>61</v>
      </c>
      <c r="BA35" s="2" t="s">
        <v>105</v>
      </c>
      <c r="BB35" s="2">
        <v>57</v>
      </c>
      <c r="BD35" s="2" t="s">
        <v>263</v>
      </c>
      <c r="BE35" s="2" t="s">
        <v>29</v>
      </c>
      <c r="BF35" s="2" t="s">
        <v>19</v>
      </c>
      <c r="BG35" s="2" t="s">
        <v>13</v>
      </c>
      <c r="BH35" s="2">
        <v>15</v>
      </c>
      <c r="BI35" s="2">
        <v>11</v>
      </c>
      <c r="BJ35" s="2" t="s">
        <v>25</v>
      </c>
      <c r="BK35" s="61" t="s">
        <v>46</v>
      </c>
      <c r="BL35" s="2" t="s">
        <v>264</v>
      </c>
      <c r="BM35" s="2">
        <v>58</v>
      </c>
    </row>
    <row r="36" spans="1:65" x14ac:dyDescent="0.3">
      <c r="A36" s="2" t="s">
        <v>112</v>
      </c>
      <c r="B36" s="2" t="s">
        <v>73</v>
      </c>
      <c r="C36" s="2" t="s">
        <v>30</v>
      </c>
      <c r="D36" s="2" t="s">
        <v>13</v>
      </c>
      <c r="E36" s="2">
        <v>15</v>
      </c>
      <c r="F36" s="2">
        <v>9</v>
      </c>
      <c r="G36" s="2" t="s">
        <v>14</v>
      </c>
      <c r="H36" s="2" t="s">
        <v>26</v>
      </c>
      <c r="I36" s="2" t="s">
        <v>113</v>
      </c>
      <c r="J36" s="2">
        <v>58</v>
      </c>
      <c r="L36" s="2" t="s">
        <v>520</v>
      </c>
      <c r="M36" s="2" t="s">
        <v>68</v>
      </c>
      <c r="N36" s="2" t="s">
        <v>12</v>
      </c>
      <c r="O36" s="2" t="s">
        <v>31</v>
      </c>
      <c r="P36" s="2">
        <v>20</v>
      </c>
      <c r="Q36" s="2">
        <v>10</v>
      </c>
      <c r="R36" s="2" t="s">
        <v>32</v>
      </c>
      <c r="S36" s="61" t="s">
        <v>26</v>
      </c>
      <c r="T36" s="2" t="s">
        <v>521</v>
      </c>
      <c r="U36" s="2">
        <v>42</v>
      </c>
      <c r="W36" s="2" t="s">
        <v>294</v>
      </c>
      <c r="X36" s="2" t="s">
        <v>35</v>
      </c>
      <c r="Y36" s="2" t="s">
        <v>55</v>
      </c>
      <c r="Z36" s="2" t="s">
        <v>13</v>
      </c>
      <c r="AA36" s="2">
        <v>20</v>
      </c>
      <c r="AB36" s="2">
        <v>9</v>
      </c>
      <c r="AC36" s="2" t="s">
        <v>25</v>
      </c>
      <c r="AD36" s="2" t="s">
        <v>46</v>
      </c>
      <c r="AE36" s="2" t="s">
        <v>295</v>
      </c>
      <c r="AF36" s="61">
        <v>99</v>
      </c>
      <c r="AH36" s="2" t="s">
        <v>448</v>
      </c>
      <c r="AI36" s="2" t="s">
        <v>73</v>
      </c>
      <c r="AJ36" s="2" t="s">
        <v>36</v>
      </c>
      <c r="AK36" s="2" t="s">
        <v>31</v>
      </c>
      <c r="AL36" s="2">
        <v>19</v>
      </c>
      <c r="AM36" s="61">
        <v>12</v>
      </c>
      <c r="AN36" s="2" t="s">
        <v>14</v>
      </c>
      <c r="AO36" s="2" t="s">
        <v>37</v>
      </c>
      <c r="AP36" s="2" t="s">
        <v>449</v>
      </c>
      <c r="AQ36" s="2">
        <v>65</v>
      </c>
      <c r="AS36" s="2" t="s">
        <v>106</v>
      </c>
      <c r="AT36" s="2" t="s">
        <v>51</v>
      </c>
      <c r="AU36" s="2" t="s">
        <v>55</v>
      </c>
      <c r="AV36" s="2" t="s">
        <v>13</v>
      </c>
      <c r="AW36" s="61">
        <v>20</v>
      </c>
      <c r="AX36" s="2">
        <v>9</v>
      </c>
      <c r="AY36" s="2" t="s">
        <v>32</v>
      </c>
      <c r="AZ36" s="2" t="s">
        <v>26</v>
      </c>
      <c r="BA36" s="2" t="s">
        <v>107</v>
      </c>
      <c r="BB36" s="2">
        <v>91</v>
      </c>
      <c r="BD36" s="2" t="s">
        <v>265</v>
      </c>
      <c r="BE36" s="2" t="s">
        <v>11</v>
      </c>
      <c r="BF36" s="2" t="s">
        <v>85</v>
      </c>
      <c r="BG36" s="2" t="s">
        <v>31</v>
      </c>
      <c r="BH36" s="2">
        <v>14</v>
      </c>
      <c r="BI36" s="2">
        <v>9</v>
      </c>
      <c r="BJ36" s="2" t="s">
        <v>43</v>
      </c>
      <c r="BK36" s="61" t="s">
        <v>61</v>
      </c>
      <c r="BL36" s="2" t="s">
        <v>56</v>
      </c>
      <c r="BM36" s="2">
        <v>41</v>
      </c>
    </row>
    <row r="37" spans="1:65" x14ac:dyDescent="0.3">
      <c r="A37" s="2" t="s">
        <v>114</v>
      </c>
      <c r="B37" s="2" t="s">
        <v>73</v>
      </c>
      <c r="C37" s="2" t="s">
        <v>58</v>
      </c>
      <c r="D37" s="2" t="s">
        <v>13</v>
      </c>
      <c r="E37" s="2">
        <v>20</v>
      </c>
      <c r="F37" s="2">
        <v>9</v>
      </c>
      <c r="G37" s="2" t="s">
        <v>25</v>
      </c>
      <c r="H37" s="2" t="s">
        <v>46</v>
      </c>
      <c r="I37" s="2" t="s">
        <v>115</v>
      </c>
      <c r="J37" s="2">
        <v>40</v>
      </c>
      <c r="L37" s="2" t="s">
        <v>537</v>
      </c>
      <c r="M37" s="2" t="s">
        <v>68</v>
      </c>
      <c r="N37" s="2" t="s">
        <v>36</v>
      </c>
      <c r="O37" s="2" t="s">
        <v>31</v>
      </c>
      <c r="P37" s="2">
        <v>16</v>
      </c>
      <c r="Q37" s="2">
        <v>12</v>
      </c>
      <c r="R37" s="2" t="s">
        <v>25</v>
      </c>
      <c r="S37" s="61" t="s">
        <v>26</v>
      </c>
      <c r="T37" s="2" t="s">
        <v>538</v>
      </c>
      <c r="U37" s="2">
        <v>42</v>
      </c>
      <c r="W37" s="2" t="s">
        <v>296</v>
      </c>
      <c r="X37" s="2" t="s">
        <v>84</v>
      </c>
      <c r="Y37" s="2" t="s">
        <v>19</v>
      </c>
      <c r="Z37" s="2" t="s">
        <v>31</v>
      </c>
      <c r="AA37" s="2">
        <v>20</v>
      </c>
      <c r="AB37" s="2">
        <v>10</v>
      </c>
      <c r="AC37" s="2" t="s">
        <v>43</v>
      </c>
      <c r="AD37" s="2" t="s">
        <v>20</v>
      </c>
      <c r="AE37" s="2" t="s">
        <v>297</v>
      </c>
      <c r="AF37" s="61">
        <v>100</v>
      </c>
      <c r="AH37" s="2" t="s">
        <v>450</v>
      </c>
      <c r="AI37" s="2" t="s">
        <v>54</v>
      </c>
      <c r="AJ37" s="2" t="s">
        <v>55</v>
      </c>
      <c r="AK37" s="2" t="s">
        <v>31</v>
      </c>
      <c r="AL37" s="2">
        <v>19</v>
      </c>
      <c r="AM37" s="61">
        <v>12</v>
      </c>
      <c r="AN37" s="2" t="s">
        <v>43</v>
      </c>
      <c r="AO37" s="2" t="s">
        <v>20</v>
      </c>
      <c r="AP37" s="2" t="s">
        <v>451</v>
      </c>
      <c r="AQ37" s="2">
        <v>58</v>
      </c>
      <c r="AS37" s="2" t="s">
        <v>108</v>
      </c>
      <c r="AT37" s="2" t="s">
        <v>29</v>
      </c>
      <c r="AU37" s="2" t="s">
        <v>96</v>
      </c>
      <c r="AV37" s="2" t="s">
        <v>31</v>
      </c>
      <c r="AW37" s="61">
        <v>15</v>
      </c>
      <c r="AX37" s="2">
        <v>11</v>
      </c>
      <c r="AY37" s="2" t="s">
        <v>43</v>
      </c>
      <c r="AZ37" s="2" t="s">
        <v>26</v>
      </c>
      <c r="BA37" s="2" t="s">
        <v>109</v>
      </c>
      <c r="BB37" s="2">
        <v>77</v>
      </c>
      <c r="BD37" s="2" t="s">
        <v>274</v>
      </c>
      <c r="BE37" s="2" t="s">
        <v>35</v>
      </c>
      <c r="BF37" s="2" t="s">
        <v>36</v>
      </c>
      <c r="BG37" s="2" t="s">
        <v>13</v>
      </c>
      <c r="BH37" s="2">
        <v>19</v>
      </c>
      <c r="BI37" s="2">
        <v>9</v>
      </c>
      <c r="BJ37" s="2" t="s">
        <v>32</v>
      </c>
      <c r="BK37" s="61" t="s">
        <v>61</v>
      </c>
      <c r="BL37" s="2" t="s">
        <v>275</v>
      </c>
      <c r="BM37" s="2">
        <v>63</v>
      </c>
    </row>
    <row r="38" spans="1:65" x14ac:dyDescent="0.3">
      <c r="A38" s="2" t="s">
        <v>116</v>
      </c>
      <c r="B38" s="2" t="s">
        <v>84</v>
      </c>
      <c r="C38" s="2" t="s">
        <v>19</v>
      </c>
      <c r="D38" s="2" t="s">
        <v>13</v>
      </c>
      <c r="E38" s="2">
        <v>19</v>
      </c>
      <c r="F38" s="2">
        <v>12</v>
      </c>
      <c r="G38" s="2" t="s">
        <v>14</v>
      </c>
      <c r="H38" s="2" t="s">
        <v>20</v>
      </c>
      <c r="I38" s="2" t="s">
        <v>117</v>
      </c>
      <c r="J38" s="2">
        <v>56</v>
      </c>
      <c r="L38" s="2" t="s">
        <v>550</v>
      </c>
      <c r="M38" s="2" t="s">
        <v>73</v>
      </c>
      <c r="N38" s="2" t="s">
        <v>19</v>
      </c>
      <c r="O38" s="2" t="s">
        <v>13</v>
      </c>
      <c r="P38" s="2">
        <v>14</v>
      </c>
      <c r="Q38" s="2">
        <v>11</v>
      </c>
      <c r="R38" s="2" t="s">
        <v>32</v>
      </c>
      <c r="S38" s="61" t="s">
        <v>26</v>
      </c>
      <c r="T38" s="2" t="s">
        <v>551</v>
      </c>
      <c r="U38" s="2">
        <v>90</v>
      </c>
      <c r="W38" s="2" t="s">
        <v>318</v>
      </c>
      <c r="X38" s="2" t="s">
        <v>54</v>
      </c>
      <c r="Y38" s="2" t="s">
        <v>96</v>
      </c>
      <c r="Z38" s="2" t="s">
        <v>13</v>
      </c>
      <c r="AA38" s="2">
        <v>18</v>
      </c>
      <c r="AB38" s="2">
        <v>9</v>
      </c>
      <c r="AC38" s="2" t="s">
        <v>32</v>
      </c>
      <c r="AD38" s="2" t="s">
        <v>76</v>
      </c>
      <c r="AE38" s="2" t="s">
        <v>319</v>
      </c>
      <c r="AF38" s="61">
        <v>86</v>
      </c>
      <c r="AH38" s="2" t="s">
        <v>460</v>
      </c>
      <c r="AI38" s="2" t="s">
        <v>51</v>
      </c>
      <c r="AJ38" s="2" t="s">
        <v>96</v>
      </c>
      <c r="AK38" s="2" t="s">
        <v>31</v>
      </c>
      <c r="AL38" s="2">
        <v>16</v>
      </c>
      <c r="AM38" s="61">
        <v>12</v>
      </c>
      <c r="AN38" s="2" t="s">
        <v>43</v>
      </c>
      <c r="AO38" s="2" t="s">
        <v>15</v>
      </c>
      <c r="AP38" s="2" t="s">
        <v>461</v>
      </c>
      <c r="AQ38" s="2">
        <v>65</v>
      </c>
      <c r="AS38" s="2" t="s">
        <v>110</v>
      </c>
      <c r="AT38" s="2" t="s">
        <v>51</v>
      </c>
      <c r="AU38" s="2" t="s">
        <v>58</v>
      </c>
      <c r="AV38" s="2" t="s">
        <v>31</v>
      </c>
      <c r="AW38" s="61">
        <v>14</v>
      </c>
      <c r="AX38" s="2">
        <v>10</v>
      </c>
      <c r="AY38" s="2" t="s">
        <v>32</v>
      </c>
      <c r="AZ38" s="2" t="s">
        <v>76</v>
      </c>
      <c r="BA38" s="2" t="s">
        <v>111</v>
      </c>
      <c r="BB38" s="2">
        <v>60</v>
      </c>
      <c r="BD38" s="2" t="s">
        <v>285</v>
      </c>
      <c r="BE38" s="2" t="s">
        <v>18</v>
      </c>
      <c r="BF38" s="2" t="s">
        <v>36</v>
      </c>
      <c r="BG38" s="2" t="s">
        <v>31</v>
      </c>
      <c r="BH38" s="2">
        <v>14</v>
      </c>
      <c r="BI38" s="2">
        <v>11</v>
      </c>
      <c r="BJ38" s="2" t="s">
        <v>25</v>
      </c>
      <c r="BK38" s="61" t="s">
        <v>46</v>
      </c>
      <c r="BL38" s="2" t="s">
        <v>286</v>
      </c>
      <c r="BM38" s="2">
        <v>64</v>
      </c>
    </row>
    <row r="39" spans="1:65" x14ac:dyDescent="0.3">
      <c r="A39" s="2" t="s">
        <v>118</v>
      </c>
      <c r="B39" s="2" t="s">
        <v>84</v>
      </c>
      <c r="C39" s="2" t="s">
        <v>58</v>
      </c>
      <c r="D39" s="2" t="s">
        <v>31</v>
      </c>
      <c r="E39" s="2">
        <v>20</v>
      </c>
      <c r="F39" s="2">
        <v>10</v>
      </c>
      <c r="G39" s="2" t="s">
        <v>32</v>
      </c>
      <c r="H39" s="2" t="s">
        <v>26</v>
      </c>
      <c r="I39" s="2" t="s">
        <v>119</v>
      </c>
      <c r="J39" s="2">
        <v>52</v>
      </c>
      <c r="L39" s="2" t="s">
        <v>560</v>
      </c>
      <c r="M39" s="2" t="s">
        <v>68</v>
      </c>
      <c r="N39" s="2" t="s">
        <v>85</v>
      </c>
      <c r="O39" s="2" t="s">
        <v>31</v>
      </c>
      <c r="P39" s="2">
        <v>15</v>
      </c>
      <c r="Q39" s="2">
        <v>10</v>
      </c>
      <c r="R39" s="2" t="s">
        <v>43</v>
      </c>
      <c r="S39" s="61" t="s">
        <v>26</v>
      </c>
      <c r="T39" s="2" t="s">
        <v>561</v>
      </c>
      <c r="U39" s="2">
        <v>63</v>
      </c>
      <c r="W39" s="2" t="s">
        <v>322</v>
      </c>
      <c r="X39" s="2" t="s">
        <v>35</v>
      </c>
      <c r="Y39" s="2" t="s">
        <v>12</v>
      </c>
      <c r="Z39" s="2" t="s">
        <v>13</v>
      </c>
      <c r="AA39" s="2">
        <v>14</v>
      </c>
      <c r="AB39" s="2">
        <v>11</v>
      </c>
      <c r="AC39" s="2" t="s">
        <v>14</v>
      </c>
      <c r="AD39" s="2" t="s">
        <v>26</v>
      </c>
      <c r="AE39" s="2" t="s">
        <v>323</v>
      </c>
      <c r="AF39" s="61">
        <v>93</v>
      </c>
      <c r="AH39" s="2" t="s">
        <v>462</v>
      </c>
      <c r="AI39" s="2" t="s">
        <v>11</v>
      </c>
      <c r="AJ39" s="2" t="s">
        <v>24</v>
      </c>
      <c r="AK39" s="2" t="s">
        <v>31</v>
      </c>
      <c r="AL39" s="2">
        <v>19</v>
      </c>
      <c r="AM39" s="61">
        <v>12</v>
      </c>
      <c r="AN39" s="2" t="s">
        <v>43</v>
      </c>
      <c r="AO39" s="2" t="s">
        <v>37</v>
      </c>
      <c r="AP39" s="2" t="s">
        <v>463</v>
      </c>
      <c r="AQ39" s="2">
        <v>45</v>
      </c>
      <c r="AS39" s="2" t="s">
        <v>112</v>
      </c>
      <c r="AT39" s="2" t="s">
        <v>73</v>
      </c>
      <c r="AU39" s="2" t="s">
        <v>30</v>
      </c>
      <c r="AV39" s="2" t="s">
        <v>13</v>
      </c>
      <c r="AW39" s="61">
        <v>15</v>
      </c>
      <c r="AX39" s="2">
        <v>9</v>
      </c>
      <c r="AY39" s="2" t="s">
        <v>14</v>
      </c>
      <c r="AZ39" s="2" t="s">
        <v>26</v>
      </c>
      <c r="BA39" s="2" t="s">
        <v>113</v>
      </c>
      <c r="BB39" s="2">
        <v>58</v>
      </c>
      <c r="BD39" s="2" t="s">
        <v>291</v>
      </c>
      <c r="BE39" s="2" t="s">
        <v>11</v>
      </c>
      <c r="BF39" s="2" t="s">
        <v>30</v>
      </c>
      <c r="BG39" s="2" t="s">
        <v>31</v>
      </c>
      <c r="BH39" s="2">
        <v>16</v>
      </c>
      <c r="BI39" s="2">
        <v>9</v>
      </c>
      <c r="BJ39" s="2" t="s">
        <v>25</v>
      </c>
      <c r="BK39" s="61" t="s">
        <v>61</v>
      </c>
      <c r="BL39" s="2" t="s">
        <v>292</v>
      </c>
      <c r="BM39" s="2">
        <v>97</v>
      </c>
    </row>
    <row r="40" spans="1:65" x14ac:dyDescent="0.3">
      <c r="A40" s="2" t="s">
        <v>120</v>
      </c>
      <c r="B40" s="2" t="s">
        <v>35</v>
      </c>
      <c r="C40" s="2" t="s">
        <v>36</v>
      </c>
      <c r="D40" s="2" t="s">
        <v>31</v>
      </c>
      <c r="E40" s="2">
        <v>20</v>
      </c>
      <c r="F40" s="2">
        <v>10</v>
      </c>
      <c r="G40" s="2" t="s">
        <v>43</v>
      </c>
      <c r="H40" s="2" t="s">
        <v>61</v>
      </c>
      <c r="I40" s="2" t="s">
        <v>121</v>
      </c>
      <c r="J40" s="2">
        <v>37</v>
      </c>
      <c r="L40" s="2" t="s">
        <v>567</v>
      </c>
      <c r="M40" s="2" t="s">
        <v>54</v>
      </c>
      <c r="N40" s="2" t="s">
        <v>12</v>
      </c>
      <c r="O40" s="2" t="s">
        <v>31</v>
      </c>
      <c r="P40" s="2">
        <v>18</v>
      </c>
      <c r="Q40" s="2">
        <v>12</v>
      </c>
      <c r="R40" s="2" t="s">
        <v>25</v>
      </c>
      <c r="S40" s="61" t="s">
        <v>26</v>
      </c>
      <c r="T40" s="2" t="s">
        <v>568</v>
      </c>
      <c r="U40" s="2">
        <v>96</v>
      </c>
      <c r="W40" s="2" t="s">
        <v>329</v>
      </c>
      <c r="X40" s="2" t="s">
        <v>11</v>
      </c>
      <c r="Y40" s="2" t="s">
        <v>24</v>
      </c>
      <c r="Z40" s="2" t="s">
        <v>31</v>
      </c>
      <c r="AA40" s="2">
        <v>15</v>
      </c>
      <c r="AB40" s="2">
        <v>9</v>
      </c>
      <c r="AC40" s="2" t="s">
        <v>43</v>
      </c>
      <c r="AD40" s="2" t="s">
        <v>61</v>
      </c>
      <c r="AE40" s="2" t="s">
        <v>330</v>
      </c>
      <c r="AF40" s="61">
        <v>83</v>
      </c>
      <c r="AH40" s="2" t="s">
        <v>485</v>
      </c>
      <c r="AI40" s="2" t="s">
        <v>18</v>
      </c>
      <c r="AJ40" s="2" t="s">
        <v>12</v>
      </c>
      <c r="AK40" s="2" t="s">
        <v>31</v>
      </c>
      <c r="AL40" s="2">
        <v>16</v>
      </c>
      <c r="AM40" s="61">
        <v>12</v>
      </c>
      <c r="AN40" s="2" t="s">
        <v>14</v>
      </c>
      <c r="AO40" s="2" t="s">
        <v>76</v>
      </c>
      <c r="AP40" s="2" t="s">
        <v>486</v>
      </c>
      <c r="AQ40" s="2">
        <v>70</v>
      </c>
      <c r="AS40" s="2" t="s">
        <v>114</v>
      </c>
      <c r="AT40" s="2" t="s">
        <v>73</v>
      </c>
      <c r="AU40" s="2" t="s">
        <v>58</v>
      </c>
      <c r="AV40" s="2" t="s">
        <v>13</v>
      </c>
      <c r="AW40" s="61">
        <v>20</v>
      </c>
      <c r="AX40" s="2">
        <v>9</v>
      </c>
      <c r="AY40" s="2" t="s">
        <v>25</v>
      </c>
      <c r="AZ40" s="2" t="s">
        <v>46</v>
      </c>
      <c r="BA40" s="2" t="s">
        <v>115</v>
      </c>
      <c r="BB40" s="2">
        <v>40</v>
      </c>
      <c r="BD40" s="2" t="s">
        <v>294</v>
      </c>
      <c r="BE40" s="2" t="s">
        <v>35</v>
      </c>
      <c r="BF40" s="2" t="s">
        <v>55</v>
      </c>
      <c r="BG40" s="2" t="s">
        <v>13</v>
      </c>
      <c r="BH40" s="2">
        <v>20</v>
      </c>
      <c r="BI40" s="2">
        <v>9</v>
      </c>
      <c r="BJ40" s="2" t="s">
        <v>25</v>
      </c>
      <c r="BK40" s="61" t="s">
        <v>46</v>
      </c>
      <c r="BL40" s="2" t="s">
        <v>295</v>
      </c>
      <c r="BM40" s="2">
        <v>99</v>
      </c>
    </row>
    <row r="41" spans="1:65" x14ac:dyDescent="0.3">
      <c r="A41" s="2" t="s">
        <v>122</v>
      </c>
      <c r="B41" s="2" t="s">
        <v>18</v>
      </c>
      <c r="C41" s="2" t="s">
        <v>19</v>
      </c>
      <c r="D41" s="2" t="s">
        <v>13</v>
      </c>
      <c r="E41" s="2">
        <v>15</v>
      </c>
      <c r="F41" s="2">
        <v>10</v>
      </c>
      <c r="G41" s="2" t="s">
        <v>32</v>
      </c>
      <c r="H41" s="2" t="s">
        <v>20</v>
      </c>
      <c r="I41" s="2" t="s">
        <v>123</v>
      </c>
      <c r="J41" s="2">
        <v>51</v>
      </c>
      <c r="L41" s="2" t="s">
        <v>571</v>
      </c>
      <c r="M41" s="2" t="s">
        <v>68</v>
      </c>
      <c r="N41" s="2" t="s">
        <v>12</v>
      </c>
      <c r="O41" s="2" t="s">
        <v>13</v>
      </c>
      <c r="P41" s="2">
        <v>16</v>
      </c>
      <c r="Q41" s="2">
        <v>10</v>
      </c>
      <c r="R41" s="2" t="s">
        <v>25</v>
      </c>
      <c r="S41" s="61" t="s">
        <v>26</v>
      </c>
      <c r="T41" s="2" t="s">
        <v>434</v>
      </c>
      <c r="U41" s="2">
        <v>63</v>
      </c>
      <c r="W41" s="2" t="s">
        <v>331</v>
      </c>
      <c r="X41" s="2" t="s">
        <v>73</v>
      </c>
      <c r="Y41" s="2" t="s">
        <v>30</v>
      </c>
      <c r="Z41" s="2" t="s">
        <v>31</v>
      </c>
      <c r="AA41" s="2">
        <v>19</v>
      </c>
      <c r="AB41" s="2">
        <v>10</v>
      </c>
      <c r="AC41" s="2" t="s">
        <v>43</v>
      </c>
      <c r="AD41" s="2" t="s">
        <v>20</v>
      </c>
      <c r="AE41" s="2" t="s">
        <v>191</v>
      </c>
      <c r="AF41" s="61">
        <v>93</v>
      </c>
      <c r="AH41" s="2" t="s">
        <v>493</v>
      </c>
      <c r="AI41" s="2" t="s">
        <v>51</v>
      </c>
      <c r="AJ41" s="2" t="s">
        <v>96</v>
      </c>
      <c r="AK41" s="2" t="s">
        <v>31</v>
      </c>
      <c r="AL41" s="2">
        <v>14</v>
      </c>
      <c r="AM41" s="61">
        <v>12</v>
      </c>
      <c r="AN41" s="2" t="s">
        <v>14</v>
      </c>
      <c r="AO41" s="2" t="s">
        <v>26</v>
      </c>
      <c r="AP41" s="2" t="s">
        <v>494</v>
      </c>
      <c r="AQ41" s="2">
        <v>47</v>
      </c>
      <c r="AS41" s="2" t="s">
        <v>116</v>
      </c>
      <c r="AT41" s="2" t="s">
        <v>84</v>
      </c>
      <c r="AU41" s="2" t="s">
        <v>19</v>
      </c>
      <c r="AV41" s="2" t="s">
        <v>13</v>
      </c>
      <c r="AW41" s="61">
        <v>19</v>
      </c>
      <c r="AX41" s="2">
        <v>12</v>
      </c>
      <c r="AY41" s="2" t="s">
        <v>14</v>
      </c>
      <c r="AZ41" s="2" t="s">
        <v>20</v>
      </c>
      <c r="BA41" s="2" t="s">
        <v>117</v>
      </c>
      <c r="BB41" s="2">
        <v>56</v>
      </c>
      <c r="BD41" s="2" t="s">
        <v>304</v>
      </c>
      <c r="BE41" s="2" t="s">
        <v>51</v>
      </c>
      <c r="BF41" s="2" t="s">
        <v>36</v>
      </c>
      <c r="BG41" s="2" t="s">
        <v>31</v>
      </c>
      <c r="BH41" s="2">
        <v>15</v>
      </c>
      <c r="BI41" s="2">
        <v>12</v>
      </c>
      <c r="BJ41" s="2" t="s">
        <v>32</v>
      </c>
      <c r="BK41" s="61" t="s">
        <v>46</v>
      </c>
      <c r="BL41" s="2" t="s">
        <v>305</v>
      </c>
      <c r="BM41" s="2">
        <v>77</v>
      </c>
    </row>
    <row r="42" spans="1:65" x14ac:dyDescent="0.3">
      <c r="A42" s="2" t="s">
        <v>124</v>
      </c>
      <c r="B42" s="2" t="s">
        <v>68</v>
      </c>
      <c r="C42" s="2" t="s">
        <v>36</v>
      </c>
      <c r="D42" s="2" t="s">
        <v>13</v>
      </c>
      <c r="E42" s="2">
        <v>18</v>
      </c>
      <c r="F42" s="2">
        <v>10</v>
      </c>
      <c r="G42" s="2" t="s">
        <v>43</v>
      </c>
      <c r="H42" s="2" t="s">
        <v>20</v>
      </c>
      <c r="I42" s="2" t="s">
        <v>125</v>
      </c>
      <c r="J42" s="2">
        <v>66</v>
      </c>
      <c r="L42" s="2" t="s">
        <v>579</v>
      </c>
      <c r="M42" s="2" t="s">
        <v>51</v>
      </c>
      <c r="N42" s="2" t="s">
        <v>55</v>
      </c>
      <c r="O42" s="2" t="s">
        <v>31</v>
      </c>
      <c r="P42" s="2">
        <v>20</v>
      </c>
      <c r="Q42" s="2">
        <v>9</v>
      </c>
      <c r="R42" s="2" t="s">
        <v>25</v>
      </c>
      <c r="S42" s="61" t="s">
        <v>26</v>
      </c>
      <c r="T42" s="2" t="s">
        <v>212</v>
      </c>
      <c r="U42" s="2">
        <v>35</v>
      </c>
      <c r="W42" s="2" t="s">
        <v>334</v>
      </c>
      <c r="X42" s="2" t="s">
        <v>73</v>
      </c>
      <c r="Y42" s="2" t="s">
        <v>12</v>
      </c>
      <c r="Z42" s="2" t="s">
        <v>31</v>
      </c>
      <c r="AA42" s="2">
        <v>18</v>
      </c>
      <c r="AB42" s="2">
        <v>11</v>
      </c>
      <c r="AC42" s="2" t="s">
        <v>32</v>
      </c>
      <c r="AD42" s="2" t="s">
        <v>76</v>
      </c>
      <c r="AE42" s="2" t="s">
        <v>335</v>
      </c>
      <c r="AF42" s="61">
        <v>97</v>
      </c>
      <c r="AH42" s="2" t="s">
        <v>507</v>
      </c>
      <c r="AI42" s="2" t="s">
        <v>54</v>
      </c>
      <c r="AJ42" s="2" t="s">
        <v>12</v>
      </c>
      <c r="AK42" s="2" t="s">
        <v>31</v>
      </c>
      <c r="AL42" s="2">
        <v>16</v>
      </c>
      <c r="AM42" s="61">
        <v>12</v>
      </c>
      <c r="AN42" s="2" t="s">
        <v>43</v>
      </c>
      <c r="AO42" s="2" t="s">
        <v>61</v>
      </c>
      <c r="AP42" s="2" t="s">
        <v>483</v>
      </c>
      <c r="AQ42" s="2">
        <v>45</v>
      </c>
      <c r="AS42" s="2" t="s">
        <v>118</v>
      </c>
      <c r="AT42" s="2" t="s">
        <v>84</v>
      </c>
      <c r="AU42" s="2" t="s">
        <v>58</v>
      </c>
      <c r="AV42" s="2" t="s">
        <v>31</v>
      </c>
      <c r="AW42" s="61">
        <v>20</v>
      </c>
      <c r="AX42" s="2">
        <v>10</v>
      </c>
      <c r="AY42" s="2" t="s">
        <v>32</v>
      </c>
      <c r="AZ42" s="2" t="s">
        <v>26</v>
      </c>
      <c r="BA42" s="2" t="s">
        <v>119</v>
      </c>
      <c r="BB42" s="2">
        <v>52</v>
      </c>
      <c r="BD42" s="2" t="s">
        <v>306</v>
      </c>
      <c r="BE42" s="2" t="s">
        <v>23</v>
      </c>
      <c r="BF42" s="2" t="s">
        <v>19</v>
      </c>
      <c r="BG42" s="2" t="s">
        <v>31</v>
      </c>
      <c r="BH42" s="2">
        <v>16</v>
      </c>
      <c r="BI42" s="2">
        <v>10</v>
      </c>
      <c r="BJ42" s="2" t="s">
        <v>43</v>
      </c>
      <c r="BK42" s="61" t="s">
        <v>61</v>
      </c>
      <c r="BL42" s="2" t="s">
        <v>307</v>
      </c>
      <c r="BM42" s="2">
        <v>47</v>
      </c>
    </row>
    <row r="43" spans="1:65" x14ac:dyDescent="0.3">
      <c r="A43" s="2" t="s">
        <v>126</v>
      </c>
      <c r="B43" s="2" t="s">
        <v>18</v>
      </c>
      <c r="C43" s="2" t="s">
        <v>24</v>
      </c>
      <c r="D43" s="2" t="s">
        <v>13</v>
      </c>
      <c r="E43" s="2">
        <v>15</v>
      </c>
      <c r="F43" s="2">
        <v>9</v>
      </c>
      <c r="G43" s="2" t="s">
        <v>25</v>
      </c>
      <c r="H43" s="2" t="s">
        <v>76</v>
      </c>
      <c r="I43" s="2" t="s">
        <v>127</v>
      </c>
      <c r="J43" s="2">
        <v>59</v>
      </c>
      <c r="L43" s="2" t="s">
        <v>604</v>
      </c>
      <c r="M43" s="2" t="s">
        <v>51</v>
      </c>
      <c r="N43" s="2" t="s">
        <v>85</v>
      </c>
      <c r="O43" s="2" t="s">
        <v>31</v>
      </c>
      <c r="P43" s="2">
        <v>20</v>
      </c>
      <c r="Q43" s="2">
        <v>12</v>
      </c>
      <c r="R43" s="2" t="s">
        <v>25</v>
      </c>
      <c r="S43" s="61" t="s">
        <v>26</v>
      </c>
      <c r="T43" s="2" t="s">
        <v>299</v>
      </c>
      <c r="U43" s="2">
        <v>69</v>
      </c>
      <c r="W43" s="2" t="s">
        <v>341</v>
      </c>
      <c r="X43" s="2" t="s">
        <v>54</v>
      </c>
      <c r="Y43" s="2" t="s">
        <v>55</v>
      </c>
      <c r="Z43" s="2" t="s">
        <v>13</v>
      </c>
      <c r="AA43" s="2">
        <v>14</v>
      </c>
      <c r="AB43" s="2">
        <v>9</v>
      </c>
      <c r="AC43" s="2" t="s">
        <v>25</v>
      </c>
      <c r="AD43" s="2" t="s">
        <v>37</v>
      </c>
      <c r="AE43" s="2" t="s">
        <v>342</v>
      </c>
      <c r="AF43" s="61">
        <v>82</v>
      </c>
      <c r="AH43" s="2" t="s">
        <v>513</v>
      </c>
      <c r="AI43" s="2" t="s">
        <v>11</v>
      </c>
      <c r="AJ43" s="2" t="s">
        <v>19</v>
      </c>
      <c r="AK43" s="2" t="s">
        <v>31</v>
      </c>
      <c r="AL43" s="2">
        <v>14</v>
      </c>
      <c r="AM43" s="61">
        <v>12</v>
      </c>
      <c r="AN43" s="2" t="s">
        <v>32</v>
      </c>
      <c r="AO43" s="2" t="s">
        <v>15</v>
      </c>
      <c r="AP43" s="2" t="s">
        <v>381</v>
      </c>
      <c r="AQ43" s="2">
        <v>65</v>
      </c>
      <c r="AS43" s="2" t="s">
        <v>120</v>
      </c>
      <c r="AT43" s="2" t="s">
        <v>35</v>
      </c>
      <c r="AU43" s="2" t="s">
        <v>36</v>
      </c>
      <c r="AV43" s="2" t="s">
        <v>31</v>
      </c>
      <c r="AW43" s="61">
        <v>20</v>
      </c>
      <c r="AX43" s="2">
        <v>10</v>
      </c>
      <c r="AY43" s="2" t="s">
        <v>43</v>
      </c>
      <c r="AZ43" s="2" t="s">
        <v>61</v>
      </c>
      <c r="BA43" s="2" t="s">
        <v>121</v>
      </c>
      <c r="BB43" s="2">
        <v>37</v>
      </c>
      <c r="BD43" s="2" t="s">
        <v>310</v>
      </c>
      <c r="BE43" s="2" t="s">
        <v>29</v>
      </c>
      <c r="BF43" s="2" t="s">
        <v>96</v>
      </c>
      <c r="BG43" s="2" t="s">
        <v>31</v>
      </c>
      <c r="BH43" s="2">
        <v>16</v>
      </c>
      <c r="BI43" s="2">
        <v>9</v>
      </c>
      <c r="BJ43" s="2" t="s">
        <v>32</v>
      </c>
      <c r="BK43" s="61" t="s">
        <v>46</v>
      </c>
      <c r="BL43" s="2" t="s">
        <v>311</v>
      </c>
      <c r="BM43" s="2">
        <v>67</v>
      </c>
    </row>
    <row r="44" spans="1:65" x14ac:dyDescent="0.3">
      <c r="A44" s="2" t="s">
        <v>128</v>
      </c>
      <c r="B44" s="2" t="s">
        <v>11</v>
      </c>
      <c r="C44" s="2" t="s">
        <v>24</v>
      </c>
      <c r="D44" s="2" t="s">
        <v>31</v>
      </c>
      <c r="E44" s="2">
        <v>17</v>
      </c>
      <c r="F44" s="2">
        <v>12</v>
      </c>
      <c r="G44" s="2" t="s">
        <v>32</v>
      </c>
      <c r="H44" s="2" t="s">
        <v>15</v>
      </c>
      <c r="I44" s="2" t="s">
        <v>129</v>
      </c>
      <c r="J44" s="2">
        <v>68</v>
      </c>
      <c r="L44" s="2" t="s">
        <v>611</v>
      </c>
      <c r="M44" s="2" t="s">
        <v>18</v>
      </c>
      <c r="N44" s="2" t="s">
        <v>24</v>
      </c>
      <c r="O44" s="2" t="s">
        <v>31</v>
      </c>
      <c r="P44" s="2">
        <v>19</v>
      </c>
      <c r="Q44" s="2">
        <v>12</v>
      </c>
      <c r="R44" s="2" t="s">
        <v>43</v>
      </c>
      <c r="S44" s="61" t="s">
        <v>26</v>
      </c>
      <c r="T44" s="2" t="s">
        <v>612</v>
      </c>
      <c r="U44" s="2">
        <v>82</v>
      </c>
      <c r="W44" s="2" t="s">
        <v>367</v>
      </c>
      <c r="X44" s="2" t="s">
        <v>35</v>
      </c>
      <c r="Y44" s="2" t="s">
        <v>12</v>
      </c>
      <c r="Z44" s="2" t="s">
        <v>31</v>
      </c>
      <c r="AA44" s="2">
        <v>15</v>
      </c>
      <c r="AB44" s="2">
        <v>10</v>
      </c>
      <c r="AC44" s="2" t="s">
        <v>32</v>
      </c>
      <c r="AD44" s="2" t="s">
        <v>20</v>
      </c>
      <c r="AE44" s="2" t="s">
        <v>368</v>
      </c>
      <c r="AF44" s="61">
        <v>99</v>
      </c>
      <c r="AH44" s="2" t="s">
        <v>529</v>
      </c>
      <c r="AI44" s="2" t="s">
        <v>84</v>
      </c>
      <c r="AJ44" s="2" t="s">
        <v>24</v>
      </c>
      <c r="AK44" s="2" t="s">
        <v>31</v>
      </c>
      <c r="AL44" s="2">
        <v>20</v>
      </c>
      <c r="AM44" s="61">
        <v>12</v>
      </c>
      <c r="AN44" s="2" t="s">
        <v>25</v>
      </c>
      <c r="AO44" s="2" t="s">
        <v>76</v>
      </c>
      <c r="AP44" s="2" t="s">
        <v>186</v>
      </c>
      <c r="AQ44" s="2">
        <v>51</v>
      </c>
      <c r="AS44" s="2" t="s">
        <v>122</v>
      </c>
      <c r="AT44" s="2" t="s">
        <v>18</v>
      </c>
      <c r="AU44" s="2" t="s">
        <v>19</v>
      </c>
      <c r="AV44" s="2" t="s">
        <v>13</v>
      </c>
      <c r="AW44" s="61">
        <v>15</v>
      </c>
      <c r="AX44" s="2">
        <v>10</v>
      </c>
      <c r="AY44" s="2" t="s">
        <v>32</v>
      </c>
      <c r="AZ44" s="2" t="s">
        <v>20</v>
      </c>
      <c r="BA44" s="2" t="s">
        <v>123</v>
      </c>
      <c r="BB44" s="2">
        <v>51</v>
      </c>
      <c r="BD44" s="2" t="s">
        <v>312</v>
      </c>
      <c r="BE44" s="2" t="s">
        <v>29</v>
      </c>
      <c r="BF44" s="2" t="s">
        <v>12</v>
      </c>
      <c r="BG44" s="2" t="s">
        <v>31</v>
      </c>
      <c r="BH44" s="2">
        <v>14</v>
      </c>
      <c r="BI44" s="2">
        <v>12</v>
      </c>
      <c r="BJ44" s="2" t="s">
        <v>43</v>
      </c>
      <c r="BK44" s="61" t="s">
        <v>61</v>
      </c>
      <c r="BL44" s="2" t="s">
        <v>313</v>
      </c>
      <c r="BM44" s="2">
        <v>44</v>
      </c>
    </row>
    <row r="45" spans="1:65" x14ac:dyDescent="0.3">
      <c r="A45" s="2" t="s">
        <v>130</v>
      </c>
      <c r="B45" s="2" t="s">
        <v>73</v>
      </c>
      <c r="C45" s="2" t="s">
        <v>30</v>
      </c>
      <c r="D45" s="2" t="s">
        <v>13</v>
      </c>
      <c r="E45" s="2">
        <v>17</v>
      </c>
      <c r="F45" s="2">
        <v>12</v>
      </c>
      <c r="G45" s="2" t="s">
        <v>25</v>
      </c>
      <c r="H45" s="2" t="s">
        <v>40</v>
      </c>
      <c r="I45" s="2" t="s">
        <v>131</v>
      </c>
      <c r="J45" s="2">
        <v>82</v>
      </c>
      <c r="L45" s="2" t="s">
        <v>713</v>
      </c>
      <c r="M45" s="2" t="s">
        <v>29</v>
      </c>
      <c r="N45" s="2" t="s">
        <v>24</v>
      </c>
      <c r="O45" s="2" t="s">
        <v>31</v>
      </c>
      <c r="P45" s="2">
        <v>16</v>
      </c>
      <c r="Q45" s="2">
        <v>12</v>
      </c>
      <c r="R45" s="2" t="s">
        <v>32</v>
      </c>
      <c r="S45" s="61" t="s">
        <v>26</v>
      </c>
      <c r="T45" s="2" t="s">
        <v>714</v>
      </c>
      <c r="U45" s="2">
        <v>57</v>
      </c>
      <c r="W45" s="2" t="s">
        <v>369</v>
      </c>
      <c r="X45" s="2" t="s">
        <v>23</v>
      </c>
      <c r="Y45" s="2" t="s">
        <v>24</v>
      </c>
      <c r="Z45" s="2" t="s">
        <v>31</v>
      </c>
      <c r="AA45" s="2">
        <v>17</v>
      </c>
      <c r="AB45" s="2">
        <v>12</v>
      </c>
      <c r="AC45" s="2" t="s">
        <v>43</v>
      </c>
      <c r="AD45" s="2" t="s">
        <v>61</v>
      </c>
      <c r="AE45" s="2" t="s">
        <v>370</v>
      </c>
      <c r="AF45" s="61">
        <v>96</v>
      </c>
      <c r="AH45" s="2" t="s">
        <v>537</v>
      </c>
      <c r="AI45" s="2" t="s">
        <v>68</v>
      </c>
      <c r="AJ45" s="2" t="s">
        <v>36</v>
      </c>
      <c r="AK45" s="2" t="s">
        <v>31</v>
      </c>
      <c r="AL45" s="2">
        <v>16</v>
      </c>
      <c r="AM45" s="61">
        <v>12</v>
      </c>
      <c r="AN45" s="2" t="s">
        <v>25</v>
      </c>
      <c r="AO45" s="2" t="s">
        <v>26</v>
      </c>
      <c r="AP45" s="2" t="s">
        <v>538</v>
      </c>
      <c r="AQ45" s="2">
        <v>42</v>
      </c>
      <c r="AS45" s="2" t="s">
        <v>124</v>
      </c>
      <c r="AT45" s="2" t="s">
        <v>68</v>
      </c>
      <c r="AU45" s="2" t="s">
        <v>36</v>
      </c>
      <c r="AV45" s="2" t="s">
        <v>13</v>
      </c>
      <c r="AW45" s="61">
        <v>18</v>
      </c>
      <c r="AX45" s="2">
        <v>10</v>
      </c>
      <c r="AY45" s="2" t="s">
        <v>43</v>
      </c>
      <c r="AZ45" s="2" t="s">
        <v>20</v>
      </c>
      <c r="BA45" s="2" t="s">
        <v>125</v>
      </c>
      <c r="BB45" s="2">
        <v>66</v>
      </c>
      <c r="BD45" s="2" t="s">
        <v>314</v>
      </c>
      <c r="BE45" s="2" t="s">
        <v>68</v>
      </c>
      <c r="BF45" s="2" t="s">
        <v>79</v>
      </c>
      <c r="BG45" s="2" t="s">
        <v>13</v>
      </c>
      <c r="BH45" s="2">
        <v>15</v>
      </c>
      <c r="BI45" s="2">
        <v>11</v>
      </c>
      <c r="BJ45" s="2" t="s">
        <v>14</v>
      </c>
      <c r="BK45" s="61" t="s">
        <v>46</v>
      </c>
      <c r="BL45" s="2" t="s">
        <v>315</v>
      </c>
      <c r="BM45" s="2">
        <v>35</v>
      </c>
    </row>
    <row r="46" spans="1:65" x14ac:dyDescent="0.3">
      <c r="A46" s="2" t="s">
        <v>132</v>
      </c>
      <c r="B46" s="2" t="s">
        <v>29</v>
      </c>
      <c r="C46" s="2" t="s">
        <v>12</v>
      </c>
      <c r="D46" s="2" t="s">
        <v>13</v>
      </c>
      <c r="E46" s="2">
        <v>17</v>
      </c>
      <c r="F46" s="2">
        <v>10</v>
      </c>
      <c r="G46" s="2" t="s">
        <v>25</v>
      </c>
      <c r="H46" s="2" t="s">
        <v>37</v>
      </c>
      <c r="I46" s="2" t="s">
        <v>133</v>
      </c>
      <c r="J46" s="2">
        <v>88</v>
      </c>
      <c r="L46" s="2" t="s">
        <v>721</v>
      </c>
      <c r="M46" s="2" t="s">
        <v>23</v>
      </c>
      <c r="N46" s="2" t="s">
        <v>19</v>
      </c>
      <c r="O46" s="2" t="s">
        <v>31</v>
      </c>
      <c r="P46" s="2">
        <v>18</v>
      </c>
      <c r="Q46" s="2">
        <v>10</v>
      </c>
      <c r="R46" s="2" t="s">
        <v>14</v>
      </c>
      <c r="S46" s="61" t="s">
        <v>26</v>
      </c>
      <c r="T46" s="2" t="s">
        <v>722</v>
      </c>
      <c r="U46" s="2">
        <v>43</v>
      </c>
      <c r="W46" s="2" t="s">
        <v>371</v>
      </c>
      <c r="X46" s="2" t="s">
        <v>35</v>
      </c>
      <c r="Y46" s="2" t="s">
        <v>58</v>
      </c>
      <c r="Z46" s="2" t="s">
        <v>31</v>
      </c>
      <c r="AA46" s="2">
        <v>19</v>
      </c>
      <c r="AB46" s="2">
        <v>9</v>
      </c>
      <c r="AC46" s="2" t="s">
        <v>14</v>
      </c>
      <c r="AD46" s="2" t="s">
        <v>20</v>
      </c>
      <c r="AE46" s="2" t="s">
        <v>372</v>
      </c>
      <c r="AF46" s="61">
        <v>87</v>
      </c>
      <c r="AH46" s="2" t="s">
        <v>539</v>
      </c>
      <c r="AI46" s="2" t="s">
        <v>73</v>
      </c>
      <c r="AJ46" s="2" t="s">
        <v>36</v>
      </c>
      <c r="AK46" s="2" t="s">
        <v>31</v>
      </c>
      <c r="AL46" s="2">
        <v>14</v>
      </c>
      <c r="AM46" s="61">
        <v>12</v>
      </c>
      <c r="AN46" s="2" t="s">
        <v>43</v>
      </c>
      <c r="AO46" s="2" t="s">
        <v>61</v>
      </c>
      <c r="AP46" s="2" t="s">
        <v>387</v>
      </c>
      <c r="AQ46" s="2">
        <v>37</v>
      </c>
      <c r="AS46" s="2" t="s">
        <v>126</v>
      </c>
      <c r="AT46" s="2" t="s">
        <v>18</v>
      </c>
      <c r="AU46" s="2" t="s">
        <v>24</v>
      </c>
      <c r="AV46" s="2" t="s">
        <v>13</v>
      </c>
      <c r="AW46" s="61">
        <v>15</v>
      </c>
      <c r="AX46" s="2">
        <v>9</v>
      </c>
      <c r="AY46" s="2" t="s">
        <v>25</v>
      </c>
      <c r="AZ46" s="2" t="s">
        <v>76</v>
      </c>
      <c r="BA46" s="2" t="s">
        <v>127</v>
      </c>
      <c r="BB46" s="2">
        <v>59</v>
      </c>
      <c r="BD46" s="2" t="s">
        <v>324</v>
      </c>
      <c r="BE46" s="2" t="s">
        <v>23</v>
      </c>
      <c r="BF46" s="2" t="s">
        <v>85</v>
      </c>
      <c r="BG46" s="2" t="s">
        <v>31</v>
      </c>
      <c r="BH46" s="2">
        <v>16</v>
      </c>
      <c r="BI46" s="2">
        <v>9</v>
      </c>
      <c r="BJ46" s="2" t="s">
        <v>32</v>
      </c>
      <c r="BK46" s="61" t="s">
        <v>61</v>
      </c>
      <c r="BL46" s="2" t="s">
        <v>325</v>
      </c>
      <c r="BM46" s="2">
        <v>54</v>
      </c>
    </row>
    <row r="47" spans="1:65" x14ac:dyDescent="0.3">
      <c r="A47" s="2" t="s">
        <v>134</v>
      </c>
      <c r="B47" s="2" t="s">
        <v>23</v>
      </c>
      <c r="C47" s="2" t="s">
        <v>30</v>
      </c>
      <c r="D47" s="2" t="s">
        <v>31</v>
      </c>
      <c r="E47" s="2">
        <v>20</v>
      </c>
      <c r="F47" s="2">
        <v>9</v>
      </c>
      <c r="G47" s="2" t="s">
        <v>14</v>
      </c>
      <c r="H47" s="2" t="s">
        <v>15</v>
      </c>
      <c r="I47" s="2" t="s">
        <v>135</v>
      </c>
      <c r="J47" s="2">
        <v>50</v>
      </c>
      <c r="L47" s="2" t="s">
        <v>735</v>
      </c>
      <c r="M47" s="2" t="s">
        <v>68</v>
      </c>
      <c r="N47" s="2" t="s">
        <v>24</v>
      </c>
      <c r="O47" s="2" t="s">
        <v>31</v>
      </c>
      <c r="P47" s="2">
        <v>16</v>
      </c>
      <c r="Q47" s="2">
        <v>12</v>
      </c>
      <c r="R47" s="2" t="s">
        <v>43</v>
      </c>
      <c r="S47" s="61" t="s">
        <v>26</v>
      </c>
      <c r="T47" s="2" t="s">
        <v>736</v>
      </c>
      <c r="U47" s="2">
        <v>85</v>
      </c>
      <c r="W47" s="2" t="s">
        <v>388</v>
      </c>
      <c r="X47" s="2" t="s">
        <v>73</v>
      </c>
      <c r="Y47" s="2" t="s">
        <v>12</v>
      </c>
      <c r="Z47" s="2" t="s">
        <v>31</v>
      </c>
      <c r="AA47" s="2">
        <v>19</v>
      </c>
      <c r="AB47" s="2">
        <v>11</v>
      </c>
      <c r="AC47" s="2" t="s">
        <v>43</v>
      </c>
      <c r="AD47" s="2" t="s">
        <v>61</v>
      </c>
      <c r="AE47" s="2" t="s">
        <v>214</v>
      </c>
      <c r="AF47" s="61">
        <v>88</v>
      </c>
      <c r="AH47" s="2" t="s">
        <v>542</v>
      </c>
      <c r="AI47" s="2" t="s">
        <v>84</v>
      </c>
      <c r="AJ47" s="2" t="s">
        <v>55</v>
      </c>
      <c r="AK47" s="2" t="s">
        <v>31</v>
      </c>
      <c r="AL47" s="2">
        <v>18</v>
      </c>
      <c r="AM47" s="61">
        <v>12</v>
      </c>
      <c r="AN47" s="2" t="s">
        <v>32</v>
      </c>
      <c r="AO47" s="2" t="s">
        <v>40</v>
      </c>
      <c r="AP47" s="2" t="s">
        <v>543</v>
      </c>
      <c r="AQ47" s="2">
        <v>51</v>
      </c>
      <c r="AS47" s="2" t="s">
        <v>128</v>
      </c>
      <c r="AT47" s="2" t="s">
        <v>11</v>
      </c>
      <c r="AU47" s="2" t="s">
        <v>24</v>
      </c>
      <c r="AV47" s="2" t="s">
        <v>31</v>
      </c>
      <c r="AW47" s="61">
        <v>17</v>
      </c>
      <c r="AX47" s="2">
        <v>12</v>
      </c>
      <c r="AY47" s="2" t="s">
        <v>32</v>
      </c>
      <c r="AZ47" s="2" t="s">
        <v>15</v>
      </c>
      <c r="BA47" s="2" t="s">
        <v>129</v>
      </c>
      <c r="BB47" s="2">
        <v>68</v>
      </c>
      <c r="BD47" s="2" t="s">
        <v>327</v>
      </c>
      <c r="BE47" s="2" t="s">
        <v>73</v>
      </c>
      <c r="BF47" s="2" t="s">
        <v>96</v>
      </c>
      <c r="BG47" s="2" t="s">
        <v>13</v>
      </c>
      <c r="BH47" s="2">
        <v>20</v>
      </c>
      <c r="BI47" s="2">
        <v>9</v>
      </c>
      <c r="BJ47" s="2" t="s">
        <v>32</v>
      </c>
      <c r="BK47" s="61" t="s">
        <v>61</v>
      </c>
      <c r="BL47" s="2" t="s">
        <v>328</v>
      </c>
      <c r="BM47" s="2">
        <v>40</v>
      </c>
    </row>
    <row r="48" spans="1:65" x14ac:dyDescent="0.3">
      <c r="A48" s="2" t="s">
        <v>136</v>
      </c>
      <c r="B48" s="2" t="s">
        <v>11</v>
      </c>
      <c r="C48" s="2" t="s">
        <v>79</v>
      </c>
      <c r="D48" s="2" t="s">
        <v>13</v>
      </c>
      <c r="E48" s="2">
        <v>14</v>
      </c>
      <c r="F48" s="2">
        <v>10</v>
      </c>
      <c r="G48" s="2" t="s">
        <v>43</v>
      </c>
      <c r="H48" s="2" t="s">
        <v>61</v>
      </c>
      <c r="I48" s="2" t="s">
        <v>137</v>
      </c>
      <c r="J48" s="2">
        <v>65</v>
      </c>
      <c r="L48" s="2" t="s">
        <v>743</v>
      </c>
      <c r="M48" s="2" t="s">
        <v>84</v>
      </c>
      <c r="N48" s="2" t="s">
        <v>19</v>
      </c>
      <c r="O48" s="2" t="s">
        <v>13</v>
      </c>
      <c r="P48" s="2">
        <v>15</v>
      </c>
      <c r="Q48" s="2">
        <v>10</v>
      </c>
      <c r="R48" s="2" t="s">
        <v>43</v>
      </c>
      <c r="S48" s="61" t="s">
        <v>26</v>
      </c>
      <c r="T48" s="2" t="s">
        <v>744</v>
      </c>
      <c r="U48" s="2">
        <v>60</v>
      </c>
      <c r="W48" s="2" t="s">
        <v>393</v>
      </c>
      <c r="X48" s="2" t="s">
        <v>68</v>
      </c>
      <c r="Y48" s="2" t="s">
        <v>85</v>
      </c>
      <c r="Z48" s="2" t="s">
        <v>13</v>
      </c>
      <c r="AA48" s="2">
        <v>15</v>
      </c>
      <c r="AB48" s="2">
        <v>10</v>
      </c>
      <c r="AC48" s="2" t="s">
        <v>32</v>
      </c>
      <c r="AD48" s="2" t="s">
        <v>37</v>
      </c>
      <c r="AE48" s="2" t="s">
        <v>394</v>
      </c>
      <c r="AF48" s="61">
        <v>89</v>
      </c>
      <c r="AH48" s="2" t="s">
        <v>562</v>
      </c>
      <c r="AI48" s="2" t="s">
        <v>29</v>
      </c>
      <c r="AJ48" s="2" t="s">
        <v>79</v>
      </c>
      <c r="AK48" s="2" t="s">
        <v>31</v>
      </c>
      <c r="AL48" s="2">
        <v>15</v>
      </c>
      <c r="AM48" s="61">
        <v>12</v>
      </c>
      <c r="AN48" s="2" t="s">
        <v>32</v>
      </c>
      <c r="AO48" s="2" t="s">
        <v>46</v>
      </c>
      <c r="AP48" s="2" t="s">
        <v>121</v>
      </c>
      <c r="AQ48" s="2">
        <v>53</v>
      </c>
      <c r="AS48" s="2" t="s">
        <v>130</v>
      </c>
      <c r="AT48" s="2" t="s">
        <v>73</v>
      </c>
      <c r="AU48" s="2" t="s">
        <v>30</v>
      </c>
      <c r="AV48" s="2" t="s">
        <v>13</v>
      </c>
      <c r="AW48" s="61">
        <v>17</v>
      </c>
      <c r="AX48" s="2">
        <v>12</v>
      </c>
      <c r="AY48" s="2" t="s">
        <v>25</v>
      </c>
      <c r="AZ48" s="2" t="s">
        <v>40</v>
      </c>
      <c r="BA48" s="2" t="s">
        <v>131</v>
      </c>
      <c r="BB48" s="2">
        <v>82</v>
      </c>
      <c r="BD48" s="2" t="s">
        <v>329</v>
      </c>
      <c r="BE48" s="2" t="s">
        <v>11</v>
      </c>
      <c r="BF48" s="2" t="s">
        <v>24</v>
      </c>
      <c r="BG48" s="2" t="s">
        <v>31</v>
      </c>
      <c r="BH48" s="2">
        <v>15</v>
      </c>
      <c r="BI48" s="2">
        <v>9</v>
      </c>
      <c r="BJ48" s="2" t="s">
        <v>43</v>
      </c>
      <c r="BK48" s="61" t="s">
        <v>61</v>
      </c>
      <c r="BL48" s="2" t="s">
        <v>330</v>
      </c>
      <c r="BM48" s="2">
        <v>83</v>
      </c>
    </row>
    <row r="49" spans="1:65" x14ac:dyDescent="0.3">
      <c r="A49" s="2" t="s">
        <v>138</v>
      </c>
      <c r="B49" s="2" t="s">
        <v>51</v>
      </c>
      <c r="C49" s="2" t="s">
        <v>85</v>
      </c>
      <c r="D49" s="2" t="s">
        <v>13</v>
      </c>
      <c r="E49" s="2">
        <v>18</v>
      </c>
      <c r="F49" s="2">
        <v>11</v>
      </c>
      <c r="G49" s="2" t="s">
        <v>43</v>
      </c>
      <c r="H49" s="2" t="s">
        <v>61</v>
      </c>
      <c r="I49" s="2" t="s">
        <v>139</v>
      </c>
      <c r="J49" s="2">
        <v>100</v>
      </c>
      <c r="L49" s="2" t="s">
        <v>747</v>
      </c>
      <c r="M49" s="2" t="s">
        <v>51</v>
      </c>
      <c r="N49" s="2" t="s">
        <v>96</v>
      </c>
      <c r="O49" s="2" t="s">
        <v>13</v>
      </c>
      <c r="P49" s="2">
        <v>17</v>
      </c>
      <c r="Q49" s="2">
        <v>12</v>
      </c>
      <c r="R49" s="2" t="s">
        <v>14</v>
      </c>
      <c r="S49" s="61" t="s">
        <v>26</v>
      </c>
      <c r="T49" s="2" t="s">
        <v>748</v>
      </c>
      <c r="U49" s="2">
        <v>67</v>
      </c>
      <c r="W49" s="2" t="s">
        <v>397</v>
      </c>
      <c r="X49" s="2" t="s">
        <v>23</v>
      </c>
      <c r="Y49" s="2" t="s">
        <v>12</v>
      </c>
      <c r="Z49" s="2" t="s">
        <v>13</v>
      </c>
      <c r="AA49" s="2">
        <v>20</v>
      </c>
      <c r="AB49" s="2">
        <v>9</v>
      </c>
      <c r="AC49" s="2" t="s">
        <v>25</v>
      </c>
      <c r="AD49" s="2" t="s">
        <v>46</v>
      </c>
      <c r="AE49" s="2" t="s">
        <v>398</v>
      </c>
      <c r="AF49" s="61">
        <v>91</v>
      </c>
      <c r="AH49" s="2" t="s">
        <v>567</v>
      </c>
      <c r="AI49" s="2" t="s">
        <v>54</v>
      </c>
      <c r="AJ49" s="2" t="s">
        <v>12</v>
      </c>
      <c r="AK49" s="2" t="s">
        <v>31</v>
      </c>
      <c r="AL49" s="2">
        <v>18</v>
      </c>
      <c r="AM49" s="61">
        <v>12</v>
      </c>
      <c r="AN49" s="2" t="s">
        <v>25</v>
      </c>
      <c r="AO49" s="2" t="s">
        <v>26</v>
      </c>
      <c r="AP49" s="2" t="s">
        <v>568</v>
      </c>
      <c r="AQ49" s="2">
        <v>96</v>
      </c>
      <c r="AS49" s="2" t="s">
        <v>132</v>
      </c>
      <c r="AT49" s="2" t="s">
        <v>29</v>
      </c>
      <c r="AU49" s="2" t="s">
        <v>12</v>
      </c>
      <c r="AV49" s="2" t="s">
        <v>13</v>
      </c>
      <c r="AW49" s="61">
        <v>17</v>
      </c>
      <c r="AX49" s="2">
        <v>10</v>
      </c>
      <c r="AY49" s="2" t="s">
        <v>25</v>
      </c>
      <c r="AZ49" s="2" t="s">
        <v>37</v>
      </c>
      <c r="BA49" s="2" t="s">
        <v>133</v>
      </c>
      <c r="BB49" s="2">
        <v>88</v>
      </c>
      <c r="BD49" s="2" t="s">
        <v>336</v>
      </c>
      <c r="BE49" s="2" t="s">
        <v>11</v>
      </c>
      <c r="BF49" s="2" t="s">
        <v>58</v>
      </c>
      <c r="BG49" s="2" t="s">
        <v>31</v>
      </c>
      <c r="BH49" s="2">
        <v>19</v>
      </c>
      <c r="BI49" s="2">
        <v>12</v>
      </c>
      <c r="BJ49" s="2" t="s">
        <v>25</v>
      </c>
      <c r="BK49" s="61" t="s">
        <v>61</v>
      </c>
      <c r="BL49" s="2" t="s">
        <v>218</v>
      </c>
      <c r="BM49" s="2">
        <v>68</v>
      </c>
    </row>
    <row r="50" spans="1:65" x14ac:dyDescent="0.3">
      <c r="A50" s="2" t="s">
        <v>140</v>
      </c>
      <c r="B50" s="2" t="s">
        <v>35</v>
      </c>
      <c r="C50" s="2" t="s">
        <v>30</v>
      </c>
      <c r="D50" s="2" t="s">
        <v>31</v>
      </c>
      <c r="E50" s="2">
        <v>19</v>
      </c>
      <c r="F50" s="2">
        <v>10</v>
      </c>
      <c r="G50" s="2" t="s">
        <v>32</v>
      </c>
      <c r="H50" s="2" t="s">
        <v>76</v>
      </c>
      <c r="I50" s="2" t="s">
        <v>141</v>
      </c>
      <c r="J50" s="2">
        <v>93</v>
      </c>
      <c r="L50" s="2" t="s">
        <v>817</v>
      </c>
      <c r="M50" s="2" t="s">
        <v>51</v>
      </c>
      <c r="N50" s="2" t="s">
        <v>55</v>
      </c>
      <c r="O50" s="2" t="s">
        <v>31</v>
      </c>
      <c r="P50" s="2">
        <v>19</v>
      </c>
      <c r="Q50" s="2">
        <v>11</v>
      </c>
      <c r="R50" s="2" t="s">
        <v>14</v>
      </c>
      <c r="S50" s="61" t="s">
        <v>26</v>
      </c>
      <c r="T50" s="2" t="s">
        <v>818</v>
      </c>
      <c r="U50" s="2">
        <v>56</v>
      </c>
      <c r="W50" s="2" t="s">
        <v>401</v>
      </c>
      <c r="X50" s="2" t="s">
        <v>11</v>
      </c>
      <c r="Y50" s="2" t="s">
        <v>79</v>
      </c>
      <c r="Z50" s="2" t="s">
        <v>31</v>
      </c>
      <c r="AA50" s="2">
        <v>15</v>
      </c>
      <c r="AB50" s="2">
        <v>11</v>
      </c>
      <c r="AC50" s="2" t="s">
        <v>43</v>
      </c>
      <c r="AD50" s="2" t="s">
        <v>40</v>
      </c>
      <c r="AE50" s="2" t="s">
        <v>402</v>
      </c>
      <c r="AF50" s="61">
        <v>84</v>
      </c>
      <c r="AH50" s="2" t="s">
        <v>604</v>
      </c>
      <c r="AI50" s="2" t="s">
        <v>51</v>
      </c>
      <c r="AJ50" s="2" t="s">
        <v>85</v>
      </c>
      <c r="AK50" s="2" t="s">
        <v>31</v>
      </c>
      <c r="AL50" s="2">
        <v>20</v>
      </c>
      <c r="AM50" s="61">
        <v>12</v>
      </c>
      <c r="AN50" s="2" t="s">
        <v>25</v>
      </c>
      <c r="AO50" s="2" t="s">
        <v>26</v>
      </c>
      <c r="AP50" s="2" t="s">
        <v>299</v>
      </c>
      <c r="AQ50" s="2">
        <v>69</v>
      </c>
      <c r="AS50" s="2" t="s">
        <v>134</v>
      </c>
      <c r="AT50" s="2" t="s">
        <v>23</v>
      </c>
      <c r="AU50" s="2" t="s">
        <v>30</v>
      </c>
      <c r="AV50" s="2" t="s">
        <v>31</v>
      </c>
      <c r="AW50" s="61">
        <v>20</v>
      </c>
      <c r="AX50" s="2">
        <v>9</v>
      </c>
      <c r="AY50" s="2" t="s">
        <v>14</v>
      </c>
      <c r="AZ50" s="2" t="s">
        <v>15</v>
      </c>
      <c r="BA50" s="2" t="s">
        <v>135</v>
      </c>
      <c r="BB50" s="2">
        <v>50</v>
      </c>
      <c r="BD50" s="2" t="s">
        <v>337</v>
      </c>
      <c r="BE50" s="2" t="s">
        <v>23</v>
      </c>
      <c r="BF50" s="2" t="s">
        <v>30</v>
      </c>
      <c r="BG50" s="2" t="s">
        <v>31</v>
      </c>
      <c r="BH50" s="2">
        <v>19</v>
      </c>
      <c r="BI50" s="2">
        <v>9</v>
      </c>
      <c r="BJ50" s="2" t="s">
        <v>32</v>
      </c>
      <c r="BK50" s="61" t="s">
        <v>61</v>
      </c>
      <c r="BL50" s="2" t="s">
        <v>338</v>
      </c>
      <c r="BM50" s="2">
        <v>51</v>
      </c>
    </row>
    <row r="51" spans="1:65" x14ac:dyDescent="0.3">
      <c r="A51" s="2" t="s">
        <v>142</v>
      </c>
      <c r="B51" s="2" t="s">
        <v>29</v>
      </c>
      <c r="C51" s="2" t="s">
        <v>96</v>
      </c>
      <c r="D51" s="2" t="s">
        <v>31</v>
      </c>
      <c r="E51" s="2">
        <v>16</v>
      </c>
      <c r="F51" s="2">
        <v>12</v>
      </c>
      <c r="G51" s="2" t="s">
        <v>14</v>
      </c>
      <c r="H51" s="2" t="s">
        <v>37</v>
      </c>
      <c r="I51" s="2" t="s">
        <v>143</v>
      </c>
      <c r="J51" s="2">
        <v>85</v>
      </c>
      <c r="L51" s="2" t="s">
        <v>821</v>
      </c>
      <c r="M51" s="2" t="s">
        <v>18</v>
      </c>
      <c r="N51" s="2" t="s">
        <v>79</v>
      </c>
      <c r="O51" s="2" t="s">
        <v>13</v>
      </c>
      <c r="P51" s="2">
        <v>20</v>
      </c>
      <c r="Q51" s="2">
        <v>12</v>
      </c>
      <c r="R51" s="2" t="s">
        <v>32</v>
      </c>
      <c r="S51" s="61" t="s">
        <v>26</v>
      </c>
      <c r="T51" s="2" t="s">
        <v>822</v>
      </c>
      <c r="U51" s="2">
        <v>52</v>
      </c>
      <c r="W51" s="2" t="s">
        <v>407</v>
      </c>
      <c r="X51" s="2" t="s">
        <v>29</v>
      </c>
      <c r="Y51" s="2" t="s">
        <v>12</v>
      </c>
      <c r="Z51" s="2" t="s">
        <v>31</v>
      </c>
      <c r="AA51" s="2">
        <v>16</v>
      </c>
      <c r="AB51" s="2">
        <v>10</v>
      </c>
      <c r="AC51" s="2" t="s">
        <v>14</v>
      </c>
      <c r="AD51" s="2" t="s">
        <v>40</v>
      </c>
      <c r="AE51" s="2" t="s">
        <v>71</v>
      </c>
      <c r="AF51" s="61">
        <v>100</v>
      </c>
      <c r="AH51" s="2" t="s">
        <v>611</v>
      </c>
      <c r="AI51" s="2" t="s">
        <v>18</v>
      </c>
      <c r="AJ51" s="2" t="s">
        <v>24</v>
      </c>
      <c r="AK51" s="2" t="s">
        <v>31</v>
      </c>
      <c r="AL51" s="2">
        <v>19</v>
      </c>
      <c r="AM51" s="61">
        <v>12</v>
      </c>
      <c r="AN51" s="2" t="s">
        <v>43</v>
      </c>
      <c r="AO51" s="2" t="s">
        <v>26</v>
      </c>
      <c r="AP51" s="2" t="s">
        <v>612</v>
      </c>
      <c r="AQ51" s="2">
        <v>82</v>
      </c>
      <c r="AS51" s="2" t="s">
        <v>136</v>
      </c>
      <c r="AT51" s="2" t="s">
        <v>11</v>
      </c>
      <c r="AU51" s="2" t="s">
        <v>79</v>
      </c>
      <c r="AV51" s="2" t="s">
        <v>13</v>
      </c>
      <c r="AW51" s="61">
        <v>14</v>
      </c>
      <c r="AX51" s="2">
        <v>10</v>
      </c>
      <c r="AY51" s="2" t="s">
        <v>43</v>
      </c>
      <c r="AZ51" s="2" t="s">
        <v>61</v>
      </c>
      <c r="BA51" s="2" t="s">
        <v>137</v>
      </c>
      <c r="BB51" s="2">
        <v>65</v>
      </c>
      <c r="BD51" s="2" t="s">
        <v>353</v>
      </c>
      <c r="BE51" s="2" t="s">
        <v>51</v>
      </c>
      <c r="BF51" s="2" t="s">
        <v>55</v>
      </c>
      <c r="BG51" s="2" t="s">
        <v>31</v>
      </c>
      <c r="BH51" s="2">
        <v>20</v>
      </c>
      <c r="BI51" s="2">
        <v>9</v>
      </c>
      <c r="BJ51" s="2" t="s">
        <v>25</v>
      </c>
      <c r="BK51" s="61" t="s">
        <v>46</v>
      </c>
      <c r="BL51" s="2" t="s">
        <v>354</v>
      </c>
      <c r="BM51" s="2">
        <v>53</v>
      </c>
    </row>
    <row r="52" spans="1:65" x14ac:dyDescent="0.3">
      <c r="A52" s="2" t="s">
        <v>144</v>
      </c>
      <c r="B52" s="2" t="s">
        <v>73</v>
      </c>
      <c r="C52" s="2" t="s">
        <v>12</v>
      </c>
      <c r="D52" s="2" t="s">
        <v>31</v>
      </c>
      <c r="E52" s="2">
        <v>20</v>
      </c>
      <c r="F52" s="2">
        <v>10</v>
      </c>
      <c r="G52" s="2" t="s">
        <v>14</v>
      </c>
      <c r="H52" s="2" t="s">
        <v>26</v>
      </c>
      <c r="I52" s="2" t="s">
        <v>145</v>
      </c>
      <c r="J52" s="2">
        <v>71</v>
      </c>
      <c r="L52" s="2" t="s">
        <v>850</v>
      </c>
      <c r="M52" s="2" t="s">
        <v>51</v>
      </c>
      <c r="N52" s="2" t="s">
        <v>96</v>
      </c>
      <c r="O52" s="2" t="s">
        <v>13</v>
      </c>
      <c r="P52" s="2">
        <v>14</v>
      </c>
      <c r="Q52" s="2">
        <v>9</v>
      </c>
      <c r="R52" s="2" t="s">
        <v>25</v>
      </c>
      <c r="S52" s="61" t="s">
        <v>26</v>
      </c>
      <c r="T52" s="2" t="s">
        <v>851</v>
      </c>
      <c r="U52" s="2">
        <v>90</v>
      </c>
      <c r="W52" s="2" t="s">
        <v>412</v>
      </c>
      <c r="X52" s="2" t="s">
        <v>73</v>
      </c>
      <c r="Y52" s="2" t="s">
        <v>55</v>
      </c>
      <c r="Z52" s="2" t="s">
        <v>13</v>
      </c>
      <c r="AA52" s="2">
        <v>16</v>
      </c>
      <c r="AB52" s="2">
        <v>12</v>
      </c>
      <c r="AC52" s="2" t="s">
        <v>32</v>
      </c>
      <c r="AD52" s="2" t="s">
        <v>46</v>
      </c>
      <c r="AE52" s="2" t="s">
        <v>413</v>
      </c>
      <c r="AF52" s="61">
        <v>85</v>
      </c>
      <c r="AH52" s="2" t="s">
        <v>620</v>
      </c>
      <c r="AI52" s="2" t="s">
        <v>84</v>
      </c>
      <c r="AJ52" s="2" t="s">
        <v>24</v>
      </c>
      <c r="AK52" s="2" t="s">
        <v>31</v>
      </c>
      <c r="AL52" s="2">
        <v>19</v>
      </c>
      <c r="AM52" s="61">
        <v>12</v>
      </c>
      <c r="AN52" s="2" t="s">
        <v>14</v>
      </c>
      <c r="AO52" s="2" t="s">
        <v>61</v>
      </c>
      <c r="AP52" s="2" t="s">
        <v>621</v>
      </c>
      <c r="AQ52" s="2">
        <v>77</v>
      </c>
      <c r="AS52" s="2" t="s">
        <v>138</v>
      </c>
      <c r="AT52" s="2" t="s">
        <v>51</v>
      </c>
      <c r="AU52" s="2" t="s">
        <v>85</v>
      </c>
      <c r="AV52" s="2" t="s">
        <v>13</v>
      </c>
      <c r="AW52" s="61">
        <v>18</v>
      </c>
      <c r="AX52" s="2">
        <v>11</v>
      </c>
      <c r="AY52" s="2" t="s">
        <v>43</v>
      </c>
      <c r="AZ52" s="2" t="s">
        <v>61</v>
      </c>
      <c r="BA52" s="2" t="s">
        <v>139</v>
      </c>
      <c r="BB52" s="2">
        <v>100</v>
      </c>
      <c r="BD52" s="2" t="s">
        <v>369</v>
      </c>
      <c r="BE52" s="2" t="s">
        <v>23</v>
      </c>
      <c r="BF52" s="2" t="s">
        <v>24</v>
      </c>
      <c r="BG52" s="2" t="s">
        <v>31</v>
      </c>
      <c r="BH52" s="2">
        <v>17</v>
      </c>
      <c r="BI52" s="2">
        <v>12</v>
      </c>
      <c r="BJ52" s="2" t="s">
        <v>43</v>
      </c>
      <c r="BK52" s="61" t="s">
        <v>61</v>
      </c>
      <c r="BL52" s="2" t="s">
        <v>370</v>
      </c>
      <c r="BM52" s="2">
        <v>96</v>
      </c>
    </row>
    <row r="53" spans="1:65" x14ac:dyDescent="0.3">
      <c r="A53" s="2" t="s">
        <v>146</v>
      </c>
      <c r="B53" s="2" t="s">
        <v>35</v>
      </c>
      <c r="C53" s="2" t="s">
        <v>30</v>
      </c>
      <c r="D53" s="2" t="s">
        <v>31</v>
      </c>
      <c r="E53" s="2">
        <v>20</v>
      </c>
      <c r="F53" s="2">
        <v>9</v>
      </c>
      <c r="G53" s="2" t="s">
        <v>43</v>
      </c>
      <c r="H53" s="2" t="s">
        <v>15</v>
      </c>
      <c r="I53" s="2" t="s">
        <v>147</v>
      </c>
      <c r="J53" s="2">
        <v>40</v>
      </c>
      <c r="L53" s="2" t="s">
        <v>858</v>
      </c>
      <c r="M53" s="2" t="s">
        <v>35</v>
      </c>
      <c r="N53" s="2" t="s">
        <v>12</v>
      </c>
      <c r="O53" s="2" t="s">
        <v>31</v>
      </c>
      <c r="P53" s="2">
        <v>19</v>
      </c>
      <c r="Q53" s="2">
        <v>9</v>
      </c>
      <c r="R53" s="2" t="s">
        <v>43</v>
      </c>
      <c r="S53" s="61" t="s">
        <v>26</v>
      </c>
      <c r="T53" s="2" t="s">
        <v>859</v>
      </c>
      <c r="U53" s="2">
        <v>88</v>
      </c>
      <c r="W53" s="2" t="s">
        <v>422</v>
      </c>
      <c r="X53" s="2" t="s">
        <v>73</v>
      </c>
      <c r="Y53" s="2" t="s">
        <v>96</v>
      </c>
      <c r="Z53" s="2" t="s">
        <v>13</v>
      </c>
      <c r="AA53" s="2">
        <v>14</v>
      </c>
      <c r="AB53" s="2">
        <v>10</v>
      </c>
      <c r="AC53" s="2" t="s">
        <v>25</v>
      </c>
      <c r="AD53" s="2" t="s">
        <v>15</v>
      </c>
      <c r="AE53" s="2" t="s">
        <v>423</v>
      </c>
      <c r="AF53" s="61">
        <v>99</v>
      </c>
      <c r="AH53" s="2" t="s">
        <v>622</v>
      </c>
      <c r="AI53" s="2" t="s">
        <v>23</v>
      </c>
      <c r="AJ53" s="2" t="s">
        <v>96</v>
      </c>
      <c r="AK53" s="2" t="s">
        <v>31</v>
      </c>
      <c r="AL53" s="2">
        <v>17</v>
      </c>
      <c r="AM53" s="61">
        <v>12</v>
      </c>
      <c r="AN53" s="2" t="s">
        <v>43</v>
      </c>
      <c r="AO53" s="2" t="s">
        <v>46</v>
      </c>
      <c r="AP53" s="2" t="s">
        <v>170</v>
      </c>
      <c r="AQ53" s="2">
        <v>62</v>
      </c>
      <c r="AS53" s="2" t="s">
        <v>140</v>
      </c>
      <c r="AT53" s="2" t="s">
        <v>35</v>
      </c>
      <c r="AU53" s="2" t="s">
        <v>30</v>
      </c>
      <c r="AV53" s="2" t="s">
        <v>31</v>
      </c>
      <c r="AW53" s="61">
        <v>19</v>
      </c>
      <c r="AX53" s="2">
        <v>10</v>
      </c>
      <c r="AY53" s="2" t="s">
        <v>32</v>
      </c>
      <c r="AZ53" s="2" t="s">
        <v>76</v>
      </c>
      <c r="BA53" s="2" t="s">
        <v>141</v>
      </c>
      <c r="BB53" s="2">
        <v>93</v>
      </c>
      <c r="BD53" s="2" t="s">
        <v>373</v>
      </c>
      <c r="BE53" s="2" t="s">
        <v>51</v>
      </c>
      <c r="BF53" s="2" t="s">
        <v>19</v>
      </c>
      <c r="BG53" s="2" t="s">
        <v>13</v>
      </c>
      <c r="BH53" s="2">
        <v>15</v>
      </c>
      <c r="BI53" s="2">
        <v>11</v>
      </c>
      <c r="BJ53" s="2" t="s">
        <v>14</v>
      </c>
      <c r="BK53" s="61" t="s">
        <v>61</v>
      </c>
      <c r="BL53" s="2" t="s">
        <v>374</v>
      </c>
      <c r="BM53" s="2">
        <v>78</v>
      </c>
    </row>
    <row r="54" spans="1:65" x14ac:dyDescent="0.3">
      <c r="A54" s="2" t="s">
        <v>148</v>
      </c>
      <c r="B54" s="2" t="s">
        <v>51</v>
      </c>
      <c r="C54" s="2" t="s">
        <v>96</v>
      </c>
      <c r="D54" s="2" t="s">
        <v>13</v>
      </c>
      <c r="E54" s="2">
        <v>19</v>
      </c>
      <c r="F54" s="2">
        <v>11</v>
      </c>
      <c r="G54" s="2" t="s">
        <v>14</v>
      </c>
      <c r="H54" s="2" t="s">
        <v>76</v>
      </c>
      <c r="I54" s="2" t="s">
        <v>149</v>
      </c>
      <c r="J54" s="2">
        <v>83</v>
      </c>
      <c r="L54" s="2" t="s">
        <v>869</v>
      </c>
      <c r="M54" s="2" t="s">
        <v>73</v>
      </c>
      <c r="N54" s="2" t="s">
        <v>96</v>
      </c>
      <c r="O54" s="2" t="s">
        <v>31</v>
      </c>
      <c r="P54" s="2">
        <v>17</v>
      </c>
      <c r="Q54" s="2">
        <v>9</v>
      </c>
      <c r="R54" s="2" t="s">
        <v>43</v>
      </c>
      <c r="S54" s="61" t="s">
        <v>26</v>
      </c>
      <c r="T54" s="2" t="s">
        <v>870</v>
      </c>
      <c r="U54" s="2">
        <v>53</v>
      </c>
      <c r="W54" s="2" t="s">
        <v>424</v>
      </c>
      <c r="X54" s="2" t="s">
        <v>29</v>
      </c>
      <c r="Y54" s="2" t="s">
        <v>36</v>
      </c>
      <c r="Z54" s="2" t="s">
        <v>31</v>
      </c>
      <c r="AA54" s="2">
        <v>16</v>
      </c>
      <c r="AB54" s="2">
        <v>12</v>
      </c>
      <c r="AC54" s="2" t="s">
        <v>32</v>
      </c>
      <c r="AD54" s="2" t="s">
        <v>37</v>
      </c>
      <c r="AE54" s="2" t="s">
        <v>180</v>
      </c>
      <c r="AF54" s="61">
        <v>89</v>
      </c>
      <c r="AH54" s="2" t="s">
        <v>625</v>
      </c>
      <c r="AI54" s="2" t="s">
        <v>68</v>
      </c>
      <c r="AJ54" s="2" t="s">
        <v>96</v>
      </c>
      <c r="AK54" s="2" t="s">
        <v>31</v>
      </c>
      <c r="AL54" s="2">
        <v>19</v>
      </c>
      <c r="AM54" s="61">
        <v>12</v>
      </c>
      <c r="AN54" s="2" t="s">
        <v>32</v>
      </c>
      <c r="AO54" s="2" t="s">
        <v>15</v>
      </c>
      <c r="AP54" s="2" t="s">
        <v>626</v>
      </c>
      <c r="AQ54" s="2">
        <v>86</v>
      </c>
      <c r="AS54" s="2" t="s">
        <v>142</v>
      </c>
      <c r="AT54" s="2" t="s">
        <v>29</v>
      </c>
      <c r="AU54" s="2" t="s">
        <v>96</v>
      </c>
      <c r="AV54" s="2" t="s">
        <v>31</v>
      </c>
      <c r="AW54" s="61">
        <v>16</v>
      </c>
      <c r="AX54" s="2">
        <v>12</v>
      </c>
      <c r="AY54" s="2" t="s">
        <v>14</v>
      </c>
      <c r="AZ54" s="2" t="s">
        <v>37</v>
      </c>
      <c r="BA54" s="2" t="s">
        <v>143</v>
      </c>
      <c r="BB54" s="2">
        <v>85</v>
      </c>
      <c r="BD54" s="2" t="s">
        <v>380</v>
      </c>
      <c r="BE54" s="2" t="s">
        <v>11</v>
      </c>
      <c r="BF54" s="2" t="s">
        <v>24</v>
      </c>
      <c r="BG54" s="2" t="s">
        <v>31</v>
      </c>
      <c r="BH54" s="2">
        <v>18</v>
      </c>
      <c r="BI54" s="2">
        <v>11</v>
      </c>
      <c r="BJ54" s="2" t="s">
        <v>32</v>
      </c>
      <c r="BK54" s="61" t="s">
        <v>61</v>
      </c>
      <c r="BL54" s="2" t="s">
        <v>381</v>
      </c>
      <c r="BM54" s="2">
        <v>67</v>
      </c>
    </row>
    <row r="55" spans="1:65" x14ac:dyDescent="0.3">
      <c r="A55" s="2" t="s">
        <v>150</v>
      </c>
      <c r="B55" s="2" t="s">
        <v>23</v>
      </c>
      <c r="C55" s="2" t="s">
        <v>55</v>
      </c>
      <c r="D55" s="2" t="s">
        <v>31</v>
      </c>
      <c r="E55" s="2">
        <v>17</v>
      </c>
      <c r="F55" s="2">
        <v>9</v>
      </c>
      <c r="G55" s="2" t="s">
        <v>25</v>
      </c>
      <c r="H55" s="2" t="s">
        <v>20</v>
      </c>
      <c r="I55" s="2" t="s">
        <v>151</v>
      </c>
      <c r="J55" s="2">
        <v>55</v>
      </c>
      <c r="L55" s="2" t="s">
        <v>876</v>
      </c>
      <c r="M55" s="2" t="s">
        <v>18</v>
      </c>
      <c r="N55" s="2" t="s">
        <v>24</v>
      </c>
      <c r="O55" s="2" t="s">
        <v>31</v>
      </c>
      <c r="P55" s="2">
        <v>16</v>
      </c>
      <c r="Q55" s="2">
        <v>9</v>
      </c>
      <c r="R55" s="2" t="s">
        <v>43</v>
      </c>
      <c r="S55" s="61" t="s">
        <v>26</v>
      </c>
      <c r="T55" s="2" t="s">
        <v>515</v>
      </c>
      <c r="U55" s="2">
        <v>48</v>
      </c>
      <c r="W55" s="2" t="s">
        <v>426</v>
      </c>
      <c r="X55" s="2" t="s">
        <v>54</v>
      </c>
      <c r="Y55" s="2" t="s">
        <v>96</v>
      </c>
      <c r="Z55" s="2" t="s">
        <v>31</v>
      </c>
      <c r="AA55" s="2">
        <v>16</v>
      </c>
      <c r="AB55" s="2">
        <v>12</v>
      </c>
      <c r="AC55" s="2" t="s">
        <v>25</v>
      </c>
      <c r="AD55" s="2" t="s">
        <v>20</v>
      </c>
      <c r="AE55" s="2" t="s">
        <v>427</v>
      </c>
      <c r="AF55" s="61">
        <v>82</v>
      </c>
      <c r="AH55" s="2" t="s">
        <v>638</v>
      </c>
      <c r="AI55" s="2" t="s">
        <v>54</v>
      </c>
      <c r="AJ55" s="2" t="s">
        <v>12</v>
      </c>
      <c r="AK55" s="2" t="s">
        <v>31</v>
      </c>
      <c r="AL55" s="2">
        <v>15</v>
      </c>
      <c r="AM55" s="61">
        <v>12</v>
      </c>
      <c r="AN55" s="2" t="s">
        <v>43</v>
      </c>
      <c r="AO55" s="2" t="s">
        <v>76</v>
      </c>
      <c r="AP55" s="2" t="s">
        <v>639</v>
      </c>
      <c r="AQ55" s="2">
        <v>51</v>
      </c>
      <c r="AS55" s="2" t="s">
        <v>144</v>
      </c>
      <c r="AT55" s="2" t="s">
        <v>73</v>
      </c>
      <c r="AU55" s="2" t="s">
        <v>12</v>
      </c>
      <c r="AV55" s="2" t="s">
        <v>31</v>
      </c>
      <c r="AW55" s="61">
        <v>20</v>
      </c>
      <c r="AX55" s="2">
        <v>10</v>
      </c>
      <c r="AY55" s="2" t="s">
        <v>14</v>
      </c>
      <c r="AZ55" s="2" t="s">
        <v>26</v>
      </c>
      <c r="BA55" s="2" t="s">
        <v>145</v>
      </c>
      <c r="BB55" s="2">
        <v>71</v>
      </c>
      <c r="BD55" s="2" t="s">
        <v>382</v>
      </c>
      <c r="BE55" s="2" t="s">
        <v>51</v>
      </c>
      <c r="BF55" s="2" t="s">
        <v>85</v>
      </c>
      <c r="BG55" s="2" t="s">
        <v>13</v>
      </c>
      <c r="BH55" s="2">
        <v>16</v>
      </c>
      <c r="BI55" s="2">
        <v>10</v>
      </c>
      <c r="BJ55" s="2" t="s">
        <v>43</v>
      </c>
      <c r="BK55" s="61" t="s">
        <v>61</v>
      </c>
      <c r="BL55" s="2" t="s">
        <v>383</v>
      </c>
      <c r="BM55" s="2">
        <v>72</v>
      </c>
    </row>
    <row r="56" spans="1:65" x14ac:dyDescent="0.3">
      <c r="A56" s="2" t="s">
        <v>152</v>
      </c>
      <c r="B56" s="2" t="s">
        <v>23</v>
      </c>
      <c r="C56" s="2" t="s">
        <v>55</v>
      </c>
      <c r="D56" s="2" t="s">
        <v>13</v>
      </c>
      <c r="E56" s="2">
        <v>17</v>
      </c>
      <c r="F56" s="2">
        <v>12</v>
      </c>
      <c r="G56" s="2" t="s">
        <v>32</v>
      </c>
      <c r="H56" s="2" t="s">
        <v>46</v>
      </c>
      <c r="I56" s="2" t="s">
        <v>153</v>
      </c>
      <c r="J56" s="2">
        <v>39</v>
      </c>
      <c r="L56" s="2" t="s">
        <v>877</v>
      </c>
      <c r="M56" s="2" t="s">
        <v>73</v>
      </c>
      <c r="N56" s="2" t="s">
        <v>85</v>
      </c>
      <c r="O56" s="2" t="s">
        <v>13</v>
      </c>
      <c r="P56" s="2">
        <v>19</v>
      </c>
      <c r="Q56" s="2">
        <v>10</v>
      </c>
      <c r="R56" s="2" t="s">
        <v>25</v>
      </c>
      <c r="S56" s="61" t="s">
        <v>26</v>
      </c>
      <c r="T56" s="2" t="s">
        <v>878</v>
      </c>
      <c r="U56" s="2">
        <v>81</v>
      </c>
      <c r="W56" s="2" t="s">
        <v>428</v>
      </c>
      <c r="X56" s="2" t="s">
        <v>54</v>
      </c>
      <c r="Y56" s="2" t="s">
        <v>55</v>
      </c>
      <c r="Z56" s="2" t="s">
        <v>13</v>
      </c>
      <c r="AA56" s="2">
        <v>16</v>
      </c>
      <c r="AB56" s="2">
        <v>11</v>
      </c>
      <c r="AC56" s="2" t="s">
        <v>25</v>
      </c>
      <c r="AD56" s="2" t="s">
        <v>15</v>
      </c>
      <c r="AE56" s="2" t="s">
        <v>429</v>
      </c>
      <c r="AF56" s="61">
        <v>86</v>
      </c>
      <c r="AH56" s="2" t="s">
        <v>646</v>
      </c>
      <c r="AI56" s="2" t="s">
        <v>84</v>
      </c>
      <c r="AJ56" s="2" t="s">
        <v>12</v>
      </c>
      <c r="AK56" s="2" t="s">
        <v>31</v>
      </c>
      <c r="AL56" s="2">
        <v>17</v>
      </c>
      <c r="AM56" s="61">
        <v>12</v>
      </c>
      <c r="AN56" s="2" t="s">
        <v>25</v>
      </c>
      <c r="AO56" s="2" t="s">
        <v>76</v>
      </c>
      <c r="AP56" s="2" t="s">
        <v>647</v>
      </c>
      <c r="AQ56" s="2">
        <v>83</v>
      </c>
      <c r="AS56" s="2" t="s">
        <v>146</v>
      </c>
      <c r="AT56" s="2" t="s">
        <v>35</v>
      </c>
      <c r="AU56" s="2" t="s">
        <v>30</v>
      </c>
      <c r="AV56" s="2" t="s">
        <v>31</v>
      </c>
      <c r="AW56" s="61">
        <v>20</v>
      </c>
      <c r="AX56" s="2">
        <v>9</v>
      </c>
      <c r="AY56" s="2" t="s">
        <v>43</v>
      </c>
      <c r="AZ56" s="2" t="s">
        <v>15</v>
      </c>
      <c r="BA56" s="2" t="s">
        <v>147</v>
      </c>
      <c r="BB56" s="2">
        <v>40</v>
      </c>
      <c r="BD56" s="2" t="s">
        <v>386</v>
      </c>
      <c r="BE56" s="2" t="s">
        <v>68</v>
      </c>
      <c r="BF56" s="2" t="s">
        <v>96</v>
      </c>
      <c r="BG56" s="2" t="s">
        <v>13</v>
      </c>
      <c r="BH56" s="2">
        <v>18</v>
      </c>
      <c r="BI56" s="2">
        <v>9</v>
      </c>
      <c r="BJ56" s="2" t="s">
        <v>25</v>
      </c>
      <c r="BK56" s="61" t="s">
        <v>46</v>
      </c>
      <c r="BL56" s="2" t="s">
        <v>387</v>
      </c>
      <c r="BM56" s="2">
        <v>74</v>
      </c>
    </row>
    <row r="57" spans="1:65" x14ac:dyDescent="0.3">
      <c r="A57" s="2" t="s">
        <v>154</v>
      </c>
      <c r="B57" s="2" t="s">
        <v>51</v>
      </c>
      <c r="C57" s="2" t="s">
        <v>36</v>
      </c>
      <c r="D57" s="2" t="s">
        <v>31</v>
      </c>
      <c r="E57" s="2">
        <v>18</v>
      </c>
      <c r="F57" s="2">
        <v>12</v>
      </c>
      <c r="G57" s="2" t="s">
        <v>43</v>
      </c>
      <c r="H57" s="2" t="s">
        <v>76</v>
      </c>
      <c r="I57" s="2" t="s">
        <v>155</v>
      </c>
      <c r="J57" s="2">
        <v>77</v>
      </c>
      <c r="L57" s="2" t="s">
        <v>894</v>
      </c>
      <c r="M57" s="2" t="s">
        <v>23</v>
      </c>
      <c r="N57" s="2" t="s">
        <v>79</v>
      </c>
      <c r="O57" s="2" t="s">
        <v>31</v>
      </c>
      <c r="P57" s="2">
        <v>20</v>
      </c>
      <c r="Q57" s="2">
        <v>9</v>
      </c>
      <c r="R57" s="2" t="s">
        <v>14</v>
      </c>
      <c r="S57" s="61" t="s">
        <v>26</v>
      </c>
      <c r="T57" s="2" t="s">
        <v>895</v>
      </c>
      <c r="U57" s="2">
        <v>36</v>
      </c>
      <c r="W57" s="2" t="s">
        <v>430</v>
      </c>
      <c r="X57" s="2" t="s">
        <v>54</v>
      </c>
      <c r="Y57" s="2" t="s">
        <v>30</v>
      </c>
      <c r="Z57" s="2" t="s">
        <v>13</v>
      </c>
      <c r="AA57" s="2">
        <v>18</v>
      </c>
      <c r="AB57" s="2">
        <v>11</v>
      </c>
      <c r="AC57" s="2" t="s">
        <v>25</v>
      </c>
      <c r="AD57" s="2" t="s">
        <v>26</v>
      </c>
      <c r="AE57" s="2" t="s">
        <v>431</v>
      </c>
      <c r="AF57" s="61">
        <v>91</v>
      </c>
      <c r="AH57" s="2" t="s">
        <v>654</v>
      </c>
      <c r="AI57" s="2" t="s">
        <v>18</v>
      </c>
      <c r="AJ57" s="2" t="s">
        <v>24</v>
      </c>
      <c r="AK57" s="2" t="s">
        <v>31</v>
      </c>
      <c r="AL57" s="2">
        <v>14</v>
      </c>
      <c r="AM57" s="61">
        <v>12</v>
      </c>
      <c r="AN57" s="2" t="s">
        <v>14</v>
      </c>
      <c r="AO57" s="2" t="s">
        <v>46</v>
      </c>
      <c r="AP57" s="2" t="s">
        <v>655</v>
      </c>
      <c r="AQ57" s="2">
        <v>42</v>
      </c>
      <c r="AS57" s="2" t="s">
        <v>148</v>
      </c>
      <c r="AT57" s="2" t="s">
        <v>51</v>
      </c>
      <c r="AU57" s="2" t="s">
        <v>96</v>
      </c>
      <c r="AV57" s="2" t="s">
        <v>13</v>
      </c>
      <c r="AW57" s="61">
        <v>19</v>
      </c>
      <c r="AX57" s="2">
        <v>11</v>
      </c>
      <c r="AY57" s="2" t="s">
        <v>14</v>
      </c>
      <c r="AZ57" s="2" t="s">
        <v>76</v>
      </c>
      <c r="BA57" s="2" t="s">
        <v>149</v>
      </c>
      <c r="BB57" s="2">
        <v>83</v>
      </c>
      <c r="BD57" s="2" t="s">
        <v>388</v>
      </c>
      <c r="BE57" s="2" t="s">
        <v>73</v>
      </c>
      <c r="BF57" s="2" t="s">
        <v>12</v>
      </c>
      <c r="BG57" s="2" t="s">
        <v>31</v>
      </c>
      <c r="BH57" s="2">
        <v>19</v>
      </c>
      <c r="BI57" s="2">
        <v>11</v>
      </c>
      <c r="BJ57" s="2" t="s">
        <v>43</v>
      </c>
      <c r="BK57" s="61" t="s">
        <v>61</v>
      </c>
      <c r="BL57" s="2" t="s">
        <v>214</v>
      </c>
      <c r="BM57" s="2">
        <v>88</v>
      </c>
    </row>
    <row r="58" spans="1:65" x14ac:dyDescent="0.3">
      <c r="A58" s="2" t="s">
        <v>156</v>
      </c>
      <c r="B58" s="2" t="s">
        <v>35</v>
      </c>
      <c r="C58" s="2" t="s">
        <v>55</v>
      </c>
      <c r="D58" s="2" t="s">
        <v>13</v>
      </c>
      <c r="E58" s="2">
        <v>19</v>
      </c>
      <c r="F58" s="2">
        <v>11</v>
      </c>
      <c r="G58" s="2" t="s">
        <v>14</v>
      </c>
      <c r="H58" s="2" t="s">
        <v>40</v>
      </c>
      <c r="I58" s="2" t="s">
        <v>157</v>
      </c>
      <c r="J58" s="2">
        <v>63</v>
      </c>
      <c r="L58" s="2" t="s">
        <v>896</v>
      </c>
      <c r="M58" s="2" t="s">
        <v>11</v>
      </c>
      <c r="N58" s="2" t="s">
        <v>36</v>
      </c>
      <c r="O58" s="2" t="s">
        <v>13</v>
      </c>
      <c r="P58" s="2">
        <v>15</v>
      </c>
      <c r="Q58" s="2">
        <v>11</v>
      </c>
      <c r="R58" s="2" t="s">
        <v>14</v>
      </c>
      <c r="S58" s="61" t="s">
        <v>26</v>
      </c>
      <c r="T58" s="2" t="s">
        <v>897</v>
      </c>
      <c r="U58" s="2">
        <v>95</v>
      </c>
      <c r="W58" s="2" t="s">
        <v>439</v>
      </c>
      <c r="X58" s="2" t="s">
        <v>11</v>
      </c>
      <c r="Y58" s="2" t="s">
        <v>12</v>
      </c>
      <c r="Z58" s="2" t="s">
        <v>13</v>
      </c>
      <c r="AA58" s="2">
        <v>15</v>
      </c>
      <c r="AB58" s="2">
        <v>9</v>
      </c>
      <c r="AC58" s="2" t="s">
        <v>25</v>
      </c>
      <c r="AD58" s="2" t="s">
        <v>15</v>
      </c>
      <c r="AE58" s="2" t="s">
        <v>440</v>
      </c>
      <c r="AF58" s="61">
        <v>90</v>
      </c>
      <c r="AH58" s="2" t="s">
        <v>667</v>
      </c>
      <c r="AI58" s="2" t="s">
        <v>35</v>
      </c>
      <c r="AJ58" s="2" t="s">
        <v>12</v>
      </c>
      <c r="AK58" s="2" t="s">
        <v>31</v>
      </c>
      <c r="AL58" s="2">
        <v>15</v>
      </c>
      <c r="AM58" s="61">
        <v>12</v>
      </c>
      <c r="AN58" s="2" t="s">
        <v>14</v>
      </c>
      <c r="AO58" s="2" t="s">
        <v>46</v>
      </c>
      <c r="AP58" s="2" t="s">
        <v>668</v>
      </c>
      <c r="AQ58" s="2">
        <v>82</v>
      </c>
      <c r="AS58" s="2" t="s">
        <v>150</v>
      </c>
      <c r="AT58" s="2" t="s">
        <v>23</v>
      </c>
      <c r="AU58" s="2" t="s">
        <v>55</v>
      </c>
      <c r="AV58" s="2" t="s">
        <v>31</v>
      </c>
      <c r="AW58" s="61">
        <v>17</v>
      </c>
      <c r="AX58" s="2">
        <v>9</v>
      </c>
      <c r="AY58" s="2" t="s">
        <v>25</v>
      </c>
      <c r="AZ58" s="2" t="s">
        <v>20</v>
      </c>
      <c r="BA58" s="2" t="s">
        <v>151</v>
      </c>
      <c r="BB58" s="2">
        <v>55</v>
      </c>
      <c r="BD58" s="2" t="s">
        <v>391</v>
      </c>
      <c r="BE58" s="2" t="s">
        <v>68</v>
      </c>
      <c r="BF58" s="2" t="s">
        <v>19</v>
      </c>
      <c r="BG58" s="2" t="s">
        <v>13</v>
      </c>
      <c r="BH58" s="2">
        <v>19</v>
      </c>
      <c r="BI58" s="2">
        <v>12</v>
      </c>
      <c r="BJ58" s="2" t="s">
        <v>25</v>
      </c>
      <c r="BK58" s="61" t="s">
        <v>46</v>
      </c>
      <c r="BL58" s="2" t="s">
        <v>392</v>
      </c>
      <c r="BM58" s="2">
        <v>46</v>
      </c>
    </row>
    <row r="59" spans="1:65" x14ac:dyDescent="0.3">
      <c r="A59" s="2" t="s">
        <v>158</v>
      </c>
      <c r="B59" s="2" t="s">
        <v>18</v>
      </c>
      <c r="C59" s="2" t="s">
        <v>19</v>
      </c>
      <c r="D59" s="2" t="s">
        <v>13</v>
      </c>
      <c r="E59" s="2">
        <v>16</v>
      </c>
      <c r="F59" s="2">
        <v>12</v>
      </c>
      <c r="G59" s="2" t="s">
        <v>43</v>
      </c>
      <c r="H59" s="2" t="s">
        <v>40</v>
      </c>
      <c r="I59" s="2" t="s">
        <v>159</v>
      </c>
      <c r="J59" s="2">
        <v>36</v>
      </c>
      <c r="L59" s="2" t="s">
        <v>917</v>
      </c>
      <c r="M59" s="2" t="s">
        <v>11</v>
      </c>
      <c r="N59" s="2" t="s">
        <v>96</v>
      </c>
      <c r="O59" s="2" t="s">
        <v>31</v>
      </c>
      <c r="P59" s="2">
        <v>19</v>
      </c>
      <c r="Q59" s="2">
        <v>11</v>
      </c>
      <c r="R59" s="2" t="s">
        <v>43</v>
      </c>
      <c r="S59" s="61" t="s">
        <v>26</v>
      </c>
      <c r="T59" s="2" t="s">
        <v>918</v>
      </c>
      <c r="U59" s="2">
        <v>87</v>
      </c>
      <c r="W59" s="2" t="s">
        <v>441</v>
      </c>
      <c r="X59" s="2" t="s">
        <v>35</v>
      </c>
      <c r="Y59" s="2" t="s">
        <v>12</v>
      </c>
      <c r="Z59" s="2" t="s">
        <v>13</v>
      </c>
      <c r="AA59" s="2">
        <v>17</v>
      </c>
      <c r="AB59" s="2">
        <v>10</v>
      </c>
      <c r="AC59" s="2" t="s">
        <v>32</v>
      </c>
      <c r="AD59" s="2" t="s">
        <v>15</v>
      </c>
      <c r="AE59" s="2" t="s">
        <v>442</v>
      </c>
      <c r="AF59" s="61">
        <v>91</v>
      </c>
      <c r="AH59" s="2" t="s">
        <v>683</v>
      </c>
      <c r="AI59" s="2" t="s">
        <v>84</v>
      </c>
      <c r="AJ59" s="2" t="s">
        <v>55</v>
      </c>
      <c r="AK59" s="2" t="s">
        <v>31</v>
      </c>
      <c r="AL59" s="2">
        <v>16</v>
      </c>
      <c r="AM59" s="61">
        <v>12</v>
      </c>
      <c r="AN59" s="2" t="s">
        <v>14</v>
      </c>
      <c r="AO59" s="2" t="s">
        <v>76</v>
      </c>
      <c r="AP59" s="2" t="s">
        <v>125</v>
      </c>
      <c r="AQ59" s="2">
        <v>60</v>
      </c>
      <c r="AS59" s="2" t="s">
        <v>152</v>
      </c>
      <c r="AT59" s="2" t="s">
        <v>23</v>
      </c>
      <c r="AU59" s="2" t="s">
        <v>55</v>
      </c>
      <c r="AV59" s="2" t="s">
        <v>13</v>
      </c>
      <c r="AW59" s="61">
        <v>17</v>
      </c>
      <c r="AX59" s="2">
        <v>12</v>
      </c>
      <c r="AY59" s="2" t="s">
        <v>32</v>
      </c>
      <c r="AZ59" s="2" t="s">
        <v>46</v>
      </c>
      <c r="BA59" s="2" t="s">
        <v>153</v>
      </c>
      <c r="BB59" s="2">
        <v>39</v>
      </c>
      <c r="BD59" s="2" t="s">
        <v>397</v>
      </c>
      <c r="BE59" s="2" t="s">
        <v>23</v>
      </c>
      <c r="BF59" s="2" t="s">
        <v>12</v>
      </c>
      <c r="BG59" s="2" t="s">
        <v>13</v>
      </c>
      <c r="BH59" s="2">
        <v>20</v>
      </c>
      <c r="BI59" s="2">
        <v>9</v>
      </c>
      <c r="BJ59" s="2" t="s">
        <v>25</v>
      </c>
      <c r="BK59" s="61" t="s">
        <v>46</v>
      </c>
      <c r="BL59" s="2" t="s">
        <v>398</v>
      </c>
      <c r="BM59" s="2">
        <v>91</v>
      </c>
    </row>
    <row r="60" spans="1:65" x14ac:dyDescent="0.3">
      <c r="A60" s="2" t="s">
        <v>160</v>
      </c>
      <c r="B60" s="2" t="s">
        <v>51</v>
      </c>
      <c r="C60" s="2" t="s">
        <v>85</v>
      </c>
      <c r="D60" s="2" t="s">
        <v>31</v>
      </c>
      <c r="E60" s="2">
        <v>17</v>
      </c>
      <c r="F60" s="2">
        <v>11</v>
      </c>
      <c r="G60" s="2" t="s">
        <v>43</v>
      </c>
      <c r="H60" s="2" t="s">
        <v>37</v>
      </c>
      <c r="I60" s="2" t="s">
        <v>161</v>
      </c>
      <c r="J60" s="2">
        <v>99</v>
      </c>
      <c r="L60" s="2" t="s">
        <v>929</v>
      </c>
      <c r="M60" s="2" t="s">
        <v>35</v>
      </c>
      <c r="N60" s="2" t="s">
        <v>30</v>
      </c>
      <c r="O60" s="2" t="s">
        <v>13</v>
      </c>
      <c r="P60" s="2">
        <v>15</v>
      </c>
      <c r="Q60" s="2">
        <v>12</v>
      </c>
      <c r="R60" s="2" t="s">
        <v>32</v>
      </c>
      <c r="S60" s="61" t="s">
        <v>26</v>
      </c>
      <c r="T60" s="2" t="s">
        <v>262</v>
      </c>
      <c r="U60" s="2">
        <v>55</v>
      </c>
      <c r="W60" s="2" t="s">
        <v>445</v>
      </c>
      <c r="X60" s="2" t="s">
        <v>54</v>
      </c>
      <c r="Y60" s="2" t="s">
        <v>96</v>
      </c>
      <c r="Z60" s="2" t="s">
        <v>13</v>
      </c>
      <c r="AA60" s="2">
        <v>20</v>
      </c>
      <c r="AB60" s="2">
        <v>10</v>
      </c>
      <c r="AC60" s="2" t="s">
        <v>32</v>
      </c>
      <c r="AD60" s="2" t="s">
        <v>46</v>
      </c>
      <c r="AE60" s="2" t="s">
        <v>182</v>
      </c>
      <c r="AF60" s="61">
        <v>85</v>
      </c>
      <c r="AH60" s="2" t="s">
        <v>703</v>
      </c>
      <c r="AI60" s="2" t="s">
        <v>73</v>
      </c>
      <c r="AJ60" s="2" t="s">
        <v>30</v>
      </c>
      <c r="AK60" s="2" t="s">
        <v>31</v>
      </c>
      <c r="AL60" s="2">
        <v>17</v>
      </c>
      <c r="AM60" s="61">
        <v>12</v>
      </c>
      <c r="AN60" s="2" t="s">
        <v>32</v>
      </c>
      <c r="AO60" s="2" t="s">
        <v>40</v>
      </c>
      <c r="AP60" s="2" t="s">
        <v>704</v>
      </c>
      <c r="AQ60" s="2">
        <v>93</v>
      </c>
      <c r="AS60" s="2" t="s">
        <v>154</v>
      </c>
      <c r="AT60" s="2" t="s">
        <v>51</v>
      </c>
      <c r="AU60" s="2" t="s">
        <v>36</v>
      </c>
      <c r="AV60" s="2" t="s">
        <v>31</v>
      </c>
      <c r="AW60" s="61">
        <v>18</v>
      </c>
      <c r="AX60" s="2">
        <v>12</v>
      </c>
      <c r="AY60" s="2" t="s">
        <v>43</v>
      </c>
      <c r="AZ60" s="2" t="s">
        <v>76</v>
      </c>
      <c r="BA60" s="2" t="s">
        <v>155</v>
      </c>
      <c r="BB60" s="2">
        <v>77</v>
      </c>
      <c r="BD60" s="2" t="s">
        <v>403</v>
      </c>
      <c r="BE60" s="2" t="s">
        <v>11</v>
      </c>
      <c r="BF60" s="2" t="s">
        <v>12</v>
      </c>
      <c r="BG60" s="2" t="s">
        <v>31</v>
      </c>
      <c r="BH60" s="2">
        <v>19</v>
      </c>
      <c r="BI60" s="2">
        <v>9</v>
      </c>
      <c r="BJ60" s="2" t="s">
        <v>43</v>
      </c>
      <c r="BK60" s="61" t="s">
        <v>46</v>
      </c>
      <c r="BL60" s="2" t="s">
        <v>404</v>
      </c>
      <c r="BM60" s="2">
        <v>37</v>
      </c>
    </row>
    <row r="61" spans="1:65" x14ac:dyDescent="0.3">
      <c r="A61" s="2" t="s">
        <v>162</v>
      </c>
      <c r="B61" s="2" t="s">
        <v>73</v>
      </c>
      <c r="C61" s="2" t="s">
        <v>36</v>
      </c>
      <c r="D61" s="2" t="s">
        <v>31</v>
      </c>
      <c r="E61" s="2">
        <v>20</v>
      </c>
      <c r="F61" s="2">
        <v>9</v>
      </c>
      <c r="G61" s="2" t="s">
        <v>32</v>
      </c>
      <c r="H61" s="2" t="s">
        <v>20</v>
      </c>
      <c r="I61" s="2" t="s">
        <v>163</v>
      </c>
      <c r="J61" s="2">
        <v>49</v>
      </c>
      <c r="L61" s="2" t="s">
        <v>938</v>
      </c>
      <c r="M61" s="2" t="s">
        <v>18</v>
      </c>
      <c r="N61" s="2" t="s">
        <v>58</v>
      </c>
      <c r="O61" s="2" t="s">
        <v>13</v>
      </c>
      <c r="P61" s="2">
        <v>16</v>
      </c>
      <c r="Q61" s="2">
        <v>12</v>
      </c>
      <c r="R61" s="2" t="s">
        <v>25</v>
      </c>
      <c r="S61" s="61" t="s">
        <v>26</v>
      </c>
      <c r="T61" s="2" t="s">
        <v>939</v>
      </c>
      <c r="U61" s="2">
        <v>41</v>
      </c>
      <c r="W61" s="2" t="s">
        <v>456</v>
      </c>
      <c r="X61" s="2" t="s">
        <v>11</v>
      </c>
      <c r="Y61" s="2" t="s">
        <v>55</v>
      </c>
      <c r="Z61" s="2" t="s">
        <v>13</v>
      </c>
      <c r="AA61" s="2">
        <v>15</v>
      </c>
      <c r="AB61" s="2">
        <v>9</v>
      </c>
      <c r="AC61" s="2" t="s">
        <v>32</v>
      </c>
      <c r="AD61" s="2" t="s">
        <v>61</v>
      </c>
      <c r="AE61" s="2" t="s">
        <v>457</v>
      </c>
      <c r="AF61" s="61">
        <v>97</v>
      </c>
      <c r="AH61" s="2" t="s">
        <v>705</v>
      </c>
      <c r="AI61" s="2" t="s">
        <v>84</v>
      </c>
      <c r="AJ61" s="2" t="s">
        <v>55</v>
      </c>
      <c r="AK61" s="2" t="s">
        <v>31</v>
      </c>
      <c r="AL61" s="2">
        <v>14</v>
      </c>
      <c r="AM61" s="61">
        <v>12</v>
      </c>
      <c r="AN61" s="2" t="s">
        <v>43</v>
      </c>
      <c r="AO61" s="2" t="s">
        <v>76</v>
      </c>
      <c r="AP61" s="2" t="s">
        <v>706</v>
      </c>
      <c r="AQ61" s="2">
        <v>63</v>
      </c>
      <c r="AS61" s="2" t="s">
        <v>156</v>
      </c>
      <c r="AT61" s="2" t="s">
        <v>35</v>
      </c>
      <c r="AU61" s="2" t="s">
        <v>55</v>
      </c>
      <c r="AV61" s="2" t="s">
        <v>13</v>
      </c>
      <c r="AW61" s="61">
        <v>19</v>
      </c>
      <c r="AX61" s="2">
        <v>11</v>
      </c>
      <c r="AY61" s="2" t="s">
        <v>14</v>
      </c>
      <c r="AZ61" s="2" t="s">
        <v>40</v>
      </c>
      <c r="BA61" s="2" t="s">
        <v>157</v>
      </c>
      <c r="BB61" s="2">
        <v>63</v>
      </c>
      <c r="BD61" s="2" t="s">
        <v>408</v>
      </c>
      <c r="BE61" s="2" t="s">
        <v>51</v>
      </c>
      <c r="BF61" s="2" t="s">
        <v>85</v>
      </c>
      <c r="BG61" s="2" t="s">
        <v>13</v>
      </c>
      <c r="BH61" s="2">
        <v>17</v>
      </c>
      <c r="BI61" s="2">
        <v>11</v>
      </c>
      <c r="BJ61" s="2" t="s">
        <v>25</v>
      </c>
      <c r="BK61" s="61" t="s">
        <v>46</v>
      </c>
      <c r="BL61" s="2" t="s">
        <v>52</v>
      </c>
      <c r="BM61" s="2">
        <v>42</v>
      </c>
    </row>
    <row r="62" spans="1:65" x14ac:dyDescent="0.3">
      <c r="A62" s="2" t="s">
        <v>164</v>
      </c>
      <c r="B62" s="2" t="s">
        <v>23</v>
      </c>
      <c r="C62" s="2" t="s">
        <v>19</v>
      </c>
      <c r="D62" s="2" t="s">
        <v>31</v>
      </c>
      <c r="E62" s="2">
        <v>17</v>
      </c>
      <c r="F62" s="2">
        <v>9</v>
      </c>
      <c r="G62" s="2" t="s">
        <v>25</v>
      </c>
      <c r="H62" s="2" t="s">
        <v>15</v>
      </c>
      <c r="I62" s="2" t="s">
        <v>165</v>
      </c>
      <c r="J62" s="2">
        <v>64</v>
      </c>
      <c r="W62" s="2" t="s">
        <v>458</v>
      </c>
      <c r="X62" s="2" t="s">
        <v>11</v>
      </c>
      <c r="Y62" s="2" t="s">
        <v>55</v>
      </c>
      <c r="Z62" s="2" t="s">
        <v>13</v>
      </c>
      <c r="AA62" s="2">
        <v>19</v>
      </c>
      <c r="AB62" s="2">
        <v>11</v>
      </c>
      <c r="AC62" s="2" t="s">
        <v>14</v>
      </c>
      <c r="AD62" s="2" t="s">
        <v>46</v>
      </c>
      <c r="AE62" s="2" t="s">
        <v>459</v>
      </c>
      <c r="AF62" s="61">
        <v>81</v>
      </c>
      <c r="AH62" s="2" t="s">
        <v>707</v>
      </c>
      <c r="AI62" s="2" t="s">
        <v>68</v>
      </c>
      <c r="AJ62" s="2" t="s">
        <v>96</v>
      </c>
      <c r="AK62" s="2" t="s">
        <v>31</v>
      </c>
      <c r="AL62" s="2">
        <v>20</v>
      </c>
      <c r="AM62" s="61">
        <v>12</v>
      </c>
      <c r="AN62" s="2" t="s">
        <v>43</v>
      </c>
      <c r="AO62" s="2" t="s">
        <v>37</v>
      </c>
      <c r="AP62" s="2" t="s">
        <v>708</v>
      </c>
      <c r="AQ62" s="2">
        <v>35</v>
      </c>
      <c r="AS62" s="2" t="s">
        <v>158</v>
      </c>
      <c r="AT62" s="2" t="s">
        <v>18</v>
      </c>
      <c r="AU62" s="2" t="s">
        <v>19</v>
      </c>
      <c r="AV62" s="2" t="s">
        <v>13</v>
      </c>
      <c r="AW62" s="61">
        <v>16</v>
      </c>
      <c r="AX62" s="2">
        <v>12</v>
      </c>
      <c r="AY62" s="2" t="s">
        <v>43</v>
      </c>
      <c r="AZ62" s="2" t="s">
        <v>40</v>
      </c>
      <c r="BA62" s="2" t="s">
        <v>159</v>
      </c>
      <c r="BB62" s="2">
        <v>36</v>
      </c>
      <c r="BD62" s="2" t="s">
        <v>409</v>
      </c>
      <c r="BE62" s="2" t="s">
        <v>84</v>
      </c>
      <c r="BF62" s="2" t="s">
        <v>24</v>
      </c>
      <c r="BG62" s="2" t="s">
        <v>13</v>
      </c>
      <c r="BH62" s="2">
        <v>20</v>
      </c>
      <c r="BI62" s="2">
        <v>9</v>
      </c>
      <c r="BJ62" s="2" t="s">
        <v>25</v>
      </c>
      <c r="BK62" s="61" t="s">
        <v>46</v>
      </c>
      <c r="BL62" s="2" t="s">
        <v>290</v>
      </c>
      <c r="BM62" s="2">
        <v>68</v>
      </c>
    </row>
    <row r="63" spans="1:65" x14ac:dyDescent="0.3">
      <c r="A63" s="2" t="s">
        <v>166</v>
      </c>
      <c r="B63" s="2" t="s">
        <v>84</v>
      </c>
      <c r="C63" s="2" t="s">
        <v>24</v>
      </c>
      <c r="D63" s="2" t="s">
        <v>13</v>
      </c>
      <c r="E63" s="2">
        <v>14</v>
      </c>
      <c r="F63" s="2">
        <v>10</v>
      </c>
      <c r="G63" s="2" t="s">
        <v>43</v>
      </c>
      <c r="H63" s="2" t="s">
        <v>15</v>
      </c>
      <c r="I63" s="2" t="s">
        <v>167</v>
      </c>
      <c r="J63" s="2">
        <v>45</v>
      </c>
      <c r="W63" s="2" t="s">
        <v>476</v>
      </c>
      <c r="X63" s="2" t="s">
        <v>29</v>
      </c>
      <c r="Y63" s="2" t="s">
        <v>55</v>
      </c>
      <c r="Z63" s="2" t="s">
        <v>13</v>
      </c>
      <c r="AA63" s="2">
        <v>19</v>
      </c>
      <c r="AB63" s="2">
        <v>10</v>
      </c>
      <c r="AC63" s="2" t="s">
        <v>43</v>
      </c>
      <c r="AD63" s="2" t="s">
        <v>26</v>
      </c>
      <c r="AE63" s="2" t="s">
        <v>477</v>
      </c>
      <c r="AF63" s="61">
        <v>88</v>
      </c>
      <c r="AH63" s="2" t="s">
        <v>713</v>
      </c>
      <c r="AI63" s="2" t="s">
        <v>29</v>
      </c>
      <c r="AJ63" s="2" t="s">
        <v>24</v>
      </c>
      <c r="AK63" s="2" t="s">
        <v>31</v>
      </c>
      <c r="AL63" s="2">
        <v>16</v>
      </c>
      <c r="AM63" s="61">
        <v>12</v>
      </c>
      <c r="AN63" s="2" t="s">
        <v>32</v>
      </c>
      <c r="AO63" s="2" t="s">
        <v>26</v>
      </c>
      <c r="AP63" s="2" t="s">
        <v>714</v>
      </c>
      <c r="AQ63" s="2">
        <v>57</v>
      </c>
      <c r="AS63" s="2" t="s">
        <v>160</v>
      </c>
      <c r="AT63" s="2" t="s">
        <v>51</v>
      </c>
      <c r="AU63" s="2" t="s">
        <v>85</v>
      </c>
      <c r="AV63" s="2" t="s">
        <v>31</v>
      </c>
      <c r="AW63" s="61">
        <v>17</v>
      </c>
      <c r="AX63" s="2">
        <v>11</v>
      </c>
      <c r="AY63" s="2" t="s">
        <v>43</v>
      </c>
      <c r="AZ63" s="2" t="s">
        <v>37</v>
      </c>
      <c r="BA63" s="2" t="s">
        <v>161</v>
      </c>
      <c r="BB63" s="2">
        <v>99</v>
      </c>
      <c r="BD63" s="2" t="s">
        <v>412</v>
      </c>
      <c r="BE63" s="2" t="s">
        <v>73</v>
      </c>
      <c r="BF63" s="2" t="s">
        <v>55</v>
      </c>
      <c r="BG63" s="2" t="s">
        <v>13</v>
      </c>
      <c r="BH63" s="2">
        <v>16</v>
      </c>
      <c r="BI63" s="2">
        <v>12</v>
      </c>
      <c r="BJ63" s="2" t="s">
        <v>32</v>
      </c>
      <c r="BK63" s="61" t="s">
        <v>46</v>
      </c>
      <c r="BL63" s="2" t="s">
        <v>413</v>
      </c>
      <c r="BM63" s="2">
        <v>85</v>
      </c>
    </row>
    <row r="64" spans="1:65" x14ac:dyDescent="0.3">
      <c r="A64" s="2" t="s">
        <v>168</v>
      </c>
      <c r="B64" s="2" t="s">
        <v>18</v>
      </c>
      <c r="C64" s="2" t="s">
        <v>79</v>
      </c>
      <c r="D64" s="2" t="s">
        <v>13</v>
      </c>
      <c r="E64" s="2">
        <v>17</v>
      </c>
      <c r="F64" s="2">
        <v>12</v>
      </c>
      <c r="G64" s="2" t="s">
        <v>25</v>
      </c>
      <c r="H64" s="2" t="s">
        <v>26</v>
      </c>
      <c r="I64" s="2" t="s">
        <v>137</v>
      </c>
      <c r="J64" s="2">
        <v>82</v>
      </c>
      <c r="W64" s="2" t="s">
        <v>482</v>
      </c>
      <c r="X64" s="2" t="s">
        <v>35</v>
      </c>
      <c r="Y64" s="2" t="s">
        <v>24</v>
      </c>
      <c r="Z64" s="2" t="s">
        <v>13</v>
      </c>
      <c r="AA64" s="2">
        <v>18</v>
      </c>
      <c r="AB64" s="2">
        <v>11</v>
      </c>
      <c r="AC64" s="2" t="s">
        <v>14</v>
      </c>
      <c r="AD64" s="2" t="s">
        <v>61</v>
      </c>
      <c r="AE64" s="2" t="s">
        <v>483</v>
      </c>
      <c r="AF64" s="61">
        <v>86</v>
      </c>
      <c r="AH64" s="2" t="s">
        <v>723</v>
      </c>
      <c r="AI64" s="2" t="s">
        <v>68</v>
      </c>
      <c r="AJ64" s="2" t="s">
        <v>79</v>
      </c>
      <c r="AK64" s="2" t="s">
        <v>31</v>
      </c>
      <c r="AL64" s="2">
        <v>19</v>
      </c>
      <c r="AM64" s="61">
        <v>12</v>
      </c>
      <c r="AN64" s="2" t="s">
        <v>25</v>
      </c>
      <c r="AO64" s="2" t="s">
        <v>40</v>
      </c>
      <c r="AP64" s="2" t="s">
        <v>724</v>
      </c>
      <c r="AQ64" s="2">
        <v>65</v>
      </c>
      <c r="AS64" s="2" t="s">
        <v>162</v>
      </c>
      <c r="AT64" s="2" t="s">
        <v>73</v>
      </c>
      <c r="AU64" s="2" t="s">
        <v>36</v>
      </c>
      <c r="AV64" s="2" t="s">
        <v>31</v>
      </c>
      <c r="AW64" s="61">
        <v>20</v>
      </c>
      <c r="AX64" s="2">
        <v>9</v>
      </c>
      <c r="AY64" s="2" t="s">
        <v>32</v>
      </c>
      <c r="AZ64" s="2" t="s">
        <v>20</v>
      </c>
      <c r="BA64" s="2" t="s">
        <v>163</v>
      </c>
      <c r="BB64" s="2">
        <v>49</v>
      </c>
      <c r="BD64" s="2" t="s">
        <v>420</v>
      </c>
      <c r="BE64" s="2" t="s">
        <v>73</v>
      </c>
      <c r="BF64" s="2" t="s">
        <v>85</v>
      </c>
      <c r="BG64" s="2" t="s">
        <v>13</v>
      </c>
      <c r="BH64" s="2">
        <v>16</v>
      </c>
      <c r="BI64" s="2">
        <v>11</v>
      </c>
      <c r="BJ64" s="2" t="s">
        <v>43</v>
      </c>
      <c r="BK64" s="61" t="s">
        <v>46</v>
      </c>
      <c r="BL64" s="2" t="s">
        <v>421</v>
      </c>
      <c r="BM64" s="2">
        <v>55</v>
      </c>
    </row>
    <row r="65" spans="1:65" x14ac:dyDescent="0.3">
      <c r="A65" s="2" t="s">
        <v>169</v>
      </c>
      <c r="B65" s="2" t="s">
        <v>11</v>
      </c>
      <c r="C65" s="2" t="s">
        <v>30</v>
      </c>
      <c r="D65" s="2" t="s">
        <v>31</v>
      </c>
      <c r="E65" s="2">
        <v>18</v>
      </c>
      <c r="F65" s="2">
        <v>9</v>
      </c>
      <c r="G65" s="2" t="s">
        <v>25</v>
      </c>
      <c r="H65" s="2" t="s">
        <v>46</v>
      </c>
      <c r="I65" s="2" t="s">
        <v>170</v>
      </c>
      <c r="J65" s="2">
        <v>60</v>
      </c>
      <c r="W65" s="2" t="s">
        <v>487</v>
      </c>
      <c r="X65" s="2" t="s">
        <v>18</v>
      </c>
      <c r="Y65" s="2" t="s">
        <v>79</v>
      </c>
      <c r="Z65" s="2" t="s">
        <v>13</v>
      </c>
      <c r="AA65" s="2">
        <v>16</v>
      </c>
      <c r="AB65" s="2">
        <v>11</v>
      </c>
      <c r="AC65" s="2" t="s">
        <v>43</v>
      </c>
      <c r="AD65" s="2" t="s">
        <v>61</v>
      </c>
      <c r="AE65" s="2" t="s">
        <v>488</v>
      </c>
      <c r="AF65" s="61">
        <v>86</v>
      </c>
      <c r="AH65" s="2" t="s">
        <v>733</v>
      </c>
      <c r="AI65" s="2" t="s">
        <v>84</v>
      </c>
      <c r="AJ65" s="2" t="s">
        <v>85</v>
      </c>
      <c r="AK65" s="2" t="s">
        <v>31</v>
      </c>
      <c r="AL65" s="2">
        <v>17</v>
      </c>
      <c r="AM65" s="61">
        <v>12</v>
      </c>
      <c r="AN65" s="2" t="s">
        <v>43</v>
      </c>
      <c r="AO65" s="2" t="s">
        <v>15</v>
      </c>
      <c r="AP65" s="2" t="s">
        <v>734</v>
      </c>
      <c r="AQ65" s="2">
        <v>77</v>
      </c>
      <c r="AS65" s="2" t="s">
        <v>164</v>
      </c>
      <c r="AT65" s="2" t="s">
        <v>23</v>
      </c>
      <c r="AU65" s="2" t="s">
        <v>19</v>
      </c>
      <c r="AV65" s="2" t="s">
        <v>31</v>
      </c>
      <c r="AW65" s="61">
        <v>17</v>
      </c>
      <c r="AX65" s="2">
        <v>9</v>
      </c>
      <c r="AY65" s="2" t="s">
        <v>25</v>
      </c>
      <c r="AZ65" s="2" t="s">
        <v>15</v>
      </c>
      <c r="BA65" s="2" t="s">
        <v>165</v>
      </c>
      <c r="BB65" s="2">
        <v>64</v>
      </c>
      <c r="BD65" s="2" t="s">
        <v>445</v>
      </c>
      <c r="BE65" s="2" t="s">
        <v>54</v>
      </c>
      <c r="BF65" s="2" t="s">
        <v>96</v>
      </c>
      <c r="BG65" s="2" t="s">
        <v>13</v>
      </c>
      <c r="BH65" s="2">
        <v>20</v>
      </c>
      <c r="BI65" s="2">
        <v>10</v>
      </c>
      <c r="BJ65" s="2" t="s">
        <v>32</v>
      </c>
      <c r="BK65" s="61" t="s">
        <v>46</v>
      </c>
      <c r="BL65" s="2" t="s">
        <v>182</v>
      </c>
      <c r="BM65" s="2">
        <v>85</v>
      </c>
    </row>
    <row r="66" spans="1:65" x14ac:dyDescent="0.3">
      <c r="A66" s="2" t="s">
        <v>171</v>
      </c>
      <c r="B66" s="2" t="s">
        <v>29</v>
      </c>
      <c r="C66" s="2" t="s">
        <v>85</v>
      </c>
      <c r="D66" s="2" t="s">
        <v>13</v>
      </c>
      <c r="E66" s="2">
        <v>14</v>
      </c>
      <c r="F66" s="2">
        <v>10</v>
      </c>
      <c r="G66" s="2" t="s">
        <v>32</v>
      </c>
      <c r="H66" s="2" t="s">
        <v>61</v>
      </c>
      <c r="I66" s="2" t="s">
        <v>172</v>
      </c>
      <c r="J66" s="2">
        <v>51</v>
      </c>
      <c r="W66" s="2" t="s">
        <v>489</v>
      </c>
      <c r="X66" s="2" t="s">
        <v>68</v>
      </c>
      <c r="Y66" s="2" t="s">
        <v>58</v>
      </c>
      <c r="Z66" s="2" t="s">
        <v>31</v>
      </c>
      <c r="AA66" s="2">
        <v>20</v>
      </c>
      <c r="AB66" s="2">
        <v>10</v>
      </c>
      <c r="AC66" s="2" t="s">
        <v>32</v>
      </c>
      <c r="AD66" s="2" t="s">
        <v>20</v>
      </c>
      <c r="AE66" s="2" t="s">
        <v>370</v>
      </c>
      <c r="AF66" s="61">
        <v>93</v>
      </c>
      <c r="AH66" s="2" t="s">
        <v>735</v>
      </c>
      <c r="AI66" s="2" t="s">
        <v>68</v>
      </c>
      <c r="AJ66" s="2" t="s">
        <v>24</v>
      </c>
      <c r="AK66" s="2" t="s">
        <v>31</v>
      </c>
      <c r="AL66" s="2">
        <v>16</v>
      </c>
      <c r="AM66" s="61">
        <v>12</v>
      </c>
      <c r="AN66" s="2" t="s">
        <v>43</v>
      </c>
      <c r="AO66" s="2" t="s">
        <v>26</v>
      </c>
      <c r="AP66" s="2" t="s">
        <v>736</v>
      </c>
      <c r="AQ66" s="2">
        <v>85</v>
      </c>
      <c r="AS66" s="2" t="s">
        <v>166</v>
      </c>
      <c r="AT66" s="2" t="s">
        <v>84</v>
      </c>
      <c r="AU66" s="2" t="s">
        <v>24</v>
      </c>
      <c r="AV66" s="2" t="s">
        <v>13</v>
      </c>
      <c r="AW66" s="61">
        <v>14</v>
      </c>
      <c r="AX66" s="2">
        <v>10</v>
      </c>
      <c r="AY66" s="2" t="s">
        <v>43</v>
      </c>
      <c r="AZ66" s="2" t="s">
        <v>15</v>
      </c>
      <c r="BA66" s="2" t="s">
        <v>167</v>
      </c>
      <c r="BB66" s="2">
        <v>45</v>
      </c>
      <c r="BD66" s="2" t="s">
        <v>454</v>
      </c>
      <c r="BE66" s="2" t="s">
        <v>29</v>
      </c>
      <c r="BF66" s="2" t="s">
        <v>12</v>
      </c>
      <c r="BG66" s="2" t="s">
        <v>31</v>
      </c>
      <c r="BH66" s="2">
        <v>16</v>
      </c>
      <c r="BI66" s="2">
        <v>11</v>
      </c>
      <c r="BJ66" s="2" t="s">
        <v>43</v>
      </c>
      <c r="BK66" s="61" t="s">
        <v>61</v>
      </c>
      <c r="BL66" s="2" t="s">
        <v>385</v>
      </c>
      <c r="BM66" s="2">
        <v>40</v>
      </c>
    </row>
    <row r="67" spans="1:65" x14ac:dyDescent="0.3">
      <c r="A67" s="2" t="s">
        <v>173</v>
      </c>
      <c r="B67" s="2" t="s">
        <v>54</v>
      </c>
      <c r="C67" s="2" t="s">
        <v>30</v>
      </c>
      <c r="D67" s="2" t="s">
        <v>31</v>
      </c>
      <c r="E67" s="2">
        <v>18</v>
      </c>
      <c r="F67" s="2">
        <v>9</v>
      </c>
      <c r="G67" s="2" t="s">
        <v>32</v>
      </c>
      <c r="H67" s="2" t="s">
        <v>40</v>
      </c>
      <c r="I67" s="2" t="s">
        <v>174</v>
      </c>
      <c r="J67" s="2">
        <v>54</v>
      </c>
      <c r="W67" s="2" t="s">
        <v>511</v>
      </c>
      <c r="X67" s="2" t="s">
        <v>35</v>
      </c>
      <c r="Y67" s="2" t="s">
        <v>19</v>
      </c>
      <c r="Z67" s="2" t="s">
        <v>31</v>
      </c>
      <c r="AA67" s="2">
        <v>15</v>
      </c>
      <c r="AB67" s="2">
        <v>9</v>
      </c>
      <c r="AC67" s="2" t="s">
        <v>25</v>
      </c>
      <c r="AD67" s="2" t="s">
        <v>15</v>
      </c>
      <c r="AE67" s="2" t="s">
        <v>512</v>
      </c>
      <c r="AF67" s="61">
        <v>95</v>
      </c>
      <c r="AH67" s="2" t="s">
        <v>751</v>
      </c>
      <c r="AI67" s="2" t="s">
        <v>73</v>
      </c>
      <c r="AJ67" s="2" t="s">
        <v>79</v>
      </c>
      <c r="AK67" s="2" t="s">
        <v>31</v>
      </c>
      <c r="AL67" s="2">
        <v>20</v>
      </c>
      <c r="AM67" s="61">
        <v>12</v>
      </c>
      <c r="AN67" s="2" t="s">
        <v>25</v>
      </c>
      <c r="AO67" s="2" t="s">
        <v>76</v>
      </c>
      <c r="AP67" s="2" t="s">
        <v>752</v>
      </c>
      <c r="AQ67" s="2">
        <v>91</v>
      </c>
      <c r="AS67" s="2" t="s">
        <v>168</v>
      </c>
      <c r="AT67" s="2" t="s">
        <v>18</v>
      </c>
      <c r="AU67" s="2" t="s">
        <v>79</v>
      </c>
      <c r="AV67" s="2" t="s">
        <v>13</v>
      </c>
      <c r="AW67" s="61">
        <v>17</v>
      </c>
      <c r="AX67" s="2">
        <v>12</v>
      </c>
      <c r="AY67" s="2" t="s">
        <v>25</v>
      </c>
      <c r="AZ67" s="2" t="s">
        <v>26</v>
      </c>
      <c r="BA67" s="2" t="s">
        <v>137</v>
      </c>
      <c r="BB67" s="2">
        <v>82</v>
      </c>
      <c r="BD67" s="2" t="s">
        <v>455</v>
      </c>
      <c r="BE67" s="2" t="s">
        <v>29</v>
      </c>
      <c r="BF67" s="2" t="s">
        <v>30</v>
      </c>
      <c r="BG67" s="2" t="s">
        <v>13</v>
      </c>
      <c r="BH67" s="2">
        <v>16</v>
      </c>
      <c r="BI67" s="2">
        <v>9</v>
      </c>
      <c r="BJ67" s="2" t="s">
        <v>14</v>
      </c>
      <c r="BK67" s="61" t="s">
        <v>61</v>
      </c>
      <c r="BL67" s="2" t="s">
        <v>447</v>
      </c>
      <c r="BM67" s="2">
        <v>60</v>
      </c>
    </row>
    <row r="68" spans="1:65" x14ac:dyDescent="0.3">
      <c r="A68" s="2" t="s">
        <v>175</v>
      </c>
      <c r="B68" s="2" t="s">
        <v>35</v>
      </c>
      <c r="C68" s="2" t="s">
        <v>30</v>
      </c>
      <c r="D68" s="2" t="s">
        <v>31</v>
      </c>
      <c r="E68" s="2">
        <v>20</v>
      </c>
      <c r="F68" s="2">
        <v>9</v>
      </c>
      <c r="G68" s="2" t="s">
        <v>14</v>
      </c>
      <c r="H68" s="2" t="s">
        <v>61</v>
      </c>
      <c r="I68" s="2" t="s">
        <v>176</v>
      </c>
      <c r="J68" s="2">
        <v>76</v>
      </c>
      <c r="W68" s="2" t="s">
        <v>516</v>
      </c>
      <c r="X68" s="2" t="s">
        <v>18</v>
      </c>
      <c r="Y68" s="2" t="s">
        <v>96</v>
      </c>
      <c r="Z68" s="2" t="s">
        <v>31</v>
      </c>
      <c r="AA68" s="2">
        <v>14</v>
      </c>
      <c r="AB68" s="2">
        <v>11</v>
      </c>
      <c r="AC68" s="2" t="s">
        <v>32</v>
      </c>
      <c r="AD68" s="2" t="s">
        <v>46</v>
      </c>
      <c r="AE68" s="2" t="s">
        <v>517</v>
      </c>
      <c r="AF68" s="61">
        <v>86</v>
      </c>
      <c r="AH68" s="2" t="s">
        <v>762</v>
      </c>
      <c r="AI68" s="2" t="s">
        <v>68</v>
      </c>
      <c r="AJ68" s="2" t="s">
        <v>85</v>
      </c>
      <c r="AK68" s="2" t="s">
        <v>31</v>
      </c>
      <c r="AL68" s="2">
        <v>20</v>
      </c>
      <c r="AM68" s="61">
        <v>12</v>
      </c>
      <c r="AN68" s="2" t="s">
        <v>43</v>
      </c>
      <c r="AO68" s="2" t="s">
        <v>20</v>
      </c>
      <c r="AP68" s="2" t="s">
        <v>763</v>
      </c>
      <c r="AQ68" s="2">
        <v>82</v>
      </c>
      <c r="AS68" s="2" t="s">
        <v>169</v>
      </c>
      <c r="AT68" s="2" t="s">
        <v>11</v>
      </c>
      <c r="AU68" s="2" t="s">
        <v>30</v>
      </c>
      <c r="AV68" s="2" t="s">
        <v>31</v>
      </c>
      <c r="AW68" s="61">
        <v>18</v>
      </c>
      <c r="AX68" s="2">
        <v>9</v>
      </c>
      <c r="AY68" s="2" t="s">
        <v>25</v>
      </c>
      <c r="AZ68" s="2" t="s">
        <v>46</v>
      </c>
      <c r="BA68" s="2" t="s">
        <v>170</v>
      </c>
      <c r="BB68" s="2">
        <v>60</v>
      </c>
      <c r="BD68" s="2" t="s">
        <v>456</v>
      </c>
      <c r="BE68" s="2" t="s">
        <v>11</v>
      </c>
      <c r="BF68" s="2" t="s">
        <v>55</v>
      </c>
      <c r="BG68" s="2" t="s">
        <v>13</v>
      </c>
      <c r="BH68" s="2">
        <v>15</v>
      </c>
      <c r="BI68" s="2">
        <v>9</v>
      </c>
      <c r="BJ68" s="2" t="s">
        <v>32</v>
      </c>
      <c r="BK68" s="61" t="s">
        <v>61</v>
      </c>
      <c r="BL68" s="2" t="s">
        <v>457</v>
      </c>
      <c r="BM68" s="2">
        <v>97</v>
      </c>
    </row>
    <row r="69" spans="1:65" x14ac:dyDescent="0.3">
      <c r="A69" s="2" t="s">
        <v>177</v>
      </c>
      <c r="B69" s="2" t="s">
        <v>29</v>
      </c>
      <c r="C69" s="2" t="s">
        <v>58</v>
      </c>
      <c r="D69" s="2" t="s">
        <v>31</v>
      </c>
      <c r="E69" s="2">
        <v>19</v>
      </c>
      <c r="F69" s="2">
        <v>12</v>
      </c>
      <c r="G69" s="2" t="s">
        <v>43</v>
      </c>
      <c r="H69" s="2" t="s">
        <v>61</v>
      </c>
      <c r="I69" s="2" t="s">
        <v>178</v>
      </c>
      <c r="J69" s="2">
        <v>99</v>
      </c>
      <c r="W69" s="2" t="s">
        <v>522</v>
      </c>
      <c r="X69" s="2" t="s">
        <v>54</v>
      </c>
      <c r="Y69" s="2" t="s">
        <v>79</v>
      </c>
      <c r="Z69" s="2" t="s">
        <v>31</v>
      </c>
      <c r="AA69" s="2">
        <v>18</v>
      </c>
      <c r="AB69" s="2">
        <v>10</v>
      </c>
      <c r="AC69" s="2" t="s">
        <v>14</v>
      </c>
      <c r="AD69" s="2" t="s">
        <v>61</v>
      </c>
      <c r="AE69" s="2" t="s">
        <v>523</v>
      </c>
      <c r="AF69" s="61">
        <v>82</v>
      </c>
      <c r="AH69" s="2" t="s">
        <v>799</v>
      </c>
      <c r="AI69" s="2" t="s">
        <v>54</v>
      </c>
      <c r="AJ69" s="2" t="s">
        <v>36</v>
      </c>
      <c r="AK69" s="2" t="s">
        <v>31</v>
      </c>
      <c r="AL69" s="2">
        <v>17</v>
      </c>
      <c r="AM69" s="61">
        <v>12</v>
      </c>
      <c r="AN69" s="2" t="s">
        <v>14</v>
      </c>
      <c r="AO69" s="2" t="s">
        <v>46</v>
      </c>
      <c r="AP69" s="2" t="s">
        <v>533</v>
      </c>
      <c r="AQ69" s="2">
        <v>59</v>
      </c>
      <c r="AS69" s="2" t="s">
        <v>171</v>
      </c>
      <c r="AT69" s="2" t="s">
        <v>29</v>
      </c>
      <c r="AU69" s="2" t="s">
        <v>85</v>
      </c>
      <c r="AV69" s="2" t="s">
        <v>13</v>
      </c>
      <c r="AW69" s="61">
        <v>14</v>
      </c>
      <c r="AX69" s="2">
        <v>10</v>
      </c>
      <c r="AY69" s="2" t="s">
        <v>32</v>
      </c>
      <c r="AZ69" s="2" t="s">
        <v>61</v>
      </c>
      <c r="BA69" s="2" t="s">
        <v>172</v>
      </c>
      <c r="BB69" s="2">
        <v>51</v>
      </c>
      <c r="BD69" s="2" t="s">
        <v>458</v>
      </c>
      <c r="BE69" s="2" t="s">
        <v>11</v>
      </c>
      <c r="BF69" s="2" t="s">
        <v>55</v>
      </c>
      <c r="BG69" s="2" t="s">
        <v>13</v>
      </c>
      <c r="BH69" s="2">
        <v>19</v>
      </c>
      <c r="BI69" s="2">
        <v>11</v>
      </c>
      <c r="BJ69" s="2" t="s">
        <v>14</v>
      </c>
      <c r="BK69" s="61" t="s">
        <v>46</v>
      </c>
      <c r="BL69" s="2" t="s">
        <v>459</v>
      </c>
      <c r="BM69" s="2">
        <v>81</v>
      </c>
    </row>
    <row r="70" spans="1:65" x14ac:dyDescent="0.3">
      <c r="A70" s="2" t="s">
        <v>179</v>
      </c>
      <c r="B70" s="2" t="s">
        <v>29</v>
      </c>
      <c r="C70" s="2" t="s">
        <v>58</v>
      </c>
      <c r="D70" s="2" t="s">
        <v>31</v>
      </c>
      <c r="E70" s="2">
        <v>16</v>
      </c>
      <c r="F70" s="2">
        <v>11</v>
      </c>
      <c r="G70" s="2" t="s">
        <v>25</v>
      </c>
      <c r="H70" s="2" t="s">
        <v>26</v>
      </c>
      <c r="I70" s="2" t="s">
        <v>180</v>
      </c>
      <c r="J70" s="2">
        <v>75</v>
      </c>
      <c r="W70" s="2" t="s">
        <v>524</v>
      </c>
      <c r="X70" s="2" t="s">
        <v>35</v>
      </c>
      <c r="Y70" s="2" t="s">
        <v>85</v>
      </c>
      <c r="Z70" s="2" t="s">
        <v>13</v>
      </c>
      <c r="AA70" s="2">
        <v>20</v>
      </c>
      <c r="AB70" s="2">
        <v>10</v>
      </c>
      <c r="AC70" s="2" t="s">
        <v>14</v>
      </c>
      <c r="AD70" s="2" t="s">
        <v>40</v>
      </c>
      <c r="AE70" s="2" t="s">
        <v>525</v>
      </c>
      <c r="AF70" s="61">
        <v>92</v>
      </c>
      <c r="AH70" s="2" t="s">
        <v>823</v>
      </c>
      <c r="AI70" s="2" t="s">
        <v>11</v>
      </c>
      <c r="AJ70" s="2" t="s">
        <v>79</v>
      </c>
      <c r="AK70" s="2" t="s">
        <v>31</v>
      </c>
      <c r="AL70" s="2">
        <v>18</v>
      </c>
      <c r="AM70" s="61">
        <v>12</v>
      </c>
      <c r="AN70" s="2" t="s">
        <v>43</v>
      </c>
      <c r="AO70" s="2" t="s">
        <v>37</v>
      </c>
      <c r="AP70" s="2" t="s">
        <v>292</v>
      </c>
      <c r="AQ70" s="2">
        <v>94</v>
      </c>
      <c r="AS70" s="2" t="s">
        <v>173</v>
      </c>
      <c r="AT70" s="2" t="s">
        <v>54</v>
      </c>
      <c r="AU70" s="2" t="s">
        <v>30</v>
      </c>
      <c r="AV70" s="2" t="s">
        <v>31</v>
      </c>
      <c r="AW70" s="61">
        <v>18</v>
      </c>
      <c r="AX70" s="2">
        <v>9</v>
      </c>
      <c r="AY70" s="2" t="s">
        <v>32</v>
      </c>
      <c r="AZ70" s="2" t="s">
        <v>40</v>
      </c>
      <c r="BA70" s="2" t="s">
        <v>174</v>
      </c>
      <c r="BB70" s="2">
        <v>54</v>
      </c>
      <c r="BD70" s="2" t="s">
        <v>470</v>
      </c>
      <c r="BE70" s="2" t="s">
        <v>35</v>
      </c>
      <c r="BF70" s="2" t="s">
        <v>96</v>
      </c>
      <c r="BG70" s="2" t="s">
        <v>31</v>
      </c>
      <c r="BH70" s="2">
        <v>16</v>
      </c>
      <c r="BI70" s="2">
        <v>11</v>
      </c>
      <c r="BJ70" s="2" t="s">
        <v>32</v>
      </c>
      <c r="BK70" s="61" t="s">
        <v>61</v>
      </c>
      <c r="BL70" s="2" t="s">
        <v>471</v>
      </c>
      <c r="BM70" s="2">
        <v>65</v>
      </c>
    </row>
    <row r="71" spans="1:65" x14ac:dyDescent="0.3">
      <c r="A71" s="2" t="s">
        <v>181</v>
      </c>
      <c r="B71" s="2" t="s">
        <v>11</v>
      </c>
      <c r="C71" s="2" t="s">
        <v>55</v>
      </c>
      <c r="D71" s="2" t="s">
        <v>31</v>
      </c>
      <c r="E71" s="2">
        <v>18</v>
      </c>
      <c r="F71" s="2">
        <v>10</v>
      </c>
      <c r="G71" s="2" t="s">
        <v>25</v>
      </c>
      <c r="H71" s="2" t="s">
        <v>46</v>
      </c>
      <c r="I71" s="2" t="s">
        <v>182</v>
      </c>
      <c r="J71" s="2">
        <v>98</v>
      </c>
      <c r="W71" s="2" t="s">
        <v>527</v>
      </c>
      <c r="X71" s="2" t="s">
        <v>11</v>
      </c>
      <c r="Y71" s="2" t="s">
        <v>85</v>
      </c>
      <c r="Z71" s="2" t="s">
        <v>13</v>
      </c>
      <c r="AA71" s="2">
        <v>20</v>
      </c>
      <c r="AB71" s="2">
        <v>12</v>
      </c>
      <c r="AC71" s="2" t="s">
        <v>25</v>
      </c>
      <c r="AD71" s="2" t="s">
        <v>46</v>
      </c>
      <c r="AE71" s="2" t="s">
        <v>451</v>
      </c>
      <c r="AF71" s="61">
        <v>86</v>
      </c>
      <c r="AH71" s="2" t="s">
        <v>873</v>
      </c>
      <c r="AI71" s="2" t="s">
        <v>18</v>
      </c>
      <c r="AJ71" s="2" t="s">
        <v>79</v>
      </c>
      <c r="AK71" s="2" t="s">
        <v>31</v>
      </c>
      <c r="AL71" s="2">
        <v>19</v>
      </c>
      <c r="AM71" s="61">
        <v>12</v>
      </c>
      <c r="AN71" s="2" t="s">
        <v>32</v>
      </c>
      <c r="AO71" s="2" t="s">
        <v>76</v>
      </c>
      <c r="AP71" s="2" t="s">
        <v>742</v>
      </c>
      <c r="AQ71" s="2">
        <v>83</v>
      </c>
      <c r="AS71" s="2" t="s">
        <v>175</v>
      </c>
      <c r="AT71" s="2" t="s">
        <v>35</v>
      </c>
      <c r="AU71" s="2" t="s">
        <v>30</v>
      </c>
      <c r="AV71" s="2" t="s">
        <v>31</v>
      </c>
      <c r="AW71" s="61">
        <v>20</v>
      </c>
      <c r="AX71" s="2">
        <v>9</v>
      </c>
      <c r="AY71" s="2" t="s">
        <v>14</v>
      </c>
      <c r="AZ71" s="2" t="s">
        <v>61</v>
      </c>
      <c r="BA71" s="2" t="s">
        <v>176</v>
      </c>
      <c r="BB71" s="2">
        <v>76</v>
      </c>
      <c r="BD71" s="2" t="s">
        <v>473</v>
      </c>
      <c r="BE71" s="2" t="s">
        <v>18</v>
      </c>
      <c r="BF71" s="2" t="s">
        <v>19</v>
      </c>
      <c r="BG71" s="2" t="s">
        <v>31</v>
      </c>
      <c r="BH71" s="2">
        <v>16</v>
      </c>
      <c r="BI71" s="2">
        <v>11</v>
      </c>
      <c r="BJ71" s="2" t="s">
        <v>14</v>
      </c>
      <c r="BK71" s="61" t="s">
        <v>61</v>
      </c>
      <c r="BL71" s="2" t="s">
        <v>474</v>
      </c>
      <c r="BM71" s="2">
        <v>75</v>
      </c>
    </row>
    <row r="72" spans="1:65" x14ac:dyDescent="0.3">
      <c r="A72" s="2" t="s">
        <v>183</v>
      </c>
      <c r="B72" s="2" t="s">
        <v>11</v>
      </c>
      <c r="C72" s="2" t="s">
        <v>30</v>
      </c>
      <c r="D72" s="2" t="s">
        <v>31</v>
      </c>
      <c r="E72" s="2">
        <v>17</v>
      </c>
      <c r="F72" s="2">
        <v>12</v>
      </c>
      <c r="G72" s="2" t="s">
        <v>14</v>
      </c>
      <c r="H72" s="2" t="s">
        <v>37</v>
      </c>
      <c r="I72" s="2" t="s">
        <v>184</v>
      </c>
      <c r="J72" s="2">
        <v>49</v>
      </c>
      <c r="W72" s="2" t="s">
        <v>532</v>
      </c>
      <c r="X72" s="2" t="s">
        <v>51</v>
      </c>
      <c r="Y72" s="2" t="s">
        <v>19</v>
      </c>
      <c r="Z72" s="2" t="s">
        <v>31</v>
      </c>
      <c r="AA72" s="2">
        <v>14</v>
      </c>
      <c r="AB72" s="2">
        <v>11</v>
      </c>
      <c r="AC72" s="2" t="s">
        <v>43</v>
      </c>
      <c r="AD72" s="2" t="s">
        <v>20</v>
      </c>
      <c r="AE72" s="2" t="s">
        <v>533</v>
      </c>
      <c r="AF72" s="61">
        <v>93</v>
      </c>
      <c r="AH72" s="2" t="s">
        <v>881</v>
      </c>
      <c r="AI72" s="2" t="s">
        <v>73</v>
      </c>
      <c r="AJ72" s="2" t="s">
        <v>24</v>
      </c>
      <c r="AK72" s="2" t="s">
        <v>31</v>
      </c>
      <c r="AL72" s="2">
        <v>14</v>
      </c>
      <c r="AM72" s="61">
        <v>12</v>
      </c>
      <c r="AN72" s="2" t="s">
        <v>25</v>
      </c>
      <c r="AO72" s="2" t="s">
        <v>46</v>
      </c>
      <c r="AP72" s="2" t="s">
        <v>882</v>
      </c>
      <c r="AQ72" s="2">
        <v>58</v>
      </c>
      <c r="AS72" s="2" t="s">
        <v>177</v>
      </c>
      <c r="AT72" s="2" t="s">
        <v>29</v>
      </c>
      <c r="AU72" s="2" t="s">
        <v>58</v>
      </c>
      <c r="AV72" s="2" t="s">
        <v>31</v>
      </c>
      <c r="AW72" s="61">
        <v>19</v>
      </c>
      <c r="AX72" s="2">
        <v>12</v>
      </c>
      <c r="AY72" s="2" t="s">
        <v>43</v>
      </c>
      <c r="AZ72" s="2" t="s">
        <v>61</v>
      </c>
      <c r="BA72" s="2" t="s">
        <v>178</v>
      </c>
      <c r="BB72" s="2">
        <v>99</v>
      </c>
      <c r="BD72" s="2" t="s">
        <v>482</v>
      </c>
      <c r="BE72" s="2" t="s">
        <v>35</v>
      </c>
      <c r="BF72" s="2" t="s">
        <v>24</v>
      </c>
      <c r="BG72" s="2" t="s">
        <v>13</v>
      </c>
      <c r="BH72" s="2">
        <v>18</v>
      </c>
      <c r="BI72" s="2">
        <v>11</v>
      </c>
      <c r="BJ72" s="2" t="s">
        <v>14</v>
      </c>
      <c r="BK72" s="61" t="s">
        <v>61</v>
      </c>
      <c r="BL72" s="2" t="s">
        <v>483</v>
      </c>
      <c r="BM72" s="2">
        <v>86</v>
      </c>
    </row>
    <row r="73" spans="1:65" x14ac:dyDescent="0.3">
      <c r="A73" s="2" t="s">
        <v>185</v>
      </c>
      <c r="B73" s="2" t="s">
        <v>35</v>
      </c>
      <c r="C73" s="2" t="s">
        <v>30</v>
      </c>
      <c r="D73" s="2" t="s">
        <v>31</v>
      </c>
      <c r="E73" s="2">
        <v>14</v>
      </c>
      <c r="F73" s="2">
        <v>12</v>
      </c>
      <c r="G73" s="2" t="s">
        <v>43</v>
      </c>
      <c r="H73" s="2" t="s">
        <v>61</v>
      </c>
      <c r="I73" s="2" t="s">
        <v>186</v>
      </c>
      <c r="J73" s="2">
        <v>45</v>
      </c>
      <c r="W73" s="2" t="s">
        <v>546</v>
      </c>
      <c r="X73" s="2" t="s">
        <v>51</v>
      </c>
      <c r="Y73" s="2" t="s">
        <v>36</v>
      </c>
      <c r="Z73" s="2" t="s">
        <v>31</v>
      </c>
      <c r="AA73" s="2">
        <v>14</v>
      </c>
      <c r="AB73" s="2">
        <v>9</v>
      </c>
      <c r="AC73" s="2" t="s">
        <v>14</v>
      </c>
      <c r="AD73" s="2" t="s">
        <v>46</v>
      </c>
      <c r="AE73" s="2" t="s">
        <v>547</v>
      </c>
      <c r="AF73" s="61">
        <v>81</v>
      </c>
      <c r="AH73" s="2" t="s">
        <v>889</v>
      </c>
      <c r="AI73" s="2" t="s">
        <v>68</v>
      </c>
      <c r="AJ73" s="2" t="s">
        <v>19</v>
      </c>
      <c r="AK73" s="2" t="s">
        <v>31</v>
      </c>
      <c r="AL73" s="2">
        <v>18</v>
      </c>
      <c r="AM73" s="61">
        <v>12</v>
      </c>
      <c r="AN73" s="2" t="s">
        <v>32</v>
      </c>
      <c r="AO73" s="2" t="s">
        <v>46</v>
      </c>
      <c r="AP73" s="2" t="s">
        <v>890</v>
      </c>
      <c r="AQ73" s="2">
        <v>88</v>
      </c>
      <c r="AS73" s="2" t="s">
        <v>179</v>
      </c>
      <c r="AT73" s="2" t="s">
        <v>29</v>
      </c>
      <c r="AU73" s="2" t="s">
        <v>58</v>
      </c>
      <c r="AV73" s="2" t="s">
        <v>31</v>
      </c>
      <c r="AW73" s="61">
        <v>16</v>
      </c>
      <c r="AX73" s="2">
        <v>11</v>
      </c>
      <c r="AY73" s="2" t="s">
        <v>25</v>
      </c>
      <c r="AZ73" s="2" t="s">
        <v>26</v>
      </c>
      <c r="BA73" s="2" t="s">
        <v>180</v>
      </c>
      <c r="BB73" s="2">
        <v>75</v>
      </c>
      <c r="BD73" s="2" t="s">
        <v>487</v>
      </c>
      <c r="BE73" s="2" t="s">
        <v>18</v>
      </c>
      <c r="BF73" s="2" t="s">
        <v>79</v>
      </c>
      <c r="BG73" s="2" t="s">
        <v>13</v>
      </c>
      <c r="BH73" s="2">
        <v>16</v>
      </c>
      <c r="BI73" s="2">
        <v>11</v>
      </c>
      <c r="BJ73" s="2" t="s">
        <v>43</v>
      </c>
      <c r="BK73" s="61" t="s">
        <v>61</v>
      </c>
      <c r="BL73" s="2" t="s">
        <v>488</v>
      </c>
      <c r="BM73" s="2">
        <v>86</v>
      </c>
    </row>
    <row r="74" spans="1:65" x14ac:dyDescent="0.3">
      <c r="A74" s="2" t="s">
        <v>187</v>
      </c>
      <c r="B74" s="2" t="s">
        <v>51</v>
      </c>
      <c r="C74" s="2" t="s">
        <v>12</v>
      </c>
      <c r="D74" s="2" t="s">
        <v>31</v>
      </c>
      <c r="E74" s="2">
        <v>17</v>
      </c>
      <c r="F74" s="2">
        <v>10</v>
      </c>
      <c r="G74" s="2" t="s">
        <v>43</v>
      </c>
      <c r="H74" s="2" t="s">
        <v>46</v>
      </c>
      <c r="I74" s="2" t="s">
        <v>101</v>
      </c>
      <c r="J74" s="2">
        <v>66</v>
      </c>
      <c r="W74" s="2" t="s">
        <v>548</v>
      </c>
      <c r="X74" s="2" t="s">
        <v>51</v>
      </c>
      <c r="Y74" s="2" t="s">
        <v>24</v>
      </c>
      <c r="Z74" s="2" t="s">
        <v>31</v>
      </c>
      <c r="AA74" s="2">
        <v>15</v>
      </c>
      <c r="AB74" s="2">
        <v>11</v>
      </c>
      <c r="AC74" s="2" t="s">
        <v>32</v>
      </c>
      <c r="AD74" s="2" t="s">
        <v>40</v>
      </c>
      <c r="AE74" s="2" t="s">
        <v>549</v>
      </c>
      <c r="AF74" s="61">
        <v>90</v>
      </c>
      <c r="AH74" s="2" t="s">
        <v>903</v>
      </c>
      <c r="AI74" s="2" t="s">
        <v>54</v>
      </c>
      <c r="AJ74" s="2" t="s">
        <v>30</v>
      </c>
      <c r="AK74" s="2" t="s">
        <v>31</v>
      </c>
      <c r="AL74" s="2">
        <v>20</v>
      </c>
      <c r="AM74" s="61">
        <v>12</v>
      </c>
      <c r="AN74" s="2" t="s">
        <v>43</v>
      </c>
      <c r="AO74" s="2" t="s">
        <v>40</v>
      </c>
      <c r="AP74" s="2" t="s">
        <v>904</v>
      </c>
      <c r="AQ74" s="2">
        <v>55</v>
      </c>
      <c r="AS74" s="2" t="s">
        <v>181</v>
      </c>
      <c r="AT74" s="2" t="s">
        <v>11</v>
      </c>
      <c r="AU74" s="2" t="s">
        <v>55</v>
      </c>
      <c r="AV74" s="2" t="s">
        <v>31</v>
      </c>
      <c r="AW74" s="61">
        <v>18</v>
      </c>
      <c r="AX74" s="2">
        <v>10</v>
      </c>
      <c r="AY74" s="2" t="s">
        <v>25</v>
      </c>
      <c r="AZ74" s="2" t="s">
        <v>46</v>
      </c>
      <c r="BA74" s="2" t="s">
        <v>182</v>
      </c>
      <c r="BB74" s="2">
        <v>98</v>
      </c>
      <c r="BD74" s="2" t="s">
        <v>490</v>
      </c>
      <c r="BE74" s="2" t="s">
        <v>73</v>
      </c>
      <c r="BF74" s="2" t="s">
        <v>96</v>
      </c>
      <c r="BG74" s="2" t="s">
        <v>13</v>
      </c>
      <c r="BH74" s="2">
        <v>17</v>
      </c>
      <c r="BI74" s="2">
        <v>10</v>
      </c>
      <c r="BJ74" s="2" t="s">
        <v>32</v>
      </c>
      <c r="BK74" s="61" t="s">
        <v>61</v>
      </c>
      <c r="BL74" s="2" t="s">
        <v>491</v>
      </c>
      <c r="BM74" s="2">
        <v>60</v>
      </c>
    </row>
    <row r="75" spans="1:65" x14ac:dyDescent="0.3">
      <c r="A75" s="2" t="s">
        <v>188</v>
      </c>
      <c r="B75" s="2" t="s">
        <v>23</v>
      </c>
      <c r="C75" s="2" t="s">
        <v>55</v>
      </c>
      <c r="D75" s="2" t="s">
        <v>31</v>
      </c>
      <c r="E75" s="2">
        <v>15</v>
      </c>
      <c r="F75" s="2">
        <v>9</v>
      </c>
      <c r="G75" s="2" t="s">
        <v>43</v>
      </c>
      <c r="H75" s="2" t="s">
        <v>20</v>
      </c>
      <c r="I75" s="2" t="s">
        <v>189</v>
      </c>
      <c r="J75" s="2">
        <v>88</v>
      </c>
      <c r="W75" s="2" t="s">
        <v>550</v>
      </c>
      <c r="X75" s="2" t="s">
        <v>73</v>
      </c>
      <c r="Y75" s="2" t="s">
        <v>19</v>
      </c>
      <c r="Z75" s="2" t="s">
        <v>13</v>
      </c>
      <c r="AA75" s="2">
        <v>14</v>
      </c>
      <c r="AB75" s="2">
        <v>11</v>
      </c>
      <c r="AC75" s="2" t="s">
        <v>32</v>
      </c>
      <c r="AD75" s="2" t="s">
        <v>26</v>
      </c>
      <c r="AE75" s="2" t="s">
        <v>551</v>
      </c>
      <c r="AF75" s="61">
        <v>90</v>
      </c>
      <c r="AH75" s="2" t="s">
        <v>912</v>
      </c>
      <c r="AI75" s="2" t="s">
        <v>23</v>
      </c>
      <c r="AJ75" s="2" t="s">
        <v>79</v>
      </c>
      <c r="AK75" s="2" t="s">
        <v>31</v>
      </c>
      <c r="AL75" s="2">
        <v>17</v>
      </c>
      <c r="AM75" s="61">
        <v>12</v>
      </c>
      <c r="AN75" s="2" t="s">
        <v>32</v>
      </c>
      <c r="AO75" s="2" t="s">
        <v>46</v>
      </c>
      <c r="AP75" s="2" t="s">
        <v>400</v>
      </c>
      <c r="AQ75" s="2">
        <v>70</v>
      </c>
      <c r="AS75" s="2" t="s">
        <v>183</v>
      </c>
      <c r="AT75" s="2" t="s">
        <v>11</v>
      </c>
      <c r="AU75" s="2" t="s">
        <v>30</v>
      </c>
      <c r="AV75" s="2" t="s">
        <v>31</v>
      </c>
      <c r="AW75" s="61">
        <v>17</v>
      </c>
      <c r="AX75" s="2">
        <v>12</v>
      </c>
      <c r="AY75" s="2" t="s">
        <v>14</v>
      </c>
      <c r="AZ75" s="2" t="s">
        <v>37</v>
      </c>
      <c r="BA75" s="2" t="s">
        <v>184</v>
      </c>
      <c r="BB75" s="2">
        <v>49</v>
      </c>
      <c r="BD75" s="2" t="s">
        <v>499</v>
      </c>
      <c r="BE75" s="2" t="s">
        <v>54</v>
      </c>
      <c r="BF75" s="2" t="s">
        <v>19</v>
      </c>
      <c r="BG75" s="2" t="s">
        <v>31</v>
      </c>
      <c r="BH75" s="2">
        <v>20</v>
      </c>
      <c r="BI75" s="2">
        <v>9</v>
      </c>
      <c r="BJ75" s="2" t="s">
        <v>32</v>
      </c>
      <c r="BK75" s="61" t="s">
        <v>46</v>
      </c>
      <c r="BL75" s="2" t="s">
        <v>500</v>
      </c>
      <c r="BM75" s="2">
        <v>42</v>
      </c>
    </row>
    <row r="76" spans="1:65" x14ac:dyDescent="0.3">
      <c r="A76" s="2" t="s">
        <v>190</v>
      </c>
      <c r="B76" s="2" t="s">
        <v>18</v>
      </c>
      <c r="C76" s="2" t="s">
        <v>19</v>
      </c>
      <c r="D76" s="2" t="s">
        <v>31</v>
      </c>
      <c r="E76" s="2">
        <v>14</v>
      </c>
      <c r="F76" s="2">
        <v>12</v>
      </c>
      <c r="G76" s="2" t="s">
        <v>32</v>
      </c>
      <c r="H76" s="2" t="s">
        <v>37</v>
      </c>
      <c r="I76" s="2" t="s">
        <v>191</v>
      </c>
      <c r="J76" s="2">
        <v>63</v>
      </c>
      <c r="W76" s="2" t="s">
        <v>552</v>
      </c>
      <c r="X76" s="2" t="s">
        <v>35</v>
      </c>
      <c r="Y76" s="2" t="s">
        <v>30</v>
      </c>
      <c r="Z76" s="2" t="s">
        <v>13</v>
      </c>
      <c r="AA76" s="2">
        <v>19</v>
      </c>
      <c r="AB76" s="2">
        <v>11</v>
      </c>
      <c r="AC76" s="2" t="s">
        <v>14</v>
      </c>
      <c r="AD76" s="2" t="s">
        <v>76</v>
      </c>
      <c r="AE76" s="2" t="s">
        <v>553</v>
      </c>
      <c r="AF76" s="61">
        <v>81</v>
      </c>
      <c r="AH76" s="2" t="s">
        <v>923</v>
      </c>
      <c r="AI76" s="2" t="s">
        <v>68</v>
      </c>
      <c r="AJ76" s="2" t="s">
        <v>55</v>
      </c>
      <c r="AK76" s="2" t="s">
        <v>31</v>
      </c>
      <c r="AL76" s="2">
        <v>16</v>
      </c>
      <c r="AM76" s="61">
        <v>12</v>
      </c>
      <c r="AN76" s="2" t="s">
        <v>43</v>
      </c>
      <c r="AO76" s="2" t="s">
        <v>37</v>
      </c>
      <c r="AP76" s="2" t="s">
        <v>924</v>
      </c>
      <c r="AQ76" s="2">
        <v>77</v>
      </c>
      <c r="AS76" s="2" t="s">
        <v>185</v>
      </c>
      <c r="AT76" s="2" t="s">
        <v>35</v>
      </c>
      <c r="AU76" s="2" t="s">
        <v>30</v>
      </c>
      <c r="AV76" s="2" t="s">
        <v>31</v>
      </c>
      <c r="AW76" s="61">
        <v>14</v>
      </c>
      <c r="AX76" s="2">
        <v>12</v>
      </c>
      <c r="AY76" s="2" t="s">
        <v>43</v>
      </c>
      <c r="AZ76" s="2" t="s">
        <v>61</v>
      </c>
      <c r="BA76" s="2" t="s">
        <v>186</v>
      </c>
      <c r="BB76" s="2">
        <v>45</v>
      </c>
      <c r="BD76" s="2" t="s">
        <v>501</v>
      </c>
      <c r="BE76" s="2" t="s">
        <v>84</v>
      </c>
      <c r="BF76" s="2" t="s">
        <v>19</v>
      </c>
      <c r="BG76" s="2" t="s">
        <v>13</v>
      </c>
      <c r="BH76" s="2">
        <v>18</v>
      </c>
      <c r="BI76" s="2">
        <v>10</v>
      </c>
      <c r="BJ76" s="2" t="s">
        <v>14</v>
      </c>
      <c r="BK76" s="61" t="s">
        <v>61</v>
      </c>
      <c r="BL76" s="2" t="s">
        <v>502</v>
      </c>
      <c r="BM76" s="2">
        <v>76</v>
      </c>
    </row>
    <row r="77" spans="1:65" x14ac:dyDescent="0.3">
      <c r="A77" s="2" t="s">
        <v>192</v>
      </c>
      <c r="B77" s="2" t="s">
        <v>68</v>
      </c>
      <c r="C77" s="2" t="s">
        <v>85</v>
      </c>
      <c r="D77" s="2" t="s">
        <v>13</v>
      </c>
      <c r="E77" s="2">
        <v>19</v>
      </c>
      <c r="F77" s="2">
        <v>11</v>
      </c>
      <c r="G77" s="2" t="s">
        <v>43</v>
      </c>
      <c r="H77" s="2" t="s">
        <v>61</v>
      </c>
      <c r="I77" s="2" t="s">
        <v>193</v>
      </c>
      <c r="J77" s="2">
        <v>78</v>
      </c>
      <c r="W77" s="2" t="s">
        <v>555</v>
      </c>
      <c r="X77" s="2" t="s">
        <v>73</v>
      </c>
      <c r="Y77" s="2" t="s">
        <v>55</v>
      </c>
      <c r="Z77" s="2" t="s">
        <v>31</v>
      </c>
      <c r="AA77" s="2">
        <v>16</v>
      </c>
      <c r="AB77" s="2">
        <v>9</v>
      </c>
      <c r="AC77" s="2" t="s">
        <v>14</v>
      </c>
      <c r="AD77" s="2" t="s">
        <v>76</v>
      </c>
      <c r="AE77" s="2" t="s">
        <v>556</v>
      </c>
      <c r="AF77" s="61">
        <v>93</v>
      </c>
      <c r="AS77" s="2" t="s">
        <v>187</v>
      </c>
      <c r="AT77" s="2" t="s">
        <v>51</v>
      </c>
      <c r="AU77" s="2" t="s">
        <v>12</v>
      </c>
      <c r="AV77" s="2" t="s">
        <v>31</v>
      </c>
      <c r="AW77" s="61">
        <v>17</v>
      </c>
      <c r="AX77" s="2">
        <v>10</v>
      </c>
      <c r="AY77" s="2" t="s">
        <v>43</v>
      </c>
      <c r="AZ77" s="2" t="s">
        <v>46</v>
      </c>
      <c r="BA77" s="2" t="s">
        <v>101</v>
      </c>
      <c r="BB77" s="2">
        <v>66</v>
      </c>
      <c r="BD77" s="2" t="s">
        <v>503</v>
      </c>
      <c r="BE77" s="2" t="s">
        <v>84</v>
      </c>
      <c r="BF77" s="2" t="s">
        <v>19</v>
      </c>
      <c r="BG77" s="2" t="s">
        <v>31</v>
      </c>
      <c r="BH77" s="2">
        <v>15</v>
      </c>
      <c r="BI77" s="2">
        <v>10</v>
      </c>
      <c r="BJ77" s="2" t="s">
        <v>43</v>
      </c>
      <c r="BK77" s="61" t="s">
        <v>61</v>
      </c>
      <c r="BL77" s="2" t="s">
        <v>504</v>
      </c>
      <c r="BM77" s="2">
        <v>44</v>
      </c>
    </row>
    <row r="78" spans="1:65" x14ac:dyDescent="0.3">
      <c r="A78" s="2" t="s">
        <v>194</v>
      </c>
      <c r="B78" s="2" t="s">
        <v>23</v>
      </c>
      <c r="C78" s="2" t="s">
        <v>19</v>
      </c>
      <c r="D78" s="2" t="s">
        <v>31</v>
      </c>
      <c r="E78" s="2">
        <v>20</v>
      </c>
      <c r="F78" s="2">
        <v>9</v>
      </c>
      <c r="G78" s="2" t="s">
        <v>25</v>
      </c>
      <c r="H78" s="2" t="s">
        <v>76</v>
      </c>
      <c r="I78" s="2" t="s">
        <v>195</v>
      </c>
      <c r="J78" s="2">
        <v>76</v>
      </c>
      <c r="W78" s="2" t="s">
        <v>567</v>
      </c>
      <c r="X78" s="2" t="s">
        <v>54</v>
      </c>
      <c r="Y78" s="2" t="s">
        <v>12</v>
      </c>
      <c r="Z78" s="2" t="s">
        <v>31</v>
      </c>
      <c r="AA78" s="2">
        <v>18</v>
      </c>
      <c r="AB78" s="2">
        <v>12</v>
      </c>
      <c r="AC78" s="2" t="s">
        <v>25</v>
      </c>
      <c r="AD78" s="2" t="s">
        <v>26</v>
      </c>
      <c r="AE78" s="2" t="s">
        <v>568</v>
      </c>
      <c r="AF78" s="61">
        <v>96</v>
      </c>
      <c r="AS78" s="2" t="s">
        <v>188</v>
      </c>
      <c r="AT78" s="2" t="s">
        <v>23</v>
      </c>
      <c r="AU78" s="2" t="s">
        <v>55</v>
      </c>
      <c r="AV78" s="2" t="s">
        <v>31</v>
      </c>
      <c r="AW78" s="61">
        <v>15</v>
      </c>
      <c r="AX78" s="2">
        <v>9</v>
      </c>
      <c r="AY78" s="2" t="s">
        <v>43</v>
      </c>
      <c r="AZ78" s="2" t="s">
        <v>20</v>
      </c>
      <c r="BA78" s="2" t="s">
        <v>189</v>
      </c>
      <c r="BB78" s="2">
        <v>88</v>
      </c>
      <c r="BD78" s="2" t="s">
        <v>507</v>
      </c>
      <c r="BE78" s="2" t="s">
        <v>54</v>
      </c>
      <c r="BF78" s="2" t="s">
        <v>12</v>
      </c>
      <c r="BG78" s="2" t="s">
        <v>31</v>
      </c>
      <c r="BH78" s="2">
        <v>16</v>
      </c>
      <c r="BI78" s="2">
        <v>12</v>
      </c>
      <c r="BJ78" s="2" t="s">
        <v>43</v>
      </c>
      <c r="BK78" s="61" t="s">
        <v>61</v>
      </c>
      <c r="BL78" s="2" t="s">
        <v>483</v>
      </c>
      <c r="BM78" s="2">
        <v>45</v>
      </c>
    </row>
    <row r="79" spans="1:65" x14ac:dyDescent="0.3">
      <c r="A79" s="2" t="s">
        <v>196</v>
      </c>
      <c r="B79" s="2" t="s">
        <v>23</v>
      </c>
      <c r="C79" s="2" t="s">
        <v>79</v>
      </c>
      <c r="D79" s="2" t="s">
        <v>13</v>
      </c>
      <c r="E79" s="2">
        <v>18</v>
      </c>
      <c r="F79" s="2">
        <v>12</v>
      </c>
      <c r="G79" s="2" t="s">
        <v>43</v>
      </c>
      <c r="H79" s="2" t="s">
        <v>76</v>
      </c>
      <c r="I79" s="2" t="s">
        <v>197</v>
      </c>
      <c r="J79" s="2">
        <v>67</v>
      </c>
      <c r="W79" s="2" t="s">
        <v>569</v>
      </c>
      <c r="X79" s="2" t="s">
        <v>54</v>
      </c>
      <c r="Y79" s="2" t="s">
        <v>12</v>
      </c>
      <c r="Z79" s="2" t="s">
        <v>31</v>
      </c>
      <c r="AA79" s="2">
        <v>17</v>
      </c>
      <c r="AB79" s="2">
        <v>9</v>
      </c>
      <c r="AC79" s="2" t="s">
        <v>25</v>
      </c>
      <c r="AD79" s="2" t="s">
        <v>37</v>
      </c>
      <c r="AE79" s="2" t="s">
        <v>570</v>
      </c>
      <c r="AF79" s="61">
        <v>100</v>
      </c>
      <c r="AS79" s="2" t="s">
        <v>190</v>
      </c>
      <c r="AT79" s="2" t="s">
        <v>18</v>
      </c>
      <c r="AU79" s="2" t="s">
        <v>19</v>
      </c>
      <c r="AV79" s="2" t="s">
        <v>31</v>
      </c>
      <c r="AW79" s="61">
        <v>14</v>
      </c>
      <c r="AX79" s="2">
        <v>12</v>
      </c>
      <c r="AY79" s="2" t="s">
        <v>32</v>
      </c>
      <c r="AZ79" s="2" t="s">
        <v>37</v>
      </c>
      <c r="BA79" s="2" t="s">
        <v>191</v>
      </c>
      <c r="BB79" s="2">
        <v>63</v>
      </c>
      <c r="BD79" s="2" t="s">
        <v>508</v>
      </c>
      <c r="BE79" s="2" t="s">
        <v>73</v>
      </c>
      <c r="BF79" s="2" t="s">
        <v>55</v>
      </c>
      <c r="BG79" s="2" t="s">
        <v>13</v>
      </c>
      <c r="BH79" s="2">
        <v>15</v>
      </c>
      <c r="BI79" s="2">
        <v>11</v>
      </c>
      <c r="BJ79" s="2" t="s">
        <v>43</v>
      </c>
      <c r="BK79" s="61" t="s">
        <v>46</v>
      </c>
      <c r="BL79" s="2" t="s">
        <v>509</v>
      </c>
      <c r="BM79" s="2">
        <v>54</v>
      </c>
    </row>
    <row r="80" spans="1:65" x14ac:dyDescent="0.3">
      <c r="A80" s="2" t="s">
        <v>198</v>
      </c>
      <c r="B80" s="2" t="s">
        <v>11</v>
      </c>
      <c r="C80" s="2" t="s">
        <v>85</v>
      </c>
      <c r="D80" s="2" t="s">
        <v>31</v>
      </c>
      <c r="E80" s="2">
        <v>14</v>
      </c>
      <c r="F80" s="2">
        <v>10</v>
      </c>
      <c r="G80" s="2" t="s">
        <v>25</v>
      </c>
      <c r="H80" s="2" t="s">
        <v>61</v>
      </c>
      <c r="I80" s="2" t="s">
        <v>199</v>
      </c>
      <c r="J80" s="2">
        <v>97</v>
      </c>
      <c r="W80" s="2" t="s">
        <v>573</v>
      </c>
      <c r="X80" s="2" t="s">
        <v>54</v>
      </c>
      <c r="Y80" s="2" t="s">
        <v>24</v>
      </c>
      <c r="Z80" s="2" t="s">
        <v>13</v>
      </c>
      <c r="AA80" s="2">
        <v>19</v>
      </c>
      <c r="AB80" s="2">
        <v>9</v>
      </c>
      <c r="AC80" s="2" t="s">
        <v>43</v>
      </c>
      <c r="AD80" s="2" t="s">
        <v>46</v>
      </c>
      <c r="AE80" s="2" t="s">
        <v>574</v>
      </c>
      <c r="AF80" s="61">
        <v>94</v>
      </c>
      <c r="AS80" s="2" t="s">
        <v>192</v>
      </c>
      <c r="AT80" s="2" t="s">
        <v>68</v>
      </c>
      <c r="AU80" s="2" t="s">
        <v>85</v>
      </c>
      <c r="AV80" s="2" t="s">
        <v>13</v>
      </c>
      <c r="AW80" s="61">
        <v>19</v>
      </c>
      <c r="AX80" s="2">
        <v>11</v>
      </c>
      <c r="AY80" s="2" t="s">
        <v>43</v>
      </c>
      <c r="AZ80" s="2" t="s">
        <v>61</v>
      </c>
      <c r="BA80" s="2" t="s">
        <v>193</v>
      </c>
      <c r="BB80" s="2">
        <v>78</v>
      </c>
      <c r="BD80" s="2" t="s">
        <v>516</v>
      </c>
      <c r="BE80" s="2" t="s">
        <v>18</v>
      </c>
      <c r="BF80" s="2" t="s">
        <v>96</v>
      </c>
      <c r="BG80" s="2" t="s">
        <v>31</v>
      </c>
      <c r="BH80" s="2">
        <v>14</v>
      </c>
      <c r="BI80" s="2">
        <v>11</v>
      </c>
      <c r="BJ80" s="2" t="s">
        <v>32</v>
      </c>
      <c r="BK80" s="61" t="s">
        <v>46</v>
      </c>
      <c r="BL80" s="2" t="s">
        <v>517</v>
      </c>
      <c r="BM80" s="2">
        <v>86</v>
      </c>
    </row>
    <row r="81" spans="1:65" x14ac:dyDescent="0.3">
      <c r="A81" s="2" t="s">
        <v>200</v>
      </c>
      <c r="B81" s="2" t="s">
        <v>29</v>
      </c>
      <c r="C81" s="2" t="s">
        <v>12</v>
      </c>
      <c r="D81" s="2" t="s">
        <v>13</v>
      </c>
      <c r="E81" s="2">
        <v>18</v>
      </c>
      <c r="F81" s="2">
        <v>12</v>
      </c>
      <c r="G81" s="2" t="s">
        <v>25</v>
      </c>
      <c r="H81" s="2" t="s">
        <v>26</v>
      </c>
      <c r="I81" s="2" t="s">
        <v>201</v>
      </c>
      <c r="J81" s="2">
        <v>89</v>
      </c>
      <c r="W81" s="2" t="s">
        <v>592</v>
      </c>
      <c r="X81" s="2" t="s">
        <v>51</v>
      </c>
      <c r="Y81" s="2" t="s">
        <v>19</v>
      </c>
      <c r="Z81" s="2" t="s">
        <v>31</v>
      </c>
      <c r="AA81" s="2">
        <v>18</v>
      </c>
      <c r="AB81" s="2">
        <v>10</v>
      </c>
      <c r="AC81" s="2" t="s">
        <v>43</v>
      </c>
      <c r="AD81" s="2" t="s">
        <v>76</v>
      </c>
      <c r="AE81" s="2" t="s">
        <v>593</v>
      </c>
      <c r="AF81" s="61">
        <v>98</v>
      </c>
      <c r="AS81" s="2" t="s">
        <v>194</v>
      </c>
      <c r="AT81" s="2" t="s">
        <v>23</v>
      </c>
      <c r="AU81" s="2" t="s">
        <v>19</v>
      </c>
      <c r="AV81" s="2" t="s">
        <v>31</v>
      </c>
      <c r="AW81" s="61">
        <v>20</v>
      </c>
      <c r="AX81" s="2">
        <v>9</v>
      </c>
      <c r="AY81" s="2" t="s">
        <v>25</v>
      </c>
      <c r="AZ81" s="2" t="s">
        <v>76</v>
      </c>
      <c r="BA81" s="2" t="s">
        <v>195</v>
      </c>
      <c r="BB81" s="2">
        <v>76</v>
      </c>
      <c r="BD81" s="2" t="s">
        <v>518</v>
      </c>
      <c r="BE81" s="2" t="s">
        <v>51</v>
      </c>
      <c r="BF81" s="2" t="s">
        <v>96</v>
      </c>
      <c r="BG81" s="2" t="s">
        <v>31</v>
      </c>
      <c r="BH81" s="2">
        <v>17</v>
      </c>
      <c r="BI81" s="2">
        <v>11</v>
      </c>
      <c r="BJ81" s="2" t="s">
        <v>25</v>
      </c>
      <c r="BK81" s="61" t="s">
        <v>61</v>
      </c>
      <c r="BL81" s="2" t="s">
        <v>519</v>
      </c>
      <c r="BM81" s="2">
        <v>52</v>
      </c>
    </row>
    <row r="82" spans="1:65" x14ac:dyDescent="0.3">
      <c r="A82" s="2" t="s">
        <v>202</v>
      </c>
      <c r="B82" s="2" t="s">
        <v>51</v>
      </c>
      <c r="C82" s="2" t="s">
        <v>55</v>
      </c>
      <c r="D82" s="2" t="s">
        <v>31</v>
      </c>
      <c r="E82" s="2">
        <v>15</v>
      </c>
      <c r="F82" s="2">
        <v>9</v>
      </c>
      <c r="G82" s="2" t="s">
        <v>14</v>
      </c>
      <c r="H82" s="2" t="s">
        <v>40</v>
      </c>
      <c r="I82" s="2" t="s">
        <v>111</v>
      </c>
      <c r="J82" s="2">
        <v>70</v>
      </c>
      <c r="W82" s="2" t="s">
        <v>594</v>
      </c>
      <c r="X82" s="2" t="s">
        <v>54</v>
      </c>
      <c r="Y82" s="2" t="s">
        <v>55</v>
      </c>
      <c r="Z82" s="2" t="s">
        <v>13</v>
      </c>
      <c r="AA82" s="2">
        <v>20</v>
      </c>
      <c r="AB82" s="2">
        <v>11</v>
      </c>
      <c r="AC82" s="2" t="s">
        <v>43</v>
      </c>
      <c r="AD82" s="2" t="s">
        <v>40</v>
      </c>
      <c r="AE82" s="2" t="s">
        <v>595</v>
      </c>
      <c r="AF82" s="61">
        <v>84</v>
      </c>
      <c r="AS82" s="2" t="s">
        <v>196</v>
      </c>
      <c r="AT82" s="2" t="s">
        <v>23</v>
      </c>
      <c r="AU82" s="2" t="s">
        <v>79</v>
      </c>
      <c r="AV82" s="2" t="s">
        <v>13</v>
      </c>
      <c r="AW82" s="61">
        <v>18</v>
      </c>
      <c r="AX82" s="2">
        <v>12</v>
      </c>
      <c r="AY82" s="2" t="s">
        <v>43</v>
      </c>
      <c r="AZ82" s="2" t="s">
        <v>76</v>
      </c>
      <c r="BA82" s="2" t="s">
        <v>197</v>
      </c>
      <c r="BB82" s="2">
        <v>67</v>
      </c>
      <c r="BD82" s="2" t="s">
        <v>522</v>
      </c>
      <c r="BE82" s="2" t="s">
        <v>54</v>
      </c>
      <c r="BF82" s="2" t="s">
        <v>79</v>
      </c>
      <c r="BG82" s="2" t="s">
        <v>31</v>
      </c>
      <c r="BH82" s="2">
        <v>18</v>
      </c>
      <c r="BI82" s="2">
        <v>10</v>
      </c>
      <c r="BJ82" s="2" t="s">
        <v>14</v>
      </c>
      <c r="BK82" s="61" t="s">
        <v>61</v>
      </c>
      <c r="BL82" s="2" t="s">
        <v>523</v>
      </c>
      <c r="BM82" s="2">
        <v>82</v>
      </c>
    </row>
    <row r="83" spans="1:65" x14ac:dyDescent="0.3">
      <c r="A83" s="2" t="s">
        <v>203</v>
      </c>
      <c r="B83" s="2" t="s">
        <v>35</v>
      </c>
      <c r="C83" s="2" t="s">
        <v>96</v>
      </c>
      <c r="D83" s="2" t="s">
        <v>13</v>
      </c>
      <c r="E83" s="2">
        <v>17</v>
      </c>
      <c r="F83" s="2">
        <v>12</v>
      </c>
      <c r="G83" s="2" t="s">
        <v>25</v>
      </c>
      <c r="H83" s="2" t="s">
        <v>20</v>
      </c>
      <c r="I83" s="2" t="s">
        <v>204</v>
      </c>
      <c r="J83" s="2">
        <v>90</v>
      </c>
      <c r="W83" s="2" t="s">
        <v>605</v>
      </c>
      <c r="X83" s="2" t="s">
        <v>54</v>
      </c>
      <c r="Y83" s="2" t="s">
        <v>19</v>
      </c>
      <c r="Z83" s="2" t="s">
        <v>31</v>
      </c>
      <c r="AA83" s="2">
        <v>20</v>
      </c>
      <c r="AB83" s="2">
        <v>10</v>
      </c>
      <c r="AC83" s="2" t="s">
        <v>43</v>
      </c>
      <c r="AD83" s="2" t="s">
        <v>37</v>
      </c>
      <c r="AE83" s="2" t="s">
        <v>606</v>
      </c>
      <c r="AF83" s="61">
        <v>99</v>
      </c>
      <c r="AS83" s="2" t="s">
        <v>198</v>
      </c>
      <c r="AT83" s="2" t="s">
        <v>11</v>
      </c>
      <c r="AU83" s="2" t="s">
        <v>85</v>
      </c>
      <c r="AV83" s="2" t="s">
        <v>31</v>
      </c>
      <c r="AW83" s="61">
        <v>14</v>
      </c>
      <c r="AX83" s="2">
        <v>10</v>
      </c>
      <c r="AY83" s="2" t="s">
        <v>25</v>
      </c>
      <c r="AZ83" s="2" t="s">
        <v>61</v>
      </c>
      <c r="BA83" s="2" t="s">
        <v>199</v>
      </c>
      <c r="BB83" s="2">
        <v>97</v>
      </c>
      <c r="BD83" s="2" t="s">
        <v>527</v>
      </c>
      <c r="BE83" s="2" t="s">
        <v>11</v>
      </c>
      <c r="BF83" s="2" t="s">
        <v>85</v>
      </c>
      <c r="BG83" s="2" t="s">
        <v>13</v>
      </c>
      <c r="BH83" s="2">
        <v>20</v>
      </c>
      <c r="BI83" s="2">
        <v>12</v>
      </c>
      <c r="BJ83" s="2" t="s">
        <v>25</v>
      </c>
      <c r="BK83" s="61" t="s">
        <v>46</v>
      </c>
      <c r="BL83" s="2" t="s">
        <v>451</v>
      </c>
      <c r="BM83" s="2">
        <v>86</v>
      </c>
    </row>
    <row r="84" spans="1:65" x14ac:dyDescent="0.3">
      <c r="A84" s="2" t="s">
        <v>205</v>
      </c>
      <c r="B84" s="2" t="s">
        <v>73</v>
      </c>
      <c r="C84" s="2" t="s">
        <v>24</v>
      </c>
      <c r="D84" s="2" t="s">
        <v>13</v>
      </c>
      <c r="E84" s="2">
        <v>17</v>
      </c>
      <c r="F84" s="2">
        <v>9</v>
      </c>
      <c r="G84" s="2" t="s">
        <v>14</v>
      </c>
      <c r="H84" s="2" t="s">
        <v>46</v>
      </c>
      <c r="I84" s="2" t="s">
        <v>206</v>
      </c>
      <c r="J84" s="2">
        <v>59</v>
      </c>
      <c r="W84" s="2" t="s">
        <v>609</v>
      </c>
      <c r="X84" s="2" t="s">
        <v>68</v>
      </c>
      <c r="Y84" s="2" t="s">
        <v>58</v>
      </c>
      <c r="Z84" s="2" t="s">
        <v>13</v>
      </c>
      <c r="AA84" s="2">
        <v>14</v>
      </c>
      <c r="AB84" s="2">
        <v>10</v>
      </c>
      <c r="AC84" s="2" t="s">
        <v>25</v>
      </c>
      <c r="AD84" s="2" t="s">
        <v>37</v>
      </c>
      <c r="AE84" s="2" t="s">
        <v>610</v>
      </c>
      <c r="AF84" s="61">
        <v>90</v>
      </c>
      <c r="AS84" s="2" t="s">
        <v>200</v>
      </c>
      <c r="AT84" s="2" t="s">
        <v>29</v>
      </c>
      <c r="AU84" s="2" t="s">
        <v>12</v>
      </c>
      <c r="AV84" s="2" t="s">
        <v>13</v>
      </c>
      <c r="AW84" s="61">
        <v>18</v>
      </c>
      <c r="AX84" s="2">
        <v>12</v>
      </c>
      <c r="AY84" s="2" t="s">
        <v>25</v>
      </c>
      <c r="AZ84" s="2" t="s">
        <v>26</v>
      </c>
      <c r="BA84" s="2" t="s">
        <v>201</v>
      </c>
      <c r="BB84" s="2">
        <v>89</v>
      </c>
      <c r="BD84" s="2" t="s">
        <v>528</v>
      </c>
      <c r="BE84" s="2" t="s">
        <v>51</v>
      </c>
      <c r="BF84" s="2" t="s">
        <v>19</v>
      </c>
      <c r="BG84" s="2" t="s">
        <v>13</v>
      </c>
      <c r="BH84" s="2">
        <v>19</v>
      </c>
      <c r="BI84" s="2">
        <v>9</v>
      </c>
      <c r="BJ84" s="2" t="s">
        <v>43</v>
      </c>
      <c r="BK84" s="61" t="s">
        <v>46</v>
      </c>
      <c r="BL84" s="2" t="s">
        <v>222</v>
      </c>
      <c r="BM84" s="2">
        <v>46</v>
      </c>
    </row>
    <row r="85" spans="1:65" x14ac:dyDescent="0.3">
      <c r="A85" s="2" t="s">
        <v>207</v>
      </c>
      <c r="B85" s="2" t="s">
        <v>54</v>
      </c>
      <c r="C85" s="2" t="s">
        <v>19</v>
      </c>
      <c r="D85" s="2" t="s">
        <v>31</v>
      </c>
      <c r="E85" s="2">
        <v>19</v>
      </c>
      <c r="F85" s="2">
        <v>9</v>
      </c>
      <c r="G85" s="2" t="s">
        <v>14</v>
      </c>
      <c r="H85" s="2" t="s">
        <v>61</v>
      </c>
      <c r="I85" s="2" t="s">
        <v>208</v>
      </c>
      <c r="J85" s="2">
        <v>76</v>
      </c>
      <c r="W85" s="2" t="s">
        <v>611</v>
      </c>
      <c r="X85" s="2" t="s">
        <v>18</v>
      </c>
      <c r="Y85" s="2" t="s">
        <v>24</v>
      </c>
      <c r="Z85" s="2" t="s">
        <v>31</v>
      </c>
      <c r="AA85" s="2">
        <v>19</v>
      </c>
      <c r="AB85" s="2">
        <v>12</v>
      </c>
      <c r="AC85" s="2" t="s">
        <v>43</v>
      </c>
      <c r="AD85" s="2" t="s">
        <v>26</v>
      </c>
      <c r="AE85" s="2" t="s">
        <v>612</v>
      </c>
      <c r="AF85" s="61">
        <v>82</v>
      </c>
      <c r="AS85" s="2" t="s">
        <v>202</v>
      </c>
      <c r="AT85" s="2" t="s">
        <v>51</v>
      </c>
      <c r="AU85" s="2" t="s">
        <v>55</v>
      </c>
      <c r="AV85" s="2" t="s">
        <v>31</v>
      </c>
      <c r="AW85" s="61">
        <v>15</v>
      </c>
      <c r="AX85" s="2">
        <v>9</v>
      </c>
      <c r="AY85" s="2" t="s">
        <v>14</v>
      </c>
      <c r="AZ85" s="2" t="s">
        <v>40</v>
      </c>
      <c r="BA85" s="2" t="s">
        <v>111</v>
      </c>
      <c r="BB85" s="2">
        <v>70</v>
      </c>
      <c r="BD85" s="2" t="s">
        <v>535</v>
      </c>
      <c r="BE85" s="2" t="s">
        <v>84</v>
      </c>
      <c r="BF85" s="2" t="s">
        <v>58</v>
      </c>
      <c r="BG85" s="2" t="s">
        <v>13</v>
      </c>
      <c r="BH85" s="2">
        <v>20</v>
      </c>
      <c r="BI85" s="2">
        <v>9</v>
      </c>
      <c r="BJ85" s="2" t="s">
        <v>25</v>
      </c>
      <c r="BK85" s="61" t="s">
        <v>46</v>
      </c>
      <c r="BL85" s="2" t="s">
        <v>536</v>
      </c>
      <c r="BM85" s="2">
        <v>58</v>
      </c>
    </row>
    <row r="86" spans="1:65" x14ac:dyDescent="0.3">
      <c r="A86" s="2" t="s">
        <v>209</v>
      </c>
      <c r="B86" s="2" t="s">
        <v>29</v>
      </c>
      <c r="C86" s="2" t="s">
        <v>30</v>
      </c>
      <c r="D86" s="2" t="s">
        <v>31</v>
      </c>
      <c r="E86" s="2">
        <v>18</v>
      </c>
      <c r="F86" s="2">
        <v>11</v>
      </c>
      <c r="G86" s="2" t="s">
        <v>43</v>
      </c>
      <c r="H86" s="2" t="s">
        <v>20</v>
      </c>
      <c r="I86" s="2" t="s">
        <v>210</v>
      </c>
      <c r="J86" s="2">
        <v>78</v>
      </c>
      <c r="W86" s="2" t="s">
        <v>615</v>
      </c>
      <c r="X86" s="2" t="s">
        <v>18</v>
      </c>
      <c r="Y86" s="2" t="s">
        <v>12</v>
      </c>
      <c r="Z86" s="2" t="s">
        <v>13</v>
      </c>
      <c r="AA86" s="2">
        <v>17</v>
      </c>
      <c r="AB86" s="2">
        <v>12</v>
      </c>
      <c r="AC86" s="2" t="s">
        <v>14</v>
      </c>
      <c r="AD86" s="2" t="s">
        <v>61</v>
      </c>
      <c r="AE86" s="2" t="s">
        <v>616</v>
      </c>
      <c r="AF86" s="61">
        <v>99</v>
      </c>
      <c r="AS86" s="2" t="s">
        <v>203</v>
      </c>
      <c r="AT86" s="2" t="s">
        <v>35</v>
      </c>
      <c r="AU86" s="2" t="s">
        <v>96</v>
      </c>
      <c r="AV86" s="2" t="s">
        <v>13</v>
      </c>
      <c r="AW86" s="61">
        <v>17</v>
      </c>
      <c r="AX86" s="2">
        <v>12</v>
      </c>
      <c r="AY86" s="2" t="s">
        <v>25</v>
      </c>
      <c r="AZ86" s="2" t="s">
        <v>20</v>
      </c>
      <c r="BA86" s="2" t="s">
        <v>204</v>
      </c>
      <c r="BB86" s="2">
        <v>90</v>
      </c>
      <c r="BD86" s="2" t="s">
        <v>539</v>
      </c>
      <c r="BE86" s="2" t="s">
        <v>73</v>
      </c>
      <c r="BF86" s="2" t="s">
        <v>36</v>
      </c>
      <c r="BG86" s="2" t="s">
        <v>31</v>
      </c>
      <c r="BH86" s="2">
        <v>14</v>
      </c>
      <c r="BI86" s="2">
        <v>12</v>
      </c>
      <c r="BJ86" s="2" t="s">
        <v>43</v>
      </c>
      <c r="BK86" s="61" t="s">
        <v>61</v>
      </c>
      <c r="BL86" s="2" t="s">
        <v>387</v>
      </c>
      <c r="BM86" s="2">
        <v>37</v>
      </c>
    </row>
    <row r="87" spans="1:65" x14ac:dyDescent="0.3">
      <c r="A87" s="2" t="s">
        <v>211</v>
      </c>
      <c r="B87" s="2" t="s">
        <v>35</v>
      </c>
      <c r="C87" s="2" t="s">
        <v>19</v>
      </c>
      <c r="D87" s="2" t="s">
        <v>31</v>
      </c>
      <c r="E87" s="2">
        <v>16</v>
      </c>
      <c r="F87" s="2">
        <v>9</v>
      </c>
      <c r="G87" s="2" t="s">
        <v>14</v>
      </c>
      <c r="H87" s="2" t="s">
        <v>37</v>
      </c>
      <c r="I87" s="2" t="s">
        <v>212</v>
      </c>
      <c r="J87" s="2">
        <v>57</v>
      </c>
      <c r="W87" s="2" t="s">
        <v>617</v>
      </c>
      <c r="X87" s="2" t="s">
        <v>35</v>
      </c>
      <c r="Y87" s="2" t="s">
        <v>12</v>
      </c>
      <c r="Z87" s="2" t="s">
        <v>13</v>
      </c>
      <c r="AA87" s="2">
        <v>15</v>
      </c>
      <c r="AB87" s="2">
        <v>9</v>
      </c>
      <c r="AC87" s="2" t="s">
        <v>25</v>
      </c>
      <c r="AD87" s="2" t="s">
        <v>46</v>
      </c>
      <c r="AE87" s="2" t="s">
        <v>155</v>
      </c>
      <c r="AF87" s="61">
        <v>85</v>
      </c>
      <c r="AS87" s="2" t="s">
        <v>205</v>
      </c>
      <c r="AT87" s="2" t="s">
        <v>73</v>
      </c>
      <c r="AU87" s="2" t="s">
        <v>24</v>
      </c>
      <c r="AV87" s="2" t="s">
        <v>13</v>
      </c>
      <c r="AW87" s="61">
        <v>17</v>
      </c>
      <c r="AX87" s="2">
        <v>9</v>
      </c>
      <c r="AY87" s="2" t="s">
        <v>14</v>
      </c>
      <c r="AZ87" s="2" t="s">
        <v>46</v>
      </c>
      <c r="BA87" s="2" t="s">
        <v>206</v>
      </c>
      <c r="BB87" s="2">
        <v>59</v>
      </c>
      <c r="BD87" s="2" t="s">
        <v>540</v>
      </c>
      <c r="BE87" s="2" t="s">
        <v>51</v>
      </c>
      <c r="BF87" s="2" t="s">
        <v>85</v>
      </c>
      <c r="BG87" s="2" t="s">
        <v>13</v>
      </c>
      <c r="BH87" s="2">
        <v>18</v>
      </c>
      <c r="BI87" s="2">
        <v>10</v>
      </c>
      <c r="BJ87" s="2" t="s">
        <v>14</v>
      </c>
      <c r="BK87" s="61" t="s">
        <v>46</v>
      </c>
      <c r="BL87" s="2" t="s">
        <v>541</v>
      </c>
      <c r="BM87" s="2">
        <v>63</v>
      </c>
    </row>
    <row r="88" spans="1:65" x14ac:dyDescent="0.3">
      <c r="A88" s="2" t="s">
        <v>213</v>
      </c>
      <c r="B88" s="2" t="s">
        <v>29</v>
      </c>
      <c r="C88" s="2" t="s">
        <v>24</v>
      </c>
      <c r="D88" s="2" t="s">
        <v>31</v>
      </c>
      <c r="E88" s="2">
        <v>17</v>
      </c>
      <c r="F88" s="2">
        <v>11</v>
      </c>
      <c r="G88" s="2" t="s">
        <v>14</v>
      </c>
      <c r="H88" s="2" t="s">
        <v>76</v>
      </c>
      <c r="I88" s="2" t="s">
        <v>214</v>
      </c>
      <c r="J88" s="2">
        <v>74</v>
      </c>
      <c r="W88" s="2" t="s">
        <v>625</v>
      </c>
      <c r="X88" s="2" t="s">
        <v>68</v>
      </c>
      <c r="Y88" s="2" t="s">
        <v>96</v>
      </c>
      <c r="Z88" s="2" t="s">
        <v>31</v>
      </c>
      <c r="AA88" s="2">
        <v>19</v>
      </c>
      <c r="AB88" s="2">
        <v>12</v>
      </c>
      <c r="AC88" s="2" t="s">
        <v>32</v>
      </c>
      <c r="AD88" s="2" t="s">
        <v>15</v>
      </c>
      <c r="AE88" s="2" t="s">
        <v>626</v>
      </c>
      <c r="AF88" s="61">
        <v>86</v>
      </c>
      <c r="AS88" s="2" t="s">
        <v>207</v>
      </c>
      <c r="AT88" s="2" t="s">
        <v>54</v>
      </c>
      <c r="AU88" s="2" t="s">
        <v>19</v>
      </c>
      <c r="AV88" s="2" t="s">
        <v>31</v>
      </c>
      <c r="AW88" s="61">
        <v>19</v>
      </c>
      <c r="AX88" s="2">
        <v>9</v>
      </c>
      <c r="AY88" s="2" t="s">
        <v>14</v>
      </c>
      <c r="AZ88" s="2" t="s">
        <v>61</v>
      </c>
      <c r="BA88" s="2" t="s">
        <v>208</v>
      </c>
      <c r="BB88" s="2">
        <v>76</v>
      </c>
      <c r="BD88" s="2" t="s">
        <v>546</v>
      </c>
      <c r="BE88" s="2" t="s">
        <v>51</v>
      </c>
      <c r="BF88" s="2" t="s">
        <v>36</v>
      </c>
      <c r="BG88" s="2" t="s">
        <v>31</v>
      </c>
      <c r="BH88" s="2">
        <v>14</v>
      </c>
      <c r="BI88" s="2">
        <v>9</v>
      </c>
      <c r="BJ88" s="2" t="s">
        <v>14</v>
      </c>
      <c r="BK88" s="61" t="s">
        <v>46</v>
      </c>
      <c r="BL88" s="2" t="s">
        <v>547</v>
      </c>
      <c r="BM88" s="2">
        <v>81</v>
      </c>
    </row>
    <row r="89" spans="1:65" x14ac:dyDescent="0.3">
      <c r="A89" s="2" t="s">
        <v>215</v>
      </c>
      <c r="B89" s="2" t="s">
        <v>84</v>
      </c>
      <c r="C89" s="2" t="s">
        <v>36</v>
      </c>
      <c r="D89" s="2" t="s">
        <v>31</v>
      </c>
      <c r="E89" s="2">
        <v>19</v>
      </c>
      <c r="F89" s="2">
        <v>12</v>
      </c>
      <c r="G89" s="2" t="s">
        <v>14</v>
      </c>
      <c r="H89" s="2" t="s">
        <v>37</v>
      </c>
      <c r="I89" s="2" t="s">
        <v>216</v>
      </c>
      <c r="J89" s="2">
        <v>84</v>
      </c>
      <c r="W89" s="2" t="s">
        <v>627</v>
      </c>
      <c r="X89" s="2" t="s">
        <v>35</v>
      </c>
      <c r="Y89" s="2" t="s">
        <v>85</v>
      </c>
      <c r="Z89" s="2" t="s">
        <v>31</v>
      </c>
      <c r="AA89" s="2">
        <v>16</v>
      </c>
      <c r="AB89" s="2">
        <v>9</v>
      </c>
      <c r="AC89" s="2" t="s">
        <v>43</v>
      </c>
      <c r="AD89" s="2" t="s">
        <v>20</v>
      </c>
      <c r="AE89" s="2" t="s">
        <v>628</v>
      </c>
      <c r="AF89" s="61">
        <v>84</v>
      </c>
      <c r="AS89" s="2" t="s">
        <v>209</v>
      </c>
      <c r="AT89" s="2" t="s">
        <v>29</v>
      </c>
      <c r="AU89" s="2" t="s">
        <v>30</v>
      </c>
      <c r="AV89" s="2" t="s">
        <v>31</v>
      </c>
      <c r="AW89" s="61">
        <v>18</v>
      </c>
      <c r="AX89" s="2">
        <v>11</v>
      </c>
      <c r="AY89" s="2" t="s">
        <v>43</v>
      </c>
      <c r="AZ89" s="2" t="s">
        <v>20</v>
      </c>
      <c r="BA89" s="2" t="s">
        <v>210</v>
      </c>
      <c r="BB89" s="2">
        <v>78</v>
      </c>
      <c r="BD89" s="2" t="s">
        <v>562</v>
      </c>
      <c r="BE89" s="2" t="s">
        <v>29</v>
      </c>
      <c r="BF89" s="2" t="s">
        <v>79</v>
      </c>
      <c r="BG89" s="2" t="s">
        <v>31</v>
      </c>
      <c r="BH89" s="2">
        <v>15</v>
      </c>
      <c r="BI89" s="2">
        <v>12</v>
      </c>
      <c r="BJ89" s="2" t="s">
        <v>32</v>
      </c>
      <c r="BK89" s="61" t="s">
        <v>46</v>
      </c>
      <c r="BL89" s="2" t="s">
        <v>121</v>
      </c>
      <c r="BM89" s="2">
        <v>53</v>
      </c>
    </row>
    <row r="90" spans="1:65" x14ac:dyDescent="0.3">
      <c r="A90" s="2" t="s">
        <v>217</v>
      </c>
      <c r="B90" s="2" t="s">
        <v>84</v>
      </c>
      <c r="C90" s="2" t="s">
        <v>96</v>
      </c>
      <c r="D90" s="2" t="s">
        <v>31</v>
      </c>
      <c r="E90" s="2">
        <v>17</v>
      </c>
      <c r="F90" s="2">
        <v>10</v>
      </c>
      <c r="G90" s="2" t="s">
        <v>43</v>
      </c>
      <c r="H90" s="2" t="s">
        <v>46</v>
      </c>
      <c r="I90" s="2" t="s">
        <v>218</v>
      </c>
      <c r="J90" s="2">
        <v>46</v>
      </c>
      <c r="W90" s="2" t="s">
        <v>629</v>
      </c>
      <c r="X90" s="2" t="s">
        <v>35</v>
      </c>
      <c r="Y90" s="2" t="s">
        <v>58</v>
      </c>
      <c r="Z90" s="2" t="s">
        <v>13</v>
      </c>
      <c r="AA90" s="2">
        <v>18</v>
      </c>
      <c r="AB90" s="2">
        <v>9</v>
      </c>
      <c r="AC90" s="2" t="s">
        <v>25</v>
      </c>
      <c r="AD90" s="2" t="s">
        <v>76</v>
      </c>
      <c r="AE90" s="2" t="s">
        <v>105</v>
      </c>
      <c r="AF90" s="61">
        <v>82</v>
      </c>
      <c r="AS90" s="2" t="s">
        <v>211</v>
      </c>
      <c r="AT90" s="2" t="s">
        <v>35</v>
      </c>
      <c r="AU90" s="2" t="s">
        <v>19</v>
      </c>
      <c r="AV90" s="2" t="s">
        <v>31</v>
      </c>
      <c r="AW90" s="61">
        <v>16</v>
      </c>
      <c r="AX90" s="2">
        <v>9</v>
      </c>
      <c r="AY90" s="2" t="s">
        <v>14</v>
      </c>
      <c r="AZ90" s="2" t="s">
        <v>37</v>
      </c>
      <c r="BA90" s="2" t="s">
        <v>212</v>
      </c>
      <c r="BB90" s="2">
        <v>57</v>
      </c>
      <c r="BD90" s="2" t="s">
        <v>563</v>
      </c>
      <c r="BE90" s="2" t="s">
        <v>35</v>
      </c>
      <c r="BF90" s="2" t="s">
        <v>55</v>
      </c>
      <c r="BG90" s="2" t="s">
        <v>31</v>
      </c>
      <c r="BH90" s="2">
        <v>19</v>
      </c>
      <c r="BI90" s="2">
        <v>10</v>
      </c>
      <c r="BJ90" s="2" t="s">
        <v>43</v>
      </c>
      <c r="BK90" s="61" t="s">
        <v>46</v>
      </c>
      <c r="BL90" s="2" t="s">
        <v>564</v>
      </c>
      <c r="BM90" s="2">
        <v>72</v>
      </c>
    </row>
    <row r="91" spans="1:65" x14ac:dyDescent="0.3">
      <c r="A91" s="2" t="s">
        <v>219</v>
      </c>
      <c r="B91" s="2" t="s">
        <v>68</v>
      </c>
      <c r="C91" s="2" t="s">
        <v>19</v>
      </c>
      <c r="D91" s="2" t="s">
        <v>13</v>
      </c>
      <c r="E91" s="2">
        <v>19</v>
      </c>
      <c r="F91" s="2">
        <v>9</v>
      </c>
      <c r="G91" s="2" t="s">
        <v>14</v>
      </c>
      <c r="H91" s="2" t="s">
        <v>40</v>
      </c>
      <c r="I91" s="2" t="s">
        <v>220</v>
      </c>
      <c r="J91" s="2">
        <v>63</v>
      </c>
      <c r="W91" s="2" t="s">
        <v>632</v>
      </c>
      <c r="X91" s="2" t="s">
        <v>54</v>
      </c>
      <c r="Y91" s="2" t="s">
        <v>55</v>
      </c>
      <c r="Z91" s="2" t="s">
        <v>31</v>
      </c>
      <c r="AA91" s="2">
        <v>19</v>
      </c>
      <c r="AB91" s="2">
        <v>11</v>
      </c>
      <c r="AC91" s="2" t="s">
        <v>25</v>
      </c>
      <c r="AD91" s="2" t="s">
        <v>61</v>
      </c>
      <c r="AE91" s="2" t="s">
        <v>633</v>
      </c>
      <c r="AF91" s="61">
        <v>82</v>
      </c>
      <c r="AS91" s="2" t="s">
        <v>213</v>
      </c>
      <c r="AT91" s="2" t="s">
        <v>29</v>
      </c>
      <c r="AU91" s="2" t="s">
        <v>24</v>
      </c>
      <c r="AV91" s="2" t="s">
        <v>31</v>
      </c>
      <c r="AW91" s="61">
        <v>17</v>
      </c>
      <c r="AX91" s="2">
        <v>11</v>
      </c>
      <c r="AY91" s="2" t="s">
        <v>14</v>
      </c>
      <c r="AZ91" s="2" t="s">
        <v>76</v>
      </c>
      <c r="BA91" s="2" t="s">
        <v>214</v>
      </c>
      <c r="BB91" s="2">
        <v>74</v>
      </c>
      <c r="BD91" s="2" t="s">
        <v>573</v>
      </c>
      <c r="BE91" s="2" t="s">
        <v>54</v>
      </c>
      <c r="BF91" s="2" t="s">
        <v>24</v>
      </c>
      <c r="BG91" s="2" t="s">
        <v>13</v>
      </c>
      <c r="BH91" s="2">
        <v>19</v>
      </c>
      <c r="BI91" s="2">
        <v>9</v>
      </c>
      <c r="BJ91" s="2" t="s">
        <v>43</v>
      </c>
      <c r="BK91" s="61" t="s">
        <v>46</v>
      </c>
      <c r="BL91" s="2" t="s">
        <v>574</v>
      </c>
      <c r="BM91" s="2">
        <v>94</v>
      </c>
    </row>
    <row r="92" spans="1:65" x14ac:dyDescent="0.3">
      <c r="A92" s="2" t="s">
        <v>221</v>
      </c>
      <c r="B92" s="2" t="s">
        <v>51</v>
      </c>
      <c r="C92" s="2" t="s">
        <v>55</v>
      </c>
      <c r="D92" s="2" t="s">
        <v>13</v>
      </c>
      <c r="E92" s="2">
        <v>14</v>
      </c>
      <c r="F92" s="2">
        <v>10</v>
      </c>
      <c r="G92" s="2" t="s">
        <v>43</v>
      </c>
      <c r="H92" s="2" t="s">
        <v>61</v>
      </c>
      <c r="I92" s="2" t="s">
        <v>222</v>
      </c>
      <c r="J92" s="2">
        <v>72</v>
      </c>
      <c r="W92" s="2" t="s">
        <v>636</v>
      </c>
      <c r="X92" s="2" t="s">
        <v>11</v>
      </c>
      <c r="Y92" s="2" t="s">
        <v>79</v>
      </c>
      <c r="Z92" s="2" t="s">
        <v>13</v>
      </c>
      <c r="AA92" s="2">
        <v>19</v>
      </c>
      <c r="AB92" s="2">
        <v>9</v>
      </c>
      <c r="AC92" s="2" t="s">
        <v>32</v>
      </c>
      <c r="AD92" s="2" t="s">
        <v>76</v>
      </c>
      <c r="AE92" s="2" t="s">
        <v>637</v>
      </c>
      <c r="AF92" s="61">
        <v>97</v>
      </c>
      <c r="AS92" s="2" t="s">
        <v>215</v>
      </c>
      <c r="AT92" s="2" t="s">
        <v>84</v>
      </c>
      <c r="AU92" s="2" t="s">
        <v>36</v>
      </c>
      <c r="AV92" s="2" t="s">
        <v>31</v>
      </c>
      <c r="AW92" s="61">
        <v>19</v>
      </c>
      <c r="AX92" s="2">
        <v>12</v>
      </c>
      <c r="AY92" s="2" t="s">
        <v>14</v>
      </c>
      <c r="AZ92" s="2" t="s">
        <v>37</v>
      </c>
      <c r="BA92" s="2" t="s">
        <v>216</v>
      </c>
      <c r="BB92" s="2">
        <v>84</v>
      </c>
      <c r="BD92" s="2" t="s">
        <v>584</v>
      </c>
      <c r="BE92" s="2" t="s">
        <v>68</v>
      </c>
      <c r="BF92" s="2" t="s">
        <v>55</v>
      </c>
      <c r="BG92" s="2" t="s">
        <v>31</v>
      </c>
      <c r="BH92" s="2">
        <v>16</v>
      </c>
      <c r="BI92" s="2">
        <v>9</v>
      </c>
      <c r="BJ92" s="2" t="s">
        <v>14</v>
      </c>
      <c r="BK92" s="61" t="s">
        <v>61</v>
      </c>
      <c r="BL92" s="2" t="s">
        <v>585</v>
      </c>
      <c r="BM92" s="2">
        <v>59</v>
      </c>
    </row>
    <row r="93" spans="1:65" x14ac:dyDescent="0.3">
      <c r="A93" s="2" t="s">
        <v>223</v>
      </c>
      <c r="B93" s="2" t="s">
        <v>68</v>
      </c>
      <c r="C93" s="2" t="s">
        <v>24</v>
      </c>
      <c r="D93" s="2" t="s">
        <v>13</v>
      </c>
      <c r="E93" s="2">
        <v>18</v>
      </c>
      <c r="F93" s="2">
        <v>11</v>
      </c>
      <c r="G93" s="2" t="s">
        <v>32</v>
      </c>
      <c r="H93" s="2" t="s">
        <v>40</v>
      </c>
      <c r="I93" s="2" t="s">
        <v>224</v>
      </c>
      <c r="J93" s="2">
        <v>87</v>
      </c>
      <c r="W93" s="2" t="s">
        <v>644</v>
      </c>
      <c r="X93" s="2" t="s">
        <v>51</v>
      </c>
      <c r="Y93" s="2" t="s">
        <v>36</v>
      </c>
      <c r="Z93" s="2" t="s">
        <v>31</v>
      </c>
      <c r="AA93" s="2">
        <v>16</v>
      </c>
      <c r="AB93" s="2">
        <v>11</v>
      </c>
      <c r="AC93" s="2" t="s">
        <v>43</v>
      </c>
      <c r="AD93" s="2" t="s">
        <v>20</v>
      </c>
      <c r="AE93" s="2" t="s">
        <v>645</v>
      </c>
      <c r="AF93" s="61">
        <v>81</v>
      </c>
      <c r="AS93" s="2" t="s">
        <v>217</v>
      </c>
      <c r="AT93" s="2" t="s">
        <v>84</v>
      </c>
      <c r="AU93" s="2" t="s">
        <v>96</v>
      </c>
      <c r="AV93" s="2" t="s">
        <v>31</v>
      </c>
      <c r="AW93" s="61">
        <v>17</v>
      </c>
      <c r="AX93" s="2">
        <v>10</v>
      </c>
      <c r="AY93" s="2" t="s">
        <v>43</v>
      </c>
      <c r="AZ93" s="2" t="s">
        <v>46</v>
      </c>
      <c r="BA93" s="2" t="s">
        <v>218</v>
      </c>
      <c r="BB93" s="2">
        <v>46</v>
      </c>
      <c r="BD93" s="2" t="s">
        <v>586</v>
      </c>
      <c r="BE93" s="2" t="s">
        <v>11</v>
      </c>
      <c r="BF93" s="2" t="s">
        <v>24</v>
      </c>
      <c r="BG93" s="2" t="s">
        <v>31</v>
      </c>
      <c r="BH93" s="2">
        <v>17</v>
      </c>
      <c r="BI93" s="2">
        <v>11</v>
      </c>
      <c r="BJ93" s="2" t="s">
        <v>43</v>
      </c>
      <c r="BK93" s="61" t="s">
        <v>61</v>
      </c>
      <c r="BL93" s="2" t="s">
        <v>587</v>
      </c>
      <c r="BM93" s="2">
        <v>73</v>
      </c>
    </row>
    <row r="94" spans="1:65" x14ac:dyDescent="0.3">
      <c r="A94" s="2" t="s">
        <v>225</v>
      </c>
      <c r="B94" s="2" t="s">
        <v>35</v>
      </c>
      <c r="C94" s="2" t="s">
        <v>85</v>
      </c>
      <c r="D94" s="2" t="s">
        <v>13</v>
      </c>
      <c r="E94" s="2">
        <v>20</v>
      </c>
      <c r="F94" s="2">
        <v>9</v>
      </c>
      <c r="G94" s="2" t="s">
        <v>14</v>
      </c>
      <c r="H94" s="2" t="s">
        <v>40</v>
      </c>
      <c r="I94" s="2" t="s">
        <v>226</v>
      </c>
      <c r="J94" s="2">
        <v>55</v>
      </c>
      <c r="W94" s="2" t="s">
        <v>646</v>
      </c>
      <c r="X94" s="2" t="s">
        <v>84</v>
      </c>
      <c r="Y94" s="2" t="s">
        <v>12</v>
      </c>
      <c r="Z94" s="2" t="s">
        <v>31</v>
      </c>
      <c r="AA94" s="2">
        <v>17</v>
      </c>
      <c r="AB94" s="2">
        <v>12</v>
      </c>
      <c r="AC94" s="2" t="s">
        <v>25</v>
      </c>
      <c r="AD94" s="2" t="s">
        <v>76</v>
      </c>
      <c r="AE94" s="2" t="s">
        <v>647</v>
      </c>
      <c r="AF94" s="61">
        <v>83</v>
      </c>
      <c r="AS94" s="2" t="s">
        <v>219</v>
      </c>
      <c r="AT94" s="2" t="s">
        <v>68</v>
      </c>
      <c r="AU94" s="2" t="s">
        <v>19</v>
      </c>
      <c r="AV94" s="2" t="s">
        <v>13</v>
      </c>
      <c r="AW94" s="61">
        <v>19</v>
      </c>
      <c r="AX94" s="2">
        <v>9</v>
      </c>
      <c r="AY94" s="2" t="s">
        <v>14</v>
      </c>
      <c r="AZ94" s="2" t="s">
        <v>40</v>
      </c>
      <c r="BA94" s="2" t="s">
        <v>220</v>
      </c>
      <c r="BB94" s="2">
        <v>63</v>
      </c>
      <c r="BD94" s="2" t="s">
        <v>588</v>
      </c>
      <c r="BE94" s="2" t="s">
        <v>68</v>
      </c>
      <c r="BF94" s="2" t="s">
        <v>85</v>
      </c>
      <c r="BG94" s="2" t="s">
        <v>31</v>
      </c>
      <c r="BH94" s="2">
        <v>17</v>
      </c>
      <c r="BI94" s="2">
        <v>9</v>
      </c>
      <c r="BJ94" s="2" t="s">
        <v>25</v>
      </c>
      <c r="BK94" s="61" t="s">
        <v>61</v>
      </c>
      <c r="BL94" s="2" t="s">
        <v>589</v>
      </c>
      <c r="BM94" s="2">
        <v>45</v>
      </c>
    </row>
    <row r="95" spans="1:65" x14ac:dyDescent="0.3">
      <c r="A95" s="2" t="s">
        <v>227</v>
      </c>
      <c r="B95" s="2" t="s">
        <v>68</v>
      </c>
      <c r="C95" s="2" t="s">
        <v>58</v>
      </c>
      <c r="D95" s="2" t="s">
        <v>13</v>
      </c>
      <c r="E95" s="2">
        <v>17</v>
      </c>
      <c r="F95" s="2">
        <v>12</v>
      </c>
      <c r="G95" s="2" t="s">
        <v>32</v>
      </c>
      <c r="H95" s="2" t="s">
        <v>26</v>
      </c>
      <c r="I95" s="2" t="s">
        <v>228</v>
      </c>
      <c r="J95" s="2">
        <v>37</v>
      </c>
      <c r="W95" s="2" t="s">
        <v>656</v>
      </c>
      <c r="X95" s="2" t="s">
        <v>29</v>
      </c>
      <c r="Y95" s="2" t="s">
        <v>30</v>
      </c>
      <c r="Z95" s="2" t="s">
        <v>13</v>
      </c>
      <c r="AA95" s="2">
        <v>19</v>
      </c>
      <c r="AB95" s="2">
        <v>10</v>
      </c>
      <c r="AC95" s="2" t="s">
        <v>43</v>
      </c>
      <c r="AD95" s="2" t="s">
        <v>15</v>
      </c>
      <c r="AE95" s="2" t="s">
        <v>657</v>
      </c>
      <c r="AF95" s="61">
        <v>85</v>
      </c>
      <c r="AS95" s="2" t="s">
        <v>221</v>
      </c>
      <c r="AT95" s="2" t="s">
        <v>51</v>
      </c>
      <c r="AU95" s="2" t="s">
        <v>55</v>
      </c>
      <c r="AV95" s="2" t="s">
        <v>13</v>
      </c>
      <c r="AW95" s="61">
        <v>14</v>
      </c>
      <c r="AX95" s="2">
        <v>10</v>
      </c>
      <c r="AY95" s="2" t="s">
        <v>43</v>
      </c>
      <c r="AZ95" s="2" t="s">
        <v>61</v>
      </c>
      <c r="BA95" s="2" t="s">
        <v>222</v>
      </c>
      <c r="BB95" s="2">
        <v>72</v>
      </c>
      <c r="BD95" s="2" t="s">
        <v>601</v>
      </c>
      <c r="BE95" s="2" t="s">
        <v>73</v>
      </c>
      <c r="BF95" s="2" t="s">
        <v>55</v>
      </c>
      <c r="BG95" s="2" t="s">
        <v>31</v>
      </c>
      <c r="BH95" s="2">
        <v>17</v>
      </c>
      <c r="BI95" s="2">
        <v>11</v>
      </c>
      <c r="BJ95" s="2" t="s">
        <v>43</v>
      </c>
      <c r="BK95" s="61" t="s">
        <v>61</v>
      </c>
      <c r="BL95" s="2" t="s">
        <v>502</v>
      </c>
      <c r="BM95" s="2">
        <v>76</v>
      </c>
    </row>
    <row r="96" spans="1:65" x14ac:dyDescent="0.3">
      <c r="A96" s="2" t="s">
        <v>229</v>
      </c>
      <c r="B96" s="2" t="s">
        <v>68</v>
      </c>
      <c r="C96" s="2" t="s">
        <v>24</v>
      </c>
      <c r="D96" s="2" t="s">
        <v>13</v>
      </c>
      <c r="E96" s="2">
        <v>17</v>
      </c>
      <c r="F96" s="2">
        <v>11</v>
      </c>
      <c r="G96" s="2" t="s">
        <v>43</v>
      </c>
      <c r="H96" s="2" t="s">
        <v>26</v>
      </c>
      <c r="I96" s="2" t="s">
        <v>230</v>
      </c>
      <c r="J96" s="2">
        <v>53</v>
      </c>
      <c r="W96" s="2" t="s">
        <v>660</v>
      </c>
      <c r="X96" s="2" t="s">
        <v>23</v>
      </c>
      <c r="Y96" s="2" t="s">
        <v>12</v>
      </c>
      <c r="Z96" s="2" t="s">
        <v>13</v>
      </c>
      <c r="AA96" s="2">
        <v>16</v>
      </c>
      <c r="AB96" s="2">
        <v>11</v>
      </c>
      <c r="AC96" s="2" t="s">
        <v>25</v>
      </c>
      <c r="AD96" s="2" t="s">
        <v>40</v>
      </c>
      <c r="AE96" s="2" t="s">
        <v>41</v>
      </c>
      <c r="AF96" s="61">
        <v>86</v>
      </c>
      <c r="AS96" s="2" t="s">
        <v>223</v>
      </c>
      <c r="AT96" s="2" t="s">
        <v>68</v>
      </c>
      <c r="AU96" s="2" t="s">
        <v>24</v>
      </c>
      <c r="AV96" s="2" t="s">
        <v>13</v>
      </c>
      <c r="AW96" s="61">
        <v>18</v>
      </c>
      <c r="AX96" s="2">
        <v>11</v>
      </c>
      <c r="AY96" s="2" t="s">
        <v>32</v>
      </c>
      <c r="AZ96" s="2" t="s">
        <v>40</v>
      </c>
      <c r="BA96" s="2" t="s">
        <v>224</v>
      </c>
      <c r="BB96" s="2">
        <v>87</v>
      </c>
      <c r="BD96" s="2" t="s">
        <v>602</v>
      </c>
      <c r="BE96" s="2" t="s">
        <v>23</v>
      </c>
      <c r="BF96" s="2" t="s">
        <v>19</v>
      </c>
      <c r="BG96" s="2" t="s">
        <v>13</v>
      </c>
      <c r="BH96" s="2">
        <v>15</v>
      </c>
      <c r="BI96" s="2">
        <v>12</v>
      </c>
      <c r="BJ96" s="2" t="s">
        <v>14</v>
      </c>
      <c r="BK96" s="61" t="s">
        <v>61</v>
      </c>
      <c r="BL96" s="2" t="s">
        <v>603</v>
      </c>
      <c r="BM96" s="2">
        <v>54</v>
      </c>
    </row>
    <row r="97" spans="1:65" x14ac:dyDescent="0.3">
      <c r="A97" s="2" t="s">
        <v>231</v>
      </c>
      <c r="B97" s="2" t="s">
        <v>23</v>
      </c>
      <c r="C97" s="2" t="s">
        <v>24</v>
      </c>
      <c r="D97" s="2" t="s">
        <v>31</v>
      </c>
      <c r="E97" s="2">
        <v>18</v>
      </c>
      <c r="F97" s="2">
        <v>9</v>
      </c>
      <c r="G97" s="2" t="s">
        <v>25</v>
      </c>
      <c r="H97" s="2" t="s">
        <v>61</v>
      </c>
      <c r="I97" s="2" t="s">
        <v>232</v>
      </c>
      <c r="J97" s="2">
        <v>88</v>
      </c>
      <c r="W97" s="2" t="s">
        <v>667</v>
      </c>
      <c r="X97" s="2" t="s">
        <v>35</v>
      </c>
      <c r="Y97" s="2" t="s">
        <v>12</v>
      </c>
      <c r="Z97" s="2" t="s">
        <v>31</v>
      </c>
      <c r="AA97" s="2">
        <v>15</v>
      </c>
      <c r="AB97" s="2">
        <v>12</v>
      </c>
      <c r="AC97" s="2" t="s">
        <v>14</v>
      </c>
      <c r="AD97" s="2" t="s">
        <v>46</v>
      </c>
      <c r="AE97" s="2" t="s">
        <v>668</v>
      </c>
      <c r="AF97" s="61">
        <v>82</v>
      </c>
      <c r="AS97" s="2" t="s">
        <v>225</v>
      </c>
      <c r="AT97" s="2" t="s">
        <v>35</v>
      </c>
      <c r="AU97" s="2" t="s">
        <v>85</v>
      </c>
      <c r="AV97" s="2" t="s">
        <v>13</v>
      </c>
      <c r="AW97" s="61">
        <v>20</v>
      </c>
      <c r="AX97" s="2">
        <v>9</v>
      </c>
      <c r="AY97" s="2" t="s">
        <v>14</v>
      </c>
      <c r="AZ97" s="2" t="s">
        <v>40</v>
      </c>
      <c r="BA97" s="2" t="s">
        <v>226</v>
      </c>
      <c r="BB97" s="2">
        <v>55</v>
      </c>
      <c r="BD97" s="2" t="s">
        <v>615</v>
      </c>
      <c r="BE97" s="2" t="s">
        <v>18</v>
      </c>
      <c r="BF97" s="2" t="s">
        <v>12</v>
      </c>
      <c r="BG97" s="2" t="s">
        <v>13</v>
      </c>
      <c r="BH97" s="2">
        <v>17</v>
      </c>
      <c r="BI97" s="2">
        <v>12</v>
      </c>
      <c r="BJ97" s="2" t="s">
        <v>14</v>
      </c>
      <c r="BK97" s="61" t="s">
        <v>61</v>
      </c>
      <c r="BL97" s="2" t="s">
        <v>616</v>
      </c>
      <c r="BM97" s="2">
        <v>99</v>
      </c>
    </row>
    <row r="98" spans="1:65" x14ac:dyDescent="0.3">
      <c r="A98" s="2" t="s">
        <v>233</v>
      </c>
      <c r="B98" s="2" t="s">
        <v>11</v>
      </c>
      <c r="C98" s="2" t="s">
        <v>55</v>
      </c>
      <c r="D98" s="2" t="s">
        <v>13</v>
      </c>
      <c r="E98" s="2">
        <v>14</v>
      </c>
      <c r="F98" s="2">
        <v>9</v>
      </c>
      <c r="G98" s="2" t="s">
        <v>25</v>
      </c>
      <c r="H98" s="2" t="s">
        <v>37</v>
      </c>
      <c r="I98" s="2" t="s">
        <v>234</v>
      </c>
      <c r="J98" s="2">
        <v>66</v>
      </c>
      <c r="W98" s="2" t="s">
        <v>673</v>
      </c>
      <c r="X98" s="2" t="s">
        <v>11</v>
      </c>
      <c r="Y98" s="2" t="s">
        <v>19</v>
      </c>
      <c r="Z98" s="2" t="s">
        <v>31</v>
      </c>
      <c r="AA98" s="2">
        <v>17</v>
      </c>
      <c r="AB98" s="2">
        <v>10</v>
      </c>
      <c r="AC98" s="2" t="s">
        <v>32</v>
      </c>
      <c r="AD98" s="2" t="s">
        <v>46</v>
      </c>
      <c r="AE98" s="2" t="s">
        <v>674</v>
      </c>
      <c r="AF98" s="61">
        <v>85</v>
      </c>
      <c r="AS98" s="2" t="s">
        <v>227</v>
      </c>
      <c r="AT98" s="2" t="s">
        <v>68</v>
      </c>
      <c r="AU98" s="2" t="s">
        <v>58</v>
      </c>
      <c r="AV98" s="2" t="s">
        <v>13</v>
      </c>
      <c r="AW98" s="61">
        <v>17</v>
      </c>
      <c r="AX98" s="2">
        <v>12</v>
      </c>
      <c r="AY98" s="2" t="s">
        <v>32</v>
      </c>
      <c r="AZ98" s="2" t="s">
        <v>26</v>
      </c>
      <c r="BA98" s="2" t="s">
        <v>228</v>
      </c>
      <c r="BB98" s="2">
        <v>37</v>
      </c>
      <c r="BD98" s="2" t="s">
        <v>617</v>
      </c>
      <c r="BE98" s="2" t="s">
        <v>35</v>
      </c>
      <c r="BF98" s="2" t="s">
        <v>12</v>
      </c>
      <c r="BG98" s="2" t="s">
        <v>13</v>
      </c>
      <c r="BH98" s="2">
        <v>15</v>
      </c>
      <c r="BI98" s="2">
        <v>9</v>
      </c>
      <c r="BJ98" s="2" t="s">
        <v>25</v>
      </c>
      <c r="BK98" s="61" t="s">
        <v>46</v>
      </c>
      <c r="BL98" s="2" t="s">
        <v>155</v>
      </c>
      <c r="BM98" s="2">
        <v>85</v>
      </c>
    </row>
    <row r="99" spans="1:65" x14ac:dyDescent="0.3">
      <c r="A99" s="2" t="s">
        <v>235</v>
      </c>
      <c r="B99" s="2" t="s">
        <v>11</v>
      </c>
      <c r="C99" s="2" t="s">
        <v>36</v>
      </c>
      <c r="D99" s="2" t="s">
        <v>31</v>
      </c>
      <c r="E99" s="2">
        <v>14</v>
      </c>
      <c r="F99" s="2">
        <v>12</v>
      </c>
      <c r="G99" s="2" t="s">
        <v>43</v>
      </c>
      <c r="H99" s="2" t="s">
        <v>40</v>
      </c>
      <c r="I99" s="2" t="s">
        <v>236</v>
      </c>
      <c r="J99" s="2">
        <v>65</v>
      </c>
      <c r="W99" s="2" t="s">
        <v>690</v>
      </c>
      <c r="X99" s="2" t="s">
        <v>23</v>
      </c>
      <c r="Y99" s="2" t="s">
        <v>85</v>
      </c>
      <c r="Z99" s="2" t="s">
        <v>13</v>
      </c>
      <c r="AA99" s="2">
        <v>19</v>
      </c>
      <c r="AB99" s="2">
        <v>9</v>
      </c>
      <c r="AC99" s="2" t="s">
        <v>14</v>
      </c>
      <c r="AD99" s="2" t="s">
        <v>76</v>
      </c>
      <c r="AE99" s="2" t="s">
        <v>635</v>
      </c>
      <c r="AF99" s="61">
        <v>91</v>
      </c>
      <c r="AS99" s="2" t="s">
        <v>229</v>
      </c>
      <c r="AT99" s="2" t="s">
        <v>68</v>
      </c>
      <c r="AU99" s="2" t="s">
        <v>24</v>
      </c>
      <c r="AV99" s="2" t="s">
        <v>13</v>
      </c>
      <c r="AW99" s="61">
        <v>17</v>
      </c>
      <c r="AX99" s="2">
        <v>11</v>
      </c>
      <c r="AY99" s="2" t="s">
        <v>43</v>
      </c>
      <c r="AZ99" s="2" t="s">
        <v>26</v>
      </c>
      <c r="BA99" s="2" t="s">
        <v>230</v>
      </c>
      <c r="BB99" s="2">
        <v>53</v>
      </c>
      <c r="BD99" s="2" t="s">
        <v>620</v>
      </c>
      <c r="BE99" s="2" t="s">
        <v>84</v>
      </c>
      <c r="BF99" s="2" t="s">
        <v>24</v>
      </c>
      <c r="BG99" s="2" t="s">
        <v>31</v>
      </c>
      <c r="BH99" s="2">
        <v>19</v>
      </c>
      <c r="BI99" s="2">
        <v>12</v>
      </c>
      <c r="BJ99" s="2" t="s">
        <v>14</v>
      </c>
      <c r="BK99" s="61" t="s">
        <v>61</v>
      </c>
      <c r="BL99" s="2" t="s">
        <v>621</v>
      </c>
      <c r="BM99" s="2">
        <v>77</v>
      </c>
    </row>
    <row r="100" spans="1:65" x14ac:dyDescent="0.3">
      <c r="A100" s="2" t="s">
        <v>237</v>
      </c>
      <c r="B100" s="2" t="s">
        <v>23</v>
      </c>
      <c r="C100" s="2" t="s">
        <v>24</v>
      </c>
      <c r="D100" s="2" t="s">
        <v>31</v>
      </c>
      <c r="E100" s="2">
        <v>16</v>
      </c>
      <c r="F100" s="2">
        <v>10</v>
      </c>
      <c r="G100" s="2" t="s">
        <v>43</v>
      </c>
      <c r="H100" s="2" t="s">
        <v>20</v>
      </c>
      <c r="I100" s="2" t="s">
        <v>238</v>
      </c>
      <c r="J100" s="2">
        <v>71</v>
      </c>
      <c r="W100" s="2" t="s">
        <v>691</v>
      </c>
      <c r="X100" s="2" t="s">
        <v>84</v>
      </c>
      <c r="Y100" s="2" t="s">
        <v>55</v>
      </c>
      <c r="Z100" s="2" t="s">
        <v>13</v>
      </c>
      <c r="AA100" s="2">
        <v>16</v>
      </c>
      <c r="AB100" s="2">
        <v>10</v>
      </c>
      <c r="AC100" s="2" t="s">
        <v>43</v>
      </c>
      <c r="AD100" s="2" t="s">
        <v>46</v>
      </c>
      <c r="AE100" s="2" t="s">
        <v>692</v>
      </c>
      <c r="AF100" s="61">
        <v>91</v>
      </c>
      <c r="AS100" s="2" t="s">
        <v>231</v>
      </c>
      <c r="AT100" s="2" t="s">
        <v>23</v>
      </c>
      <c r="AU100" s="2" t="s">
        <v>24</v>
      </c>
      <c r="AV100" s="2" t="s">
        <v>31</v>
      </c>
      <c r="AW100" s="61">
        <v>18</v>
      </c>
      <c r="AX100" s="2">
        <v>9</v>
      </c>
      <c r="AY100" s="2" t="s">
        <v>25</v>
      </c>
      <c r="AZ100" s="2" t="s">
        <v>61</v>
      </c>
      <c r="BA100" s="2" t="s">
        <v>232</v>
      </c>
      <c r="BB100" s="2">
        <v>88</v>
      </c>
      <c r="BD100" s="2" t="s">
        <v>622</v>
      </c>
      <c r="BE100" s="2" t="s">
        <v>23</v>
      </c>
      <c r="BF100" s="2" t="s">
        <v>96</v>
      </c>
      <c r="BG100" s="2" t="s">
        <v>31</v>
      </c>
      <c r="BH100" s="2">
        <v>17</v>
      </c>
      <c r="BI100" s="2">
        <v>12</v>
      </c>
      <c r="BJ100" s="2" t="s">
        <v>43</v>
      </c>
      <c r="BK100" s="61" t="s">
        <v>46</v>
      </c>
      <c r="BL100" s="2" t="s">
        <v>170</v>
      </c>
      <c r="BM100" s="2">
        <v>62</v>
      </c>
    </row>
    <row r="101" spans="1:65" x14ac:dyDescent="0.3">
      <c r="A101" s="2" t="s">
        <v>239</v>
      </c>
      <c r="B101" s="2" t="s">
        <v>68</v>
      </c>
      <c r="C101" s="2" t="s">
        <v>58</v>
      </c>
      <c r="D101" s="2" t="s">
        <v>13</v>
      </c>
      <c r="E101" s="2">
        <v>18</v>
      </c>
      <c r="F101" s="2">
        <v>11</v>
      </c>
      <c r="G101" s="2" t="s">
        <v>25</v>
      </c>
      <c r="H101" s="2" t="s">
        <v>15</v>
      </c>
      <c r="I101" s="2" t="s">
        <v>240</v>
      </c>
      <c r="J101" s="2">
        <v>48</v>
      </c>
      <c r="W101" s="2" t="s">
        <v>703</v>
      </c>
      <c r="X101" s="2" t="s">
        <v>73</v>
      </c>
      <c r="Y101" s="2" t="s">
        <v>30</v>
      </c>
      <c r="Z101" s="2" t="s">
        <v>31</v>
      </c>
      <c r="AA101" s="2">
        <v>17</v>
      </c>
      <c r="AB101" s="2">
        <v>12</v>
      </c>
      <c r="AC101" s="2" t="s">
        <v>32</v>
      </c>
      <c r="AD101" s="2" t="s">
        <v>40</v>
      </c>
      <c r="AE101" s="2" t="s">
        <v>704</v>
      </c>
      <c r="AF101" s="61">
        <v>93</v>
      </c>
      <c r="AS101" s="2" t="s">
        <v>233</v>
      </c>
      <c r="AT101" s="2" t="s">
        <v>11</v>
      </c>
      <c r="AU101" s="2" t="s">
        <v>55</v>
      </c>
      <c r="AV101" s="2" t="s">
        <v>13</v>
      </c>
      <c r="AW101" s="61">
        <v>14</v>
      </c>
      <c r="AX101" s="2">
        <v>9</v>
      </c>
      <c r="AY101" s="2" t="s">
        <v>25</v>
      </c>
      <c r="AZ101" s="2" t="s">
        <v>37</v>
      </c>
      <c r="BA101" s="2" t="s">
        <v>234</v>
      </c>
      <c r="BB101" s="2">
        <v>66</v>
      </c>
      <c r="BD101" s="2" t="s">
        <v>632</v>
      </c>
      <c r="BE101" s="2" t="s">
        <v>54</v>
      </c>
      <c r="BF101" s="2" t="s">
        <v>55</v>
      </c>
      <c r="BG101" s="2" t="s">
        <v>31</v>
      </c>
      <c r="BH101" s="2">
        <v>19</v>
      </c>
      <c r="BI101" s="2">
        <v>11</v>
      </c>
      <c r="BJ101" s="2" t="s">
        <v>25</v>
      </c>
      <c r="BK101" s="61" t="s">
        <v>61</v>
      </c>
      <c r="BL101" s="2" t="s">
        <v>633</v>
      </c>
      <c r="BM101" s="2">
        <v>82</v>
      </c>
    </row>
    <row r="102" spans="1:65" x14ac:dyDescent="0.3">
      <c r="A102" s="2" t="s">
        <v>241</v>
      </c>
      <c r="B102" s="2" t="s">
        <v>54</v>
      </c>
      <c r="C102" s="2" t="s">
        <v>85</v>
      </c>
      <c r="D102" s="2" t="s">
        <v>31</v>
      </c>
      <c r="E102" s="2">
        <v>15</v>
      </c>
      <c r="F102" s="2">
        <v>12</v>
      </c>
      <c r="G102" s="2" t="s">
        <v>14</v>
      </c>
      <c r="H102" s="2" t="s">
        <v>40</v>
      </c>
      <c r="I102" s="2" t="s">
        <v>242</v>
      </c>
      <c r="J102" s="2">
        <v>100</v>
      </c>
      <c r="W102" s="2" t="s">
        <v>709</v>
      </c>
      <c r="X102" s="2" t="s">
        <v>54</v>
      </c>
      <c r="Y102" s="2" t="s">
        <v>19</v>
      </c>
      <c r="Z102" s="2" t="s">
        <v>31</v>
      </c>
      <c r="AA102" s="2">
        <v>18</v>
      </c>
      <c r="AB102" s="2">
        <v>10</v>
      </c>
      <c r="AC102" s="2" t="s">
        <v>43</v>
      </c>
      <c r="AD102" s="2" t="s">
        <v>37</v>
      </c>
      <c r="AE102" s="2" t="s">
        <v>710</v>
      </c>
      <c r="AF102" s="61">
        <v>89</v>
      </c>
      <c r="AS102" s="2" t="s">
        <v>235</v>
      </c>
      <c r="AT102" s="2" t="s">
        <v>11</v>
      </c>
      <c r="AU102" s="2" t="s">
        <v>36</v>
      </c>
      <c r="AV102" s="2" t="s">
        <v>31</v>
      </c>
      <c r="AW102" s="61">
        <v>14</v>
      </c>
      <c r="AX102" s="2">
        <v>12</v>
      </c>
      <c r="AY102" s="2" t="s">
        <v>43</v>
      </c>
      <c r="AZ102" s="2" t="s">
        <v>40</v>
      </c>
      <c r="BA102" s="2" t="s">
        <v>236</v>
      </c>
      <c r="BB102" s="2">
        <v>65</v>
      </c>
      <c r="BD102" s="2" t="s">
        <v>650</v>
      </c>
      <c r="BE102" s="2" t="s">
        <v>23</v>
      </c>
      <c r="BF102" s="2" t="s">
        <v>24</v>
      </c>
      <c r="BG102" s="2" t="s">
        <v>13</v>
      </c>
      <c r="BH102" s="2">
        <v>17</v>
      </c>
      <c r="BI102" s="2">
        <v>12</v>
      </c>
      <c r="BJ102" s="2" t="s">
        <v>25</v>
      </c>
      <c r="BK102" s="61" t="s">
        <v>46</v>
      </c>
      <c r="BL102" s="2" t="s">
        <v>651</v>
      </c>
      <c r="BM102" s="2">
        <v>45</v>
      </c>
    </row>
    <row r="103" spans="1:65" x14ac:dyDescent="0.3">
      <c r="A103" s="2" t="s">
        <v>243</v>
      </c>
      <c r="B103" s="2" t="s">
        <v>23</v>
      </c>
      <c r="C103" s="2" t="s">
        <v>96</v>
      </c>
      <c r="D103" s="2" t="s">
        <v>31</v>
      </c>
      <c r="E103" s="2">
        <v>15</v>
      </c>
      <c r="F103" s="2">
        <v>11</v>
      </c>
      <c r="G103" s="2" t="s">
        <v>25</v>
      </c>
      <c r="H103" s="2" t="s">
        <v>61</v>
      </c>
      <c r="I103" s="2" t="s">
        <v>244</v>
      </c>
      <c r="J103" s="2">
        <v>72</v>
      </c>
      <c r="W103" s="2" t="s">
        <v>715</v>
      </c>
      <c r="X103" s="2" t="s">
        <v>51</v>
      </c>
      <c r="Y103" s="2" t="s">
        <v>79</v>
      </c>
      <c r="Z103" s="2" t="s">
        <v>13</v>
      </c>
      <c r="AA103" s="2">
        <v>19</v>
      </c>
      <c r="AB103" s="2">
        <v>10</v>
      </c>
      <c r="AC103" s="2" t="s">
        <v>32</v>
      </c>
      <c r="AD103" s="2" t="s">
        <v>40</v>
      </c>
      <c r="AE103" s="2" t="s">
        <v>702</v>
      </c>
      <c r="AF103" s="61">
        <v>84</v>
      </c>
      <c r="AS103" s="2" t="s">
        <v>237</v>
      </c>
      <c r="AT103" s="2" t="s">
        <v>23</v>
      </c>
      <c r="AU103" s="2" t="s">
        <v>24</v>
      </c>
      <c r="AV103" s="2" t="s">
        <v>31</v>
      </c>
      <c r="AW103" s="61">
        <v>16</v>
      </c>
      <c r="AX103" s="2">
        <v>10</v>
      </c>
      <c r="AY103" s="2" t="s">
        <v>43</v>
      </c>
      <c r="AZ103" s="2" t="s">
        <v>20</v>
      </c>
      <c r="BA103" s="2" t="s">
        <v>238</v>
      </c>
      <c r="BB103" s="2">
        <v>71</v>
      </c>
      <c r="BD103" s="2" t="s">
        <v>652</v>
      </c>
      <c r="BE103" s="2" t="s">
        <v>51</v>
      </c>
      <c r="BF103" s="2" t="s">
        <v>55</v>
      </c>
      <c r="BG103" s="2" t="s">
        <v>13</v>
      </c>
      <c r="BH103" s="2">
        <v>16</v>
      </c>
      <c r="BI103" s="2">
        <v>12</v>
      </c>
      <c r="BJ103" s="2" t="s">
        <v>32</v>
      </c>
      <c r="BK103" s="61" t="s">
        <v>61</v>
      </c>
      <c r="BL103" s="2" t="s">
        <v>653</v>
      </c>
      <c r="BM103" s="2">
        <v>45</v>
      </c>
    </row>
    <row r="104" spans="1:65" x14ac:dyDescent="0.3">
      <c r="A104" s="2" t="s">
        <v>245</v>
      </c>
      <c r="B104" s="2" t="s">
        <v>54</v>
      </c>
      <c r="C104" s="2" t="s">
        <v>19</v>
      </c>
      <c r="D104" s="2" t="s">
        <v>31</v>
      </c>
      <c r="E104" s="2">
        <v>18</v>
      </c>
      <c r="F104" s="2">
        <v>12</v>
      </c>
      <c r="G104" s="2" t="s">
        <v>32</v>
      </c>
      <c r="H104" s="2" t="s">
        <v>26</v>
      </c>
      <c r="I104" s="2" t="s">
        <v>246</v>
      </c>
      <c r="J104" s="2">
        <v>74</v>
      </c>
      <c r="W104" s="2" t="s">
        <v>719</v>
      </c>
      <c r="X104" s="2" t="s">
        <v>18</v>
      </c>
      <c r="Y104" s="2" t="s">
        <v>24</v>
      </c>
      <c r="Z104" s="2" t="s">
        <v>31</v>
      </c>
      <c r="AA104" s="2">
        <v>18</v>
      </c>
      <c r="AB104" s="2">
        <v>11</v>
      </c>
      <c r="AC104" s="2" t="s">
        <v>43</v>
      </c>
      <c r="AD104" s="2" t="s">
        <v>40</v>
      </c>
      <c r="AE104" s="2" t="s">
        <v>720</v>
      </c>
      <c r="AF104" s="61">
        <v>83</v>
      </c>
      <c r="AS104" s="2" t="s">
        <v>239</v>
      </c>
      <c r="AT104" s="2" t="s">
        <v>68</v>
      </c>
      <c r="AU104" s="2" t="s">
        <v>58</v>
      </c>
      <c r="AV104" s="2" t="s">
        <v>13</v>
      </c>
      <c r="AW104" s="61">
        <v>18</v>
      </c>
      <c r="AX104" s="2">
        <v>11</v>
      </c>
      <c r="AY104" s="2" t="s">
        <v>25</v>
      </c>
      <c r="AZ104" s="2" t="s">
        <v>15</v>
      </c>
      <c r="BA104" s="2" t="s">
        <v>240</v>
      </c>
      <c r="BB104" s="2">
        <v>48</v>
      </c>
      <c r="BD104" s="2" t="s">
        <v>654</v>
      </c>
      <c r="BE104" s="2" t="s">
        <v>18</v>
      </c>
      <c r="BF104" s="2" t="s">
        <v>24</v>
      </c>
      <c r="BG104" s="2" t="s">
        <v>31</v>
      </c>
      <c r="BH104" s="2">
        <v>14</v>
      </c>
      <c r="BI104" s="2">
        <v>12</v>
      </c>
      <c r="BJ104" s="2" t="s">
        <v>14</v>
      </c>
      <c r="BK104" s="61" t="s">
        <v>46</v>
      </c>
      <c r="BL104" s="2" t="s">
        <v>655</v>
      </c>
      <c r="BM104" s="2">
        <v>42</v>
      </c>
    </row>
    <row r="105" spans="1:65" x14ac:dyDescent="0.3">
      <c r="A105" s="2" t="s">
        <v>247</v>
      </c>
      <c r="B105" s="2" t="s">
        <v>29</v>
      </c>
      <c r="C105" s="2" t="s">
        <v>58</v>
      </c>
      <c r="D105" s="2" t="s">
        <v>31</v>
      </c>
      <c r="E105" s="2">
        <v>14</v>
      </c>
      <c r="F105" s="2">
        <v>12</v>
      </c>
      <c r="G105" s="2" t="s">
        <v>14</v>
      </c>
      <c r="H105" s="2" t="s">
        <v>40</v>
      </c>
      <c r="I105" s="2" t="s">
        <v>248</v>
      </c>
      <c r="J105" s="2">
        <v>66</v>
      </c>
      <c r="W105" s="2" t="s">
        <v>731</v>
      </c>
      <c r="X105" s="2" t="s">
        <v>84</v>
      </c>
      <c r="Y105" s="2" t="s">
        <v>85</v>
      </c>
      <c r="Z105" s="2" t="s">
        <v>31</v>
      </c>
      <c r="AA105" s="2">
        <v>17</v>
      </c>
      <c r="AB105" s="2">
        <v>9</v>
      </c>
      <c r="AC105" s="2" t="s">
        <v>43</v>
      </c>
      <c r="AD105" s="2" t="s">
        <v>76</v>
      </c>
      <c r="AE105" s="2" t="s">
        <v>732</v>
      </c>
      <c r="AF105" s="61">
        <v>97</v>
      </c>
      <c r="AS105" s="2" t="s">
        <v>241</v>
      </c>
      <c r="AT105" s="2" t="s">
        <v>54</v>
      </c>
      <c r="AU105" s="2" t="s">
        <v>85</v>
      </c>
      <c r="AV105" s="2" t="s">
        <v>31</v>
      </c>
      <c r="AW105" s="61">
        <v>15</v>
      </c>
      <c r="AX105" s="2">
        <v>12</v>
      </c>
      <c r="AY105" s="2" t="s">
        <v>14</v>
      </c>
      <c r="AZ105" s="2" t="s">
        <v>40</v>
      </c>
      <c r="BA105" s="2" t="s">
        <v>242</v>
      </c>
      <c r="BB105" s="2">
        <v>100</v>
      </c>
      <c r="BD105" s="2" t="s">
        <v>667</v>
      </c>
      <c r="BE105" s="2" t="s">
        <v>35</v>
      </c>
      <c r="BF105" s="2" t="s">
        <v>12</v>
      </c>
      <c r="BG105" s="2" t="s">
        <v>31</v>
      </c>
      <c r="BH105" s="2">
        <v>15</v>
      </c>
      <c r="BI105" s="2">
        <v>12</v>
      </c>
      <c r="BJ105" s="2" t="s">
        <v>14</v>
      </c>
      <c r="BK105" s="61" t="s">
        <v>46</v>
      </c>
      <c r="BL105" s="2" t="s">
        <v>668</v>
      </c>
      <c r="BM105" s="2">
        <v>82</v>
      </c>
    </row>
    <row r="106" spans="1:65" x14ac:dyDescent="0.3">
      <c r="A106" s="2" t="s">
        <v>249</v>
      </c>
      <c r="B106" s="2" t="s">
        <v>68</v>
      </c>
      <c r="C106" s="2" t="s">
        <v>30</v>
      </c>
      <c r="D106" s="2" t="s">
        <v>31</v>
      </c>
      <c r="E106" s="2">
        <v>16</v>
      </c>
      <c r="F106" s="2">
        <v>11</v>
      </c>
      <c r="G106" s="2" t="s">
        <v>32</v>
      </c>
      <c r="H106" s="2" t="s">
        <v>20</v>
      </c>
      <c r="I106" s="2" t="s">
        <v>250</v>
      </c>
      <c r="J106" s="2">
        <v>90</v>
      </c>
      <c r="W106" s="2" t="s">
        <v>735</v>
      </c>
      <c r="X106" s="2" t="s">
        <v>68</v>
      </c>
      <c r="Y106" s="2" t="s">
        <v>24</v>
      </c>
      <c r="Z106" s="2" t="s">
        <v>31</v>
      </c>
      <c r="AA106" s="2">
        <v>16</v>
      </c>
      <c r="AB106" s="2">
        <v>12</v>
      </c>
      <c r="AC106" s="2" t="s">
        <v>43</v>
      </c>
      <c r="AD106" s="2" t="s">
        <v>26</v>
      </c>
      <c r="AE106" s="2" t="s">
        <v>736</v>
      </c>
      <c r="AF106" s="61">
        <v>85</v>
      </c>
      <c r="AS106" s="2" t="s">
        <v>243</v>
      </c>
      <c r="AT106" s="2" t="s">
        <v>23</v>
      </c>
      <c r="AU106" s="2" t="s">
        <v>96</v>
      </c>
      <c r="AV106" s="2" t="s">
        <v>31</v>
      </c>
      <c r="AW106" s="61">
        <v>15</v>
      </c>
      <c r="AX106" s="2">
        <v>11</v>
      </c>
      <c r="AY106" s="2" t="s">
        <v>25</v>
      </c>
      <c r="AZ106" s="2" t="s">
        <v>61</v>
      </c>
      <c r="BA106" s="2" t="s">
        <v>244</v>
      </c>
      <c r="BB106" s="2">
        <v>72</v>
      </c>
      <c r="BD106" s="2" t="s">
        <v>673</v>
      </c>
      <c r="BE106" s="2" t="s">
        <v>11</v>
      </c>
      <c r="BF106" s="2" t="s">
        <v>19</v>
      </c>
      <c r="BG106" s="2" t="s">
        <v>31</v>
      </c>
      <c r="BH106" s="2">
        <v>17</v>
      </c>
      <c r="BI106" s="2">
        <v>10</v>
      </c>
      <c r="BJ106" s="2" t="s">
        <v>32</v>
      </c>
      <c r="BK106" s="61" t="s">
        <v>46</v>
      </c>
      <c r="BL106" s="2" t="s">
        <v>674</v>
      </c>
      <c r="BM106" s="2">
        <v>85</v>
      </c>
    </row>
    <row r="107" spans="1:65" x14ac:dyDescent="0.3">
      <c r="A107" s="2" t="s">
        <v>251</v>
      </c>
      <c r="B107" s="2" t="s">
        <v>23</v>
      </c>
      <c r="C107" s="2" t="s">
        <v>24</v>
      </c>
      <c r="D107" s="2" t="s">
        <v>13</v>
      </c>
      <c r="E107" s="2">
        <v>16</v>
      </c>
      <c r="F107" s="2">
        <v>12</v>
      </c>
      <c r="G107" s="2" t="s">
        <v>43</v>
      </c>
      <c r="H107" s="2" t="s">
        <v>40</v>
      </c>
      <c r="I107" s="2" t="s">
        <v>252</v>
      </c>
      <c r="J107" s="2">
        <v>50</v>
      </c>
      <c r="W107" s="2" t="s">
        <v>737</v>
      </c>
      <c r="X107" s="2" t="s">
        <v>54</v>
      </c>
      <c r="Y107" s="2" t="s">
        <v>96</v>
      </c>
      <c r="Z107" s="2" t="s">
        <v>13</v>
      </c>
      <c r="AA107" s="2">
        <v>19</v>
      </c>
      <c r="AB107" s="2">
        <v>12</v>
      </c>
      <c r="AC107" s="2" t="s">
        <v>25</v>
      </c>
      <c r="AD107" s="2" t="s">
        <v>20</v>
      </c>
      <c r="AE107" s="2" t="s">
        <v>738</v>
      </c>
      <c r="AF107" s="61">
        <v>85</v>
      </c>
      <c r="AS107" s="2" t="s">
        <v>245</v>
      </c>
      <c r="AT107" s="2" t="s">
        <v>54</v>
      </c>
      <c r="AU107" s="2" t="s">
        <v>19</v>
      </c>
      <c r="AV107" s="2" t="s">
        <v>31</v>
      </c>
      <c r="AW107" s="61">
        <v>18</v>
      </c>
      <c r="AX107" s="2">
        <v>12</v>
      </c>
      <c r="AY107" s="2" t="s">
        <v>32</v>
      </c>
      <c r="AZ107" s="2" t="s">
        <v>26</v>
      </c>
      <c r="BA107" s="2" t="s">
        <v>246</v>
      </c>
      <c r="BB107" s="2">
        <v>74</v>
      </c>
      <c r="BD107" s="2" t="s">
        <v>679</v>
      </c>
      <c r="BE107" s="2" t="s">
        <v>18</v>
      </c>
      <c r="BF107" s="2" t="s">
        <v>96</v>
      </c>
      <c r="BG107" s="2" t="s">
        <v>13</v>
      </c>
      <c r="BH107" s="2">
        <v>14</v>
      </c>
      <c r="BI107" s="2">
        <v>12</v>
      </c>
      <c r="BJ107" s="2" t="s">
        <v>32</v>
      </c>
      <c r="BK107" s="61" t="s">
        <v>46</v>
      </c>
      <c r="BL107" s="2" t="s">
        <v>680</v>
      </c>
      <c r="BM107" s="2">
        <v>44</v>
      </c>
    </row>
    <row r="108" spans="1:65" x14ac:dyDescent="0.3">
      <c r="A108" s="2" t="s">
        <v>253</v>
      </c>
      <c r="B108" s="2" t="s">
        <v>18</v>
      </c>
      <c r="C108" s="2" t="s">
        <v>24</v>
      </c>
      <c r="D108" s="2" t="s">
        <v>13</v>
      </c>
      <c r="E108" s="2">
        <v>15</v>
      </c>
      <c r="F108" s="2">
        <v>9</v>
      </c>
      <c r="G108" s="2" t="s">
        <v>25</v>
      </c>
      <c r="H108" s="2" t="s">
        <v>20</v>
      </c>
      <c r="I108" s="2" t="s">
        <v>254</v>
      </c>
      <c r="J108" s="2">
        <v>36</v>
      </c>
      <c r="W108" s="2" t="s">
        <v>739</v>
      </c>
      <c r="X108" s="2" t="s">
        <v>18</v>
      </c>
      <c r="Y108" s="2" t="s">
        <v>79</v>
      </c>
      <c r="Z108" s="2" t="s">
        <v>31</v>
      </c>
      <c r="AA108" s="2">
        <v>14</v>
      </c>
      <c r="AB108" s="2">
        <v>10</v>
      </c>
      <c r="AC108" s="2" t="s">
        <v>32</v>
      </c>
      <c r="AD108" s="2" t="s">
        <v>20</v>
      </c>
      <c r="AE108" s="2" t="s">
        <v>740</v>
      </c>
      <c r="AF108" s="61">
        <v>99</v>
      </c>
      <c r="AS108" s="2" t="s">
        <v>247</v>
      </c>
      <c r="AT108" s="2" t="s">
        <v>29</v>
      </c>
      <c r="AU108" s="2" t="s">
        <v>58</v>
      </c>
      <c r="AV108" s="2" t="s">
        <v>31</v>
      </c>
      <c r="AW108" s="61">
        <v>14</v>
      </c>
      <c r="AX108" s="2">
        <v>12</v>
      </c>
      <c r="AY108" s="2" t="s">
        <v>14</v>
      </c>
      <c r="AZ108" s="2" t="s">
        <v>40</v>
      </c>
      <c r="BA108" s="2" t="s">
        <v>248</v>
      </c>
      <c r="BB108" s="2">
        <v>66</v>
      </c>
      <c r="BD108" s="2" t="s">
        <v>681</v>
      </c>
      <c r="BE108" s="2" t="s">
        <v>35</v>
      </c>
      <c r="BF108" s="2" t="s">
        <v>36</v>
      </c>
      <c r="BG108" s="2" t="s">
        <v>13</v>
      </c>
      <c r="BH108" s="2">
        <v>14</v>
      </c>
      <c r="BI108" s="2">
        <v>9</v>
      </c>
      <c r="BJ108" s="2" t="s">
        <v>43</v>
      </c>
      <c r="BK108" s="61" t="s">
        <v>46</v>
      </c>
      <c r="BL108" s="2" t="s">
        <v>682</v>
      </c>
      <c r="BM108" s="2">
        <v>67</v>
      </c>
    </row>
    <row r="109" spans="1:65" x14ac:dyDescent="0.3">
      <c r="A109" s="2" t="s">
        <v>255</v>
      </c>
      <c r="B109" s="2" t="s">
        <v>51</v>
      </c>
      <c r="C109" s="2" t="s">
        <v>79</v>
      </c>
      <c r="D109" s="2" t="s">
        <v>31</v>
      </c>
      <c r="E109" s="2">
        <v>20</v>
      </c>
      <c r="F109" s="2">
        <v>12</v>
      </c>
      <c r="G109" s="2" t="s">
        <v>43</v>
      </c>
      <c r="H109" s="2" t="s">
        <v>40</v>
      </c>
      <c r="I109" s="2" t="s">
        <v>256</v>
      </c>
      <c r="J109" s="2">
        <v>48</v>
      </c>
      <c r="W109" s="2" t="s">
        <v>749</v>
      </c>
      <c r="X109" s="2" t="s">
        <v>84</v>
      </c>
      <c r="Y109" s="2" t="s">
        <v>30</v>
      </c>
      <c r="Z109" s="2" t="s">
        <v>13</v>
      </c>
      <c r="AA109" s="2">
        <v>15</v>
      </c>
      <c r="AB109" s="2">
        <v>12</v>
      </c>
      <c r="AC109" s="2" t="s">
        <v>25</v>
      </c>
      <c r="AD109" s="2" t="s">
        <v>61</v>
      </c>
      <c r="AE109" s="2" t="s">
        <v>750</v>
      </c>
      <c r="AF109" s="61">
        <v>95</v>
      </c>
      <c r="AS109" s="2" t="s">
        <v>249</v>
      </c>
      <c r="AT109" s="2" t="s">
        <v>68</v>
      </c>
      <c r="AU109" s="2" t="s">
        <v>30</v>
      </c>
      <c r="AV109" s="2" t="s">
        <v>31</v>
      </c>
      <c r="AW109" s="61">
        <v>16</v>
      </c>
      <c r="AX109" s="2">
        <v>11</v>
      </c>
      <c r="AY109" s="2" t="s">
        <v>32</v>
      </c>
      <c r="AZ109" s="2" t="s">
        <v>20</v>
      </c>
      <c r="BA109" s="2" t="s">
        <v>250</v>
      </c>
      <c r="BB109" s="2">
        <v>90</v>
      </c>
      <c r="BD109" s="2" t="s">
        <v>684</v>
      </c>
      <c r="BE109" s="2" t="s">
        <v>54</v>
      </c>
      <c r="BF109" s="2" t="s">
        <v>24</v>
      </c>
      <c r="BG109" s="2" t="s">
        <v>31</v>
      </c>
      <c r="BH109" s="2">
        <v>17</v>
      </c>
      <c r="BI109" s="2">
        <v>10</v>
      </c>
      <c r="BJ109" s="2" t="s">
        <v>43</v>
      </c>
      <c r="BK109" s="61" t="s">
        <v>46</v>
      </c>
      <c r="BL109" s="2" t="s">
        <v>685</v>
      </c>
      <c r="BM109" s="2">
        <v>74</v>
      </c>
    </row>
    <row r="110" spans="1:65" x14ac:dyDescent="0.3">
      <c r="A110" s="2" t="s">
        <v>257</v>
      </c>
      <c r="B110" s="2" t="s">
        <v>68</v>
      </c>
      <c r="C110" s="2" t="s">
        <v>79</v>
      </c>
      <c r="D110" s="2" t="s">
        <v>31</v>
      </c>
      <c r="E110" s="2">
        <v>20</v>
      </c>
      <c r="F110" s="2">
        <v>11</v>
      </c>
      <c r="G110" s="2" t="s">
        <v>43</v>
      </c>
      <c r="H110" s="2" t="s">
        <v>46</v>
      </c>
      <c r="I110" s="2" t="s">
        <v>258</v>
      </c>
      <c r="J110" s="2">
        <v>52</v>
      </c>
      <c r="W110" s="2" t="s">
        <v>751</v>
      </c>
      <c r="X110" s="2" t="s">
        <v>73</v>
      </c>
      <c r="Y110" s="2" t="s">
        <v>79</v>
      </c>
      <c r="Z110" s="2" t="s">
        <v>31</v>
      </c>
      <c r="AA110" s="2">
        <v>20</v>
      </c>
      <c r="AB110" s="2">
        <v>12</v>
      </c>
      <c r="AC110" s="2" t="s">
        <v>25</v>
      </c>
      <c r="AD110" s="2" t="s">
        <v>76</v>
      </c>
      <c r="AE110" s="2" t="s">
        <v>752</v>
      </c>
      <c r="AF110" s="61">
        <v>91</v>
      </c>
      <c r="AS110" s="2" t="s">
        <v>251</v>
      </c>
      <c r="AT110" s="2" t="s">
        <v>23</v>
      </c>
      <c r="AU110" s="2" t="s">
        <v>24</v>
      </c>
      <c r="AV110" s="2" t="s">
        <v>13</v>
      </c>
      <c r="AW110" s="61">
        <v>16</v>
      </c>
      <c r="AX110" s="2">
        <v>12</v>
      </c>
      <c r="AY110" s="2" t="s">
        <v>43</v>
      </c>
      <c r="AZ110" s="2" t="s">
        <v>40</v>
      </c>
      <c r="BA110" s="2" t="s">
        <v>252</v>
      </c>
      <c r="BB110" s="2">
        <v>50</v>
      </c>
      <c r="BD110" s="2" t="s">
        <v>687</v>
      </c>
      <c r="BE110" s="2" t="s">
        <v>84</v>
      </c>
      <c r="BF110" s="2" t="s">
        <v>19</v>
      </c>
      <c r="BG110" s="2" t="s">
        <v>13</v>
      </c>
      <c r="BH110" s="2">
        <v>16</v>
      </c>
      <c r="BI110" s="2">
        <v>10</v>
      </c>
      <c r="BJ110" s="2" t="s">
        <v>25</v>
      </c>
      <c r="BK110" s="61" t="s">
        <v>46</v>
      </c>
      <c r="BL110" s="2" t="s">
        <v>564</v>
      </c>
      <c r="BM110" s="2">
        <v>52</v>
      </c>
    </row>
    <row r="111" spans="1:65" x14ac:dyDescent="0.3">
      <c r="A111" s="2" t="s">
        <v>259</v>
      </c>
      <c r="B111" s="2" t="s">
        <v>54</v>
      </c>
      <c r="C111" s="2" t="s">
        <v>85</v>
      </c>
      <c r="D111" s="2" t="s">
        <v>13</v>
      </c>
      <c r="E111" s="2">
        <v>14</v>
      </c>
      <c r="F111" s="2">
        <v>11</v>
      </c>
      <c r="G111" s="2" t="s">
        <v>43</v>
      </c>
      <c r="H111" s="2" t="s">
        <v>46</v>
      </c>
      <c r="I111" s="2" t="s">
        <v>260</v>
      </c>
      <c r="J111" s="2">
        <v>62</v>
      </c>
      <c r="W111" s="2" t="s">
        <v>754</v>
      </c>
      <c r="X111" s="2" t="s">
        <v>54</v>
      </c>
      <c r="Y111" s="2" t="s">
        <v>12</v>
      </c>
      <c r="Z111" s="2" t="s">
        <v>13</v>
      </c>
      <c r="AA111" s="2">
        <v>14</v>
      </c>
      <c r="AB111" s="2">
        <v>12</v>
      </c>
      <c r="AC111" s="2" t="s">
        <v>32</v>
      </c>
      <c r="AD111" s="2" t="s">
        <v>20</v>
      </c>
      <c r="AE111" s="2" t="s">
        <v>755</v>
      </c>
      <c r="AF111" s="61">
        <v>98</v>
      </c>
      <c r="AS111" s="2" t="s">
        <v>253</v>
      </c>
      <c r="AT111" s="2" t="s">
        <v>18</v>
      </c>
      <c r="AU111" s="2" t="s">
        <v>24</v>
      </c>
      <c r="AV111" s="2" t="s">
        <v>13</v>
      </c>
      <c r="AW111" s="61">
        <v>15</v>
      </c>
      <c r="AX111" s="2">
        <v>9</v>
      </c>
      <c r="AY111" s="2" t="s">
        <v>25</v>
      </c>
      <c r="AZ111" s="2" t="s">
        <v>20</v>
      </c>
      <c r="BA111" s="2" t="s">
        <v>254</v>
      </c>
      <c r="BB111" s="2">
        <v>36</v>
      </c>
      <c r="BD111" s="2" t="s">
        <v>691</v>
      </c>
      <c r="BE111" s="2" t="s">
        <v>84</v>
      </c>
      <c r="BF111" s="2" t="s">
        <v>55</v>
      </c>
      <c r="BG111" s="2" t="s">
        <v>13</v>
      </c>
      <c r="BH111" s="2">
        <v>16</v>
      </c>
      <c r="BI111" s="2">
        <v>10</v>
      </c>
      <c r="BJ111" s="2" t="s">
        <v>43</v>
      </c>
      <c r="BK111" s="61" t="s">
        <v>46</v>
      </c>
      <c r="BL111" s="2" t="s">
        <v>692</v>
      </c>
      <c r="BM111" s="2">
        <v>91</v>
      </c>
    </row>
    <row r="112" spans="1:65" x14ac:dyDescent="0.3">
      <c r="A112" s="2" t="s">
        <v>261</v>
      </c>
      <c r="B112" s="2" t="s">
        <v>23</v>
      </c>
      <c r="C112" s="2" t="s">
        <v>36</v>
      </c>
      <c r="D112" s="2" t="s">
        <v>13</v>
      </c>
      <c r="E112" s="2">
        <v>15</v>
      </c>
      <c r="F112" s="2">
        <v>11</v>
      </c>
      <c r="G112" s="2" t="s">
        <v>25</v>
      </c>
      <c r="H112" s="2" t="s">
        <v>26</v>
      </c>
      <c r="I112" s="2" t="s">
        <v>262</v>
      </c>
      <c r="J112" s="2">
        <v>63</v>
      </c>
      <c r="W112" s="2" t="s">
        <v>760</v>
      </c>
      <c r="X112" s="2" t="s">
        <v>84</v>
      </c>
      <c r="Y112" s="2" t="s">
        <v>96</v>
      </c>
      <c r="Z112" s="2" t="s">
        <v>31</v>
      </c>
      <c r="AA112" s="2">
        <v>16</v>
      </c>
      <c r="AB112" s="2">
        <v>11</v>
      </c>
      <c r="AC112" s="2" t="s">
        <v>32</v>
      </c>
      <c r="AD112" s="2" t="s">
        <v>76</v>
      </c>
      <c r="AE112" s="2" t="s">
        <v>761</v>
      </c>
      <c r="AF112" s="61">
        <v>83</v>
      </c>
      <c r="AS112" s="2" t="s">
        <v>255</v>
      </c>
      <c r="AT112" s="2" t="s">
        <v>51</v>
      </c>
      <c r="AU112" s="2" t="s">
        <v>79</v>
      </c>
      <c r="AV112" s="2" t="s">
        <v>31</v>
      </c>
      <c r="AW112" s="61">
        <v>20</v>
      </c>
      <c r="AX112" s="2">
        <v>12</v>
      </c>
      <c r="AY112" s="2" t="s">
        <v>43</v>
      </c>
      <c r="AZ112" s="2" t="s">
        <v>40</v>
      </c>
      <c r="BA112" s="2" t="s">
        <v>256</v>
      </c>
      <c r="BB112" s="2">
        <v>48</v>
      </c>
      <c r="BD112" s="2" t="s">
        <v>697</v>
      </c>
      <c r="BE112" s="2" t="s">
        <v>29</v>
      </c>
      <c r="BF112" s="2" t="s">
        <v>30</v>
      </c>
      <c r="BG112" s="2" t="s">
        <v>31</v>
      </c>
      <c r="BH112" s="2">
        <v>19</v>
      </c>
      <c r="BI112" s="2">
        <v>10</v>
      </c>
      <c r="BJ112" s="2" t="s">
        <v>25</v>
      </c>
      <c r="BK112" s="61" t="s">
        <v>61</v>
      </c>
      <c r="BL112" s="2" t="s">
        <v>698</v>
      </c>
      <c r="BM112" s="2">
        <v>75</v>
      </c>
    </row>
    <row r="113" spans="1:65" x14ac:dyDescent="0.3">
      <c r="A113" s="2" t="s">
        <v>263</v>
      </c>
      <c r="B113" s="2" t="s">
        <v>29</v>
      </c>
      <c r="C113" s="2" t="s">
        <v>19</v>
      </c>
      <c r="D113" s="2" t="s">
        <v>13</v>
      </c>
      <c r="E113" s="2">
        <v>15</v>
      </c>
      <c r="F113" s="2">
        <v>11</v>
      </c>
      <c r="G113" s="2" t="s">
        <v>25</v>
      </c>
      <c r="H113" s="2" t="s">
        <v>46</v>
      </c>
      <c r="I113" s="2" t="s">
        <v>264</v>
      </c>
      <c r="J113" s="2">
        <v>58</v>
      </c>
      <c r="W113" s="2" t="s">
        <v>762</v>
      </c>
      <c r="X113" s="2" t="s">
        <v>68</v>
      </c>
      <c r="Y113" s="2" t="s">
        <v>85</v>
      </c>
      <c r="Z113" s="2" t="s">
        <v>31</v>
      </c>
      <c r="AA113" s="2">
        <v>20</v>
      </c>
      <c r="AB113" s="2">
        <v>12</v>
      </c>
      <c r="AC113" s="2" t="s">
        <v>43</v>
      </c>
      <c r="AD113" s="2" t="s">
        <v>20</v>
      </c>
      <c r="AE113" s="2" t="s">
        <v>763</v>
      </c>
      <c r="AF113" s="61">
        <v>82</v>
      </c>
      <c r="AS113" s="2" t="s">
        <v>257</v>
      </c>
      <c r="AT113" s="2" t="s">
        <v>68</v>
      </c>
      <c r="AU113" s="2" t="s">
        <v>79</v>
      </c>
      <c r="AV113" s="2" t="s">
        <v>31</v>
      </c>
      <c r="AW113" s="61">
        <v>20</v>
      </c>
      <c r="AX113" s="2">
        <v>11</v>
      </c>
      <c r="AY113" s="2" t="s">
        <v>43</v>
      </c>
      <c r="AZ113" s="2" t="s">
        <v>46</v>
      </c>
      <c r="BA113" s="2" t="s">
        <v>258</v>
      </c>
      <c r="BB113" s="2">
        <v>52</v>
      </c>
      <c r="BD113" s="2" t="s">
        <v>718</v>
      </c>
      <c r="BE113" s="2" t="s">
        <v>84</v>
      </c>
      <c r="BF113" s="2" t="s">
        <v>12</v>
      </c>
      <c r="BG113" s="2" t="s">
        <v>31</v>
      </c>
      <c r="BH113" s="2">
        <v>20</v>
      </c>
      <c r="BI113" s="2">
        <v>10</v>
      </c>
      <c r="BJ113" s="2" t="s">
        <v>25</v>
      </c>
      <c r="BK113" s="61" t="s">
        <v>61</v>
      </c>
      <c r="BL113" s="2" t="s">
        <v>639</v>
      </c>
      <c r="BM113" s="2">
        <v>35</v>
      </c>
    </row>
    <row r="114" spans="1:65" x14ac:dyDescent="0.3">
      <c r="A114" s="2" t="s">
        <v>265</v>
      </c>
      <c r="B114" s="2" t="s">
        <v>11</v>
      </c>
      <c r="C114" s="2" t="s">
        <v>85</v>
      </c>
      <c r="D114" s="2" t="s">
        <v>31</v>
      </c>
      <c r="E114" s="2">
        <v>14</v>
      </c>
      <c r="F114" s="2">
        <v>9</v>
      </c>
      <c r="G114" s="2" t="s">
        <v>43</v>
      </c>
      <c r="H114" s="2" t="s">
        <v>61</v>
      </c>
      <c r="I114" s="2" t="s">
        <v>56</v>
      </c>
      <c r="J114" s="2">
        <v>41</v>
      </c>
      <c r="W114" s="2" t="s">
        <v>769</v>
      </c>
      <c r="X114" s="2" t="s">
        <v>35</v>
      </c>
      <c r="Y114" s="2" t="s">
        <v>30</v>
      </c>
      <c r="Z114" s="2" t="s">
        <v>13</v>
      </c>
      <c r="AA114" s="2">
        <v>16</v>
      </c>
      <c r="AB114" s="2">
        <v>11</v>
      </c>
      <c r="AC114" s="2" t="s">
        <v>32</v>
      </c>
      <c r="AD114" s="2" t="s">
        <v>46</v>
      </c>
      <c r="AE114" s="2" t="s">
        <v>770</v>
      </c>
      <c r="AF114" s="61">
        <v>85</v>
      </c>
      <c r="AS114" s="2" t="s">
        <v>259</v>
      </c>
      <c r="AT114" s="2" t="s">
        <v>54</v>
      </c>
      <c r="AU114" s="2" t="s">
        <v>85</v>
      </c>
      <c r="AV114" s="2" t="s">
        <v>13</v>
      </c>
      <c r="AW114" s="61">
        <v>14</v>
      </c>
      <c r="AX114" s="2">
        <v>11</v>
      </c>
      <c r="AY114" s="2" t="s">
        <v>43</v>
      </c>
      <c r="AZ114" s="2" t="s">
        <v>46</v>
      </c>
      <c r="BA114" s="2" t="s">
        <v>260</v>
      </c>
      <c r="BB114" s="2">
        <v>62</v>
      </c>
      <c r="BD114" s="2" t="s">
        <v>749</v>
      </c>
      <c r="BE114" s="2" t="s">
        <v>84</v>
      </c>
      <c r="BF114" s="2" t="s">
        <v>30</v>
      </c>
      <c r="BG114" s="2" t="s">
        <v>13</v>
      </c>
      <c r="BH114" s="2">
        <v>15</v>
      </c>
      <c r="BI114" s="2">
        <v>12</v>
      </c>
      <c r="BJ114" s="2" t="s">
        <v>25</v>
      </c>
      <c r="BK114" s="61" t="s">
        <v>61</v>
      </c>
      <c r="BL114" s="2" t="s">
        <v>750</v>
      </c>
      <c r="BM114" s="2">
        <v>95</v>
      </c>
    </row>
    <row r="115" spans="1:65" x14ac:dyDescent="0.3">
      <c r="A115" s="2" t="s">
        <v>266</v>
      </c>
      <c r="B115" s="2" t="s">
        <v>54</v>
      </c>
      <c r="C115" s="2" t="s">
        <v>58</v>
      </c>
      <c r="D115" s="2" t="s">
        <v>13</v>
      </c>
      <c r="E115" s="2">
        <v>19</v>
      </c>
      <c r="F115" s="2">
        <v>11</v>
      </c>
      <c r="G115" s="2" t="s">
        <v>14</v>
      </c>
      <c r="H115" s="2" t="s">
        <v>40</v>
      </c>
      <c r="I115" s="2" t="s">
        <v>267</v>
      </c>
      <c r="J115" s="2">
        <v>41</v>
      </c>
      <c r="W115" s="2" t="s">
        <v>771</v>
      </c>
      <c r="X115" s="2" t="s">
        <v>23</v>
      </c>
      <c r="Y115" s="2" t="s">
        <v>24</v>
      </c>
      <c r="Z115" s="2" t="s">
        <v>31</v>
      </c>
      <c r="AA115" s="2">
        <v>18</v>
      </c>
      <c r="AB115" s="2">
        <v>11</v>
      </c>
      <c r="AC115" s="2" t="s">
        <v>25</v>
      </c>
      <c r="AD115" s="2" t="s">
        <v>46</v>
      </c>
      <c r="AE115" s="2" t="s">
        <v>772</v>
      </c>
      <c r="AF115" s="61">
        <v>89</v>
      </c>
      <c r="AS115" s="2" t="s">
        <v>261</v>
      </c>
      <c r="AT115" s="2" t="s">
        <v>23</v>
      </c>
      <c r="AU115" s="2" t="s">
        <v>36</v>
      </c>
      <c r="AV115" s="2" t="s">
        <v>13</v>
      </c>
      <c r="AW115" s="61">
        <v>15</v>
      </c>
      <c r="AX115" s="2">
        <v>11</v>
      </c>
      <c r="AY115" s="2" t="s">
        <v>25</v>
      </c>
      <c r="AZ115" s="2" t="s">
        <v>26</v>
      </c>
      <c r="BA115" s="2" t="s">
        <v>262</v>
      </c>
      <c r="BB115" s="2">
        <v>63</v>
      </c>
      <c r="BD115" s="2" t="s">
        <v>766</v>
      </c>
      <c r="BE115" s="2" t="s">
        <v>35</v>
      </c>
      <c r="BF115" s="2" t="s">
        <v>58</v>
      </c>
      <c r="BG115" s="2" t="s">
        <v>13</v>
      </c>
      <c r="BH115" s="2">
        <v>20</v>
      </c>
      <c r="BI115" s="2">
        <v>11</v>
      </c>
      <c r="BJ115" s="2" t="s">
        <v>32</v>
      </c>
      <c r="BK115" s="61" t="s">
        <v>46</v>
      </c>
      <c r="BL115" s="2" t="s">
        <v>767</v>
      </c>
      <c r="BM115" s="2">
        <v>54</v>
      </c>
    </row>
    <row r="116" spans="1:65" x14ac:dyDescent="0.3">
      <c r="A116" s="2" t="s">
        <v>268</v>
      </c>
      <c r="B116" s="2" t="s">
        <v>68</v>
      </c>
      <c r="C116" s="2" t="s">
        <v>24</v>
      </c>
      <c r="D116" s="2" t="s">
        <v>31</v>
      </c>
      <c r="E116" s="2">
        <v>16</v>
      </c>
      <c r="F116" s="2">
        <v>12</v>
      </c>
      <c r="G116" s="2" t="s">
        <v>43</v>
      </c>
      <c r="H116" s="2" t="s">
        <v>26</v>
      </c>
      <c r="I116" s="2" t="s">
        <v>269</v>
      </c>
      <c r="J116" s="2">
        <v>47</v>
      </c>
      <c r="W116" s="2" t="s">
        <v>775</v>
      </c>
      <c r="X116" s="2" t="s">
        <v>29</v>
      </c>
      <c r="Y116" s="2" t="s">
        <v>85</v>
      </c>
      <c r="Z116" s="2" t="s">
        <v>31</v>
      </c>
      <c r="AA116" s="2">
        <v>20</v>
      </c>
      <c r="AB116" s="2">
        <v>10</v>
      </c>
      <c r="AC116" s="2" t="s">
        <v>14</v>
      </c>
      <c r="AD116" s="2" t="s">
        <v>46</v>
      </c>
      <c r="AE116" s="2" t="s">
        <v>366</v>
      </c>
      <c r="AF116" s="61">
        <v>100</v>
      </c>
      <c r="AS116" s="2" t="s">
        <v>263</v>
      </c>
      <c r="AT116" s="2" t="s">
        <v>29</v>
      </c>
      <c r="AU116" s="2" t="s">
        <v>19</v>
      </c>
      <c r="AV116" s="2" t="s">
        <v>13</v>
      </c>
      <c r="AW116" s="61">
        <v>15</v>
      </c>
      <c r="AX116" s="2">
        <v>11</v>
      </c>
      <c r="AY116" s="2" t="s">
        <v>25</v>
      </c>
      <c r="AZ116" s="2" t="s">
        <v>46</v>
      </c>
      <c r="BA116" s="2" t="s">
        <v>264</v>
      </c>
      <c r="BB116" s="2">
        <v>58</v>
      </c>
      <c r="BD116" s="2" t="s">
        <v>769</v>
      </c>
      <c r="BE116" s="2" t="s">
        <v>35</v>
      </c>
      <c r="BF116" s="2" t="s">
        <v>30</v>
      </c>
      <c r="BG116" s="2" t="s">
        <v>13</v>
      </c>
      <c r="BH116" s="2">
        <v>16</v>
      </c>
      <c r="BI116" s="2">
        <v>11</v>
      </c>
      <c r="BJ116" s="2" t="s">
        <v>32</v>
      </c>
      <c r="BK116" s="61" t="s">
        <v>46</v>
      </c>
      <c r="BL116" s="2" t="s">
        <v>770</v>
      </c>
      <c r="BM116" s="2">
        <v>85</v>
      </c>
    </row>
    <row r="117" spans="1:65" x14ac:dyDescent="0.3">
      <c r="A117" s="2" t="s">
        <v>270</v>
      </c>
      <c r="B117" s="2" t="s">
        <v>73</v>
      </c>
      <c r="C117" s="2" t="s">
        <v>30</v>
      </c>
      <c r="D117" s="2" t="s">
        <v>31</v>
      </c>
      <c r="E117" s="2">
        <v>15</v>
      </c>
      <c r="F117" s="2">
        <v>9</v>
      </c>
      <c r="G117" s="2" t="s">
        <v>43</v>
      </c>
      <c r="H117" s="2" t="s">
        <v>26</v>
      </c>
      <c r="I117" s="2" t="s">
        <v>271</v>
      </c>
      <c r="J117" s="2">
        <v>76</v>
      </c>
      <c r="W117" s="2" t="s">
        <v>776</v>
      </c>
      <c r="X117" s="2" t="s">
        <v>11</v>
      </c>
      <c r="Y117" s="2" t="s">
        <v>12</v>
      </c>
      <c r="Z117" s="2" t="s">
        <v>31</v>
      </c>
      <c r="AA117" s="2">
        <v>20</v>
      </c>
      <c r="AB117" s="2">
        <v>9</v>
      </c>
      <c r="AC117" s="2" t="s">
        <v>14</v>
      </c>
      <c r="AD117" s="2" t="s">
        <v>76</v>
      </c>
      <c r="AE117" s="2" t="s">
        <v>777</v>
      </c>
      <c r="AF117" s="61">
        <v>84</v>
      </c>
      <c r="AS117" s="2" t="s">
        <v>265</v>
      </c>
      <c r="AT117" s="2" t="s">
        <v>11</v>
      </c>
      <c r="AU117" s="2" t="s">
        <v>85</v>
      </c>
      <c r="AV117" s="2" t="s">
        <v>31</v>
      </c>
      <c r="AW117" s="61">
        <v>14</v>
      </c>
      <c r="AX117" s="2">
        <v>9</v>
      </c>
      <c r="AY117" s="2" t="s">
        <v>43</v>
      </c>
      <c r="AZ117" s="2" t="s">
        <v>61</v>
      </c>
      <c r="BA117" s="2" t="s">
        <v>56</v>
      </c>
      <c r="BB117" s="2">
        <v>41</v>
      </c>
      <c r="BD117" s="2" t="s">
        <v>771</v>
      </c>
      <c r="BE117" s="2" t="s">
        <v>23</v>
      </c>
      <c r="BF117" s="2" t="s">
        <v>24</v>
      </c>
      <c r="BG117" s="2" t="s">
        <v>31</v>
      </c>
      <c r="BH117" s="2">
        <v>18</v>
      </c>
      <c r="BI117" s="2">
        <v>11</v>
      </c>
      <c r="BJ117" s="2" t="s">
        <v>25</v>
      </c>
      <c r="BK117" s="61" t="s">
        <v>46</v>
      </c>
      <c r="BL117" s="2" t="s">
        <v>772</v>
      </c>
      <c r="BM117" s="2">
        <v>89</v>
      </c>
    </row>
    <row r="118" spans="1:65" x14ac:dyDescent="0.3">
      <c r="A118" s="2" t="s">
        <v>272</v>
      </c>
      <c r="B118" s="2" t="s">
        <v>54</v>
      </c>
      <c r="C118" s="2" t="s">
        <v>24</v>
      </c>
      <c r="D118" s="2" t="s">
        <v>13</v>
      </c>
      <c r="E118" s="2">
        <v>15</v>
      </c>
      <c r="F118" s="2">
        <v>9</v>
      </c>
      <c r="G118" s="2" t="s">
        <v>43</v>
      </c>
      <c r="H118" s="2" t="s">
        <v>20</v>
      </c>
      <c r="I118" s="2" t="s">
        <v>273</v>
      </c>
      <c r="J118" s="2">
        <v>50</v>
      </c>
      <c r="W118" s="2" t="s">
        <v>782</v>
      </c>
      <c r="X118" s="2" t="s">
        <v>84</v>
      </c>
      <c r="Y118" s="2" t="s">
        <v>12</v>
      </c>
      <c r="Z118" s="2" t="s">
        <v>31</v>
      </c>
      <c r="AA118" s="2">
        <v>14</v>
      </c>
      <c r="AB118" s="2">
        <v>11</v>
      </c>
      <c r="AC118" s="2" t="s">
        <v>14</v>
      </c>
      <c r="AD118" s="2" t="s">
        <v>37</v>
      </c>
      <c r="AE118" s="2" t="s">
        <v>252</v>
      </c>
      <c r="AF118" s="61">
        <v>95</v>
      </c>
      <c r="AS118" s="2" t="s">
        <v>266</v>
      </c>
      <c r="AT118" s="2" t="s">
        <v>54</v>
      </c>
      <c r="AU118" s="2" t="s">
        <v>58</v>
      </c>
      <c r="AV118" s="2" t="s">
        <v>13</v>
      </c>
      <c r="AW118" s="61">
        <v>19</v>
      </c>
      <c r="AX118" s="2">
        <v>11</v>
      </c>
      <c r="AY118" s="2" t="s">
        <v>14</v>
      </c>
      <c r="AZ118" s="2" t="s">
        <v>40</v>
      </c>
      <c r="BA118" s="2" t="s">
        <v>267</v>
      </c>
      <c r="BB118" s="2">
        <v>41</v>
      </c>
      <c r="BD118" s="2" t="s">
        <v>775</v>
      </c>
      <c r="BE118" s="2" t="s">
        <v>29</v>
      </c>
      <c r="BF118" s="2" t="s">
        <v>85</v>
      </c>
      <c r="BG118" s="2" t="s">
        <v>31</v>
      </c>
      <c r="BH118" s="2">
        <v>20</v>
      </c>
      <c r="BI118" s="2">
        <v>10</v>
      </c>
      <c r="BJ118" s="2" t="s">
        <v>14</v>
      </c>
      <c r="BK118" s="61" t="s">
        <v>46</v>
      </c>
      <c r="BL118" s="2" t="s">
        <v>366</v>
      </c>
      <c r="BM118" s="2">
        <v>100</v>
      </c>
    </row>
    <row r="119" spans="1:65" x14ac:dyDescent="0.3">
      <c r="A119" s="2" t="s">
        <v>274</v>
      </c>
      <c r="B119" s="2" t="s">
        <v>35</v>
      </c>
      <c r="C119" s="2" t="s">
        <v>36</v>
      </c>
      <c r="D119" s="2" t="s">
        <v>13</v>
      </c>
      <c r="E119" s="2">
        <v>19</v>
      </c>
      <c r="F119" s="2">
        <v>9</v>
      </c>
      <c r="G119" s="2" t="s">
        <v>32</v>
      </c>
      <c r="H119" s="2" t="s">
        <v>61</v>
      </c>
      <c r="I119" s="2" t="s">
        <v>275</v>
      </c>
      <c r="J119" s="2">
        <v>63</v>
      </c>
      <c r="W119" s="2" t="s">
        <v>784</v>
      </c>
      <c r="X119" s="2" t="s">
        <v>84</v>
      </c>
      <c r="Y119" s="2" t="s">
        <v>12</v>
      </c>
      <c r="Z119" s="2" t="s">
        <v>13</v>
      </c>
      <c r="AA119" s="2">
        <v>17</v>
      </c>
      <c r="AB119" s="2">
        <v>9</v>
      </c>
      <c r="AC119" s="2" t="s">
        <v>43</v>
      </c>
      <c r="AD119" s="2" t="s">
        <v>76</v>
      </c>
      <c r="AE119" s="2" t="s">
        <v>685</v>
      </c>
      <c r="AF119" s="61">
        <v>89</v>
      </c>
      <c r="AS119" s="2" t="s">
        <v>268</v>
      </c>
      <c r="AT119" s="2" t="s">
        <v>68</v>
      </c>
      <c r="AU119" s="2" t="s">
        <v>24</v>
      </c>
      <c r="AV119" s="2" t="s">
        <v>31</v>
      </c>
      <c r="AW119" s="61">
        <v>16</v>
      </c>
      <c r="AX119" s="2">
        <v>12</v>
      </c>
      <c r="AY119" s="2" t="s">
        <v>43</v>
      </c>
      <c r="AZ119" s="2" t="s">
        <v>26</v>
      </c>
      <c r="BA119" s="2" t="s">
        <v>269</v>
      </c>
      <c r="BB119" s="2">
        <v>47</v>
      </c>
      <c r="BD119" s="2" t="s">
        <v>783</v>
      </c>
      <c r="BE119" s="2" t="s">
        <v>54</v>
      </c>
      <c r="BF119" s="2" t="s">
        <v>79</v>
      </c>
      <c r="BG119" s="2" t="s">
        <v>31</v>
      </c>
      <c r="BH119" s="2">
        <v>15</v>
      </c>
      <c r="BI119" s="2">
        <v>11</v>
      </c>
      <c r="BJ119" s="2" t="s">
        <v>25</v>
      </c>
      <c r="BK119" s="61" t="s">
        <v>61</v>
      </c>
      <c r="BL119" s="2" t="s">
        <v>628</v>
      </c>
      <c r="BM119" s="2">
        <v>39</v>
      </c>
    </row>
    <row r="120" spans="1:65" x14ac:dyDescent="0.3">
      <c r="A120" s="2" t="s">
        <v>276</v>
      </c>
      <c r="B120" s="2" t="s">
        <v>84</v>
      </c>
      <c r="C120" s="2" t="s">
        <v>30</v>
      </c>
      <c r="D120" s="2" t="s">
        <v>31</v>
      </c>
      <c r="E120" s="2">
        <v>14</v>
      </c>
      <c r="F120" s="2">
        <v>12</v>
      </c>
      <c r="G120" s="2" t="s">
        <v>14</v>
      </c>
      <c r="H120" s="2" t="s">
        <v>26</v>
      </c>
      <c r="I120" s="2" t="s">
        <v>277</v>
      </c>
      <c r="J120" s="2">
        <v>62</v>
      </c>
      <c r="W120" s="2" t="s">
        <v>785</v>
      </c>
      <c r="X120" s="2" t="s">
        <v>35</v>
      </c>
      <c r="Y120" s="2" t="s">
        <v>58</v>
      </c>
      <c r="Z120" s="2" t="s">
        <v>13</v>
      </c>
      <c r="AA120" s="2">
        <v>18</v>
      </c>
      <c r="AB120" s="2">
        <v>12</v>
      </c>
      <c r="AC120" s="2" t="s">
        <v>43</v>
      </c>
      <c r="AD120" s="2" t="s">
        <v>20</v>
      </c>
      <c r="AE120" s="2" t="s">
        <v>786</v>
      </c>
      <c r="AF120" s="61">
        <v>93</v>
      </c>
      <c r="AS120" s="2" t="s">
        <v>270</v>
      </c>
      <c r="AT120" s="2" t="s">
        <v>73</v>
      </c>
      <c r="AU120" s="2" t="s">
        <v>30</v>
      </c>
      <c r="AV120" s="2" t="s">
        <v>31</v>
      </c>
      <c r="AW120" s="61">
        <v>15</v>
      </c>
      <c r="AX120" s="2">
        <v>9</v>
      </c>
      <c r="AY120" s="2" t="s">
        <v>43</v>
      </c>
      <c r="AZ120" s="2" t="s">
        <v>26</v>
      </c>
      <c r="BA120" s="2" t="s">
        <v>271</v>
      </c>
      <c r="BB120" s="2">
        <v>76</v>
      </c>
      <c r="BD120" s="2" t="s">
        <v>791</v>
      </c>
      <c r="BE120" s="2" t="s">
        <v>51</v>
      </c>
      <c r="BF120" s="2" t="s">
        <v>85</v>
      </c>
      <c r="BG120" s="2" t="s">
        <v>13</v>
      </c>
      <c r="BH120" s="2">
        <v>14</v>
      </c>
      <c r="BI120" s="2">
        <v>9</v>
      </c>
      <c r="BJ120" s="2" t="s">
        <v>43</v>
      </c>
      <c r="BK120" s="61" t="s">
        <v>61</v>
      </c>
      <c r="BL120" s="2" t="s">
        <v>792</v>
      </c>
      <c r="BM120" s="2">
        <v>96</v>
      </c>
    </row>
    <row r="121" spans="1:65" x14ac:dyDescent="0.3">
      <c r="A121" s="2" t="s">
        <v>278</v>
      </c>
      <c r="B121" s="2" t="s">
        <v>73</v>
      </c>
      <c r="C121" s="2" t="s">
        <v>36</v>
      </c>
      <c r="D121" s="2" t="s">
        <v>13</v>
      </c>
      <c r="E121" s="2">
        <v>14</v>
      </c>
      <c r="F121" s="2">
        <v>11</v>
      </c>
      <c r="G121" s="2" t="s">
        <v>32</v>
      </c>
      <c r="H121" s="2" t="s">
        <v>37</v>
      </c>
      <c r="I121" s="2" t="s">
        <v>279</v>
      </c>
      <c r="J121" s="2">
        <v>51</v>
      </c>
      <c r="W121" s="2" t="s">
        <v>787</v>
      </c>
      <c r="X121" s="2" t="s">
        <v>18</v>
      </c>
      <c r="Y121" s="2" t="s">
        <v>36</v>
      </c>
      <c r="Z121" s="2" t="s">
        <v>31</v>
      </c>
      <c r="AA121" s="2">
        <v>16</v>
      </c>
      <c r="AB121" s="2">
        <v>9</v>
      </c>
      <c r="AC121" s="2" t="s">
        <v>14</v>
      </c>
      <c r="AD121" s="2" t="s">
        <v>76</v>
      </c>
      <c r="AE121" s="2" t="s">
        <v>788</v>
      </c>
      <c r="AF121" s="61">
        <v>88</v>
      </c>
      <c r="AS121" s="2" t="s">
        <v>272</v>
      </c>
      <c r="AT121" s="2" t="s">
        <v>54</v>
      </c>
      <c r="AU121" s="2" t="s">
        <v>24</v>
      </c>
      <c r="AV121" s="2" t="s">
        <v>13</v>
      </c>
      <c r="AW121" s="61">
        <v>15</v>
      </c>
      <c r="AX121" s="2">
        <v>9</v>
      </c>
      <c r="AY121" s="2" t="s">
        <v>43</v>
      </c>
      <c r="AZ121" s="2" t="s">
        <v>20</v>
      </c>
      <c r="BA121" s="2" t="s">
        <v>273</v>
      </c>
      <c r="BB121" s="2">
        <v>50</v>
      </c>
      <c r="BD121" s="2" t="s">
        <v>799</v>
      </c>
      <c r="BE121" s="2" t="s">
        <v>54</v>
      </c>
      <c r="BF121" s="2" t="s">
        <v>36</v>
      </c>
      <c r="BG121" s="2" t="s">
        <v>31</v>
      </c>
      <c r="BH121" s="2">
        <v>17</v>
      </c>
      <c r="BI121" s="2">
        <v>12</v>
      </c>
      <c r="BJ121" s="2" t="s">
        <v>14</v>
      </c>
      <c r="BK121" s="61" t="s">
        <v>46</v>
      </c>
      <c r="BL121" s="2" t="s">
        <v>533</v>
      </c>
      <c r="BM121" s="2">
        <v>59</v>
      </c>
    </row>
    <row r="122" spans="1:65" x14ac:dyDescent="0.3">
      <c r="A122" s="2" t="s">
        <v>280</v>
      </c>
      <c r="B122" s="2" t="s">
        <v>84</v>
      </c>
      <c r="C122" s="2" t="s">
        <v>58</v>
      </c>
      <c r="D122" s="2" t="s">
        <v>13</v>
      </c>
      <c r="E122" s="2">
        <v>18</v>
      </c>
      <c r="F122" s="2">
        <v>12</v>
      </c>
      <c r="G122" s="2" t="s">
        <v>32</v>
      </c>
      <c r="H122" s="2" t="s">
        <v>76</v>
      </c>
      <c r="I122" s="2" t="s">
        <v>159</v>
      </c>
      <c r="J122" s="2">
        <v>98</v>
      </c>
      <c r="W122" s="2" t="s">
        <v>789</v>
      </c>
      <c r="X122" s="2" t="s">
        <v>54</v>
      </c>
      <c r="Y122" s="2" t="s">
        <v>12</v>
      </c>
      <c r="Z122" s="2" t="s">
        <v>31</v>
      </c>
      <c r="AA122" s="2">
        <v>18</v>
      </c>
      <c r="AB122" s="2">
        <v>10</v>
      </c>
      <c r="AC122" s="2" t="s">
        <v>25</v>
      </c>
      <c r="AD122" s="2" t="s">
        <v>15</v>
      </c>
      <c r="AE122" s="2" t="s">
        <v>790</v>
      </c>
      <c r="AF122" s="61">
        <v>95</v>
      </c>
      <c r="AS122" s="2" t="s">
        <v>274</v>
      </c>
      <c r="AT122" s="2" t="s">
        <v>35</v>
      </c>
      <c r="AU122" s="2" t="s">
        <v>36</v>
      </c>
      <c r="AV122" s="2" t="s">
        <v>13</v>
      </c>
      <c r="AW122" s="61">
        <v>19</v>
      </c>
      <c r="AX122" s="2">
        <v>9</v>
      </c>
      <c r="AY122" s="2" t="s">
        <v>32</v>
      </c>
      <c r="AZ122" s="2" t="s">
        <v>61</v>
      </c>
      <c r="BA122" s="2" t="s">
        <v>275</v>
      </c>
      <c r="BB122" s="2">
        <v>63</v>
      </c>
      <c r="BD122" s="2" t="s">
        <v>802</v>
      </c>
      <c r="BE122" s="2" t="s">
        <v>29</v>
      </c>
      <c r="BF122" s="2" t="s">
        <v>96</v>
      </c>
      <c r="BG122" s="2" t="s">
        <v>13</v>
      </c>
      <c r="BH122" s="2">
        <v>14</v>
      </c>
      <c r="BI122" s="2">
        <v>10</v>
      </c>
      <c r="BJ122" s="2" t="s">
        <v>25</v>
      </c>
      <c r="BK122" s="61" t="s">
        <v>61</v>
      </c>
      <c r="BL122" s="2" t="s">
        <v>803</v>
      </c>
      <c r="BM122" s="2">
        <v>89</v>
      </c>
    </row>
    <row r="123" spans="1:65" x14ac:dyDescent="0.3">
      <c r="A123" s="2" t="s">
        <v>281</v>
      </c>
      <c r="B123" s="2" t="s">
        <v>51</v>
      </c>
      <c r="C123" s="2" t="s">
        <v>36</v>
      </c>
      <c r="D123" s="2" t="s">
        <v>31</v>
      </c>
      <c r="E123" s="2">
        <v>15</v>
      </c>
      <c r="F123" s="2">
        <v>11</v>
      </c>
      <c r="G123" s="2" t="s">
        <v>43</v>
      </c>
      <c r="H123" s="2" t="s">
        <v>37</v>
      </c>
      <c r="I123" s="2" t="s">
        <v>282</v>
      </c>
      <c r="J123" s="2">
        <v>66</v>
      </c>
      <c r="W123" s="2" t="s">
        <v>791</v>
      </c>
      <c r="X123" s="2" t="s">
        <v>51</v>
      </c>
      <c r="Y123" s="2" t="s">
        <v>85</v>
      </c>
      <c r="Z123" s="2" t="s">
        <v>13</v>
      </c>
      <c r="AA123" s="2">
        <v>14</v>
      </c>
      <c r="AB123" s="2">
        <v>9</v>
      </c>
      <c r="AC123" s="2" t="s">
        <v>43</v>
      </c>
      <c r="AD123" s="2" t="s">
        <v>61</v>
      </c>
      <c r="AE123" s="2" t="s">
        <v>792</v>
      </c>
      <c r="AF123" s="61">
        <v>96</v>
      </c>
      <c r="AS123" s="2" t="s">
        <v>276</v>
      </c>
      <c r="AT123" s="2" t="s">
        <v>84</v>
      </c>
      <c r="AU123" s="2" t="s">
        <v>30</v>
      </c>
      <c r="AV123" s="2" t="s">
        <v>31</v>
      </c>
      <c r="AW123" s="61">
        <v>14</v>
      </c>
      <c r="AX123" s="2">
        <v>12</v>
      </c>
      <c r="AY123" s="2" t="s">
        <v>14</v>
      </c>
      <c r="AZ123" s="2" t="s">
        <v>26</v>
      </c>
      <c r="BA123" s="2" t="s">
        <v>277</v>
      </c>
      <c r="BB123" s="2">
        <v>62</v>
      </c>
      <c r="BD123" s="2" t="s">
        <v>804</v>
      </c>
      <c r="BE123" s="2" t="s">
        <v>54</v>
      </c>
      <c r="BF123" s="2" t="s">
        <v>79</v>
      </c>
      <c r="BG123" s="2" t="s">
        <v>13</v>
      </c>
      <c r="BH123" s="2">
        <v>19</v>
      </c>
      <c r="BI123" s="2">
        <v>9</v>
      </c>
      <c r="BJ123" s="2" t="s">
        <v>25</v>
      </c>
      <c r="BK123" s="61" t="s">
        <v>61</v>
      </c>
      <c r="BL123" s="2" t="s">
        <v>56</v>
      </c>
      <c r="BM123" s="2">
        <v>43</v>
      </c>
    </row>
    <row r="124" spans="1:65" x14ac:dyDescent="0.3">
      <c r="A124" s="2" t="s">
        <v>283</v>
      </c>
      <c r="B124" s="2" t="s">
        <v>68</v>
      </c>
      <c r="C124" s="2" t="s">
        <v>79</v>
      </c>
      <c r="D124" s="2" t="s">
        <v>31</v>
      </c>
      <c r="E124" s="2">
        <v>16</v>
      </c>
      <c r="F124" s="2">
        <v>11</v>
      </c>
      <c r="G124" s="2" t="s">
        <v>32</v>
      </c>
      <c r="H124" s="2" t="s">
        <v>40</v>
      </c>
      <c r="I124" s="2" t="s">
        <v>284</v>
      </c>
      <c r="J124" s="2">
        <v>95</v>
      </c>
      <c r="W124" s="2" t="s">
        <v>798</v>
      </c>
      <c r="X124" s="2" t="s">
        <v>23</v>
      </c>
      <c r="Y124" s="2" t="s">
        <v>19</v>
      </c>
      <c r="Z124" s="2" t="s">
        <v>13</v>
      </c>
      <c r="AA124" s="2">
        <v>17</v>
      </c>
      <c r="AB124" s="2">
        <v>12</v>
      </c>
      <c r="AC124" s="2" t="s">
        <v>14</v>
      </c>
      <c r="AD124" s="2" t="s">
        <v>40</v>
      </c>
      <c r="AE124" s="2" t="s">
        <v>159</v>
      </c>
      <c r="AF124" s="61">
        <v>95</v>
      </c>
      <c r="AS124" s="2" t="s">
        <v>278</v>
      </c>
      <c r="AT124" s="2" t="s">
        <v>73</v>
      </c>
      <c r="AU124" s="2" t="s">
        <v>36</v>
      </c>
      <c r="AV124" s="2" t="s">
        <v>13</v>
      </c>
      <c r="AW124" s="61">
        <v>14</v>
      </c>
      <c r="AX124" s="2">
        <v>11</v>
      </c>
      <c r="AY124" s="2" t="s">
        <v>32</v>
      </c>
      <c r="AZ124" s="2" t="s">
        <v>37</v>
      </c>
      <c r="BA124" s="2" t="s">
        <v>279</v>
      </c>
      <c r="BB124" s="2">
        <v>51</v>
      </c>
      <c r="BD124" s="2" t="s">
        <v>808</v>
      </c>
      <c r="BE124" s="2" t="s">
        <v>54</v>
      </c>
      <c r="BF124" s="2" t="s">
        <v>24</v>
      </c>
      <c r="BG124" s="2" t="s">
        <v>13</v>
      </c>
      <c r="BH124" s="2">
        <v>14</v>
      </c>
      <c r="BI124" s="2">
        <v>9</v>
      </c>
      <c r="BJ124" s="2" t="s">
        <v>25</v>
      </c>
      <c r="BK124" s="61" t="s">
        <v>46</v>
      </c>
      <c r="BL124" s="2" t="s">
        <v>809</v>
      </c>
      <c r="BM124" s="2">
        <v>92</v>
      </c>
    </row>
    <row r="125" spans="1:65" x14ac:dyDescent="0.3">
      <c r="A125" s="2" t="s">
        <v>285</v>
      </c>
      <c r="B125" s="2" t="s">
        <v>18</v>
      </c>
      <c r="C125" s="2" t="s">
        <v>36</v>
      </c>
      <c r="D125" s="2" t="s">
        <v>31</v>
      </c>
      <c r="E125" s="2">
        <v>14</v>
      </c>
      <c r="F125" s="2">
        <v>11</v>
      </c>
      <c r="G125" s="2" t="s">
        <v>25</v>
      </c>
      <c r="H125" s="2" t="s">
        <v>46</v>
      </c>
      <c r="I125" s="2" t="s">
        <v>286</v>
      </c>
      <c r="J125" s="2">
        <v>64</v>
      </c>
      <c r="W125" s="2" t="s">
        <v>800</v>
      </c>
      <c r="X125" s="2" t="s">
        <v>23</v>
      </c>
      <c r="Y125" s="2" t="s">
        <v>79</v>
      </c>
      <c r="Z125" s="2" t="s">
        <v>31</v>
      </c>
      <c r="AA125" s="2">
        <v>18</v>
      </c>
      <c r="AB125" s="2">
        <v>11</v>
      </c>
      <c r="AC125" s="2" t="s">
        <v>32</v>
      </c>
      <c r="AD125" s="2" t="s">
        <v>76</v>
      </c>
      <c r="AE125" s="2" t="s">
        <v>801</v>
      </c>
      <c r="AF125" s="61">
        <v>97</v>
      </c>
      <c r="AS125" s="2" t="s">
        <v>280</v>
      </c>
      <c r="AT125" s="2" t="s">
        <v>84</v>
      </c>
      <c r="AU125" s="2" t="s">
        <v>58</v>
      </c>
      <c r="AV125" s="2" t="s">
        <v>13</v>
      </c>
      <c r="AW125" s="61">
        <v>18</v>
      </c>
      <c r="AX125" s="2">
        <v>12</v>
      </c>
      <c r="AY125" s="2" t="s">
        <v>32</v>
      </c>
      <c r="AZ125" s="2" t="s">
        <v>76</v>
      </c>
      <c r="BA125" s="2" t="s">
        <v>159</v>
      </c>
      <c r="BB125" s="2">
        <v>98</v>
      </c>
      <c r="BD125" s="2" t="s">
        <v>810</v>
      </c>
      <c r="BE125" s="2" t="s">
        <v>73</v>
      </c>
      <c r="BF125" s="2" t="s">
        <v>12</v>
      </c>
      <c r="BG125" s="2" t="s">
        <v>13</v>
      </c>
      <c r="BH125" s="2">
        <v>14</v>
      </c>
      <c r="BI125" s="2">
        <v>10</v>
      </c>
      <c r="BJ125" s="2" t="s">
        <v>14</v>
      </c>
      <c r="BK125" s="61" t="s">
        <v>46</v>
      </c>
      <c r="BL125" s="2" t="s">
        <v>385</v>
      </c>
      <c r="BM125" s="2">
        <v>49</v>
      </c>
    </row>
    <row r="126" spans="1:65" x14ac:dyDescent="0.3">
      <c r="A126" s="2" t="s">
        <v>287</v>
      </c>
      <c r="B126" s="2" t="s">
        <v>54</v>
      </c>
      <c r="C126" s="2" t="s">
        <v>24</v>
      </c>
      <c r="D126" s="2" t="s">
        <v>31</v>
      </c>
      <c r="E126" s="2">
        <v>14</v>
      </c>
      <c r="F126" s="2">
        <v>12</v>
      </c>
      <c r="G126" s="2" t="s">
        <v>32</v>
      </c>
      <c r="H126" s="2" t="s">
        <v>76</v>
      </c>
      <c r="I126" s="2" t="s">
        <v>288</v>
      </c>
      <c r="J126" s="2">
        <v>48</v>
      </c>
      <c r="W126" s="2" t="s">
        <v>802</v>
      </c>
      <c r="X126" s="2" t="s">
        <v>29</v>
      </c>
      <c r="Y126" s="2" t="s">
        <v>96</v>
      </c>
      <c r="Z126" s="2" t="s">
        <v>13</v>
      </c>
      <c r="AA126" s="2">
        <v>14</v>
      </c>
      <c r="AB126" s="2">
        <v>10</v>
      </c>
      <c r="AC126" s="2" t="s">
        <v>25</v>
      </c>
      <c r="AD126" s="2" t="s">
        <v>61</v>
      </c>
      <c r="AE126" s="2" t="s">
        <v>803</v>
      </c>
      <c r="AF126" s="61">
        <v>89</v>
      </c>
      <c r="AS126" s="2" t="s">
        <v>281</v>
      </c>
      <c r="AT126" s="2" t="s">
        <v>51</v>
      </c>
      <c r="AU126" s="2" t="s">
        <v>36</v>
      </c>
      <c r="AV126" s="2" t="s">
        <v>31</v>
      </c>
      <c r="AW126" s="61">
        <v>15</v>
      </c>
      <c r="AX126" s="2">
        <v>11</v>
      </c>
      <c r="AY126" s="2" t="s">
        <v>43</v>
      </c>
      <c r="AZ126" s="2" t="s">
        <v>37</v>
      </c>
      <c r="BA126" s="2" t="s">
        <v>282</v>
      </c>
      <c r="BB126" s="2">
        <v>66</v>
      </c>
      <c r="BD126" s="2" t="s">
        <v>811</v>
      </c>
      <c r="BE126" s="2" t="s">
        <v>29</v>
      </c>
      <c r="BF126" s="2" t="s">
        <v>58</v>
      </c>
      <c r="BG126" s="2" t="s">
        <v>13</v>
      </c>
      <c r="BH126" s="2">
        <v>20</v>
      </c>
      <c r="BI126" s="2">
        <v>11</v>
      </c>
      <c r="BJ126" s="2" t="s">
        <v>14</v>
      </c>
      <c r="BK126" s="61" t="s">
        <v>61</v>
      </c>
      <c r="BL126" s="2" t="s">
        <v>358</v>
      </c>
      <c r="BM126" s="2">
        <v>44</v>
      </c>
    </row>
    <row r="127" spans="1:65" x14ac:dyDescent="0.3">
      <c r="A127" s="2" t="s">
        <v>289</v>
      </c>
      <c r="B127" s="2" t="s">
        <v>23</v>
      </c>
      <c r="C127" s="2" t="s">
        <v>79</v>
      </c>
      <c r="D127" s="2" t="s">
        <v>31</v>
      </c>
      <c r="E127" s="2">
        <v>17</v>
      </c>
      <c r="F127" s="2">
        <v>9</v>
      </c>
      <c r="G127" s="2" t="s">
        <v>25</v>
      </c>
      <c r="H127" s="2" t="s">
        <v>37</v>
      </c>
      <c r="I127" s="2" t="s">
        <v>290</v>
      </c>
      <c r="J127" s="2">
        <v>62</v>
      </c>
      <c r="W127" s="2" t="s">
        <v>808</v>
      </c>
      <c r="X127" s="2" t="s">
        <v>54</v>
      </c>
      <c r="Y127" s="2" t="s">
        <v>24</v>
      </c>
      <c r="Z127" s="2" t="s">
        <v>13</v>
      </c>
      <c r="AA127" s="2">
        <v>14</v>
      </c>
      <c r="AB127" s="2">
        <v>9</v>
      </c>
      <c r="AC127" s="2" t="s">
        <v>25</v>
      </c>
      <c r="AD127" s="2" t="s">
        <v>46</v>
      </c>
      <c r="AE127" s="2" t="s">
        <v>809</v>
      </c>
      <c r="AF127" s="61">
        <v>92</v>
      </c>
      <c r="AS127" s="2" t="s">
        <v>283</v>
      </c>
      <c r="AT127" s="2" t="s">
        <v>68</v>
      </c>
      <c r="AU127" s="2" t="s">
        <v>79</v>
      </c>
      <c r="AV127" s="2" t="s">
        <v>31</v>
      </c>
      <c r="AW127" s="61">
        <v>16</v>
      </c>
      <c r="AX127" s="2">
        <v>11</v>
      </c>
      <c r="AY127" s="2" t="s">
        <v>32</v>
      </c>
      <c r="AZ127" s="2" t="s">
        <v>40</v>
      </c>
      <c r="BA127" s="2" t="s">
        <v>284</v>
      </c>
      <c r="BB127" s="2">
        <v>95</v>
      </c>
      <c r="BD127" s="2" t="s">
        <v>812</v>
      </c>
      <c r="BE127" s="2" t="s">
        <v>51</v>
      </c>
      <c r="BF127" s="2" t="s">
        <v>55</v>
      </c>
      <c r="BG127" s="2" t="s">
        <v>13</v>
      </c>
      <c r="BH127" s="2">
        <v>15</v>
      </c>
      <c r="BI127" s="2">
        <v>10</v>
      </c>
      <c r="BJ127" s="2" t="s">
        <v>43</v>
      </c>
      <c r="BK127" s="61" t="s">
        <v>46</v>
      </c>
      <c r="BL127" s="2" t="s">
        <v>82</v>
      </c>
      <c r="BM127" s="2">
        <v>62</v>
      </c>
    </row>
    <row r="128" spans="1:65" x14ac:dyDescent="0.3">
      <c r="A128" s="2" t="s">
        <v>291</v>
      </c>
      <c r="B128" s="2" t="s">
        <v>11</v>
      </c>
      <c r="C128" s="2" t="s">
        <v>30</v>
      </c>
      <c r="D128" s="2" t="s">
        <v>31</v>
      </c>
      <c r="E128" s="2">
        <v>16</v>
      </c>
      <c r="F128" s="2">
        <v>9</v>
      </c>
      <c r="G128" s="2" t="s">
        <v>25</v>
      </c>
      <c r="H128" s="2" t="s">
        <v>61</v>
      </c>
      <c r="I128" s="2" t="s">
        <v>292</v>
      </c>
      <c r="J128" s="2">
        <v>97</v>
      </c>
      <c r="W128" s="2" t="s">
        <v>823</v>
      </c>
      <c r="X128" s="2" t="s">
        <v>11</v>
      </c>
      <c r="Y128" s="2" t="s">
        <v>79</v>
      </c>
      <c r="Z128" s="2" t="s">
        <v>31</v>
      </c>
      <c r="AA128" s="2">
        <v>18</v>
      </c>
      <c r="AB128" s="2">
        <v>12</v>
      </c>
      <c r="AC128" s="2" t="s">
        <v>43</v>
      </c>
      <c r="AD128" s="2" t="s">
        <v>37</v>
      </c>
      <c r="AE128" s="2" t="s">
        <v>292</v>
      </c>
      <c r="AF128" s="61">
        <v>94</v>
      </c>
      <c r="AS128" s="2" t="s">
        <v>285</v>
      </c>
      <c r="AT128" s="2" t="s">
        <v>18</v>
      </c>
      <c r="AU128" s="2" t="s">
        <v>36</v>
      </c>
      <c r="AV128" s="2" t="s">
        <v>31</v>
      </c>
      <c r="AW128" s="61">
        <v>14</v>
      </c>
      <c r="AX128" s="2">
        <v>11</v>
      </c>
      <c r="AY128" s="2" t="s">
        <v>25</v>
      </c>
      <c r="AZ128" s="2" t="s">
        <v>46</v>
      </c>
      <c r="BA128" s="2" t="s">
        <v>286</v>
      </c>
      <c r="BB128" s="2">
        <v>64</v>
      </c>
      <c r="BD128" s="2" t="s">
        <v>813</v>
      </c>
      <c r="BE128" s="2" t="s">
        <v>73</v>
      </c>
      <c r="BF128" s="2" t="s">
        <v>58</v>
      </c>
      <c r="BG128" s="2" t="s">
        <v>13</v>
      </c>
      <c r="BH128" s="2">
        <v>17</v>
      </c>
      <c r="BI128" s="2">
        <v>12</v>
      </c>
      <c r="BJ128" s="2" t="s">
        <v>32</v>
      </c>
      <c r="BK128" s="61" t="s">
        <v>46</v>
      </c>
      <c r="BL128" s="2" t="s">
        <v>346</v>
      </c>
      <c r="BM128" s="2">
        <v>60</v>
      </c>
    </row>
    <row r="129" spans="1:65" x14ac:dyDescent="0.3">
      <c r="A129" s="2" t="s">
        <v>293</v>
      </c>
      <c r="B129" s="2" t="s">
        <v>73</v>
      </c>
      <c r="C129" s="2" t="s">
        <v>96</v>
      </c>
      <c r="D129" s="2" t="s">
        <v>31</v>
      </c>
      <c r="E129" s="2">
        <v>20</v>
      </c>
      <c r="F129" s="2">
        <v>9</v>
      </c>
      <c r="G129" s="2" t="s">
        <v>43</v>
      </c>
      <c r="H129" s="2" t="s">
        <v>26</v>
      </c>
      <c r="I129" s="2" t="s">
        <v>74</v>
      </c>
      <c r="J129" s="2">
        <v>100</v>
      </c>
      <c r="W129" s="2" t="s">
        <v>850</v>
      </c>
      <c r="X129" s="2" t="s">
        <v>51</v>
      </c>
      <c r="Y129" s="2" t="s">
        <v>96</v>
      </c>
      <c r="Z129" s="2" t="s">
        <v>13</v>
      </c>
      <c r="AA129" s="2">
        <v>14</v>
      </c>
      <c r="AB129" s="2">
        <v>9</v>
      </c>
      <c r="AC129" s="2" t="s">
        <v>25</v>
      </c>
      <c r="AD129" s="2" t="s">
        <v>26</v>
      </c>
      <c r="AE129" s="2" t="s">
        <v>851</v>
      </c>
      <c r="AF129" s="61">
        <v>90</v>
      </c>
      <c r="AS129" s="2" t="s">
        <v>287</v>
      </c>
      <c r="AT129" s="2" t="s">
        <v>54</v>
      </c>
      <c r="AU129" s="2" t="s">
        <v>24</v>
      </c>
      <c r="AV129" s="2" t="s">
        <v>31</v>
      </c>
      <c r="AW129" s="61">
        <v>14</v>
      </c>
      <c r="AX129" s="2">
        <v>12</v>
      </c>
      <c r="AY129" s="2" t="s">
        <v>32</v>
      </c>
      <c r="AZ129" s="2" t="s">
        <v>76</v>
      </c>
      <c r="BA129" s="2" t="s">
        <v>288</v>
      </c>
      <c r="BB129" s="2">
        <v>48</v>
      </c>
      <c r="BD129" s="2" t="s">
        <v>827</v>
      </c>
      <c r="BE129" s="2" t="s">
        <v>35</v>
      </c>
      <c r="BF129" s="2" t="s">
        <v>12</v>
      </c>
      <c r="BG129" s="2" t="s">
        <v>13</v>
      </c>
      <c r="BH129" s="2">
        <v>14</v>
      </c>
      <c r="BI129" s="2">
        <v>12</v>
      </c>
      <c r="BJ129" s="2" t="s">
        <v>25</v>
      </c>
      <c r="BK129" s="61" t="s">
        <v>61</v>
      </c>
      <c r="BL129" s="2" t="s">
        <v>570</v>
      </c>
      <c r="BM129" s="2">
        <v>65</v>
      </c>
    </row>
    <row r="130" spans="1:65" x14ac:dyDescent="0.3">
      <c r="A130" s="2" t="s">
        <v>294</v>
      </c>
      <c r="B130" s="2" t="s">
        <v>35</v>
      </c>
      <c r="C130" s="2" t="s">
        <v>55</v>
      </c>
      <c r="D130" s="2" t="s">
        <v>13</v>
      </c>
      <c r="E130" s="2">
        <v>20</v>
      </c>
      <c r="F130" s="2">
        <v>9</v>
      </c>
      <c r="G130" s="2" t="s">
        <v>25</v>
      </c>
      <c r="H130" s="2" t="s">
        <v>46</v>
      </c>
      <c r="I130" s="2" t="s">
        <v>295</v>
      </c>
      <c r="J130" s="2">
        <v>99</v>
      </c>
      <c r="W130" s="2" t="s">
        <v>854</v>
      </c>
      <c r="X130" s="2" t="s">
        <v>51</v>
      </c>
      <c r="Y130" s="2" t="s">
        <v>55</v>
      </c>
      <c r="Z130" s="2" t="s">
        <v>13</v>
      </c>
      <c r="AA130" s="2">
        <v>15</v>
      </c>
      <c r="AB130" s="2">
        <v>11</v>
      </c>
      <c r="AC130" s="2" t="s">
        <v>14</v>
      </c>
      <c r="AD130" s="2" t="s">
        <v>61</v>
      </c>
      <c r="AE130" s="2" t="s">
        <v>855</v>
      </c>
      <c r="AF130" s="61">
        <v>84</v>
      </c>
      <c r="AS130" s="2" t="s">
        <v>289</v>
      </c>
      <c r="AT130" s="2" t="s">
        <v>23</v>
      </c>
      <c r="AU130" s="2" t="s">
        <v>79</v>
      </c>
      <c r="AV130" s="2" t="s">
        <v>31</v>
      </c>
      <c r="AW130" s="61">
        <v>17</v>
      </c>
      <c r="AX130" s="2">
        <v>9</v>
      </c>
      <c r="AY130" s="2" t="s">
        <v>25</v>
      </c>
      <c r="AZ130" s="2" t="s">
        <v>37</v>
      </c>
      <c r="BA130" s="2" t="s">
        <v>290</v>
      </c>
      <c r="BB130" s="2">
        <v>62</v>
      </c>
      <c r="BD130" s="2" t="s">
        <v>830</v>
      </c>
      <c r="BE130" s="2" t="s">
        <v>23</v>
      </c>
      <c r="BF130" s="2" t="s">
        <v>58</v>
      </c>
      <c r="BG130" s="2" t="s">
        <v>31</v>
      </c>
      <c r="BH130" s="2">
        <v>17</v>
      </c>
      <c r="BI130" s="2">
        <v>9</v>
      </c>
      <c r="BJ130" s="2" t="s">
        <v>43</v>
      </c>
      <c r="BK130" s="61" t="s">
        <v>61</v>
      </c>
      <c r="BL130" s="2" t="s">
        <v>820</v>
      </c>
      <c r="BM130" s="2">
        <v>59</v>
      </c>
    </row>
    <row r="131" spans="1:65" x14ac:dyDescent="0.3">
      <c r="A131" s="2" t="s">
        <v>296</v>
      </c>
      <c r="B131" s="2" t="s">
        <v>84</v>
      </c>
      <c r="C131" s="2" t="s">
        <v>19</v>
      </c>
      <c r="D131" s="2" t="s">
        <v>31</v>
      </c>
      <c r="E131" s="2">
        <v>20</v>
      </c>
      <c r="F131" s="2">
        <v>10</v>
      </c>
      <c r="G131" s="2" t="s">
        <v>43</v>
      </c>
      <c r="H131" s="2" t="s">
        <v>20</v>
      </c>
      <c r="I131" s="2" t="s">
        <v>297</v>
      </c>
      <c r="J131" s="2">
        <v>100</v>
      </c>
      <c r="W131" s="2" t="s">
        <v>857</v>
      </c>
      <c r="X131" s="2" t="s">
        <v>18</v>
      </c>
      <c r="Y131" s="2" t="s">
        <v>96</v>
      </c>
      <c r="Z131" s="2" t="s">
        <v>13</v>
      </c>
      <c r="AA131" s="2">
        <v>20</v>
      </c>
      <c r="AB131" s="2">
        <v>11</v>
      </c>
      <c r="AC131" s="2" t="s">
        <v>32</v>
      </c>
      <c r="AD131" s="2" t="s">
        <v>61</v>
      </c>
      <c r="AE131" s="2" t="s">
        <v>570</v>
      </c>
      <c r="AF131" s="61">
        <v>94</v>
      </c>
      <c r="AS131" s="2" t="s">
        <v>291</v>
      </c>
      <c r="AT131" s="2" t="s">
        <v>11</v>
      </c>
      <c r="AU131" s="2" t="s">
        <v>30</v>
      </c>
      <c r="AV131" s="2" t="s">
        <v>31</v>
      </c>
      <c r="AW131" s="61">
        <v>16</v>
      </c>
      <c r="AX131" s="2">
        <v>9</v>
      </c>
      <c r="AY131" s="2" t="s">
        <v>25</v>
      </c>
      <c r="AZ131" s="2" t="s">
        <v>61</v>
      </c>
      <c r="BA131" s="2" t="s">
        <v>292</v>
      </c>
      <c r="BB131" s="2">
        <v>97</v>
      </c>
      <c r="BD131" s="2" t="s">
        <v>835</v>
      </c>
      <c r="BE131" s="2" t="s">
        <v>18</v>
      </c>
      <c r="BF131" s="2" t="s">
        <v>55</v>
      </c>
      <c r="BG131" s="2" t="s">
        <v>31</v>
      </c>
      <c r="BH131" s="2">
        <v>16</v>
      </c>
      <c r="BI131" s="2">
        <v>10</v>
      </c>
      <c r="BJ131" s="2" t="s">
        <v>14</v>
      </c>
      <c r="BK131" s="61" t="s">
        <v>61</v>
      </c>
      <c r="BL131" s="2" t="s">
        <v>411</v>
      </c>
      <c r="BM131" s="2">
        <v>52</v>
      </c>
    </row>
    <row r="132" spans="1:65" x14ac:dyDescent="0.3">
      <c r="A132" s="2" t="s">
        <v>298</v>
      </c>
      <c r="B132" s="2" t="s">
        <v>29</v>
      </c>
      <c r="C132" s="2" t="s">
        <v>96</v>
      </c>
      <c r="D132" s="2" t="s">
        <v>31</v>
      </c>
      <c r="E132" s="2">
        <v>20</v>
      </c>
      <c r="F132" s="2">
        <v>10</v>
      </c>
      <c r="G132" s="2" t="s">
        <v>32</v>
      </c>
      <c r="H132" s="2" t="s">
        <v>26</v>
      </c>
      <c r="I132" s="2" t="s">
        <v>299</v>
      </c>
      <c r="J132" s="2">
        <v>56</v>
      </c>
      <c r="W132" s="2" t="s">
        <v>858</v>
      </c>
      <c r="X132" s="2" t="s">
        <v>35</v>
      </c>
      <c r="Y132" s="2" t="s">
        <v>12</v>
      </c>
      <c r="Z132" s="2" t="s">
        <v>31</v>
      </c>
      <c r="AA132" s="2">
        <v>19</v>
      </c>
      <c r="AB132" s="2">
        <v>9</v>
      </c>
      <c r="AC132" s="2" t="s">
        <v>43</v>
      </c>
      <c r="AD132" s="2" t="s">
        <v>26</v>
      </c>
      <c r="AE132" s="2" t="s">
        <v>859</v>
      </c>
      <c r="AF132" s="61">
        <v>88</v>
      </c>
      <c r="AS132" s="2" t="s">
        <v>293</v>
      </c>
      <c r="AT132" s="2" t="s">
        <v>73</v>
      </c>
      <c r="AU132" s="2" t="s">
        <v>96</v>
      </c>
      <c r="AV132" s="2" t="s">
        <v>31</v>
      </c>
      <c r="AW132" s="61">
        <v>20</v>
      </c>
      <c r="AX132" s="2">
        <v>9</v>
      </c>
      <c r="AY132" s="2" t="s">
        <v>43</v>
      </c>
      <c r="AZ132" s="2" t="s">
        <v>26</v>
      </c>
      <c r="BA132" s="2" t="s">
        <v>74</v>
      </c>
      <c r="BB132" s="2">
        <v>100</v>
      </c>
      <c r="BD132" s="2" t="s">
        <v>846</v>
      </c>
      <c r="BE132" s="2" t="s">
        <v>35</v>
      </c>
      <c r="BF132" s="2" t="s">
        <v>79</v>
      </c>
      <c r="BG132" s="2" t="s">
        <v>13</v>
      </c>
      <c r="BH132" s="2">
        <v>17</v>
      </c>
      <c r="BI132" s="2">
        <v>12</v>
      </c>
      <c r="BJ132" s="2" t="s">
        <v>25</v>
      </c>
      <c r="BK132" s="61" t="s">
        <v>46</v>
      </c>
      <c r="BL132" s="2" t="s">
        <v>847</v>
      </c>
      <c r="BM132" s="2">
        <v>41</v>
      </c>
    </row>
    <row r="133" spans="1:65" x14ac:dyDescent="0.3">
      <c r="A133" s="2" t="s">
        <v>300</v>
      </c>
      <c r="B133" s="2" t="s">
        <v>11</v>
      </c>
      <c r="C133" s="2" t="s">
        <v>79</v>
      </c>
      <c r="D133" s="2" t="s">
        <v>31</v>
      </c>
      <c r="E133" s="2">
        <v>18</v>
      </c>
      <c r="F133" s="2">
        <v>9</v>
      </c>
      <c r="G133" s="2" t="s">
        <v>14</v>
      </c>
      <c r="H133" s="2" t="s">
        <v>20</v>
      </c>
      <c r="I133" s="2" t="s">
        <v>301</v>
      </c>
      <c r="J133" s="2">
        <v>66</v>
      </c>
      <c r="W133" s="2" t="s">
        <v>860</v>
      </c>
      <c r="X133" s="2" t="s">
        <v>68</v>
      </c>
      <c r="Y133" s="2" t="s">
        <v>12</v>
      </c>
      <c r="Z133" s="2" t="s">
        <v>13</v>
      </c>
      <c r="AA133" s="2">
        <v>16</v>
      </c>
      <c r="AB133" s="2">
        <v>12</v>
      </c>
      <c r="AC133" s="2" t="s">
        <v>14</v>
      </c>
      <c r="AD133" s="2" t="s">
        <v>37</v>
      </c>
      <c r="AE133" s="2" t="s">
        <v>861</v>
      </c>
      <c r="AF133" s="61">
        <v>84</v>
      </c>
      <c r="AS133" s="2" t="s">
        <v>294</v>
      </c>
      <c r="AT133" s="2" t="s">
        <v>35</v>
      </c>
      <c r="AU133" s="2" t="s">
        <v>55</v>
      </c>
      <c r="AV133" s="2" t="s">
        <v>13</v>
      </c>
      <c r="AW133" s="61">
        <v>20</v>
      </c>
      <c r="AX133" s="2">
        <v>9</v>
      </c>
      <c r="AY133" s="2" t="s">
        <v>25</v>
      </c>
      <c r="AZ133" s="2" t="s">
        <v>46</v>
      </c>
      <c r="BA133" s="2" t="s">
        <v>295</v>
      </c>
      <c r="BB133" s="2">
        <v>99</v>
      </c>
      <c r="BD133" s="2" t="s">
        <v>848</v>
      </c>
      <c r="BE133" s="2" t="s">
        <v>18</v>
      </c>
      <c r="BF133" s="2" t="s">
        <v>24</v>
      </c>
      <c r="BG133" s="2" t="s">
        <v>31</v>
      </c>
      <c r="BH133" s="2">
        <v>16</v>
      </c>
      <c r="BI133" s="2">
        <v>10</v>
      </c>
      <c r="BJ133" s="2" t="s">
        <v>25</v>
      </c>
      <c r="BK133" s="61" t="s">
        <v>61</v>
      </c>
      <c r="BL133" s="2" t="s">
        <v>849</v>
      </c>
      <c r="BM133" s="2">
        <v>78</v>
      </c>
    </row>
    <row r="134" spans="1:65" x14ac:dyDescent="0.3">
      <c r="A134" s="2" t="s">
        <v>302</v>
      </c>
      <c r="B134" s="2" t="s">
        <v>29</v>
      </c>
      <c r="C134" s="2" t="s">
        <v>79</v>
      </c>
      <c r="D134" s="2" t="s">
        <v>13</v>
      </c>
      <c r="E134" s="2">
        <v>14</v>
      </c>
      <c r="F134" s="2">
        <v>12</v>
      </c>
      <c r="G134" s="2" t="s">
        <v>14</v>
      </c>
      <c r="H134" s="2" t="s">
        <v>20</v>
      </c>
      <c r="I134" s="2" t="s">
        <v>303</v>
      </c>
      <c r="J134" s="2">
        <v>66</v>
      </c>
      <c r="W134" s="2" t="s">
        <v>862</v>
      </c>
      <c r="X134" s="2" t="s">
        <v>51</v>
      </c>
      <c r="Y134" s="2" t="s">
        <v>24</v>
      </c>
      <c r="Z134" s="2" t="s">
        <v>13</v>
      </c>
      <c r="AA134" s="2">
        <v>17</v>
      </c>
      <c r="AB134" s="2">
        <v>9</v>
      </c>
      <c r="AC134" s="2" t="s">
        <v>43</v>
      </c>
      <c r="AD134" s="2" t="s">
        <v>15</v>
      </c>
      <c r="AE134" s="2" t="s">
        <v>863</v>
      </c>
      <c r="AF134" s="61">
        <v>86</v>
      </c>
      <c r="AS134" s="2" t="s">
        <v>296</v>
      </c>
      <c r="AT134" s="2" t="s">
        <v>84</v>
      </c>
      <c r="AU134" s="2" t="s">
        <v>19</v>
      </c>
      <c r="AV134" s="2" t="s">
        <v>31</v>
      </c>
      <c r="AW134" s="61">
        <v>20</v>
      </c>
      <c r="AX134" s="2">
        <v>10</v>
      </c>
      <c r="AY134" s="2" t="s">
        <v>43</v>
      </c>
      <c r="AZ134" s="2" t="s">
        <v>20</v>
      </c>
      <c r="BA134" s="2" t="s">
        <v>297</v>
      </c>
      <c r="BB134" s="2">
        <v>100</v>
      </c>
      <c r="BD134" s="2" t="s">
        <v>854</v>
      </c>
      <c r="BE134" s="2" t="s">
        <v>51</v>
      </c>
      <c r="BF134" s="2" t="s">
        <v>55</v>
      </c>
      <c r="BG134" s="2" t="s">
        <v>13</v>
      </c>
      <c r="BH134" s="2">
        <v>15</v>
      </c>
      <c r="BI134" s="2">
        <v>11</v>
      </c>
      <c r="BJ134" s="2" t="s">
        <v>14</v>
      </c>
      <c r="BK134" s="61" t="s">
        <v>61</v>
      </c>
      <c r="BL134" s="2" t="s">
        <v>855</v>
      </c>
      <c r="BM134" s="2">
        <v>84</v>
      </c>
    </row>
    <row r="135" spans="1:65" x14ac:dyDescent="0.3">
      <c r="A135" s="2" t="s">
        <v>304</v>
      </c>
      <c r="B135" s="2" t="s">
        <v>51</v>
      </c>
      <c r="C135" s="2" t="s">
        <v>36</v>
      </c>
      <c r="D135" s="2" t="s">
        <v>31</v>
      </c>
      <c r="E135" s="2">
        <v>15</v>
      </c>
      <c r="F135" s="2">
        <v>12</v>
      </c>
      <c r="G135" s="2" t="s">
        <v>32</v>
      </c>
      <c r="H135" s="2" t="s">
        <v>46</v>
      </c>
      <c r="I135" s="2" t="s">
        <v>305</v>
      </c>
      <c r="J135" s="2">
        <v>77</v>
      </c>
      <c r="W135" s="2" t="s">
        <v>864</v>
      </c>
      <c r="X135" s="2" t="s">
        <v>35</v>
      </c>
      <c r="Y135" s="2" t="s">
        <v>58</v>
      </c>
      <c r="Z135" s="2" t="s">
        <v>13</v>
      </c>
      <c r="AA135" s="2">
        <v>17</v>
      </c>
      <c r="AB135" s="2">
        <v>10</v>
      </c>
      <c r="AC135" s="2" t="s">
        <v>14</v>
      </c>
      <c r="AD135" s="2" t="s">
        <v>20</v>
      </c>
      <c r="AE135" s="2" t="s">
        <v>865</v>
      </c>
      <c r="AF135" s="61">
        <v>92</v>
      </c>
      <c r="AS135" s="2" t="s">
        <v>298</v>
      </c>
      <c r="AT135" s="2" t="s">
        <v>29</v>
      </c>
      <c r="AU135" s="2" t="s">
        <v>96</v>
      </c>
      <c r="AV135" s="2" t="s">
        <v>31</v>
      </c>
      <c r="AW135" s="61">
        <v>20</v>
      </c>
      <c r="AX135" s="2">
        <v>10</v>
      </c>
      <c r="AY135" s="2" t="s">
        <v>32</v>
      </c>
      <c r="AZ135" s="2" t="s">
        <v>26</v>
      </c>
      <c r="BA135" s="2" t="s">
        <v>299</v>
      </c>
      <c r="BB135" s="2">
        <v>56</v>
      </c>
      <c r="BD135" s="2" t="s">
        <v>856</v>
      </c>
      <c r="BE135" s="2" t="s">
        <v>29</v>
      </c>
      <c r="BF135" s="2" t="s">
        <v>85</v>
      </c>
      <c r="BG135" s="2" t="s">
        <v>13</v>
      </c>
      <c r="BH135" s="2">
        <v>16</v>
      </c>
      <c r="BI135" s="2">
        <v>9</v>
      </c>
      <c r="BJ135" s="2" t="s">
        <v>14</v>
      </c>
      <c r="BK135" s="61" t="s">
        <v>61</v>
      </c>
      <c r="BL135" s="2" t="s">
        <v>262</v>
      </c>
      <c r="BM135" s="2">
        <v>78</v>
      </c>
    </row>
    <row r="136" spans="1:65" x14ac:dyDescent="0.3">
      <c r="A136" s="2" t="s">
        <v>306</v>
      </c>
      <c r="B136" s="2" t="s">
        <v>23</v>
      </c>
      <c r="C136" s="2" t="s">
        <v>19</v>
      </c>
      <c r="D136" s="2" t="s">
        <v>31</v>
      </c>
      <c r="E136" s="2">
        <v>16</v>
      </c>
      <c r="F136" s="2">
        <v>10</v>
      </c>
      <c r="G136" s="2" t="s">
        <v>43</v>
      </c>
      <c r="H136" s="2" t="s">
        <v>61</v>
      </c>
      <c r="I136" s="2" t="s">
        <v>307</v>
      </c>
      <c r="J136" s="2">
        <v>47</v>
      </c>
      <c r="W136" s="2" t="s">
        <v>866</v>
      </c>
      <c r="X136" s="2" t="s">
        <v>18</v>
      </c>
      <c r="Y136" s="2" t="s">
        <v>24</v>
      </c>
      <c r="Z136" s="2" t="s">
        <v>13</v>
      </c>
      <c r="AA136" s="2">
        <v>15</v>
      </c>
      <c r="AB136" s="2">
        <v>11</v>
      </c>
      <c r="AC136" s="2" t="s">
        <v>14</v>
      </c>
      <c r="AD136" s="2" t="s">
        <v>61</v>
      </c>
      <c r="AE136" s="2" t="s">
        <v>867</v>
      </c>
      <c r="AF136" s="61">
        <v>97</v>
      </c>
      <c r="AS136" s="2" t="s">
        <v>300</v>
      </c>
      <c r="AT136" s="2" t="s">
        <v>11</v>
      </c>
      <c r="AU136" s="2" t="s">
        <v>79</v>
      </c>
      <c r="AV136" s="2" t="s">
        <v>31</v>
      </c>
      <c r="AW136" s="61">
        <v>18</v>
      </c>
      <c r="AX136" s="2">
        <v>9</v>
      </c>
      <c r="AY136" s="2" t="s">
        <v>14</v>
      </c>
      <c r="AZ136" s="2" t="s">
        <v>20</v>
      </c>
      <c r="BA136" s="2" t="s">
        <v>301</v>
      </c>
      <c r="BB136" s="2">
        <v>66</v>
      </c>
      <c r="BD136" s="2" t="s">
        <v>857</v>
      </c>
      <c r="BE136" s="2" t="s">
        <v>18</v>
      </c>
      <c r="BF136" s="2" t="s">
        <v>96</v>
      </c>
      <c r="BG136" s="2" t="s">
        <v>13</v>
      </c>
      <c r="BH136" s="2">
        <v>20</v>
      </c>
      <c r="BI136" s="2">
        <v>11</v>
      </c>
      <c r="BJ136" s="2" t="s">
        <v>32</v>
      </c>
      <c r="BK136" s="61" t="s">
        <v>61</v>
      </c>
      <c r="BL136" s="2" t="s">
        <v>570</v>
      </c>
      <c r="BM136" s="2">
        <v>94</v>
      </c>
    </row>
    <row r="137" spans="1:65" x14ac:dyDescent="0.3">
      <c r="A137" s="2" t="s">
        <v>308</v>
      </c>
      <c r="B137" s="2" t="s">
        <v>23</v>
      </c>
      <c r="C137" s="2" t="s">
        <v>36</v>
      </c>
      <c r="D137" s="2" t="s">
        <v>13</v>
      </c>
      <c r="E137" s="2">
        <v>18</v>
      </c>
      <c r="F137" s="2">
        <v>10</v>
      </c>
      <c r="G137" s="2" t="s">
        <v>43</v>
      </c>
      <c r="H137" s="2" t="s">
        <v>40</v>
      </c>
      <c r="I137" s="2" t="s">
        <v>309</v>
      </c>
      <c r="J137" s="2">
        <v>57</v>
      </c>
      <c r="W137" s="2" t="s">
        <v>873</v>
      </c>
      <c r="X137" s="2" t="s">
        <v>18</v>
      </c>
      <c r="Y137" s="2" t="s">
        <v>79</v>
      </c>
      <c r="Z137" s="2" t="s">
        <v>31</v>
      </c>
      <c r="AA137" s="2">
        <v>19</v>
      </c>
      <c r="AB137" s="2">
        <v>12</v>
      </c>
      <c r="AC137" s="2" t="s">
        <v>32</v>
      </c>
      <c r="AD137" s="2" t="s">
        <v>76</v>
      </c>
      <c r="AE137" s="2" t="s">
        <v>742</v>
      </c>
      <c r="AF137" s="61">
        <v>83</v>
      </c>
      <c r="AS137" s="2" t="s">
        <v>302</v>
      </c>
      <c r="AT137" s="2" t="s">
        <v>29</v>
      </c>
      <c r="AU137" s="2" t="s">
        <v>79</v>
      </c>
      <c r="AV137" s="2" t="s">
        <v>13</v>
      </c>
      <c r="AW137" s="61">
        <v>14</v>
      </c>
      <c r="AX137" s="2">
        <v>12</v>
      </c>
      <c r="AY137" s="2" t="s">
        <v>14</v>
      </c>
      <c r="AZ137" s="2" t="s">
        <v>20</v>
      </c>
      <c r="BA137" s="2" t="s">
        <v>303</v>
      </c>
      <c r="BB137" s="2">
        <v>66</v>
      </c>
      <c r="BD137" s="2" t="s">
        <v>866</v>
      </c>
      <c r="BE137" s="2" t="s">
        <v>18</v>
      </c>
      <c r="BF137" s="2" t="s">
        <v>24</v>
      </c>
      <c r="BG137" s="2" t="s">
        <v>13</v>
      </c>
      <c r="BH137" s="2">
        <v>15</v>
      </c>
      <c r="BI137" s="2">
        <v>11</v>
      </c>
      <c r="BJ137" s="2" t="s">
        <v>14</v>
      </c>
      <c r="BK137" s="61" t="s">
        <v>61</v>
      </c>
      <c r="BL137" s="2" t="s">
        <v>867</v>
      </c>
      <c r="BM137" s="2">
        <v>97</v>
      </c>
    </row>
    <row r="138" spans="1:65" x14ac:dyDescent="0.3">
      <c r="A138" s="2" t="s">
        <v>310</v>
      </c>
      <c r="B138" s="2" t="s">
        <v>29</v>
      </c>
      <c r="C138" s="2" t="s">
        <v>96</v>
      </c>
      <c r="D138" s="2" t="s">
        <v>31</v>
      </c>
      <c r="E138" s="2">
        <v>16</v>
      </c>
      <c r="F138" s="2">
        <v>9</v>
      </c>
      <c r="G138" s="2" t="s">
        <v>32</v>
      </c>
      <c r="H138" s="2" t="s">
        <v>46</v>
      </c>
      <c r="I138" s="2" t="s">
        <v>311</v>
      </c>
      <c r="J138" s="2">
        <v>67</v>
      </c>
      <c r="W138" s="2" t="s">
        <v>877</v>
      </c>
      <c r="X138" s="2" t="s">
        <v>73</v>
      </c>
      <c r="Y138" s="2" t="s">
        <v>85</v>
      </c>
      <c r="Z138" s="2" t="s">
        <v>13</v>
      </c>
      <c r="AA138" s="2">
        <v>19</v>
      </c>
      <c r="AB138" s="2">
        <v>10</v>
      </c>
      <c r="AC138" s="2" t="s">
        <v>25</v>
      </c>
      <c r="AD138" s="2" t="s">
        <v>26</v>
      </c>
      <c r="AE138" s="2" t="s">
        <v>878</v>
      </c>
      <c r="AF138" s="61">
        <v>81</v>
      </c>
      <c r="AS138" s="2" t="s">
        <v>304</v>
      </c>
      <c r="AT138" s="2" t="s">
        <v>51</v>
      </c>
      <c r="AU138" s="2" t="s">
        <v>36</v>
      </c>
      <c r="AV138" s="2" t="s">
        <v>31</v>
      </c>
      <c r="AW138" s="61">
        <v>15</v>
      </c>
      <c r="AX138" s="2">
        <v>12</v>
      </c>
      <c r="AY138" s="2" t="s">
        <v>32</v>
      </c>
      <c r="AZ138" s="2" t="s">
        <v>46</v>
      </c>
      <c r="BA138" s="2" t="s">
        <v>305</v>
      </c>
      <c r="BB138" s="2">
        <v>77</v>
      </c>
      <c r="BD138" s="2" t="s">
        <v>868</v>
      </c>
      <c r="BE138" s="2" t="s">
        <v>84</v>
      </c>
      <c r="BF138" s="2" t="s">
        <v>30</v>
      </c>
      <c r="BG138" s="2" t="s">
        <v>31</v>
      </c>
      <c r="BH138" s="2">
        <v>15</v>
      </c>
      <c r="BI138" s="2">
        <v>9</v>
      </c>
      <c r="BJ138" s="2" t="s">
        <v>43</v>
      </c>
      <c r="BK138" s="61" t="s">
        <v>61</v>
      </c>
      <c r="BL138" s="2" t="s">
        <v>151</v>
      </c>
      <c r="BM138" s="2">
        <v>45</v>
      </c>
    </row>
    <row r="139" spans="1:65" x14ac:dyDescent="0.3">
      <c r="A139" s="2" t="s">
        <v>312</v>
      </c>
      <c r="B139" s="2" t="s">
        <v>29</v>
      </c>
      <c r="C139" s="2" t="s">
        <v>12</v>
      </c>
      <c r="D139" s="2" t="s">
        <v>31</v>
      </c>
      <c r="E139" s="2">
        <v>14</v>
      </c>
      <c r="F139" s="2">
        <v>12</v>
      </c>
      <c r="G139" s="2" t="s">
        <v>43</v>
      </c>
      <c r="H139" s="2" t="s">
        <v>61</v>
      </c>
      <c r="I139" s="2" t="s">
        <v>313</v>
      </c>
      <c r="J139" s="2">
        <v>44</v>
      </c>
      <c r="W139" s="2" t="s">
        <v>879</v>
      </c>
      <c r="X139" s="2" t="s">
        <v>18</v>
      </c>
      <c r="Y139" s="2" t="s">
        <v>85</v>
      </c>
      <c r="Z139" s="2" t="s">
        <v>13</v>
      </c>
      <c r="AA139" s="2">
        <v>15</v>
      </c>
      <c r="AB139" s="2">
        <v>11</v>
      </c>
      <c r="AC139" s="2" t="s">
        <v>32</v>
      </c>
      <c r="AD139" s="2" t="s">
        <v>37</v>
      </c>
      <c r="AE139" s="2" t="s">
        <v>880</v>
      </c>
      <c r="AF139" s="61">
        <v>86</v>
      </c>
      <c r="AS139" s="2" t="s">
        <v>306</v>
      </c>
      <c r="AT139" s="2" t="s">
        <v>23</v>
      </c>
      <c r="AU139" s="2" t="s">
        <v>19</v>
      </c>
      <c r="AV139" s="2" t="s">
        <v>31</v>
      </c>
      <c r="AW139" s="61">
        <v>16</v>
      </c>
      <c r="AX139" s="2">
        <v>10</v>
      </c>
      <c r="AY139" s="2" t="s">
        <v>43</v>
      </c>
      <c r="AZ139" s="2" t="s">
        <v>61</v>
      </c>
      <c r="BA139" s="2" t="s">
        <v>307</v>
      </c>
      <c r="BB139" s="2">
        <v>47</v>
      </c>
      <c r="BD139" s="2" t="s">
        <v>874</v>
      </c>
      <c r="BE139" s="2" t="s">
        <v>35</v>
      </c>
      <c r="BF139" s="2" t="s">
        <v>36</v>
      </c>
      <c r="BG139" s="2" t="s">
        <v>13</v>
      </c>
      <c r="BH139" s="2">
        <v>16</v>
      </c>
      <c r="BI139" s="2">
        <v>10</v>
      </c>
      <c r="BJ139" s="2" t="s">
        <v>14</v>
      </c>
      <c r="BK139" s="61" t="s">
        <v>61</v>
      </c>
      <c r="BL139" s="2" t="s">
        <v>875</v>
      </c>
      <c r="BM139" s="2">
        <v>35</v>
      </c>
    </row>
    <row r="140" spans="1:65" x14ac:dyDescent="0.3">
      <c r="A140" s="2" t="s">
        <v>314</v>
      </c>
      <c r="B140" s="2" t="s">
        <v>68</v>
      </c>
      <c r="C140" s="2" t="s">
        <v>79</v>
      </c>
      <c r="D140" s="2" t="s">
        <v>13</v>
      </c>
      <c r="E140" s="2">
        <v>15</v>
      </c>
      <c r="F140" s="2">
        <v>11</v>
      </c>
      <c r="G140" s="2" t="s">
        <v>14</v>
      </c>
      <c r="H140" s="2" t="s">
        <v>46</v>
      </c>
      <c r="I140" s="2" t="s">
        <v>315</v>
      </c>
      <c r="J140" s="2">
        <v>35</v>
      </c>
      <c r="W140" s="2" t="s">
        <v>888</v>
      </c>
      <c r="X140" s="2" t="s">
        <v>23</v>
      </c>
      <c r="Y140" s="2" t="s">
        <v>58</v>
      </c>
      <c r="Z140" s="2" t="s">
        <v>31</v>
      </c>
      <c r="AA140" s="2">
        <v>18</v>
      </c>
      <c r="AB140" s="2">
        <v>10</v>
      </c>
      <c r="AC140" s="2" t="s">
        <v>14</v>
      </c>
      <c r="AD140" s="2" t="s">
        <v>20</v>
      </c>
      <c r="AE140" s="2" t="s">
        <v>153</v>
      </c>
      <c r="AF140" s="61">
        <v>92</v>
      </c>
      <c r="AS140" s="2" t="s">
        <v>308</v>
      </c>
      <c r="AT140" s="2" t="s">
        <v>23</v>
      </c>
      <c r="AU140" s="2" t="s">
        <v>36</v>
      </c>
      <c r="AV140" s="2" t="s">
        <v>13</v>
      </c>
      <c r="AW140" s="61">
        <v>18</v>
      </c>
      <c r="AX140" s="2">
        <v>10</v>
      </c>
      <c r="AY140" s="2" t="s">
        <v>43</v>
      </c>
      <c r="AZ140" s="2" t="s">
        <v>40</v>
      </c>
      <c r="BA140" s="2" t="s">
        <v>309</v>
      </c>
      <c r="BB140" s="2">
        <v>57</v>
      </c>
      <c r="BD140" s="2" t="s">
        <v>881</v>
      </c>
      <c r="BE140" s="2" t="s">
        <v>73</v>
      </c>
      <c r="BF140" s="2" t="s">
        <v>24</v>
      </c>
      <c r="BG140" s="2" t="s">
        <v>31</v>
      </c>
      <c r="BH140" s="2">
        <v>14</v>
      </c>
      <c r="BI140" s="2">
        <v>12</v>
      </c>
      <c r="BJ140" s="2" t="s">
        <v>25</v>
      </c>
      <c r="BK140" s="61" t="s">
        <v>46</v>
      </c>
      <c r="BL140" s="2" t="s">
        <v>882</v>
      </c>
      <c r="BM140" s="2">
        <v>58</v>
      </c>
    </row>
    <row r="141" spans="1:65" x14ac:dyDescent="0.3">
      <c r="A141" s="2" t="s">
        <v>316</v>
      </c>
      <c r="B141" s="2" t="s">
        <v>23</v>
      </c>
      <c r="C141" s="2" t="s">
        <v>36</v>
      </c>
      <c r="D141" s="2" t="s">
        <v>31</v>
      </c>
      <c r="E141" s="2">
        <v>20</v>
      </c>
      <c r="F141" s="2">
        <v>11</v>
      </c>
      <c r="G141" s="2" t="s">
        <v>14</v>
      </c>
      <c r="H141" s="2" t="s">
        <v>37</v>
      </c>
      <c r="I141" s="2" t="s">
        <v>317</v>
      </c>
      <c r="J141" s="2">
        <v>52</v>
      </c>
      <c r="W141" s="2" t="s">
        <v>889</v>
      </c>
      <c r="X141" s="2" t="s">
        <v>68</v>
      </c>
      <c r="Y141" s="2" t="s">
        <v>19</v>
      </c>
      <c r="Z141" s="2" t="s">
        <v>31</v>
      </c>
      <c r="AA141" s="2">
        <v>18</v>
      </c>
      <c r="AB141" s="2">
        <v>12</v>
      </c>
      <c r="AC141" s="2" t="s">
        <v>32</v>
      </c>
      <c r="AD141" s="2" t="s">
        <v>46</v>
      </c>
      <c r="AE141" s="2" t="s">
        <v>890</v>
      </c>
      <c r="AF141" s="61">
        <v>88</v>
      </c>
      <c r="AS141" s="2" t="s">
        <v>310</v>
      </c>
      <c r="AT141" s="2" t="s">
        <v>29</v>
      </c>
      <c r="AU141" s="2" t="s">
        <v>96</v>
      </c>
      <c r="AV141" s="2" t="s">
        <v>31</v>
      </c>
      <c r="AW141" s="61">
        <v>16</v>
      </c>
      <c r="AX141" s="2">
        <v>9</v>
      </c>
      <c r="AY141" s="2" t="s">
        <v>32</v>
      </c>
      <c r="AZ141" s="2" t="s">
        <v>46</v>
      </c>
      <c r="BA141" s="2" t="s">
        <v>311</v>
      </c>
      <c r="BB141" s="2">
        <v>67</v>
      </c>
      <c r="BD141" s="2" t="s">
        <v>889</v>
      </c>
      <c r="BE141" s="2" t="s">
        <v>68</v>
      </c>
      <c r="BF141" s="2" t="s">
        <v>19</v>
      </c>
      <c r="BG141" s="2" t="s">
        <v>31</v>
      </c>
      <c r="BH141" s="2">
        <v>18</v>
      </c>
      <c r="BI141" s="2">
        <v>12</v>
      </c>
      <c r="BJ141" s="2" t="s">
        <v>32</v>
      </c>
      <c r="BK141" s="61" t="s">
        <v>46</v>
      </c>
      <c r="BL141" s="2" t="s">
        <v>890</v>
      </c>
      <c r="BM141" s="2">
        <v>88</v>
      </c>
    </row>
    <row r="142" spans="1:65" x14ac:dyDescent="0.3">
      <c r="A142" s="2" t="s">
        <v>318</v>
      </c>
      <c r="B142" s="2" t="s">
        <v>54</v>
      </c>
      <c r="C142" s="2" t="s">
        <v>96</v>
      </c>
      <c r="D142" s="2" t="s">
        <v>13</v>
      </c>
      <c r="E142" s="2">
        <v>18</v>
      </c>
      <c r="F142" s="2">
        <v>9</v>
      </c>
      <c r="G142" s="2" t="s">
        <v>32</v>
      </c>
      <c r="H142" s="2" t="s">
        <v>76</v>
      </c>
      <c r="I142" s="2" t="s">
        <v>319</v>
      </c>
      <c r="J142" s="2">
        <v>86</v>
      </c>
      <c r="W142" s="2" t="s">
        <v>896</v>
      </c>
      <c r="X142" s="2" t="s">
        <v>11</v>
      </c>
      <c r="Y142" s="2" t="s">
        <v>36</v>
      </c>
      <c r="Z142" s="2" t="s">
        <v>13</v>
      </c>
      <c r="AA142" s="2">
        <v>15</v>
      </c>
      <c r="AB142" s="2">
        <v>11</v>
      </c>
      <c r="AC142" s="2" t="s">
        <v>14</v>
      </c>
      <c r="AD142" s="2" t="s">
        <v>26</v>
      </c>
      <c r="AE142" s="2" t="s">
        <v>897</v>
      </c>
      <c r="AF142" s="61">
        <v>95</v>
      </c>
      <c r="AS142" s="2" t="s">
        <v>312</v>
      </c>
      <c r="AT142" s="2" t="s">
        <v>29</v>
      </c>
      <c r="AU142" s="2" t="s">
        <v>12</v>
      </c>
      <c r="AV142" s="2" t="s">
        <v>31</v>
      </c>
      <c r="AW142" s="61">
        <v>14</v>
      </c>
      <c r="AX142" s="2">
        <v>12</v>
      </c>
      <c r="AY142" s="2" t="s">
        <v>43</v>
      </c>
      <c r="AZ142" s="2" t="s">
        <v>61</v>
      </c>
      <c r="BA142" s="2" t="s">
        <v>313</v>
      </c>
      <c r="BB142" s="2">
        <v>44</v>
      </c>
      <c r="BD142" s="2" t="s">
        <v>891</v>
      </c>
      <c r="BE142" s="2" t="s">
        <v>68</v>
      </c>
      <c r="BF142" s="2" t="s">
        <v>79</v>
      </c>
      <c r="BG142" s="2" t="s">
        <v>31</v>
      </c>
      <c r="BH142" s="2">
        <v>17</v>
      </c>
      <c r="BI142" s="2">
        <v>10</v>
      </c>
      <c r="BJ142" s="2" t="s">
        <v>32</v>
      </c>
      <c r="BK142" s="61" t="s">
        <v>61</v>
      </c>
      <c r="BL142" s="2" t="s">
        <v>892</v>
      </c>
      <c r="BM142" s="2">
        <v>56</v>
      </c>
    </row>
    <row r="143" spans="1:65" x14ac:dyDescent="0.3">
      <c r="A143" s="2" t="s">
        <v>320</v>
      </c>
      <c r="B143" s="2" t="s">
        <v>84</v>
      </c>
      <c r="C143" s="2" t="s">
        <v>55</v>
      </c>
      <c r="D143" s="2" t="s">
        <v>31</v>
      </c>
      <c r="E143" s="2">
        <v>16</v>
      </c>
      <c r="F143" s="2">
        <v>12</v>
      </c>
      <c r="G143" s="2" t="s">
        <v>32</v>
      </c>
      <c r="H143" s="2" t="s">
        <v>76</v>
      </c>
      <c r="I143" s="2" t="s">
        <v>321</v>
      </c>
      <c r="J143" s="2">
        <v>66</v>
      </c>
      <c r="W143" s="2" t="s">
        <v>899</v>
      </c>
      <c r="X143" s="2" t="s">
        <v>11</v>
      </c>
      <c r="Y143" s="2" t="s">
        <v>79</v>
      </c>
      <c r="Z143" s="2" t="s">
        <v>13</v>
      </c>
      <c r="AA143" s="2">
        <v>15</v>
      </c>
      <c r="AB143" s="2">
        <v>10</v>
      </c>
      <c r="AC143" s="2" t="s">
        <v>14</v>
      </c>
      <c r="AD143" s="2" t="s">
        <v>37</v>
      </c>
      <c r="AE143" s="2" t="s">
        <v>900</v>
      </c>
      <c r="AF143" s="61">
        <v>88</v>
      </c>
      <c r="AS143" s="2" t="s">
        <v>314</v>
      </c>
      <c r="AT143" s="2" t="s">
        <v>68</v>
      </c>
      <c r="AU143" s="2" t="s">
        <v>79</v>
      </c>
      <c r="AV143" s="2" t="s">
        <v>13</v>
      </c>
      <c r="AW143" s="61">
        <v>15</v>
      </c>
      <c r="AX143" s="2">
        <v>11</v>
      </c>
      <c r="AY143" s="2" t="s">
        <v>14</v>
      </c>
      <c r="AZ143" s="2" t="s">
        <v>46</v>
      </c>
      <c r="BA143" s="2" t="s">
        <v>315</v>
      </c>
      <c r="BB143" s="2">
        <v>35</v>
      </c>
      <c r="BD143" s="2" t="s">
        <v>893</v>
      </c>
      <c r="BE143" s="2" t="s">
        <v>29</v>
      </c>
      <c r="BF143" s="2" t="s">
        <v>30</v>
      </c>
      <c r="BG143" s="2" t="s">
        <v>13</v>
      </c>
      <c r="BH143" s="2">
        <v>17</v>
      </c>
      <c r="BI143" s="2">
        <v>9</v>
      </c>
      <c r="BJ143" s="2" t="s">
        <v>14</v>
      </c>
      <c r="BK143" s="61" t="s">
        <v>46</v>
      </c>
      <c r="BL143" s="2" t="s">
        <v>423</v>
      </c>
      <c r="BM143" s="2">
        <v>46</v>
      </c>
    </row>
    <row r="144" spans="1:65" x14ac:dyDescent="0.3">
      <c r="A144" s="2" t="s">
        <v>322</v>
      </c>
      <c r="B144" s="2" t="s">
        <v>35</v>
      </c>
      <c r="C144" s="2" t="s">
        <v>12</v>
      </c>
      <c r="D144" s="2" t="s">
        <v>13</v>
      </c>
      <c r="E144" s="2">
        <v>14</v>
      </c>
      <c r="F144" s="2">
        <v>11</v>
      </c>
      <c r="G144" s="2" t="s">
        <v>14</v>
      </c>
      <c r="H144" s="2" t="s">
        <v>26</v>
      </c>
      <c r="I144" s="2" t="s">
        <v>323</v>
      </c>
      <c r="J144" s="2">
        <v>93</v>
      </c>
      <c r="W144" s="2" t="s">
        <v>905</v>
      </c>
      <c r="X144" s="2" t="s">
        <v>54</v>
      </c>
      <c r="Y144" s="2" t="s">
        <v>30</v>
      </c>
      <c r="Z144" s="2" t="s">
        <v>13</v>
      </c>
      <c r="AA144" s="2">
        <v>16</v>
      </c>
      <c r="AB144" s="2">
        <v>12</v>
      </c>
      <c r="AC144" s="2" t="s">
        <v>43</v>
      </c>
      <c r="AD144" s="2" t="s">
        <v>40</v>
      </c>
      <c r="AE144" s="2" t="s">
        <v>556</v>
      </c>
      <c r="AF144" s="61">
        <v>81</v>
      </c>
      <c r="AS144" s="2" t="s">
        <v>316</v>
      </c>
      <c r="AT144" s="2" t="s">
        <v>23</v>
      </c>
      <c r="AU144" s="2" t="s">
        <v>36</v>
      </c>
      <c r="AV144" s="2" t="s">
        <v>31</v>
      </c>
      <c r="AW144" s="61">
        <v>20</v>
      </c>
      <c r="AX144" s="2">
        <v>11</v>
      </c>
      <c r="AY144" s="2" t="s">
        <v>14</v>
      </c>
      <c r="AZ144" s="2" t="s">
        <v>37</v>
      </c>
      <c r="BA144" s="2" t="s">
        <v>317</v>
      </c>
      <c r="BB144" s="2">
        <v>52</v>
      </c>
      <c r="BD144" s="2" t="s">
        <v>898</v>
      </c>
      <c r="BE144" s="2" t="s">
        <v>18</v>
      </c>
      <c r="BF144" s="2" t="s">
        <v>19</v>
      </c>
      <c r="BG144" s="2" t="s">
        <v>13</v>
      </c>
      <c r="BH144" s="2">
        <v>17</v>
      </c>
      <c r="BI144" s="2">
        <v>10</v>
      </c>
      <c r="BJ144" s="2" t="s">
        <v>25</v>
      </c>
      <c r="BK144" s="61" t="s">
        <v>61</v>
      </c>
      <c r="BL144" s="2" t="s">
        <v>471</v>
      </c>
      <c r="BM144" s="2">
        <v>58</v>
      </c>
    </row>
    <row r="145" spans="1:65" x14ac:dyDescent="0.3">
      <c r="A145" s="2" t="s">
        <v>324</v>
      </c>
      <c r="B145" s="2" t="s">
        <v>23</v>
      </c>
      <c r="C145" s="2" t="s">
        <v>85</v>
      </c>
      <c r="D145" s="2" t="s">
        <v>31</v>
      </c>
      <c r="E145" s="2">
        <v>16</v>
      </c>
      <c r="F145" s="2">
        <v>9</v>
      </c>
      <c r="G145" s="2" t="s">
        <v>32</v>
      </c>
      <c r="H145" s="2" t="s">
        <v>61</v>
      </c>
      <c r="I145" s="2" t="s">
        <v>325</v>
      </c>
      <c r="J145" s="2">
        <v>54</v>
      </c>
      <c r="W145" s="2" t="s">
        <v>910</v>
      </c>
      <c r="X145" s="2" t="s">
        <v>84</v>
      </c>
      <c r="Y145" s="2" t="s">
        <v>12</v>
      </c>
      <c r="Z145" s="2" t="s">
        <v>31</v>
      </c>
      <c r="AA145" s="2">
        <v>18</v>
      </c>
      <c r="AB145" s="2">
        <v>11</v>
      </c>
      <c r="AC145" s="2" t="s">
        <v>25</v>
      </c>
      <c r="AD145" s="2" t="s">
        <v>15</v>
      </c>
      <c r="AE145" s="2" t="s">
        <v>911</v>
      </c>
      <c r="AF145" s="61">
        <v>87</v>
      </c>
      <c r="AS145" s="2" t="s">
        <v>318</v>
      </c>
      <c r="AT145" s="2" t="s">
        <v>54</v>
      </c>
      <c r="AU145" s="2" t="s">
        <v>96</v>
      </c>
      <c r="AV145" s="2" t="s">
        <v>13</v>
      </c>
      <c r="AW145" s="61">
        <v>18</v>
      </c>
      <c r="AX145" s="2">
        <v>9</v>
      </c>
      <c r="AY145" s="2" t="s">
        <v>32</v>
      </c>
      <c r="AZ145" s="2" t="s">
        <v>76</v>
      </c>
      <c r="BA145" s="2" t="s">
        <v>319</v>
      </c>
      <c r="BB145" s="2">
        <v>86</v>
      </c>
      <c r="BD145" s="2" t="s">
        <v>908</v>
      </c>
      <c r="BE145" s="2" t="s">
        <v>11</v>
      </c>
      <c r="BF145" s="2" t="s">
        <v>79</v>
      </c>
      <c r="BG145" s="2" t="s">
        <v>31</v>
      </c>
      <c r="BH145" s="2">
        <v>14</v>
      </c>
      <c r="BI145" s="2">
        <v>10</v>
      </c>
      <c r="BJ145" s="2" t="s">
        <v>14</v>
      </c>
      <c r="BK145" s="61" t="s">
        <v>46</v>
      </c>
      <c r="BL145" s="2" t="s">
        <v>909</v>
      </c>
      <c r="BM145" s="2">
        <v>55</v>
      </c>
    </row>
    <row r="146" spans="1:65" x14ac:dyDescent="0.3">
      <c r="A146" s="2" t="s">
        <v>326</v>
      </c>
      <c r="B146" s="2" t="s">
        <v>54</v>
      </c>
      <c r="C146" s="2" t="s">
        <v>55</v>
      </c>
      <c r="D146" s="2" t="s">
        <v>13</v>
      </c>
      <c r="E146" s="2">
        <v>20</v>
      </c>
      <c r="F146" s="2">
        <v>9</v>
      </c>
      <c r="G146" s="2" t="s">
        <v>32</v>
      </c>
      <c r="H146" s="2" t="s">
        <v>15</v>
      </c>
      <c r="I146" s="2" t="s">
        <v>77</v>
      </c>
      <c r="J146" s="2">
        <v>75</v>
      </c>
      <c r="W146" s="2" t="s">
        <v>915</v>
      </c>
      <c r="X146" s="2" t="s">
        <v>23</v>
      </c>
      <c r="Y146" s="2" t="s">
        <v>58</v>
      </c>
      <c r="Z146" s="2" t="s">
        <v>31</v>
      </c>
      <c r="AA146" s="2">
        <v>17</v>
      </c>
      <c r="AB146" s="2">
        <v>9</v>
      </c>
      <c r="AC146" s="2" t="s">
        <v>25</v>
      </c>
      <c r="AD146" s="2" t="s">
        <v>46</v>
      </c>
      <c r="AE146" s="2" t="s">
        <v>916</v>
      </c>
      <c r="AF146" s="61">
        <v>85</v>
      </c>
      <c r="AS146" s="2" t="s">
        <v>320</v>
      </c>
      <c r="AT146" s="2" t="s">
        <v>84</v>
      </c>
      <c r="AU146" s="2" t="s">
        <v>55</v>
      </c>
      <c r="AV146" s="2" t="s">
        <v>31</v>
      </c>
      <c r="AW146" s="61">
        <v>16</v>
      </c>
      <c r="AX146" s="2">
        <v>12</v>
      </c>
      <c r="AY146" s="2" t="s">
        <v>32</v>
      </c>
      <c r="AZ146" s="2" t="s">
        <v>76</v>
      </c>
      <c r="BA146" s="2" t="s">
        <v>321</v>
      </c>
      <c r="BB146" s="2">
        <v>66</v>
      </c>
      <c r="BD146" s="2" t="s">
        <v>912</v>
      </c>
      <c r="BE146" s="2" t="s">
        <v>23</v>
      </c>
      <c r="BF146" s="2" t="s">
        <v>79</v>
      </c>
      <c r="BG146" s="2" t="s">
        <v>31</v>
      </c>
      <c r="BH146" s="2">
        <v>17</v>
      </c>
      <c r="BI146" s="2">
        <v>12</v>
      </c>
      <c r="BJ146" s="2" t="s">
        <v>32</v>
      </c>
      <c r="BK146" s="61" t="s">
        <v>46</v>
      </c>
      <c r="BL146" s="2" t="s">
        <v>400</v>
      </c>
      <c r="BM146" s="2">
        <v>70</v>
      </c>
    </row>
    <row r="147" spans="1:65" x14ac:dyDescent="0.3">
      <c r="A147" s="2" t="s">
        <v>327</v>
      </c>
      <c r="B147" s="2" t="s">
        <v>73</v>
      </c>
      <c r="C147" s="2" t="s">
        <v>96</v>
      </c>
      <c r="D147" s="2" t="s">
        <v>13</v>
      </c>
      <c r="E147" s="2">
        <v>20</v>
      </c>
      <c r="F147" s="2">
        <v>9</v>
      </c>
      <c r="G147" s="2" t="s">
        <v>32</v>
      </c>
      <c r="H147" s="2" t="s">
        <v>61</v>
      </c>
      <c r="I147" s="2" t="s">
        <v>328</v>
      </c>
      <c r="J147" s="2">
        <v>40</v>
      </c>
      <c r="W147" s="2" t="s">
        <v>917</v>
      </c>
      <c r="X147" s="2" t="s">
        <v>11</v>
      </c>
      <c r="Y147" s="2" t="s">
        <v>96</v>
      </c>
      <c r="Z147" s="2" t="s">
        <v>31</v>
      </c>
      <c r="AA147" s="2">
        <v>19</v>
      </c>
      <c r="AB147" s="2">
        <v>11</v>
      </c>
      <c r="AC147" s="2" t="s">
        <v>43</v>
      </c>
      <c r="AD147" s="2" t="s">
        <v>26</v>
      </c>
      <c r="AE147" s="2" t="s">
        <v>918</v>
      </c>
      <c r="AF147" s="61">
        <v>87</v>
      </c>
      <c r="AS147" s="2" t="s">
        <v>322</v>
      </c>
      <c r="AT147" s="2" t="s">
        <v>35</v>
      </c>
      <c r="AU147" s="2" t="s">
        <v>12</v>
      </c>
      <c r="AV147" s="2" t="s">
        <v>13</v>
      </c>
      <c r="AW147" s="61">
        <v>14</v>
      </c>
      <c r="AX147" s="2">
        <v>11</v>
      </c>
      <c r="AY147" s="2" t="s">
        <v>14</v>
      </c>
      <c r="AZ147" s="2" t="s">
        <v>26</v>
      </c>
      <c r="BA147" s="2" t="s">
        <v>323</v>
      </c>
      <c r="BB147" s="2">
        <v>93</v>
      </c>
      <c r="BD147" s="2" t="s">
        <v>915</v>
      </c>
      <c r="BE147" s="2" t="s">
        <v>23</v>
      </c>
      <c r="BF147" s="2" t="s">
        <v>58</v>
      </c>
      <c r="BG147" s="2" t="s">
        <v>31</v>
      </c>
      <c r="BH147" s="2">
        <v>17</v>
      </c>
      <c r="BI147" s="2">
        <v>9</v>
      </c>
      <c r="BJ147" s="2" t="s">
        <v>25</v>
      </c>
      <c r="BK147" s="61" t="s">
        <v>46</v>
      </c>
      <c r="BL147" s="2" t="s">
        <v>916</v>
      </c>
      <c r="BM147" s="2">
        <v>85</v>
      </c>
    </row>
    <row r="148" spans="1:65" x14ac:dyDescent="0.3">
      <c r="A148" s="2" t="s">
        <v>329</v>
      </c>
      <c r="B148" s="2" t="s">
        <v>11</v>
      </c>
      <c r="C148" s="2" t="s">
        <v>24</v>
      </c>
      <c r="D148" s="2" t="s">
        <v>31</v>
      </c>
      <c r="E148" s="2">
        <v>15</v>
      </c>
      <c r="F148" s="2">
        <v>9</v>
      </c>
      <c r="G148" s="2" t="s">
        <v>43</v>
      </c>
      <c r="H148" s="2" t="s">
        <v>61</v>
      </c>
      <c r="I148" s="2" t="s">
        <v>330</v>
      </c>
      <c r="J148" s="2">
        <v>83</v>
      </c>
      <c r="W148" s="2" t="s">
        <v>919</v>
      </c>
      <c r="X148" s="2" t="s">
        <v>23</v>
      </c>
      <c r="Y148" s="2" t="s">
        <v>19</v>
      </c>
      <c r="Z148" s="2" t="s">
        <v>13</v>
      </c>
      <c r="AA148" s="2">
        <v>14</v>
      </c>
      <c r="AB148" s="2">
        <v>12</v>
      </c>
      <c r="AC148" s="2" t="s">
        <v>14</v>
      </c>
      <c r="AD148" s="2" t="s">
        <v>15</v>
      </c>
      <c r="AE148" s="2" t="s">
        <v>920</v>
      </c>
      <c r="AF148" s="61">
        <v>92</v>
      </c>
      <c r="AS148" s="2" t="s">
        <v>324</v>
      </c>
      <c r="AT148" s="2" t="s">
        <v>23</v>
      </c>
      <c r="AU148" s="2" t="s">
        <v>85</v>
      </c>
      <c r="AV148" s="2" t="s">
        <v>31</v>
      </c>
      <c r="AW148" s="61">
        <v>16</v>
      </c>
      <c r="AX148" s="2">
        <v>9</v>
      </c>
      <c r="AY148" s="2" t="s">
        <v>32</v>
      </c>
      <c r="AZ148" s="2" t="s">
        <v>61</v>
      </c>
      <c r="BA148" s="2" t="s">
        <v>325</v>
      </c>
      <c r="BB148" s="2">
        <v>54</v>
      </c>
      <c r="BD148" s="2" t="s">
        <v>930</v>
      </c>
      <c r="BE148" s="2" t="s">
        <v>35</v>
      </c>
      <c r="BF148" s="2" t="s">
        <v>96</v>
      </c>
      <c r="BG148" s="2" t="s">
        <v>31</v>
      </c>
      <c r="BH148" s="2">
        <v>20</v>
      </c>
      <c r="BI148" s="2">
        <v>9</v>
      </c>
      <c r="BJ148" s="2" t="s">
        <v>25</v>
      </c>
      <c r="BK148" s="61" t="s">
        <v>61</v>
      </c>
      <c r="BL148" s="2" t="s">
        <v>342</v>
      </c>
      <c r="BM148" s="2">
        <v>62</v>
      </c>
    </row>
    <row r="149" spans="1:65" x14ac:dyDescent="0.3">
      <c r="A149" s="2" t="s">
        <v>331</v>
      </c>
      <c r="B149" s="2" t="s">
        <v>73</v>
      </c>
      <c r="C149" s="2" t="s">
        <v>30</v>
      </c>
      <c r="D149" s="2" t="s">
        <v>31</v>
      </c>
      <c r="E149" s="2">
        <v>19</v>
      </c>
      <c r="F149" s="2">
        <v>10</v>
      </c>
      <c r="G149" s="2" t="s">
        <v>43</v>
      </c>
      <c r="H149" s="2" t="s">
        <v>20</v>
      </c>
      <c r="I149" s="2" t="s">
        <v>191</v>
      </c>
      <c r="J149" s="2">
        <v>93</v>
      </c>
      <c r="W149" s="2" t="s">
        <v>925</v>
      </c>
      <c r="X149" s="2" t="s">
        <v>68</v>
      </c>
      <c r="Y149" s="2" t="s">
        <v>30</v>
      </c>
      <c r="Z149" s="2" t="s">
        <v>31</v>
      </c>
      <c r="AA149" s="2">
        <v>18</v>
      </c>
      <c r="AB149" s="2">
        <v>9</v>
      </c>
      <c r="AC149" s="2" t="s">
        <v>32</v>
      </c>
      <c r="AD149" s="2" t="s">
        <v>20</v>
      </c>
      <c r="AE149" s="2" t="s">
        <v>732</v>
      </c>
      <c r="AF149" s="61">
        <v>86</v>
      </c>
      <c r="AS149" s="2" t="s">
        <v>326</v>
      </c>
      <c r="AT149" s="2" t="s">
        <v>54</v>
      </c>
      <c r="AU149" s="2" t="s">
        <v>55</v>
      </c>
      <c r="AV149" s="2" t="s">
        <v>13</v>
      </c>
      <c r="AW149" s="61">
        <v>20</v>
      </c>
      <c r="AX149" s="2">
        <v>9</v>
      </c>
      <c r="AY149" s="2" t="s">
        <v>32</v>
      </c>
      <c r="AZ149" s="2" t="s">
        <v>15</v>
      </c>
      <c r="BA149" s="2" t="s">
        <v>77</v>
      </c>
      <c r="BB149" s="2">
        <v>75</v>
      </c>
      <c r="BD149" s="2" t="s">
        <v>935</v>
      </c>
      <c r="BE149" s="2" t="s">
        <v>18</v>
      </c>
      <c r="BF149" s="2" t="s">
        <v>12</v>
      </c>
      <c r="BG149" s="2" t="s">
        <v>13</v>
      </c>
      <c r="BH149" s="2">
        <v>20</v>
      </c>
      <c r="BI149" s="2">
        <v>11</v>
      </c>
      <c r="BJ149" s="2" t="s">
        <v>43</v>
      </c>
      <c r="BK149" s="61" t="s">
        <v>46</v>
      </c>
      <c r="BL149" s="2" t="s">
        <v>936</v>
      </c>
      <c r="BM149" s="2">
        <v>94</v>
      </c>
    </row>
    <row r="150" spans="1:65" x14ac:dyDescent="0.3">
      <c r="A150" s="2" t="s">
        <v>332</v>
      </c>
      <c r="B150" s="2" t="s">
        <v>29</v>
      </c>
      <c r="C150" s="2" t="s">
        <v>12</v>
      </c>
      <c r="D150" s="2" t="s">
        <v>31</v>
      </c>
      <c r="E150" s="2">
        <v>16</v>
      </c>
      <c r="F150" s="2">
        <v>11</v>
      </c>
      <c r="G150" s="2" t="s">
        <v>32</v>
      </c>
      <c r="H150" s="2" t="s">
        <v>76</v>
      </c>
      <c r="I150" s="2" t="s">
        <v>333</v>
      </c>
      <c r="J150" s="2">
        <v>42</v>
      </c>
      <c r="W150" s="2" t="s">
        <v>926</v>
      </c>
      <c r="X150" s="2" t="s">
        <v>73</v>
      </c>
      <c r="Y150" s="2" t="s">
        <v>85</v>
      </c>
      <c r="Z150" s="2" t="s">
        <v>13</v>
      </c>
      <c r="AA150" s="2">
        <v>14</v>
      </c>
      <c r="AB150" s="2">
        <v>9</v>
      </c>
      <c r="AC150" s="2" t="s">
        <v>32</v>
      </c>
      <c r="AD150" s="2" t="s">
        <v>20</v>
      </c>
      <c r="AE150" s="2" t="s">
        <v>927</v>
      </c>
      <c r="AF150" s="61">
        <v>94</v>
      </c>
      <c r="AS150" s="2" t="s">
        <v>327</v>
      </c>
      <c r="AT150" s="2" t="s">
        <v>73</v>
      </c>
      <c r="AU150" s="2" t="s">
        <v>96</v>
      </c>
      <c r="AV150" s="2" t="s">
        <v>13</v>
      </c>
      <c r="AW150" s="61">
        <v>20</v>
      </c>
      <c r="AX150" s="2">
        <v>9</v>
      </c>
      <c r="AY150" s="2" t="s">
        <v>32</v>
      </c>
      <c r="AZ150" s="2" t="s">
        <v>61</v>
      </c>
      <c r="BA150" s="2" t="s">
        <v>328</v>
      </c>
      <c r="BB150" s="2">
        <v>40</v>
      </c>
    </row>
    <row r="151" spans="1:65" x14ac:dyDescent="0.3">
      <c r="A151" s="2" t="s">
        <v>334</v>
      </c>
      <c r="B151" s="2" t="s">
        <v>73</v>
      </c>
      <c r="C151" s="2" t="s">
        <v>12</v>
      </c>
      <c r="D151" s="2" t="s">
        <v>31</v>
      </c>
      <c r="E151" s="2">
        <v>18</v>
      </c>
      <c r="F151" s="2">
        <v>11</v>
      </c>
      <c r="G151" s="2" t="s">
        <v>32</v>
      </c>
      <c r="H151" s="2" t="s">
        <v>76</v>
      </c>
      <c r="I151" s="2" t="s">
        <v>335</v>
      </c>
      <c r="J151" s="2">
        <v>97</v>
      </c>
      <c r="W151" s="2" t="s">
        <v>931</v>
      </c>
      <c r="X151" s="2" t="s">
        <v>23</v>
      </c>
      <c r="Y151" s="2" t="s">
        <v>36</v>
      </c>
      <c r="Z151" s="2" t="s">
        <v>13</v>
      </c>
      <c r="AA151" s="2">
        <v>20</v>
      </c>
      <c r="AB151" s="2">
        <v>9</v>
      </c>
      <c r="AC151" s="2" t="s">
        <v>43</v>
      </c>
      <c r="AD151" s="2" t="s">
        <v>40</v>
      </c>
      <c r="AE151" s="2" t="s">
        <v>932</v>
      </c>
      <c r="AF151" s="61">
        <v>85</v>
      </c>
      <c r="AS151" s="2" t="s">
        <v>329</v>
      </c>
      <c r="AT151" s="2" t="s">
        <v>11</v>
      </c>
      <c r="AU151" s="2" t="s">
        <v>24</v>
      </c>
      <c r="AV151" s="2" t="s">
        <v>31</v>
      </c>
      <c r="AW151" s="61">
        <v>15</v>
      </c>
      <c r="AX151" s="2">
        <v>9</v>
      </c>
      <c r="AY151" s="2" t="s">
        <v>43</v>
      </c>
      <c r="AZ151" s="2" t="s">
        <v>61</v>
      </c>
      <c r="BA151" s="2" t="s">
        <v>330</v>
      </c>
      <c r="BB151" s="2">
        <v>83</v>
      </c>
    </row>
    <row r="152" spans="1:65" x14ac:dyDescent="0.3">
      <c r="A152" s="2" t="s">
        <v>336</v>
      </c>
      <c r="B152" s="2" t="s">
        <v>11</v>
      </c>
      <c r="C152" s="2" t="s">
        <v>58</v>
      </c>
      <c r="D152" s="2" t="s">
        <v>31</v>
      </c>
      <c r="E152" s="2">
        <v>19</v>
      </c>
      <c r="F152" s="2">
        <v>12</v>
      </c>
      <c r="G152" s="2" t="s">
        <v>25</v>
      </c>
      <c r="H152" s="2" t="s">
        <v>61</v>
      </c>
      <c r="I152" s="2" t="s">
        <v>218</v>
      </c>
      <c r="J152" s="2">
        <v>68</v>
      </c>
      <c r="W152" s="2" t="s">
        <v>934</v>
      </c>
      <c r="X152" s="2" t="s">
        <v>51</v>
      </c>
      <c r="Y152" s="2" t="s">
        <v>58</v>
      </c>
      <c r="Z152" s="2" t="s">
        <v>31</v>
      </c>
      <c r="AA152" s="2">
        <v>18</v>
      </c>
      <c r="AB152" s="2">
        <v>11</v>
      </c>
      <c r="AC152" s="2" t="s">
        <v>14</v>
      </c>
      <c r="AD152" s="2" t="s">
        <v>37</v>
      </c>
      <c r="AE152" s="2" t="s">
        <v>806</v>
      </c>
      <c r="AF152" s="61">
        <v>88</v>
      </c>
      <c r="AS152" s="2" t="s">
        <v>331</v>
      </c>
      <c r="AT152" s="2" t="s">
        <v>73</v>
      </c>
      <c r="AU152" s="2" t="s">
        <v>30</v>
      </c>
      <c r="AV152" s="2" t="s">
        <v>31</v>
      </c>
      <c r="AW152" s="61">
        <v>19</v>
      </c>
      <c r="AX152" s="2">
        <v>10</v>
      </c>
      <c r="AY152" s="2" t="s">
        <v>43</v>
      </c>
      <c r="AZ152" s="2" t="s">
        <v>20</v>
      </c>
      <c r="BA152" s="2" t="s">
        <v>191</v>
      </c>
      <c r="BB152" s="2">
        <v>93</v>
      </c>
    </row>
    <row r="153" spans="1:65" x14ac:dyDescent="0.3">
      <c r="A153" s="2" t="s">
        <v>337</v>
      </c>
      <c r="B153" s="2" t="s">
        <v>23</v>
      </c>
      <c r="C153" s="2" t="s">
        <v>30</v>
      </c>
      <c r="D153" s="2" t="s">
        <v>31</v>
      </c>
      <c r="E153" s="2">
        <v>19</v>
      </c>
      <c r="F153" s="2">
        <v>9</v>
      </c>
      <c r="G153" s="2" t="s">
        <v>32</v>
      </c>
      <c r="H153" s="2" t="s">
        <v>61</v>
      </c>
      <c r="I153" s="2" t="s">
        <v>338</v>
      </c>
      <c r="J153" s="2">
        <v>51</v>
      </c>
      <c r="W153" s="2" t="s">
        <v>935</v>
      </c>
      <c r="X153" s="2" t="s">
        <v>18</v>
      </c>
      <c r="Y153" s="2" t="s">
        <v>12</v>
      </c>
      <c r="Z153" s="2" t="s">
        <v>13</v>
      </c>
      <c r="AA153" s="2">
        <v>20</v>
      </c>
      <c r="AB153" s="2">
        <v>11</v>
      </c>
      <c r="AC153" s="2" t="s">
        <v>43</v>
      </c>
      <c r="AD153" s="2" t="s">
        <v>46</v>
      </c>
      <c r="AE153" s="2" t="s">
        <v>936</v>
      </c>
      <c r="AF153" s="61">
        <v>94</v>
      </c>
      <c r="AS153" s="2" t="s">
        <v>332</v>
      </c>
      <c r="AT153" s="2" t="s">
        <v>29</v>
      </c>
      <c r="AU153" s="2" t="s">
        <v>12</v>
      </c>
      <c r="AV153" s="2" t="s">
        <v>31</v>
      </c>
      <c r="AW153" s="61">
        <v>16</v>
      </c>
      <c r="AX153" s="2">
        <v>11</v>
      </c>
      <c r="AY153" s="2" t="s">
        <v>32</v>
      </c>
      <c r="AZ153" s="2" t="s">
        <v>76</v>
      </c>
      <c r="BA153" s="2" t="s">
        <v>333</v>
      </c>
      <c r="BB153" s="2">
        <v>42</v>
      </c>
    </row>
    <row r="154" spans="1:65" x14ac:dyDescent="0.3">
      <c r="A154" s="2" t="s">
        <v>339</v>
      </c>
      <c r="B154" s="2" t="s">
        <v>23</v>
      </c>
      <c r="C154" s="2" t="s">
        <v>36</v>
      </c>
      <c r="D154" s="2" t="s">
        <v>13</v>
      </c>
      <c r="E154" s="2">
        <v>18</v>
      </c>
      <c r="F154" s="2">
        <v>9</v>
      </c>
      <c r="G154" s="2" t="s">
        <v>32</v>
      </c>
      <c r="H154" s="2" t="s">
        <v>37</v>
      </c>
      <c r="I154" s="2" t="s">
        <v>340</v>
      </c>
      <c r="J154" s="2">
        <v>64</v>
      </c>
      <c r="W154" s="2" t="s">
        <v>937</v>
      </c>
      <c r="X154" s="2" t="s">
        <v>73</v>
      </c>
      <c r="Y154" s="2" t="s">
        <v>85</v>
      </c>
      <c r="Z154" s="2" t="s">
        <v>31</v>
      </c>
      <c r="AA154" s="2">
        <v>16</v>
      </c>
      <c r="AB154" s="2">
        <v>10</v>
      </c>
      <c r="AC154" s="2" t="s">
        <v>25</v>
      </c>
      <c r="AD154" s="2" t="s">
        <v>76</v>
      </c>
      <c r="AE154" s="2" t="s">
        <v>305</v>
      </c>
      <c r="AF154" s="61">
        <v>90</v>
      </c>
      <c r="AS154" s="2" t="s">
        <v>334</v>
      </c>
      <c r="AT154" s="2" t="s">
        <v>73</v>
      </c>
      <c r="AU154" s="2" t="s">
        <v>12</v>
      </c>
      <c r="AV154" s="2" t="s">
        <v>31</v>
      </c>
      <c r="AW154" s="61">
        <v>18</v>
      </c>
      <c r="AX154" s="2">
        <v>11</v>
      </c>
      <c r="AY154" s="2" t="s">
        <v>32</v>
      </c>
      <c r="AZ154" s="2" t="s">
        <v>76</v>
      </c>
      <c r="BA154" s="2" t="s">
        <v>335</v>
      </c>
      <c r="BB154" s="2">
        <v>97</v>
      </c>
    </row>
    <row r="155" spans="1:65" x14ac:dyDescent="0.3">
      <c r="A155" s="2" t="s">
        <v>341</v>
      </c>
      <c r="B155" s="2" t="s">
        <v>54</v>
      </c>
      <c r="C155" s="2" t="s">
        <v>55</v>
      </c>
      <c r="D155" s="2" t="s">
        <v>13</v>
      </c>
      <c r="E155" s="2">
        <v>14</v>
      </c>
      <c r="F155" s="2">
        <v>9</v>
      </c>
      <c r="G155" s="2" t="s">
        <v>25</v>
      </c>
      <c r="H155" s="2" t="s">
        <v>37</v>
      </c>
      <c r="I155" s="2" t="s">
        <v>342</v>
      </c>
      <c r="J155" s="2">
        <v>82</v>
      </c>
      <c r="AS155" s="2" t="s">
        <v>336</v>
      </c>
      <c r="AT155" s="2" t="s">
        <v>11</v>
      </c>
      <c r="AU155" s="2" t="s">
        <v>58</v>
      </c>
      <c r="AV155" s="2" t="s">
        <v>31</v>
      </c>
      <c r="AW155" s="61">
        <v>19</v>
      </c>
      <c r="AX155" s="2">
        <v>12</v>
      </c>
      <c r="AY155" s="2" t="s">
        <v>25</v>
      </c>
      <c r="AZ155" s="2" t="s">
        <v>61</v>
      </c>
      <c r="BA155" s="2" t="s">
        <v>218</v>
      </c>
      <c r="BB155" s="2">
        <v>68</v>
      </c>
    </row>
    <row r="156" spans="1:65" x14ac:dyDescent="0.3">
      <c r="A156" s="2" t="s">
        <v>343</v>
      </c>
      <c r="B156" s="2" t="s">
        <v>68</v>
      </c>
      <c r="C156" s="2" t="s">
        <v>79</v>
      </c>
      <c r="D156" s="2" t="s">
        <v>13</v>
      </c>
      <c r="E156" s="2">
        <v>19</v>
      </c>
      <c r="F156" s="2">
        <v>11</v>
      </c>
      <c r="G156" s="2" t="s">
        <v>14</v>
      </c>
      <c r="H156" s="2" t="s">
        <v>40</v>
      </c>
      <c r="I156" s="2" t="s">
        <v>344</v>
      </c>
      <c r="J156" s="2">
        <v>35</v>
      </c>
      <c r="AS156" s="2" t="s">
        <v>337</v>
      </c>
      <c r="AT156" s="2" t="s">
        <v>23</v>
      </c>
      <c r="AU156" s="2" t="s">
        <v>30</v>
      </c>
      <c r="AV156" s="2" t="s">
        <v>31</v>
      </c>
      <c r="AW156" s="61">
        <v>19</v>
      </c>
      <c r="AX156" s="2">
        <v>9</v>
      </c>
      <c r="AY156" s="2" t="s">
        <v>32</v>
      </c>
      <c r="AZ156" s="2" t="s">
        <v>61</v>
      </c>
      <c r="BA156" s="2" t="s">
        <v>338</v>
      </c>
      <c r="BB156" s="2">
        <v>51</v>
      </c>
    </row>
    <row r="157" spans="1:65" x14ac:dyDescent="0.3">
      <c r="A157" s="2" t="s">
        <v>345</v>
      </c>
      <c r="B157" s="2" t="s">
        <v>29</v>
      </c>
      <c r="C157" s="2" t="s">
        <v>24</v>
      </c>
      <c r="D157" s="2" t="s">
        <v>31</v>
      </c>
      <c r="E157" s="2">
        <v>15</v>
      </c>
      <c r="F157" s="2">
        <v>9</v>
      </c>
      <c r="G157" s="2" t="s">
        <v>14</v>
      </c>
      <c r="H157" s="2" t="s">
        <v>26</v>
      </c>
      <c r="I157" s="2" t="s">
        <v>346</v>
      </c>
      <c r="J157" s="2">
        <v>49</v>
      </c>
      <c r="AS157" s="2" t="s">
        <v>339</v>
      </c>
      <c r="AT157" s="2" t="s">
        <v>23</v>
      </c>
      <c r="AU157" s="2" t="s">
        <v>36</v>
      </c>
      <c r="AV157" s="2" t="s">
        <v>13</v>
      </c>
      <c r="AW157" s="61">
        <v>18</v>
      </c>
      <c r="AX157" s="2">
        <v>9</v>
      </c>
      <c r="AY157" s="2" t="s">
        <v>32</v>
      </c>
      <c r="AZ157" s="2" t="s">
        <v>37</v>
      </c>
      <c r="BA157" s="2" t="s">
        <v>340</v>
      </c>
      <c r="BB157" s="2">
        <v>64</v>
      </c>
    </row>
    <row r="158" spans="1:65" x14ac:dyDescent="0.3">
      <c r="A158" s="2" t="s">
        <v>347</v>
      </c>
      <c r="B158" s="2" t="s">
        <v>23</v>
      </c>
      <c r="C158" s="2" t="s">
        <v>85</v>
      </c>
      <c r="D158" s="2" t="s">
        <v>31</v>
      </c>
      <c r="E158" s="2">
        <v>15</v>
      </c>
      <c r="F158" s="2">
        <v>11</v>
      </c>
      <c r="G158" s="2" t="s">
        <v>32</v>
      </c>
      <c r="H158" s="2" t="s">
        <v>26</v>
      </c>
      <c r="I158" s="2" t="s">
        <v>348</v>
      </c>
      <c r="J158" s="2">
        <v>37</v>
      </c>
      <c r="AS158" s="2" t="s">
        <v>341</v>
      </c>
      <c r="AT158" s="2" t="s">
        <v>54</v>
      </c>
      <c r="AU158" s="2" t="s">
        <v>55</v>
      </c>
      <c r="AV158" s="2" t="s">
        <v>13</v>
      </c>
      <c r="AW158" s="61">
        <v>14</v>
      </c>
      <c r="AX158" s="2">
        <v>9</v>
      </c>
      <c r="AY158" s="2" t="s">
        <v>25</v>
      </c>
      <c r="AZ158" s="2" t="s">
        <v>37</v>
      </c>
      <c r="BA158" s="2" t="s">
        <v>342</v>
      </c>
      <c r="BB158" s="2">
        <v>82</v>
      </c>
    </row>
    <row r="159" spans="1:65" x14ac:dyDescent="0.3">
      <c r="A159" s="2" t="s">
        <v>349</v>
      </c>
      <c r="B159" s="2" t="s">
        <v>35</v>
      </c>
      <c r="C159" s="2" t="s">
        <v>30</v>
      </c>
      <c r="D159" s="2" t="s">
        <v>31</v>
      </c>
      <c r="E159" s="2">
        <v>18</v>
      </c>
      <c r="F159" s="2">
        <v>12</v>
      </c>
      <c r="G159" s="2" t="s">
        <v>43</v>
      </c>
      <c r="H159" s="2" t="s">
        <v>37</v>
      </c>
      <c r="I159" s="2" t="s">
        <v>350</v>
      </c>
      <c r="J159" s="2">
        <v>53</v>
      </c>
      <c r="AS159" s="2" t="s">
        <v>343</v>
      </c>
      <c r="AT159" s="2" t="s">
        <v>68</v>
      </c>
      <c r="AU159" s="2" t="s">
        <v>79</v>
      </c>
      <c r="AV159" s="2" t="s">
        <v>13</v>
      </c>
      <c r="AW159" s="61">
        <v>19</v>
      </c>
      <c r="AX159" s="2">
        <v>11</v>
      </c>
      <c r="AY159" s="2" t="s">
        <v>14</v>
      </c>
      <c r="AZ159" s="2" t="s">
        <v>40</v>
      </c>
      <c r="BA159" s="2" t="s">
        <v>344</v>
      </c>
      <c r="BB159" s="2">
        <v>35</v>
      </c>
    </row>
    <row r="160" spans="1:65" x14ac:dyDescent="0.3">
      <c r="A160" s="2" t="s">
        <v>351</v>
      </c>
      <c r="B160" s="2" t="s">
        <v>68</v>
      </c>
      <c r="C160" s="2" t="s">
        <v>96</v>
      </c>
      <c r="D160" s="2" t="s">
        <v>13</v>
      </c>
      <c r="E160" s="2">
        <v>15</v>
      </c>
      <c r="F160" s="2">
        <v>10</v>
      </c>
      <c r="G160" s="2" t="s">
        <v>25</v>
      </c>
      <c r="H160" s="2" t="s">
        <v>20</v>
      </c>
      <c r="I160" s="2" t="s">
        <v>352</v>
      </c>
      <c r="J160" s="2">
        <v>50</v>
      </c>
      <c r="AS160" s="2" t="s">
        <v>345</v>
      </c>
      <c r="AT160" s="2" t="s">
        <v>29</v>
      </c>
      <c r="AU160" s="2" t="s">
        <v>24</v>
      </c>
      <c r="AV160" s="2" t="s">
        <v>31</v>
      </c>
      <c r="AW160" s="61">
        <v>15</v>
      </c>
      <c r="AX160" s="2">
        <v>9</v>
      </c>
      <c r="AY160" s="2" t="s">
        <v>14</v>
      </c>
      <c r="AZ160" s="2" t="s">
        <v>26</v>
      </c>
      <c r="BA160" s="2" t="s">
        <v>346</v>
      </c>
      <c r="BB160" s="2">
        <v>49</v>
      </c>
    </row>
    <row r="161" spans="1:54" x14ac:dyDescent="0.3">
      <c r="A161" s="2" t="s">
        <v>353</v>
      </c>
      <c r="B161" s="2" t="s">
        <v>51</v>
      </c>
      <c r="C161" s="2" t="s">
        <v>55</v>
      </c>
      <c r="D161" s="2" t="s">
        <v>31</v>
      </c>
      <c r="E161" s="2">
        <v>20</v>
      </c>
      <c r="F161" s="2">
        <v>9</v>
      </c>
      <c r="G161" s="2" t="s">
        <v>25</v>
      </c>
      <c r="H161" s="2" t="s">
        <v>46</v>
      </c>
      <c r="I161" s="2" t="s">
        <v>354</v>
      </c>
      <c r="J161" s="2">
        <v>53</v>
      </c>
      <c r="AS161" s="2" t="s">
        <v>347</v>
      </c>
      <c r="AT161" s="2" t="s">
        <v>23</v>
      </c>
      <c r="AU161" s="2" t="s">
        <v>85</v>
      </c>
      <c r="AV161" s="2" t="s">
        <v>31</v>
      </c>
      <c r="AW161" s="61">
        <v>15</v>
      </c>
      <c r="AX161" s="2">
        <v>11</v>
      </c>
      <c r="AY161" s="2" t="s">
        <v>32</v>
      </c>
      <c r="AZ161" s="2" t="s">
        <v>26</v>
      </c>
      <c r="BA161" s="2" t="s">
        <v>348</v>
      </c>
      <c r="BB161" s="2">
        <v>37</v>
      </c>
    </row>
    <row r="162" spans="1:54" x14ac:dyDescent="0.3">
      <c r="A162" s="2" t="s">
        <v>355</v>
      </c>
      <c r="B162" s="2" t="s">
        <v>68</v>
      </c>
      <c r="C162" s="2" t="s">
        <v>79</v>
      </c>
      <c r="D162" s="2" t="s">
        <v>13</v>
      </c>
      <c r="E162" s="2">
        <v>15</v>
      </c>
      <c r="F162" s="2">
        <v>12</v>
      </c>
      <c r="G162" s="2" t="s">
        <v>14</v>
      </c>
      <c r="H162" s="2" t="s">
        <v>20</v>
      </c>
      <c r="I162" s="2" t="s">
        <v>356</v>
      </c>
      <c r="J162" s="2">
        <v>37</v>
      </c>
      <c r="AS162" s="2" t="s">
        <v>349</v>
      </c>
      <c r="AT162" s="2" t="s">
        <v>35</v>
      </c>
      <c r="AU162" s="2" t="s">
        <v>30</v>
      </c>
      <c r="AV162" s="2" t="s">
        <v>31</v>
      </c>
      <c r="AW162" s="61">
        <v>18</v>
      </c>
      <c r="AX162" s="2">
        <v>12</v>
      </c>
      <c r="AY162" s="2" t="s">
        <v>43</v>
      </c>
      <c r="AZ162" s="2" t="s">
        <v>37</v>
      </c>
      <c r="BA162" s="2" t="s">
        <v>350</v>
      </c>
      <c r="BB162" s="2">
        <v>53</v>
      </c>
    </row>
    <row r="163" spans="1:54" x14ac:dyDescent="0.3">
      <c r="A163" s="2" t="s">
        <v>357</v>
      </c>
      <c r="B163" s="2" t="s">
        <v>23</v>
      </c>
      <c r="C163" s="2" t="s">
        <v>24</v>
      </c>
      <c r="D163" s="2" t="s">
        <v>13</v>
      </c>
      <c r="E163" s="2">
        <v>16</v>
      </c>
      <c r="F163" s="2">
        <v>9</v>
      </c>
      <c r="G163" s="2" t="s">
        <v>25</v>
      </c>
      <c r="H163" s="2" t="s">
        <v>20</v>
      </c>
      <c r="I163" s="2" t="s">
        <v>358</v>
      </c>
      <c r="J163" s="2">
        <v>66</v>
      </c>
      <c r="AS163" s="2" t="s">
        <v>351</v>
      </c>
      <c r="AT163" s="2" t="s">
        <v>68</v>
      </c>
      <c r="AU163" s="2" t="s">
        <v>96</v>
      </c>
      <c r="AV163" s="2" t="s">
        <v>13</v>
      </c>
      <c r="AW163" s="61">
        <v>15</v>
      </c>
      <c r="AX163" s="2">
        <v>10</v>
      </c>
      <c r="AY163" s="2" t="s">
        <v>25</v>
      </c>
      <c r="AZ163" s="2" t="s">
        <v>20</v>
      </c>
      <c r="BA163" s="2" t="s">
        <v>352</v>
      </c>
      <c r="BB163" s="2">
        <v>50</v>
      </c>
    </row>
    <row r="164" spans="1:54" x14ac:dyDescent="0.3">
      <c r="A164" s="2" t="s">
        <v>359</v>
      </c>
      <c r="B164" s="2" t="s">
        <v>68</v>
      </c>
      <c r="C164" s="2" t="s">
        <v>85</v>
      </c>
      <c r="D164" s="2" t="s">
        <v>13</v>
      </c>
      <c r="E164" s="2">
        <v>19</v>
      </c>
      <c r="F164" s="2">
        <v>11</v>
      </c>
      <c r="G164" s="2" t="s">
        <v>43</v>
      </c>
      <c r="H164" s="2" t="s">
        <v>76</v>
      </c>
      <c r="I164" s="2" t="s">
        <v>360</v>
      </c>
      <c r="J164" s="2">
        <v>64</v>
      </c>
      <c r="AS164" s="2" t="s">
        <v>353</v>
      </c>
      <c r="AT164" s="2" t="s">
        <v>51</v>
      </c>
      <c r="AU164" s="2" t="s">
        <v>55</v>
      </c>
      <c r="AV164" s="2" t="s">
        <v>31</v>
      </c>
      <c r="AW164" s="61">
        <v>20</v>
      </c>
      <c r="AX164" s="2">
        <v>9</v>
      </c>
      <c r="AY164" s="2" t="s">
        <v>25</v>
      </c>
      <c r="AZ164" s="2" t="s">
        <v>46</v>
      </c>
      <c r="BA164" s="2" t="s">
        <v>354</v>
      </c>
      <c r="BB164" s="2">
        <v>53</v>
      </c>
    </row>
    <row r="165" spans="1:54" x14ac:dyDescent="0.3">
      <c r="A165" s="2" t="s">
        <v>361</v>
      </c>
      <c r="B165" s="2" t="s">
        <v>11</v>
      </c>
      <c r="C165" s="2" t="s">
        <v>30</v>
      </c>
      <c r="D165" s="2" t="s">
        <v>13</v>
      </c>
      <c r="E165" s="2">
        <v>20</v>
      </c>
      <c r="F165" s="2">
        <v>10</v>
      </c>
      <c r="G165" s="2" t="s">
        <v>32</v>
      </c>
      <c r="H165" s="2" t="s">
        <v>15</v>
      </c>
      <c r="I165" s="2" t="s">
        <v>362</v>
      </c>
      <c r="J165" s="2">
        <v>49</v>
      </c>
      <c r="AS165" s="2" t="s">
        <v>355</v>
      </c>
      <c r="AT165" s="2" t="s">
        <v>68</v>
      </c>
      <c r="AU165" s="2" t="s">
        <v>79</v>
      </c>
      <c r="AV165" s="2" t="s">
        <v>13</v>
      </c>
      <c r="AW165" s="61">
        <v>15</v>
      </c>
      <c r="AX165" s="2">
        <v>12</v>
      </c>
      <c r="AY165" s="2" t="s">
        <v>14</v>
      </c>
      <c r="AZ165" s="2" t="s">
        <v>20</v>
      </c>
      <c r="BA165" s="2" t="s">
        <v>356</v>
      </c>
      <c r="BB165" s="2">
        <v>37</v>
      </c>
    </row>
    <row r="166" spans="1:54" x14ac:dyDescent="0.3">
      <c r="A166" s="2" t="s">
        <v>363</v>
      </c>
      <c r="B166" s="2" t="s">
        <v>11</v>
      </c>
      <c r="C166" s="2" t="s">
        <v>85</v>
      </c>
      <c r="D166" s="2" t="s">
        <v>31</v>
      </c>
      <c r="E166" s="2">
        <v>15</v>
      </c>
      <c r="F166" s="2">
        <v>10</v>
      </c>
      <c r="G166" s="2" t="s">
        <v>14</v>
      </c>
      <c r="H166" s="2" t="s">
        <v>37</v>
      </c>
      <c r="I166" s="2" t="s">
        <v>364</v>
      </c>
      <c r="J166" s="2">
        <v>71</v>
      </c>
      <c r="AS166" s="2" t="s">
        <v>357</v>
      </c>
      <c r="AT166" s="2" t="s">
        <v>23</v>
      </c>
      <c r="AU166" s="2" t="s">
        <v>24</v>
      </c>
      <c r="AV166" s="2" t="s">
        <v>13</v>
      </c>
      <c r="AW166" s="61">
        <v>16</v>
      </c>
      <c r="AX166" s="2">
        <v>9</v>
      </c>
      <c r="AY166" s="2" t="s">
        <v>25</v>
      </c>
      <c r="AZ166" s="2" t="s">
        <v>20</v>
      </c>
      <c r="BA166" s="2" t="s">
        <v>358</v>
      </c>
      <c r="BB166" s="2">
        <v>66</v>
      </c>
    </row>
    <row r="167" spans="1:54" x14ac:dyDescent="0.3">
      <c r="A167" s="2" t="s">
        <v>365</v>
      </c>
      <c r="B167" s="2" t="s">
        <v>11</v>
      </c>
      <c r="C167" s="2" t="s">
        <v>55</v>
      </c>
      <c r="D167" s="2" t="s">
        <v>13</v>
      </c>
      <c r="E167" s="2">
        <v>16</v>
      </c>
      <c r="F167" s="2">
        <v>10</v>
      </c>
      <c r="G167" s="2" t="s">
        <v>32</v>
      </c>
      <c r="H167" s="2" t="s">
        <v>15</v>
      </c>
      <c r="I167" s="2" t="s">
        <v>366</v>
      </c>
      <c r="J167" s="2">
        <v>72</v>
      </c>
      <c r="AS167" s="2" t="s">
        <v>359</v>
      </c>
      <c r="AT167" s="2" t="s">
        <v>68</v>
      </c>
      <c r="AU167" s="2" t="s">
        <v>85</v>
      </c>
      <c r="AV167" s="2" t="s">
        <v>13</v>
      </c>
      <c r="AW167" s="61">
        <v>19</v>
      </c>
      <c r="AX167" s="2">
        <v>11</v>
      </c>
      <c r="AY167" s="2" t="s">
        <v>43</v>
      </c>
      <c r="AZ167" s="2" t="s">
        <v>76</v>
      </c>
      <c r="BA167" s="2" t="s">
        <v>360</v>
      </c>
      <c r="BB167" s="2">
        <v>64</v>
      </c>
    </row>
    <row r="168" spans="1:54" x14ac:dyDescent="0.3">
      <c r="A168" s="2" t="s">
        <v>367</v>
      </c>
      <c r="B168" s="2" t="s">
        <v>35</v>
      </c>
      <c r="C168" s="2" t="s">
        <v>12</v>
      </c>
      <c r="D168" s="2" t="s">
        <v>31</v>
      </c>
      <c r="E168" s="2">
        <v>15</v>
      </c>
      <c r="F168" s="2">
        <v>10</v>
      </c>
      <c r="G168" s="2" t="s">
        <v>32</v>
      </c>
      <c r="H168" s="2" t="s">
        <v>20</v>
      </c>
      <c r="I168" s="2" t="s">
        <v>368</v>
      </c>
      <c r="J168" s="2">
        <v>99</v>
      </c>
      <c r="AS168" s="2" t="s">
        <v>361</v>
      </c>
      <c r="AT168" s="2" t="s">
        <v>11</v>
      </c>
      <c r="AU168" s="2" t="s">
        <v>30</v>
      </c>
      <c r="AV168" s="2" t="s">
        <v>13</v>
      </c>
      <c r="AW168" s="61">
        <v>20</v>
      </c>
      <c r="AX168" s="2">
        <v>10</v>
      </c>
      <c r="AY168" s="2" t="s">
        <v>32</v>
      </c>
      <c r="AZ168" s="2" t="s">
        <v>15</v>
      </c>
      <c r="BA168" s="2" t="s">
        <v>362</v>
      </c>
      <c r="BB168" s="2">
        <v>49</v>
      </c>
    </row>
    <row r="169" spans="1:54" x14ac:dyDescent="0.3">
      <c r="A169" s="2" t="s">
        <v>369</v>
      </c>
      <c r="B169" s="2" t="s">
        <v>23</v>
      </c>
      <c r="C169" s="2" t="s">
        <v>24</v>
      </c>
      <c r="D169" s="2" t="s">
        <v>31</v>
      </c>
      <c r="E169" s="2">
        <v>17</v>
      </c>
      <c r="F169" s="2">
        <v>12</v>
      </c>
      <c r="G169" s="2" t="s">
        <v>43</v>
      </c>
      <c r="H169" s="2" t="s">
        <v>61</v>
      </c>
      <c r="I169" s="2" t="s">
        <v>370</v>
      </c>
      <c r="J169" s="2">
        <v>96</v>
      </c>
      <c r="AS169" s="2" t="s">
        <v>363</v>
      </c>
      <c r="AT169" s="2" t="s">
        <v>11</v>
      </c>
      <c r="AU169" s="2" t="s">
        <v>85</v>
      </c>
      <c r="AV169" s="2" t="s">
        <v>31</v>
      </c>
      <c r="AW169" s="61">
        <v>15</v>
      </c>
      <c r="AX169" s="2">
        <v>10</v>
      </c>
      <c r="AY169" s="2" t="s">
        <v>14</v>
      </c>
      <c r="AZ169" s="2" t="s">
        <v>37</v>
      </c>
      <c r="BA169" s="2" t="s">
        <v>364</v>
      </c>
      <c r="BB169" s="2">
        <v>71</v>
      </c>
    </row>
    <row r="170" spans="1:54" x14ac:dyDescent="0.3">
      <c r="A170" s="2" t="s">
        <v>371</v>
      </c>
      <c r="B170" s="2" t="s">
        <v>35</v>
      </c>
      <c r="C170" s="2" t="s">
        <v>58</v>
      </c>
      <c r="D170" s="2" t="s">
        <v>31</v>
      </c>
      <c r="E170" s="2">
        <v>19</v>
      </c>
      <c r="F170" s="2">
        <v>9</v>
      </c>
      <c r="G170" s="2" t="s">
        <v>14</v>
      </c>
      <c r="H170" s="2" t="s">
        <v>20</v>
      </c>
      <c r="I170" s="2" t="s">
        <v>372</v>
      </c>
      <c r="J170" s="2">
        <v>87</v>
      </c>
      <c r="AS170" s="2" t="s">
        <v>365</v>
      </c>
      <c r="AT170" s="2" t="s">
        <v>11</v>
      </c>
      <c r="AU170" s="2" t="s">
        <v>55</v>
      </c>
      <c r="AV170" s="2" t="s">
        <v>13</v>
      </c>
      <c r="AW170" s="61">
        <v>16</v>
      </c>
      <c r="AX170" s="2">
        <v>10</v>
      </c>
      <c r="AY170" s="2" t="s">
        <v>32</v>
      </c>
      <c r="AZ170" s="2" t="s">
        <v>15</v>
      </c>
      <c r="BA170" s="2" t="s">
        <v>366</v>
      </c>
      <c r="BB170" s="2">
        <v>72</v>
      </c>
    </row>
    <row r="171" spans="1:54" x14ac:dyDescent="0.3">
      <c r="A171" s="2" t="s">
        <v>373</v>
      </c>
      <c r="B171" s="2" t="s">
        <v>51</v>
      </c>
      <c r="C171" s="2" t="s">
        <v>19</v>
      </c>
      <c r="D171" s="2" t="s">
        <v>13</v>
      </c>
      <c r="E171" s="2">
        <v>15</v>
      </c>
      <c r="F171" s="2">
        <v>11</v>
      </c>
      <c r="G171" s="2" t="s">
        <v>14</v>
      </c>
      <c r="H171" s="2" t="s">
        <v>61</v>
      </c>
      <c r="I171" s="2" t="s">
        <v>374</v>
      </c>
      <c r="J171" s="2">
        <v>78</v>
      </c>
      <c r="AS171" s="2" t="s">
        <v>367</v>
      </c>
      <c r="AT171" s="2" t="s">
        <v>35</v>
      </c>
      <c r="AU171" s="2" t="s">
        <v>12</v>
      </c>
      <c r="AV171" s="2" t="s">
        <v>31</v>
      </c>
      <c r="AW171" s="61">
        <v>15</v>
      </c>
      <c r="AX171" s="2">
        <v>10</v>
      </c>
      <c r="AY171" s="2" t="s">
        <v>32</v>
      </c>
      <c r="AZ171" s="2" t="s">
        <v>20</v>
      </c>
      <c r="BA171" s="2" t="s">
        <v>368</v>
      </c>
      <c r="BB171" s="2">
        <v>99</v>
      </c>
    </row>
    <row r="172" spans="1:54" x14ac:dyDescent="0.3">
      <c r="A172" s="2" t="s">
        <v>375</v>
      </c>
      <c r="B172" s="2" t="s">
        <v>35</v>
      </c>
      <c r="C172" s="2" t="s">
        <v>36</v>
      </c>
      <c r="D172" s="2" t="s">
        <v>13</v>
      </c>
      <c r="E172" s="2">
        <v>18</v>
      </c>
      <c r="F172" s="2">
        <v>11</v>
      </c>
      <c r="G172" s="2" t="s">
        <v>25</v>
      </c>
      <c r="H172" s="2" t="s">
        <v>40</v>
      </c>
      <c r="I172" s="2" t="s">
        <v>376</v>
      </c>
      <c r="J172" s="2">
        <v>62</v>
      </c>
      <c r="AS172" s="2" t="s">
        <v>369</v>
      </c>
      <c r="AT172" s="2" t="s">
        <v>23</v>
      </c>
      <c r="AU172" s="2" t="s">
        <v>24</v>
      </c>
      <c r="AV172" s="2" t="s">
        <v>31</v>
      </c>
      <c r="AW172" s="61">
        <v>17</v>
      </c>
      <c r="AX172" s="2">
        <v>12</v>
      </c>
      <c r="AY172" s="2" t="s">
        <v>43</v>
      </c>
      <c r="AZ172" s="2" t="s">
        <v>61</v>
      </c>
      <c r="BA172" s="2" t="s">
        <v>370</v>
      </c>
      <c r="BB172" s="2">
        <v>96</v>
      </c>
    </row>
    <row r="173" spans="1:54" x14ac:dyDescent="0.3">
      <c r="A173" s="2" t="s">
        <v>377</v>
      </c>
      <c r="B173" s="2" t="s">
        <v>35</v>
      </c>
      <c r="C173" s="2" t="s">
        <v>30</v>
      </c>
      <c r="D173" s="2" t="s">
        <v>13</v>
      </c>
      <c r="E173" s="2">
        <v>20</v>
      </c>
      <c r="F173" s="2">
        <v>11</v>
      </c>
      <c r="G173" s="2" t="s">
        <v>32</v>
      </c>
      <c r="H173" s="2" t="s">
        <v>37</v>
      </c>
      <c r="I173" s="2" t="s">
        <v>189</v>
      </c>
      <c r="J173" s="2">
        <v>79</v>
      </c>
      <c r="AS173" s="2" t="s">
        <v>371</v>
      </c>
      <c r="AT173" s="2" t="s">
        <v>35</v>
      </c>
      <c r="AU173" s="2" t="s">
        <v>58</v>
      </c>
      <c r="AV173" s="2" t="s">
        <v>31</v>
      </c>
      <c r="AW173" s="61">
        <v>19</v>
      </c>
      <c r="AX173" s="2">
        <v>9</v>
      </c>
      <c r="AY173" s="2" t="s">
        <v>14</v>
      </c>
      <c r="AZ173" s="2" t="s">
        <v>20</v>
      </c>
      <c r="BA173" s="2" t="s">
        <v>372</v>
      </c>
      <c r="BB173" s="2">
        <v>87</v>
      </c>
    </row>
    <row r="174" spans="1:54" x14ac:dyDescent="0.3">
      <c r="A174" s="2" t="s">
        <v>378</v>
      </c>
      <c r="B174" s="2" t="s">
        <v>18</v>
      </c>
      <c r="C174" s="2" t="s">
        <v>55</v>
      </c>
      <c r="D174" s="2" t="s">
        <v>31</v>
      </c>
      <c r="E174" s="2">
        <v>17</v>
      </c>
      <c r="F174" s="2">
        <v>9</v>
      </c>
      <c r="G174" s="2" t="s">
        <v>32</v>
      </c>
      <c r="H174" s="2" t="s">
        <v>26</v>
      </c>
      <c r="I174" s="2" t="s">
        <v>379</v>
      </c>
      <c r="J174" s="2">
        <v>66</v>
      </c>
      <c r="AS174" s="2" t="s">
        <v>373</v>
      </c>
      <c r="AT174" s="2" t="s">
        <v>51</v>
      </c>
      <c r="AU174" s="2" t="s">
        <v>19</v>
      </c>
      <c r="AV174" s="2" t="s">
        <v>13</v>
      </c>
      <c r="AW174" s="61">
        <v>15</v>
      </c>
      <c r="AX174" s="2">
        <v>11</v>
      </c>
      <c r="AY174" s="2" t="s">
        <v>14</v>
      </c>
      <c r="AZ174" s="2" t="s">
        <v>61</v>
      </c>
      <c r="BA174" s="2" t="s">
        <v>374</v>
      </c>
      <c r="BB174" s="2">
        <v>78</v>
      </c>
    </row>
    <row r="175" spans="1:54" x14ac:dyDescent="0.3">
      <c r="A175" s="2" t="s">
        <v>380</v>
      </c>
      <c r="B175" s="2" t="s">
        <v>11</v>
      </c>
      <c r="C175" s="2" t="s">
        <v>24</v>
      </c>
      <c r="D175" s="2" t="s">
        <v>31</v>
      </c>
      <c r="E175" s="2">
        <v>18</v>
      </c>
      <c r="F175" s="2">
        <v>11</v>
      </c>
      <c r="G175" s="2" t="s">
        <v>32</v>
      </c>
      <c r="H175" s="2" t="s">
        <v>61</v>
      </c>
      <c r="I175" s="2" t="s">
        <v>381</v>
      </c>
      <c r="J175" s="2">
        <v>67</v>
      </c>
      <c r="AS175" s="2" t="s">
        <v>375</v>
      </c>
      <c r="AT175" s="2" t="s">
        <v>35</v>
      </c>
      <c r="AU175" s="2" t="s">
        <v>36</v>
      </c>
      <c r="AV175" s="2" t="s">
        <v>13</v>
      </c>
      <c r="AW175" s="61">
        <v>18</v>
      </c>
      <c r="AX175" s="2">
        <v>11</v>
      </c>
      <c r="AY175" s="2" t="s">
        <v>25</v>
      </c>
      <c r="AZ175" s="2" t="s">
        <v>40</v>
      </c>
      <c r="BA175" s="2" t="s">
        <v>376</v>
      </c>
      <c r="BB175" s="2">
        <v>62</v>
      </c>
    </row>
    <row r="176" spans="1:54" x14ac:dyDescent="0.3">
      <c r="A176" s="2" t="s">
        <v>382</v>
      </c>
      <c r="B176" s="2" t="s">
        <v>51</v>
      </c>
      <c r="C176" s="2" t="s">
        <v>85</v>
      </c>
      <c r="D176" s="2" t="s">
        <v>13</v>
      </c>
      <c r="E176" s="2">
        <v>16</v>
      </c>
      <c r="F176" s="2">
        <v>10</v>
      </c>
      <c r="G176" s="2" t="s">
        <v>43</v>
      </c>
      <c r="H176" s="2" t="s">
        <v>61</v>
      </c>
      <c r="I176" s="2" t="s">
        <v>383</v>
      </c>
      <c r="J176" s="2">
        <v>72</v>
      </c>
      <c r="AS176" s="2" t="s">
        <v>377</v>
      </c>
      <c r="AT176" s="2" t="s">
        <v>35</v>
      </c>
      <c r="AU176" s="2" t="s">
        <v>30</v>
      </c>
      <c r="AV176" s="2" t="s">
        <v>13</v>
      </c>
      <c r="AW176" s="61">
        <v>20</v>
      </c>
      <c r="AX176" s="2">
        <v>11</v>
      </c>
      <c r="AY176" s="2" t="s">
        <v>32</v>
      </c>
      <c r="AZ176" s="2" t="s">
        <v>37</v>
      </c>
      <c r="BA176" s="2" t="s">
        <v>189</v>
      </c>
      <c r="BB176" s="2">
        <v>79</v>
      </c>
    </row>
    <row r="177" spans="1:54" x14ac:dyDescent="0.3">
      <c r="A177" s="2" t="s">
        <v>384</v>
      </c>
      <c r="B177" s="2" t="s">
        <v>54</v>
      </c>
      <c r="C177" s="2" t="s">
        <v>19</v>
      </c>
      <c r="D177" s="2" t="s">
        <v>31</v>
      </c>
      <c r="E177" s="2">
        <v>16</v>
      </c>
      <c r="F177" s="2">
        <v>12</v>
      </c>
      <c r="G177" s="2" t="s">
        <v>25</v>
      </c>
      <c r="H177" s="2" t="s">
        <v>20</v>
      </c>
      <c r="I177" s="2" t="s">
        <v>385</v>
      </c>
      <c r="J177" s="2">
        <v>39</v>
      </c>
      <c r="AS177" s="2" t="s">
        <v>378</v>
      </c>
      <c r="AT177" s="2" t="s">
        <v>18</v>
      </c>
      <c r="AU177" s="2" t="s">
        <v>55</v>
      </c>
      <c r="AV177" s="2" t="s">
        <v>31</v>
      </c>
      <c r="AW177" s="61">
        <v>17</v>
      </c>
      <c r="AX177" s="2">
        <v>9</v>
      </c>
      <c r="AY177" s="2" t="s">
        <v>32</v>
      </c>
      <c r="AZ177" s="2" t="s">
        <v>26</v>
      </c>
      <c r="BA177" s="2" t="s">
        <v>379</v>
      </c>
      <c r="BB177" s="2">
        <v>66</v>
      </c>
    </row>
    <row r="178" spans="1:54" x14ac:dyDescent="0.3">
      <c r="A178" s="2" t="s">
        <v>386</v>
      </c>
      <c r="B178" s="2" t="s">
        <v>68</v>
      </c>
      <c r="C178" s="2" t="s">
        <v>96</v>
      </c>
      <c r="D178" s="2" t="s">
        <v>13</v>
      </c>
      <c r="E178" s="2">
        <v>18</v>
      </c>
      <c r="F178" s="2">
        <v>9</v>
      </c>
      <c r="G178" s="2" t="s">
        <v>25</v>
      </c>
      <c r="H178" s="2" t="s">
        <v>46</v>
      </c>
      <c r="I178" s="2" t="s">
        <v>387</v>
      </c>
      <c r="J178" s="2">
        <v>74</v>
      </c>
      <c r="AS178" s="2" t="s">
        <v>380</v>
      </c>
      <c r="AT178" s="2" t="s">
        <v>11</v>
      </c>
      <c r="AU178" s="2" t="s">
        <v>24</v>
      </c>
      <c r="AV178" s="2" t="s">
        <v>31</v>
      </c>
      <c r="AW178" s="61">
        <v>18</v>
      </c>
      <c r="AX178" s="2">
        <v>11</v>
      </c>
      <c r="AY178" s="2" t="s">
        <v>32</v>
      </c>
      <c r="AZ178" s="2" t="s">
        <v>61</v>
      </c>
      <c r="BA178" s="2" t="s">
        <v>381</v>
      </c>
      <c r="BB178" s="2">
        <v>67</v>
      </c>
    </row>
    <row r="179" spans="1:54" x14ac:dyDescent="0.3">
      <c r="A179" s="2" t="s">
        <v>388</v>
      </c>
      <c r="B179" s="2" t="s">
        <v>73</v>
      </c>
      <c r="C179" s="2" t="s">
        <v>12</v>
      </c>
      <c r="D179" s="2" t="s">
        <v>31</v>
      </c>
      <c r="E179" s="2">
        <v>19</v>
      </c>
      <c r="F179" s="2">
        <v>11</v>
      </c>
      <c r="G179" s="2" t="s">
        <v>43</v>
      </c>
      <c r="H179" s="2" t="s">
        <v>61</v>
      </c>
      <c r="I179" s="2" t="s">
        <v>214</v>
      </c>
      <c r="J179" s="2">
        <v>88</v>
      </c>
      <c r="AS179" s="2" t="s">
        <v>382</v>
      </c>
      <c r="AT179" s="2" t="s">
        <v>51</v>
      </c>
      <c r="AU179" s="2" t="s">
        <v>85</v>
      </c>
      <c r="AV179" s="2" t="s">
        <v>13</v>
      </c>
      <c r="AW179" s="61">
        <v>16</v>
      </c>
      <c r="AX179" s="2">
        <v>10</v>
      </c>
      <c r="AY179" s="2" t="s">
        <v>43</v>
      </c>
      <c r="AZ179" s="2" t="s">
        <v>61</v>
      </c>
      <c r="BA179" s="2" t="s">
        <v>383</v>
      </c>
      <c r="BB179" s="2">
        <v>72</v>
      </c>
    </row>
    <row r="180" spans="1:54" x14ac:dyDescent="0.3">
      <c r="A180" s="2" t="s">
        <v>389</v>
      </c>
      <c r="B180" s="2" t="s">
        <v>54</v>
      </c>
      <c r="C180" s="2" t="s">
        <v>58</v>
      </c>
      <c r="D180" s="2" t="s">
        <v>31</v>
      </c>
      <c r="E180" s="2">
        <v>14</v>
      </c>
      <c r="F180" s="2">
        <v>11</v>
      </c>
      <c r="G180" s="2" t="s">
        <v>32</v>
      </c>
      <c r="H180" s="2" t="s">
        <v>76</v>
      </c>
      <c r="I180" s="2" t="s">
        <v>390</v>
      </c>
      <c r="J180" s="2">
        <v>54</v>
      </c>
      <c r="AS180" s="2" t="s">
        <v>384</v>
      </c>
      <c r="AT180" s="2" t="s">
        <v>54</v>
      </c>
      <c r="AU180" s="2" t="s">
        <v>19</v>
      </c>
      <c r="AV180" s="2" t="s">
        <v>31</v>
      </c>
      <c r="AW180" s="61">
        <v>16</v>
      </c>
      <c r="AX180" s="2">
        <v>12</v>
      </c>
      <c r="AY180" s="2" t="s">
        <v>25</v>
      </c>
      <c r="AZ180" s="2" t="s">
        <v>20</v>
      </c>
      <c r="BA180" s="2" t="s">
        <v>385</v>
      </c>
      <c r="BB180" s="2">
        <v>39</v>
      </c>
    </row>
    <row r="181" spans="1:54" x14ac:dyDescent="0.3">
      <c r="A181" s="2" t="s">
        <v>391</v>
      </c>
      <c r="B181" s="2" t="s">
        <v>68</v>
      </c>
      <c r="C181" s="2" t="s">
        <v>19</v>
      </c>
      <c r="D181" s="2" t="s">
        <v>13</v>
      </c>
      <c r="E181" s="2">
        <v>19</v>
      </c>
      <c r="F181" s="2">
        <v>12</v>
      </c>
      <c r="G181" s="2" t="s">
        <v>25</v>
      </c>
      <c r="H181" s="2" t="s">
        <v>46</v>
      </c>
      <c r="I181" s="2" t="s">
        <v>392</v>
      </c>
      <c r="J181" s="2">
        <v>46</v>
      </c>
      <c r="AS181" s="2" t="s">
        <v>386</v>
      </c>
      <c r="AT181" s="2" t="s">
        <v>68</v>
      </c>
      <c r="AU181" s="2" t="s">
        <v>96</v>
      </c>
      <c r="AV181" s="2" t="s">
        <v>13</v>
      </c>
      <c r="AW181" s="61">
        <v>18</v>
      </c>
      <c r="AX181" s="2">
        <v>9</v>
      </c>
      <c r="AY181" s="2" t="s">
        <v>25</v>
      </c>
      <c r="AZ181" s="2" t="s">
        <v>46</v>
      </c>
      <c r="BA181" s="2" t="s">
        <v>387</v>
      </c>
      <c r="BB181" s="2">
        <v>74</v>
      </c>
    </row>
    <row r="182" spans="1:54" x14ac:dyDescent="0.3">
      <c r="A182" s="2" t="s">
        <v>393</v>
      </c>
      <c r="B182" s="2" t="s">
        <v>68</v>
      </c>
      <c r="C182" s="2" t="s">
        <v>85</v>
      </c>
      <c r="D182" s="2" t="s">
        <v>13</v>
      </c>
      <c r="E182" s="2">
        <v>15</v>
      </c>
      <c r="F182" s="2">
        <v>10</v>
      </c>
      <c r="G182" s="2" t="s">
        <v>32</v>
      </c>
      <c r="H182" s="2" t="s">
        <v>37</v>
      </c>
      <c r="I182" s="2" t="s">
        <v>394</v>
      </c>
      <c r="J182" s="2">
        <v>89</v>
      </c>
      <c r="AS182" s="2" t="s">
        <v>388</v>
      </c>
      <c r="AT182" s="2" t="s">
        <v>73</v>
      </c>
      <c r="AU182" s="2" t="s">
        <v>12</v>
      </c>
      <c r="AV182" s="2" t="s">
        <v>31</v>
      </c>
      <c r="AW182" s="61">
        <v>19</v>
      </c>
      <c r="AX182" s="2">
        <v>11</v>
      </c>
      <c r="AY182" s="2" t="s">
        <v>43</v>
      </c>
      <c r="AZ182" s="2" t="s">
        <v>61</v>
      </c>
      <c r="BA182" s="2" t="s">
        <v>214</v>
      </c>
      <c r="BB182" s="2">
        <v>88</v>
      </c>
    </row>
    <row r="183" spans="1:54" x14ac:dyDescent="0.3">
      <c r="A183" s="2" t="s">
        <v>395</v>
      </c>
      <c r="B183" s="2" t="s">
        <v>11</v>
      </c>
      <c r="C183" s="2" t="s">
        <v>96</v>
      </c>
      <c r="D183" s="2" t="s">
        <v>13</v>
      </c>
      <c r="E183" s="2">
        <v>18</v>
      </c>
      <c r="F183" s="2">
        <v>11</v>
      </c>
      <c r="G183" s="2" t="s">
        <v>25</v>
      </c>
      <c r="H183" s="2" t="s">
        <v>37</v>
      </c>
      <c r="I183" s="2" t="s">
        <v>396</v>
      </c>
      <c r="J183" s="2">
        <v>65</v>
      </c>
      <c r="AS183" s="2" t="s">
        <v>389</v>
      </c>
      <c r="AT183" s="2" t="s">
        <v>54</v>
      </c>
      <c r="AU183" s="2" t="s">
        <v>58</v>
      </c>
      <c r="AV183" s="2" t="s">
        <v>31</v>
      </c>
      <c r="AW183" s="61">
        <v>14</v>
      </c>
      <c r="AX183" s="2">
        <v>11</v>
      </c>
      <c r="AY183" s="2" t="s">
        <v>32</v>
      </c>
      <c r="AZ183" s="2" t="s">
        <v>76</v>
      </c>
      <c r="BA183" s="2" t="s">
        <v>390</v>
      </c>
      <c r="BB183" s="2">
        <v>54</v>
      </c>
    </row>
    <row r="184" spans="1:54" x14ac:dyDescent="0.3">
      <c r="A184" s="2" t="s">
        <v>397</v>
      </c>
      <c r="B184" s="2" t="s">
        <v>23</v>
      </c>
      <c r="C184" s="2" t="s">
        <v>12</v>
      </c>
      <c r="D184" s="2" t="s">
        <v>13</v>
      </c>
      <c r="E184" s="2">
        <v>20</v>
      </c>
      <c r="F184" s="2">
        <v>9</v>
      </c>
      <c r="G184" s="2" t="s">
        <v>25</v>
      </c>
      <c r="H184" s="2" t="s">
        <v>46</v>
      </c>
      <c r="I184" s="2" t="s">
        <v>398</v>
      </c>
      <c r="J184" s="2">
        <v>91</v>
      </c>
      <c r="AS184" s="2" t="s">
        <v>391</v>
      </c>
      <c r="AT184" s="2" t="s">
        <v>68</v>
      </c>
      <c r="AU184" s="2" t="s">
        <v>19</v>
      </c>
      <c r="AV184" s="2" t="s">
        <v>13</v>
      </c>
      <c r="AW184" s="61">
        <v>19</v>
      </c>
      <c r="AX184" s="2">
        <v>12</v>
      </c>
      <c r="AY184" s="2" t="s">
        <v>25</v>
      </c>
      <c r="AZ184" s="2" t="s">
        <v>46</v>
      </c>
      <c r="BA184" s="2" t="s">
        <v>392</v>
      </c>
      <c r="BB184" s="2">
        <v>46</v>
      </c>
    </row>
    <row r="185" spans="1:54" x14ac:dyDescent="0.3">
      <c r="A185" s="2" t="s">
        <v>399</v>
      </c>
      <c r="B185" s="2" t="s">
        <v>35</v>
      </c>
      <c r="C185" s="2" t="s">
        <v>79</v>
      </c>
      <c r="D185" s="2" t="s">
        <v>13</v>
      </c>
      <c r="E185" s="2">
        <v>17</v>
      </c>
      <c r="F185" s="2">
        <v>10</v>
      </c>
      <c r="G185" s="2" t="s">
        <v>43</v>
      </c>
      <c r="H185" s="2" t="s">
        <v>37</v>
      </c>
      <c r="I185" s="2" t="s">
        <v>400</v>
      </c>
      <c r="J185" s="2">
        <v>78</v>
      </c>
      <c r="AS185" s="2" t="s">
        <v>393</v>
      </c>
      <c r="AT185" s="2" t="s">
        <v>68</v>
      </c>
      <c r="AU185" s="2" t="s">
        <v>85</v>
      </c>
      <c r="AV185" s="2" t="s">
        <v>13</v>
      </c>
      <c r="AW185" s="61">
        <v>15</v>
      </c>
      <c r="AX185" s="2">
        <v>10</v>
      </c>
      <c r="AY185" s="2" t="s">
        <v>32</v>
      </c>
      <c r="AZ185" s="2" t="s">
        <v>37</v>
      </c>
      <c r="BA185" s="2" t="s">
        <v>394</v>
      </c>
      <c r="BB185" s="2">
        <v>89</v>
      </c>
    </row>
    <row r="186" spans="1:54" x14ac:dyDescent="0.3">
      <c r="A186" s="2" t="s">
        <v>401</v>
      </c>
      <c r="B186" s="2" t="s">
        <v>11</v>
      </c>
      <c r="C186" s="2" t="s">
        <v>79</v>
      </c>
      <c r="D186" s="2" t="s">
        <v>31</v>
      </c>
      <c r="E186" s="2">
        <v>15</v>
      </c>
      <c r="F186" s="2">
        <v>11</v>
      </c>
      <c r="G186" s="2" t="s">
        <v>43</v>
      </c>
      <c r="H186" s="2" t="s">
        <v>40</v>
      </c>
      <c r="I186" s="2" t="s">
        <v>402</v>
      </c>
      <c r="J186" s="2">
        <v>84</v>
      </c>
      <c r="AS186" s="2" t="s">
        <v>395</v>
      </c>
      <c r="AT186" s="2" t="s">
        <v>11</v>
      </c>
      <c r="AU186" s="2" t="s">
        <v>96</v>
      </c>
      <c r="AV186" s="2" t="s">
        <v>13</v>
      </c>
      <c r="AW186" s="61">
        <v>18</v>
      </c>
      <c r="AX186" s="2">
        <v>11</v>
      </c>
      <c r="AY186" s="2" t="s">
        <v>25</v>
      </c>
      <c r="AZ186" s="2" t="s">
        <v>37</v>
      </c>
      <c r="BA186" s="2" t="s">
        <v>396</v>
      </c>
      <c r="BB186" s="2">
        <v>65</v>
      </c>
    </row>
    <row r="187" spans="1:54" x14ac:dyDescent="0.3">
      <c r="A187" s="2" t="s">
        <v>403</v>
      </c>
      <c r="B187" s="2" t="s">
        <v>11</v>
      </c>
      <c r="C187" s="2" t="s">
        <v>12</v>
      </c>
      <c r="D187" s="2" t="s">
        <v>31</v>
      </c>
      <c r="E187" s="2">
        <v>19</v>
      </c>
      <c r="F187" s="2">
        <v>9</v>
      </c>
      <c r="G187" s="2" t="s">
        <v>43</v>
      </c>
      <c r="H187" s="2" t="s">
        <v>46</v>
      </c>
      <c r="I187" s="2" t="s">
        <v>404</v>
      </c>
      <c r="J187" s="2">
        <v>37</v>
      </c>
      <c r="AS187" s="2" t="s">
        <v>397</v>
      </c>
      <c r="AT187" s="2" t="s">
        <v>23</v>
      </c>
      <c r="AU187" s="2" t="s">
        <v>12</v>
      </c>
      <c r="AV187" s="2" t="s">
        <v>13</v>
      </c>
      <c r="AW187" s="61">
        <v>20</v>
      </c>
      <c r="AX187" s="2">
        <v>9</v>
      </c>
      <c r="AY187" s="2" t="s">
        <v>25</v>
      </c>
      <c r="AZ187" s="2" t="s">
        <v>46</v>
      </c>
      <c r="BA187" s="2" t="s">
        <v>398</v>
      </c>
      <c r="BB187" s="2">
        <v>91</v>
      </c>
    </row>
    <row r="188" spans="1:54" x14ac:dyDescent="0.3">
      <c r="A188" s="2" t="s">
        <v>405</v>
      </c>
      <c r="B188" s="2" t="s">
        <v>18</v>
      </c>
      <c r="C188" s="2" t="s">
        <v>19</v>
      </c>
      <c r="D188" s="2" t="s">
        <v>31</v>
      </c>
      <c r="E188" s="2">
        <v>18</v>
      </c>
      <c r="F188" s="2">
        <v>12</v>
      </c>
      <c r="G188" s="2" t="s">
        <v>25</v>
      </c>
      <c r="H188" s="2" t="s">
        <v>37</v>
      </c>
      <c r="I188" s="2" t="s">
        <v>406</v>
      </c>
      <c r="J188" s="2">
        <v>70</v>
      </c>
      <c r="AS188" s="2" t="s">
        <v>399</v>
      </c>
      <c r="AT188" s="2" t="s">
        <v>35</v>
      </c>
      <c r="AU188" s="2" t="s">
        <v>79</v>
      </c>
      <c r="AV188" s="2" t="s">
        <v>13</v>
      </c>
      <c r="AW188" s="61">
        <v>17</v>
      </c>
      <c r="AX188" s="2">
        <v>10</v>
      </c>
      <c r="AY188" s="2" t="s">
        <v>43</v>
      </c>
      <c r="AZ188" s="2" t="s">
        <v>37</v>
      </c>
      <c r="BA188" s="2" t="s">
        <v>400</v>
      </c>
      <c r="BB188" s="2">
        <v>78</v>
      </c>
    </row>
    <row r="189" spans="1:54" x14ac:dyDescent="0.3">
      <c r="A189" s="2" t="s">
        <v>407</v>
      </c>
      <c r="B189" s="2" t="s">
        <v>29</v>
      </c>
      <c r="C189" s="2" t="s">
        <v>12</v>
      </c>
      <c r="D189" s="2" t="s">
        <v>31</v>
      </c>
      <c r="E189" s="2">
        <v>16</v>
      </c>
      <c r="F189" s="2">
        <v>10</v>
      </c>
      <c r="G189" s="2" t="s">
        <v>14</v>
      </c>
      <c r="H189" s="2" t="s">
        <v>40</v>
      </c>
      <c r="I189" s="2" t="s">
        <v>71</v>
      </c>
      <c r="J189" s="2">
        <v>100</v>
      </c>
      <c r="AS189" s="2" t="s">
        <v>401</v>
      </c>
      <c r="AT189" s="2" t="s">
        <v>11</v>
      </c>
      <c r="AU189" s="2" t="s">
        <v>79</v>
      </c>
      <c r="AV189" s="2" t="s">
        <v>31</v>
      </c>
      <c r="AW189" s="61">
        <v>15</v>
      </c>
      <c r="AX189" s="2">
        <v>11</v>
      </c>
      <c r="AY189" s="2" t="s">
        <v>43</v>
      </c>
      <c r="AZ189" s="2" t="s">
        <v>40</v>
      </c>
      <c r="BA189" s="2" t="s">
        <v>402</v>
      </c>
      <c r="BB189" s="2">
        <v>84</v>
      </c>
    </row>
    <row r="190" spans="1:54" x14ac:dyDescent="0.3">
      <c r="A190" s="2" t="s">
        <v>408</v>
      </c>
      <c r="B190" s="2" t="s">
        <v>51</v>
      </c>
      <c r="C190" s="2" t="s">
        <v>85</v>
      </c>
      <c r="D190" s="2" t="s">
        <v>13</v>
      </c>
      <c r="E190" s="2">
        <v>17</v>
      </c>
      <c r="F190" s="2">
        <v>11</v>
      </c>
      <c r="G190" s="2" t="s">
        <v>25</v>
      </c>
      <c r="H190" s="2" t="s">
        <v>46</v>
      </c>
      <c r="I190" s="2" t="s">
        <v>52</v>
      </c>
      <c r="J190" s="2">
        <v>42</v>
      </c>
      <c r="AS190" s="2" t="s">
        <v>403</v>
      </c>
      <c r="AT190" s="2" t="s">
        <v>11</v>
      </c>
      <c r="AU190" s="2" t="s">
        <v>12</v>
      </c>
      <c r="AV190" s="2" t="s">
        <v>31</v>
      </c>
      <c r="AW190" s="61">
        <v>19</v>
      </c>
      <c r="AX190" s="2">
        <v>9</v>
      </c>
      <c r="AY190" s="2" t="s">
        <v>43</v>
      </c>
      <c r="AZ190" s="2" t="s">
        <v>46</v>
      </c>
      <c r="BA190" s="2" t="s">
        <v>404</v>
      </c>
      <c r="BB190" s="2">
        <v>37</v>
      </c>
    </row>
    <row r="191" spans="1:54" x14ac:dyDescent="0.3">
      <c r="A191" s="2" t="s">
        <v>409</v>
      </c>
      <c r="B191" s="2" t="s">
        <v>84</v>
      </c>
      <c r="C191" s="2" t="s">
        <v>24</v>
      </c>
      <c r="D191" s="2" t="s">
        <v>13</v>
      </c>
      <c r="E191" s="2">
        <v>20</v>
      </c>
      <c r="F191" s="2">
        <v>9</v>
      </c>
      <c r="G191" s="2" t="s">
        <v>25</v>
      </c>
      <c r="H191" s="2" t="s">
        <v>46</v>
      </c>
      <c r="I191" s="2" t="s">
        <v>290</v>
      </c>
      <c r="J191" s="2">
        <v>68</v>
      </c>
      <c r="AS191" s="2" t="s">
        <v>405</v>
      </c>
      <c r="AT191" s="2" t="s">
        <v>18</v>
      </c>
      <c r="AU191" s="2" t="s">
        <v>19</v>
      </c>
      <c r="AV191" s="2" t="s">
        <v>31</v>
      </c>
      <c r="AW191" s="61">
        <v>18</v>
      </c>
      <c r="AX191" s="2">
        <v>12</v>
      </c>
      <c r="AY191" s="2" t="s">
        <v>25</v>
      </c>
      <c r="AZ191" s="2" t="s">
        <v>37</v>
      </c>
      <c r="BA191" s="2" t="s">
        <v>406</v>
      </c>
      <c r="BB191" s="2">
        <v>70</v>
      </c>
    </row>
    <row r="192" spans="1:54" x14ac:dyDescent="0.3">
      <c r="A192" s="2" t="s">
        <v>410</v>
      </c>
      <c r="B192" s="2" t="s">
        <v>18</v>
      </c>
      <c r="C192" s="2" t="s">
        <v>55</v>
      </c>
      <c r="D192" s="2" t="s">
        <v>31</v>
      </c>
      <c r="E192" s="2">
        <v>20</v>
      </c>
      <c r="F192" s="2">
        <v>10</v>
      </c>
      <c r="G192" s="2" t="s">
        <v>43</v>
      </c>
      <c r="H192" s="2" t="s">
        <v>40</v>
      </c>
      <c r="I192" s="2" t="s">
        <v>411</v>
      </c>
      <c r="J192" s="2">
        <v>59</v>
      </c>
      <c r="AS192" s="2" t="s">
        <v>407</v>
      </c>
      <c r="AT192" s="2" t="s">
        <v>29</v>
      </c>
      <c r="AU192" s="2" t="s">
        <v>12</v>
      </c>
      <c r="AV192" s="2" t="s">
        <v>31</v>
      </c>
      <c r="AW192" s="61">
        <v>16</v>
      </c>
      <c r="AX192" s="2">
        <v>10</v>
      </c>
      <c r="AY192" s="2" t="s">
        <v>14</v>
      </c>
      <c r="AZ192" s="2" t="s">
        <v>40</v>
      </c>
      <c r="BA192" s="2" t="s">
        <v>71</v>
      </c>
      <c r="BB192" s="2">
        <v>100</v>
      </c>
    </row>
    <row r="193" spans="1:54" x14ac:dyDescent="0.3">
      <c r="A193" s="2" t="s">
        <v>412</v>
      </c>
      <c r="B193" s="2" t="s">
        <v>73</v>
      </c>
      <c r="C193" s="2" t="s">
        <v>55</v>
      </c>
      <c r="D193" s="2" t="s">
        <v>13</v>
      </c>
      <c r="E193" s="2">
        <v>16</v>
      </c>
      <c r="F193" s="2">
        <v>12</v>
      </c>
      <c r="G193" s="2" t="s">
        <v>32</v>
      </c>
      <c r="H193" s="2" t="s">
        <v>46</v>
      </c>
      <c r="I193" s="2" t="s">
        <v>413</v>
      </c>
      <c r="J193" s="2">
        <v>85</v>
      </c>
      <c r="AS193" s="2" t="s">
        <v>408</v>
      </c>
      <c r="AT193" s="2" t="s">
        <v>51</v>
      </c>
      <c r="AU193" s="2" t="s">
        <v>85</v>
      </c>
      <c r="AV193" s="2" t="s">
        <v>13</v>
      </c>
      <c r="AW193" s="61">
        <v>17</v>
      </c>
      <c r="AX193" s="2">
        <v>11</v>
      </c>
      <c r="AY193" s="2" t="s">
        <v>25</v>
      </c>
      <c r="AZ193" s="2" t="s">
        <v>46</v>
      </c>
      <c r="BA193" s="2" t="s">
        <v>52</v>
      </c>
      <c r="BB193" s="2">
        <v>42</v>
      </c>
    </row>
    <row r="194" spans="1:54" x14ac:dyDescent="0.3">
      <c r="A194" s="2" t="s">
        <v>414</v>
      </c>
      <c r="B194" s="2" t="s">
        <v>11</v>
      </c>
      <c r="C194" s="2" t="s">
        <v>55</v>
      </c>
      <c r="D194" s="2" t="s">
        <v>13</v>
      </c>
      <c r="E194" s="2">
        <v>16</v>
      </c>
      <c r="F194" s="2">
        <v>12</v>
      </c>
      <c r="G194" s="2" t="s">
        <v>32</v>
      </c>
      <c r="H194" s="2" t="s">
        <v>37</v>
      </c>
      <c r="I194" s="2" t="s">
        <v>415</v>
      </c>
      <c r="J194" s="2">
        <v>47</v>
      </c>
      <c r="AS194" s="2" t="s">
        <v>409</v>
      </c>
      <c r="AT194" s="2" t="s">
        <v>84</v>
      </c>
      <c r="AU194" s="2" t="s">
        <v>24</v>
      </c>
      <c r="AV194" s="2" t="s">
        <v>13</v>
      </c>
      <c r="AW194" s="61">
        <v>20</v>
      </c>
      <c r="AX194" s="2">
        <v>9</v>
      </c>
      <c r="AY194" s="2" t="s">
        <v>25</v>
      </c>
      <c r="AZ194" s="2" t="s">
        <v>46</v>
      </c>
      <c r="BA194" s="2" t="s">
        <v>290</v>
      </c>
      <c r="BB194" s="2">
        <v>68</v>
      </c>
    </row>
    <row r="195" spans="1:54" x14ac:dyDescent="0.3">
      <c r="A195" s="2" t="s">
        <v>416</v>
      </c>
      <c r="B195" s="2" t="s">
        <v>18</v>
      </c>
      <c r="C195" s="2" t="s">
        <v>79</v>
      </c>
      <c r="D195" s="2" t="s">
        <v>31</v>
      </c>
      <c r="E195" s="2">
        <v>20</v>
      </c>
      <c r="F195" s="2">
        <v>9</v>
      </c>
      <c r="G195" s="2" t="s">
        <v>25</v>
      </c>
      <c r="H195" s="2" t="s">
        <v>37</v>
      </c>
      <c r="I195" s="2" t="s">
        <v>417</v>
      </c>
      <c r="J195" s="2">
        <v>53</v>
      </c>
      <c r="AS195" s="2" t="s">
        <v>410</v>
      </c>
      <c r="AT195" s="2" t="s">
        <v>18</v>
      </c>
      <c r="AU195" s="2" t="s">
        <v>55</v>
      </c>
      <c r="AV195" s="2" t="s">
        <v>31</v>
      </c>
      <c r="AW195" s="61">
        <v>20</v>
      </c>
      <c r="AX195" s="2">
        <v>10</v>
      </c>
      <c r="AY195" s="2" t="s">
        <v>43</v>
      </c>
      <c r="AZ195" s="2" t="s">
        <v>40</v>
      </c>
      <c r="BA195" s="2" t="s">
        <v>411</v>
      </c>
      <c r="BB195" s="2">
        <v>59</v>
      </c>
    </row>
    <row r="196" spans="1:54" x14ac:dyDescent="0.3">
      <c r="A196" s="2" t="s">
        <v>418</v>
      </c>
      <c r="B196" s="2" t="s">
        <v>84</v>
      </c>
      <c r="C196" s="2" t="s">
        <v>24</v>
      </c>
      <c r="D196" s="2" t="s">
        <v>13</v>
      </c>
      <c r="E196" s="2">
        <v>15</v>
      </c>
      <c r="F196" s="2">
        <v>9</v>
      </c>
      <c r="G196" s="2" t="s">
        <v>25</v>
      </c>
      <c r="H196" s="2" t="s">
        <v>20</v>
      </c>
      <c r="I196" s="2" t="s">
        <v>419</v>
      </c>
      <c r="J196" s="2">
        <v>63</v>
      </c>
      <c r="AS196" s="2" t="s">
        <v>412</v>
      </c>
      <c r="AT196" s="2" t="s">
        <v>73</v>
      </c>
      <c r="AU196" s="2" t="s">
        <v>55</v>
      </c>
      <c r="AV196" s="2" t="s">
        <v>13</v>
      </c>
      <c r="AW196" s="61">
        <v>16</v>
      </c>
      <c r="AX196" s="2">
        <v>12</v>
      </c>
      <c r="AY196" s="2" t="s">
        <v>32</v>
      </c>
      <c r="AZ196" s="2" t="s">
        <v>46</v>
      </c>
      <c r="BA196" s="2" t="s">
        <v>413</v>
      </c>
      <c r="BB196" s="2">
        <v>85</v>
      </c>
    </row>
    <row r="197" spans="1:54" x14ac:dyDescent="0.3">
      <c r="A197" s="2" t="s">
        <v>420</v>
      </c>
      <c r="B197" s="2" t="s">
        <v>73</v>
      </c>
      <c r="C197" s="2" t="s">
        <v>85</v>
      </c>
      <c r="D197" s="2" t="s">
        <v>13</v>
      </c>
      <c r="E197" s="2">
        <v>16</v>
      </c>
      <c r="F197" s="2">
        <v>11</v>
      </c>
      <c r="G197" s="2" t="s">
        <v>43</v>
      </c>
      <c r="H197" s="2" t="s">
        <v>46</v>
      </c>
      <c r="I197" s="2" t="s">
        <v>421</v>
      </c>
      <c r="J197" s="2">
        <v>55</v>
      </c>
      <c r="AS197" s="2" t="s">
        <v>414</v>
      </c>
      <c r="AT197" s="2" t="s">
        <v>11</v>
      </c>
      <c r="AU197" s="2" t="s">
        <v>55</v>
      </c>
      <c r="AV197" s="2" t="s">
        <v>13</v>
      </c>
      <c r="AW197" s="61">
        <v>16</v>
      </c>
      <c r="AX197" s="2">
        <v>12</v>
      </c>
      <c r="AY197" s="2" t="s">
        <v>32</v>
      </c>
      <c r="AZ197" s="2" t="s">
        <v>37</v>
      </c>
      <c r="BA197" s="2" t="s">
        <v>415</v>
      </c>
      <c r="BB197" s="2">
        <v>47</v>
      </c>
    </row>
    <row r="198" spans="1:54" x14ac:dyDescent="0.3">
      <c r="A198" s="2" t="s">
        <v>422</v>
      </c>
      <c r="B198" s="2" t="s">
        <v>73</v>
      </c>
      <c r="C198" s="2" t="s">
        <v>96</v>
      </c>
      <c r="D198" s="2" t="s">
        <v>13</v>
      </c>
      <c r="E198" s="2">
        <v>14</v>
      </c>
      <c r="F198" s="2">
        <v>10</v>
      </c>
      <c r="G198" s="2" t="s">
        <v>25</v>
      </c>
      <c r="H198" s="2" t="s">
        <v>15</v>
      </c>
      <c r="I198" s="2" t="s">
        <v>423</v>
      </c>
      <c r="J198" s="2">
        <v>99</v>
      </c>
      <c r="AS198" s="2" t="s">
        <v>416</v>
      </c>
      <c r="AT198" s="2" t="s">
        <v>18</v>
      </c>
      <c r="AU198" s="2" t="s">
        <v>79</v>
      </c>
      <c r="AV198" s="2" t="s">
        <v>31</v>
      </c>
      <c r="AW198" s="61">
        <v>20</v>
      </c>
      <c r="AX198" s="2">
        <v>9</v>
      </c>
      <c r="AY198" s="2" t="s">
        <v>25</v>
      </c>
      <c r="AZ198" s="2" t="s">
        <v>37</v>
      </c>
      <c r="BA198" s="2" t="s">
        <v>417</v>
      </c>
      <c r="BB198" s="2">
        <v>53</v>
      </c>
    </row>
    <row r="199" spans="1:54" x14ac:dyDescent="0.3">
      <c r="A199" s="2" t="s">
        <v>424</v>
      </c>
      <c r="B199" s="2" t="s">
        <v>29</v>
      </c>
      <c r="C199" s="2" t="s">
        <v>36</v>
      </c>
      <c r="D199" s="2" t="s">
        <v>31</v>
      </c>
      <c r="E199" s="2">
        <v>16</v>
      </c>
      <c r="F199" s="2">
        <v>12</v>
      </c>
      <c r="G199" s="2" t="s">
        <v>32</v>
      </c>
      <c r="H199" s="2" t="s">
        <v>37</v>
      </c>
      <c r="I199" s="2" t="s">
        <v>180</v>
      </c>
      <c r="J199" s="2">
        <v>89</v>
      </c>
      <c r="AS199" s="2" t="s">
        <v>418</v>
      </c>
      <c r="AT199" s="2" t="s">
        <v>84</v>
      </c>
      <c r="AU199" s="2" t="s">
        <v>24</v>
      </c>
      <c r="AV199" s="2" t="s">
        <v>13</v>
      </c>
      <c r="AW199" s="61">
        <v>15</v>
      </c>
      <c r="AX199" s="2">
        <v>9</v>
      </c>
      <c r="AY199" s="2" t="s">
        <v>25</v>
      </c>
      <c r="AZ199" s="2" t="s">
        <v>20</v>
      </c>
      <c r="BA199" s="2" t="s">
        <v>419</v>
      </c>
      <c r="BB199" s="2">
        <v>63</v>
      </c>
    </row>
    <row r="200" spans="1:54" x14ac:dyDescent="0.3">
      <c r="A200" s="2" t="s">
        <v>425</v>
      </c>
      <c r="B200" s="2" t="s">
        <v>73</v>
      </c>
      <c r="C200" s="2" t="s">
        <v>30</v>
      </c>
      <c r="D200" s="2" t="s">
        <v>31</v>
      </c>
      <c r="E200" s="2">
        <v>15</v>
      </c>
      <c r="F200" s="2">
        <v>9</v>
      </c>
      <c r="G200" s="2" t="s">
        <v>14</v>
      </c>
      <c r="H200" s="2" t="s">
        <v>76</v>
      </c>
      <c r="I200" s="2" t="s">
        <v>149</v>
      </c>
      <c r="J200" s="2">
        <v>54</v>
      </c>
      <c r="AS200" s="2" t="s">
        <v>420</v>
      </c>
      <c r="AT200" s="2" t="s">
        <v>73</v>
      </c>
      <c r="AU200" s="2" t="s">
        <v>85</v>
      </c>
      <c r="AV200" s="2" t="s">
        <v>13</v>
      </c>
      <c r="AW200" s="61">
        <v>16</v>
      </c>
      <c r="AX200" s="2">
        <v>11</v>
      </c>
      <c r="AY200" s="2" t="s">
        <v>43</v>
      </c>
      <c r="AZ200" s="2" t="s">
        <v>46</v>
      </c>
      <c r="BA200" s="2" t="s">
        <v>421</v>
      </c>
      <c r="BB200" s="2">
        <v>55</v>
      </c>
    </row>
    <row r="201" spans="1:54" x14ac:dyDescent="0.3">
      <c r="A201" s="2" t="s">
        <v>426</v>
      </c>
      <c r="B201" s="2" t="s">
        <v>54</v>
      </c>
      <c r="C201" s="2" t="s">
        <v>96</v>
      </c>
      <c r="D201" s="2" t="s">
        <v>31</v>
      </c>
      <c r="E201" s="2">
        <v>16</v>
      </c>
      <c r="F201" s="2">
        <v>12</v>
      </c>
      <c r="G201" s="2" t="s">
        <v>25</v>
      </c>
      <c r="H201" s="2" t="s">
        <v>20</v>
      </c>
      <c r="I201" s="2" t="s">
        <v>427</v>
      </c>
      <c r="J201" s="2">
        <v>82</v>
      </c>
      <c r="AS201" s="2" t="s">
        <v>422</v>
      </c>
      <c r="AT201" s="2" t="s">
        <v>73</v>
      </c>
      <c r="AU201" s="2" t="s">
        <v>96</v>
      </c>
      <c r="AV201" s="2" t="s">
        <v>13</v>
      </c>
      <c r="AW201" s="61">
        <v>14</v>
      </c>
      <c r="AX201" s="2">
        <v>10</v>
      </c>
      <c r="AY201" s="2" t="s">
        <v>25</v>
      </c>
      <c r="AZ201" s="2" t="s">
        <v>15</v>
      </c>
      <c r="BA201" s="2" t="s">
        <v>423</v>
      </c>
      <c r="BB201" s="2">
        <v>99</v>
      </c>
    </row>
    <row r="202" spans="1:54" x14ac:dyDescent="0.3">
      <c r="A202" s="2" t="s">
        <v>428</v>
      </c>
      <c r="B202" s="2" t="s">
        <v>54</v>
      </c>
      <c r="C202" s="2" t="s">
        <v>55</v>
      </c>
      <c r="D202" s="2" t="s">
        <v>13</v>
      </c>
      <c r="E202" s="2">
        <v>16</v>
      </c>
      <c r="F202" s="2">
        <v>11</v>
      </c>
      <c r="G202" s="2" t="s">
        <v>25</v>
      </c>
      <c r="H202" s="2" t="s">
        <v>15</v>
      </c>
      <c r="I202" s="2" t="s">
        <v>429</v>
      </c>
      <c r="J202" s="2">
        <v>86</v>
      </c>
      <c r="AS202" s="2" t="s">
        <v>424</v>
      </c>
      <c r="AT202" s="2" t="s">
        <v>29</v>
      </c>
      <c r="AU202" s="2" t="s">
        <v>36</v>
      </c>
      <c r="AV202" s="2" t="s">
        <v>31</v>
      </c>
      <c r="AW202" s="61">
        <v>16</v>
      </c>
      <c r="AX202" s="2">
        <v>12</v>
      </c>
      <c r="AY202" s="2" t="s">
        <v>32</v>
      </c>
      <c r="AZ202" s="2" t="s">
        <v>37</v>
      </c>
      <c r="BA202" s="2" t="s">
        <v>180</v>
      </c>
      <c r="BB202" s="2">
        <v>89</v>
      </c>
    </row>
    <row r="203" spans="1:54" x14ac:dyDescent="0.3">
      <c r="A203" s="2" t="s">
        <v>430</v>
      </c>
      <c r="B203" s="2" t="s">
        <v>54</v>
      </c>
      <c r="C203" s="2" t="s">
        <v>30</v>
      </c>
      <c r="D203" s="2" t="s">
        <v>13</v>
      </c>
      <c r="E203" s="2">
        <v>18</v>
      </c>
      <c r="F203" s="2">
        <v>11</v>
      </c>
      <c r="G203" s="2" t="s">
        <v>25</v>
      </c>
      <c r="H203" s="2" t="s">
        <v>26</v>
      </c>
      <c r="I203" s="2" t="s">
        <v>431</v>
      </c>
      <c r="J203" s="2">
        <v>91</v>
      </c>
      <c r="AS203" s="2" t="s">
        <v>425</v>
      </c>
      <c r="AT203" s="2" t="s">
        <v>73</v>
      </c>
      <c r="AU203" s="2" t="s">
        <v>30</v>
      </c>
      <c r="AV203" s="2" t="s">
        <v>31</v>
      </c>
      <c r="AW203" s="61">
        <v>15</v>
      </c>
      <c r="AX203" s="2">
        <v>9</v>
      </c>
      <c r="AY203" s="2" t="s">
        <v>14</v>
      </c>
      <c r="AZ203" s="2" t="s">
        <v>76</v>
      </c>
      <c r="BA203" s="2" t="s">
        <v>149</v>
      </c>
      <c r="BB203" s="2">
        <v>54</v>
      </c>
    </row>
    <row r="204" spans="1:54" x14ac:dyDescent="0.3">
      <c r="A204" s="2" t="s">
        <v>432</v>
      </c>
      <c r="B204" s="2" t="s">
        <v>51</v>
      </c>
      <c r="C204" s="2" t="s">
        <v>24</v>
      </c>
      <c r="D204" s="2" t="s">
        <v>31</v>
      </c>
      <c r="E204" s="2">
        <v>17</v>
      </c>
      <c r="F204" s="2">
        <v>11</v>
      </c>
      <c r="G204" s="2" t="s">
        <v>43</v>
      </c>
      <c r="H204" s="2" t="s">
        <v>15</v>
      </c>
      <c r="I204" s="2" t="s">
        <v>400</v>
      </c>
      <c r="J204" s="2">
        <v>53</v>
      </c>
      <c r="AS204" s="2" t="s">
        <v>426</v>
      </c>
      <c r="AT204" s="2" t="s">
        <v>54</v>
      </c>
      <c r="AU204" s="2" t="s">
        <v>96</v>
      </c>
      <c r="AV204" s="2" t="s">
        <v>31</v>
      </c>
      <c r="AW204" s="61">
        <v>16</v>
      </c>
      <c r="AX204" s="2">
        <v>12</v>
      </c>
      <c r="AY204" s="2" t="s">
        <v>25</v>
      </c>
      <c r="AZ204" s="2" t="s">
        <v>20</v>
      </c>
      <c r="BA204" s="2" t="s">
        <v>427</v>
      </c>
      <c r="BB204" s="2">
        <v>82</v>
      </c>
    </row>
    <row r="205" spans="1:54" x14ac:dyDescent="0.3">
      <c r="A205" s="2" t="s">
        <v>433</v>
      </c>
      <c r="B205" s="2" t="s">
        <v>84</v>
      </c>
      <c r="C205" s="2" t="s">
        <v>36</v>
      </c>
      <c r="D205" s="2" t="s">
        <v>13</v>
      </c>
      <c r="E205" s="2">
        <v>14</v>
      </c>
      <c r="F205" s="2">
        <v>9</v>
      </c>
      <c r="G205" s="2" t="s">
        <v>32</v>
      </c>
      <c r="H205" s="2" t="s">
        <v>15</v>
      </c>
      <c r="I205" s="2" t="s">
        <v>434</v>
      </c>
      <c r="J205" s="2">
        <v>47</v>
      </c>
      <c r="AS205" s="2" t="s">
        <v>428</v>
      </c>
      <c r="AT205" s="2" t="s">
        <v>54</v>
      </c>
      <c r="AU205" s="2" t="s">
        <v>55</v>
      </c>
      <c r="AV205" s="2" t="s">
        <v>13</v>
      </c>
      <c r="AW205" s="61">
        <v>16</v>
      </c>
      <c r="AX205" s="2">
        <v>11</v>
      </c>
      <c r="AY205" s="2" t="s">
        <v>25</v>
      </c>
      <c r="AZ205" s="2" t="s">
        <v>15</v>
      </c>
      <c r="BA205" s="2" t="s">
        <v>429</v>
      </c>
      <c r="BB205" s="2">
        <v>86</v>
      </c>
    </row>
    <row r="206" spans="1:54" x14ac:dyDescent="0.3">
      <c r="A206" s="2" t="s">
        <v>435</v>
      </c>
      <c r="B206" s="2" t="s">
        <v>29</v>
      </c>
      <c r="C206" s="2" t="s">
        <v>30</v>
      </c>
      <c r="D206" s="2" t="s">
        <v>31</v>
      </c>
      <c r="E206" s="2">
        <v>20</v>
      </c>
      <c r="F206" s="2">
        <v>12</v>
      </c>
      <c r="G206" s="2" t="s">
        <v>43</v>
      </c>
      <c r="H206" s="2" t="s">
        <v>26</v>
      </c>
      <c r="I206" s="2" t="s">
        <v>436</v>
      </c>
      <c r="J206" s="2">
        <v>36</v>
      </c>
      <c r="AS206" s="2" t="s">
        <v>430</v>
      </c>
      <c r="AT206" s="2" t="s">
        <v>54</v>
      </c>
      <c r="AU206" s="2" t="s">
        <v>30</v>
      </c>
      <c r="AV206" s="2" t="s">
        <v>13</v>
      </c>
      <c r="AW206" s="61">
        <v>18</v>
      </c>
      <c r="AX206" s="2">
        <v>11</v>
      </c>
      <c r="AY206" s="2" t="s">
        <v>25</v>
      </c>
      <c r="AZ206" s="2" t="s">
        <v>26</v>
      </c>
      <c r="BA206" s="2" t="s">
        <v>431</v>
      </c>
      <c r="BB206" s="2">
        <v>91</v>
      </c>
    </row>
    <row r="207" spans="1:54" x14ac:dyDescent="0.3">
      <c r="A207" s="2" t="s">
        <v>437</v>
      </c>
      <c r="B207" s="2" t="s">
        <v>73</v>
      </c>
      <c r="C207" s="2" t="s">
        <v>30</v>
      </c>
      <c r="D207" s="2" t="s">
        <v>13</v>
      </c>
      <c r="E207" s="2">
        <v>14</v>
      </c>
      <c r="F207" s="2">
        <v>11</v>
      </c>
      <c r="G207" s="2" t="s">
        <v>32</v>
      </c>
      <c r="H207" s="2" t="s">
        <v>76</v>
      </c>
      <c r="I207" s="2" t="s">
        <v>438</v>
      </c>
      <c r="J207" s="2">
        <v>62</v>
      </c>
      <c r="AS207" s="2" t="s">
        <v>432</v>
      </c>
      <c r="AT207" s="2" t="s">
        <v>51</v>
      </c>
      <c r="AU207" s="2" t="s">
        <v>24</v>
      </c>
      <c r="AV207" s="2" t="s">
        <v>31</v>
      </c>
      <c r="AW207" s="61">
        <v>17</v>
      </c>
      <c r="AX207" s="2">
        <v>11</v>
      </c>
      <c r="AY207" s="2" t="s">
        <v>43</v>
      </c>
      <c r="AZ207" s="2" t="s">
        <v>15</v>
      </c>
      <c r="BA207" s="2" t="s">
        <v>400</v>
      </c>
      <c r="BB207" s="2">
        <v>53</v>
      </c>
    </row>
    <row r="208" spans="1:54" x14ac:dyDescent="0.3">
      <c r="A208" s="2" t="s">
        <v>439</v>
      </c>
      <c r="B208" s="2" t="s">
        <v>11</v>
      </c>
      <c r="C208" s="2" t="s">
        <v>12</v>
      </c>
      <c r="D208" s="2" t="s">
        <v>13</v>
      </c>
      <c r="E208" s="2">
        <v>15</v>
      </c>
      <c r="F208" s="2">
        <v>9</v>
      </c>
      <c r="G208" s="2" t="s">
        <v>25</v>
      </c>
      <c r="H208" s="2" t="s">
        <v>15</v>
      </c>
      <c r="I208" s="2" t="s">
        <v>440</v>
      </c>
      <c r="J208" s="2">
        <v>90</v>
      </c>
      <c r="AS208" s="2" t="s">
        <v>433</v>
      </c>
      <c r="AT208" s="2" t="s">
        <v>84</v>
      </c>
      <c r="AU208" s="2" t="s">
        <v>36</v>
      </c>
      <c r="AV208" s="2" t="s">
        <v>13</v>
      </c>
      <c r="AW208" s="61">
        <v>14</v>
      </c>
      <c r="AX208" s="2">
        <v>9</v>
      </c>
      <c r="AY208" s="2" t="s">
        <v>32</v>
      </c>
      <c r="AZ208" s="2" t="s">
        <v>15</v>
      </c>
      <c r="BA208" s="2" t="s">
        <v>434</v>
      </c>
      <c r="BB208" s="2">
        <v>47</v>
      </c>
    </row>
    <row r="209" spans="1:54" x14ac:dyDescent="0.3">
      <c r="A209" s="2" t="s">
        <v>441</v>
      </c>
      <c r="B209" s="2" t="s">
        <v>35</v>
      </c>
      <c r="C209" s="2" t="s">
        <v>12</v>
      </c>
      <c r="D209" s="2" t="s">
        <v>13</v>
      </c>
      <c r="E209" s="2">
        <v>17</v>
      </c>
      <c r="F209" s="2">
        <v>10</v>
      </c>
      <c r="G209" s="2" t="s">
        <v>32</v>
      </c>
      <c r="H209" s="2" t="s">
        <v>15</v>
      </c>
      <c r="I209" s="2" t="s">
        <v>442</v>
      </c>
      <c r="J209" s="2">
        <v>91</v>
      </c>
      <c r="AS209" s="2" t="s">
        <v>435</v>
      </c>
      <c r="AT209" s="2" t="s">
        <v>29</v>
      </c>
      <c r="AU209" s="2" t="s">
        <v>30</v>
      </c>
      <c r="AV209" s="2" t="s">
        <v>31</v>
      </c>
      <c r="AW209" s="61">
        <v>20</v>
      </c>
      <c r="AX209" s="2">
        <v>12</v>
      </c>
      <c r="AY209" s="2" t="s">
        <v>43</v>
      </c>
      <c r="AZ209" s="2" t="s">
        <v>26</v>
      </c>
      <c r="BA209" s="2" t="s">
        <v>436</v>
      </c>
      <c r="BB209" s="2">
        <v>36</v>
      </c>
    </row>
    <row r="210" spans="1:54" x14ac:dyDescent="0.3">
      <c r="A210" s="2" t="s">
        <v>443</v>
      </c>
      <c r="B210" s="2" t="s">
        <v>18</v>
      </c>
      <c r="C210" s="2" t="s">
        <v>96</v>
      </c>
      <c r="D210" s="2" t="s">
        <v>13</v>
      </c>
      <c r="E210" s="2">
        <v>17</v>
      </c>
      <c r="F210" s="2">
        <v>9</v>
      </c>
      <c r="G210" s="2" t="s">
        <v>43</v>
      </c>
      <c r="H210" s="2" t="s">
        <v>37</v>
      </c>
      <c r="I210" s="2" t="s">
        <v>444</v>
      </c>
      <c r="J210" s="2">
        <v>60</v>
      </c>
      <c r="AS210" s="2" t="s">
        <v>437</v>
      </c>
      <c r="AT210" s="2" t="s">
        <v>73</v>
      </c>
      <c r="AU210" s="2" t="s">
        <v>30</v>
      </c>
      <c r="AV210" s="2" t="s">
        <v>13</v>
      </c>
      <c r="AW210" s="61">
        <v>14</v>
      </c>
      <c r="AX210" s="2">
        <v>11</v>
      </c>
      <c r="AY210" s="2" t="s">
        <v>32</v>
      </c>
      <c r="AZ210" s="2" t="s">
        <v>76</v>
      </c>
      <c r="BA210" s="2" t="s">
        <v>438</v>
      </c>
      <c r="BB210" s="2">
        <v>62</v>
      </c>
    </row>
    <row r="211" spans="1:54" x14ac:dyDescent="0.3">
      <c r="A211" s="2" t="s">
        <v>445</v>
      </c>
      <c r="B211" s="2" t="s">
        <v>54</v>
      </c>
      <c r="C211" s="2" t="s">
        <v>96</v>
      </c>
      <c r="D211" s="2" t="s">
        <v>13</v>
      </c>
      <c r="E211" s="2">
        <v>20</v>
      </c>
      <c r="F211" s="2">
        <v>10</v>
      </c>
      <c r="G211" s="2" t="s">
        <v>32</v>
      </c>
      <c r="H211" s="2" t="s">
        <v>46</v>
      </c>
      <c r="I211" s="2" t="s">
        <v>182</v>
      </c>
      <c r="J211" s="2">
        <v>85</v>
      </c>
      <c r="AS211" s="2" t="s">
        <v>439</v>
      </c>
      <c r="AT211" s="2" t="s">
        <v>11</v>
      </c>
      <c r="AU211" s="2" t="s">
        <v>12</v>
      </c>
      <c r="AV211" s="2" t="s">
        <v>13</v>
      </c>
      <c r="AW211" s="61">
        <v>15</v>
      </c>
      <c r="AX211" s="2">
        <v>9</v>
      </c>
      <c r="AY211" s="2" t="s">
        <v>25</v>
      </c>
      <c r="AZ211" s="2" t="s">
        <v>15</v>
      </c>
      <c r="BA211" s="2" t="s">
        <v>440</v>
      </c>
      <c r="BB211" s="2">
        <v>90</v>
      </c>
    </row>
    <row r="212" spans="1:54" x14ac:dyDescent="0.3">
      <c r="A212" s="2" t="s">
        <v>446</v>
      </c>
      <c r="B212" s="2" t="s">
        <v>73</v>
      </c>
      <c r="C212" s="2" t="s">
        <v>24</v>
      </c>
      <c r="D212" s="2" t="s">
        <v>13</v>
      </c>
      <c r="E212" s="2">
        <v>17</v>
      </c>
      <c r="F212" s="2">
        <v>10</v>
      </c>
      <c r="G212" s="2" t="s">
        <v>14</v>
      </c>
      <c r="H212" s="2" t="s">
        <v>20</v>
      </c>
      <c r="I212" s="2" t="s">
        <v>447</v>
      </c>
      <c r="J212" s="2">
        <v>58</v>
      </c>
      <c r="AS212" s="2" t="s">
        <v>441</v>
      </c>
      <c r="AT212" s="2" t="s">
        <v>35</v>
      </c>
      <c r="AU212" s="2" t="s">
        <v>12</v>
      </c>
      <c r="AV212" s="2" t="s">
        <v>13</v>
      </c>
      <c r="AW212" s="61">
        <v>17</v>
      </c>
      <c r="AX212" s="2">
        <v>10</v>
      </c>
      <c r="AY212" s="2" t="s">
        <v>32</v>
      </c>
      <c r="AZ212" s="2" t="s">
        <v>15</v>
      </c>
      <c r="BA212" s="2" t="s">
        <v>442</v>
      </c>
      <c r="BB212" s="2">
        <v>91</v>
      </c>
    </row>
    <row r="213" spans="1:54" x14ac:dyDescent="0.3">
      <c r="A213" s="2" t="s">
        <v>448</v>
      </c>
      <c r="B213" s="2" t="s">
        <v>73</v>
      </c>
      <c r="C213" s="2" t="s">
        <v>36</v>
      </c>
      <c r="D213" s="2" t="s">
        <v>31</v>
      </c>
      <c r="E213" s="2">
        <v>19</v>
      </c>
      <c r="F213" s="2">
        <v>12</v>
      </c>
      <c r="G213" s="2" t="s">
        <v>14</v>
      </c>
      <c r="H213" s="2" t="s">
        <v>37</v>
      </c>
      <c r="I213" s="2" t="s">
        <v>449</v>
      </c>
      <c r="J213" s="2">
        <v>65</v>
      </c>
      <c r="AS213" s="2" t="s">
        <v>443</v>
      </c>
      <c r="AT213" s="2" t="s">
        <v>18</v>
      </c>
      <c r="AU213" s="2" t="s">
        <v>96</v>
      </c>
      <c r="AV213" s="2" t="s">
        <v>13</v>
      </c>
      <c r="AW213" s="61">
        <v>17</v>
      </c>
      <c r="AX213" s="2">
        <v>9</v>
      </c>
      <c r="AY213" s="2" t="s">
        <v>43</v>
      </c>
      <c r="AZ213" s="2" t="s">
        <v>37</v>
      </c>
      <c r="BA213" s="2" t="s">
        <v>444</v>
      </c>
      <c r="BB213" s="2">
        <v>60</v>
      </c>
    </row>
    <row r="214" spans="1:54" x14ac:dyDescent="0.3">
      <c r="A214" s="2" t="s">
        <v>450</v>
      </c>
      <c r="B214" s="2" t="s">
        <v>54</v>
      </c>
      <c r="C214" s="2" t="s">
        <v>55</v>
      </c>
      <c r="D214" s="2" t="s">
        <v>31</v>
      </c>
      <c r="E214" s="2">
        <v>19</v>
      </c>
      <c r="F214" s="2">
        <v>12</v>
      </c>
      <c r="G214" s="2" t="s">
        <v>43</v>
      </c>
      <c r="H214" s="2" t="s">
        <v>20</v>
      </c>
      <c r="I214" s="2" t="s">
        <v>451</v>
      </c>
      <c r="J214" s="2">
        <v>58</v>
      </c>
      <c r="AS214" s="2" t="s">
        <v>445</v>
      </c>
      <c r="AT214" s="2" t="s">
        <v>54</v>
      </c>
      <c r="AU214" s="2" t="s">
        <v>96</v>
      </c>
      <c r="AV214" s="2" t="s">
        <v>13</v>
      </c>
      <c r="AW214" s="61">
        <v>20</v>
      </c>
      <c r="AX214" s="2">
        <v>10</v>
      </c>
      <c r="AY214" s="2" t="s">
        <v>32</v>
      </c>
      <c r="AZ214" s="2" t="s">
        <v>46</v>
      </c>
      <c r="BA214" s="2" t="s">
        <v>182</v>
      </c>
      <c r="BB214" s="2">
        <v>85</v>
      </c>
    </row>
    <row r="215" spans="1:54" x14ac:dyDescent="0.3">
      <c r="A215" s="2" t="s">
        <v>452</v>
      </c>
      <c r="B215" s="2" t="s">
        <v>51</v>
      </c>
      <c r="C215" s="2" t="s">
        <v>12</v>
      </c>
      <c r="D215" s="2" t="s">
        <v>13</v>
      </c>
      <c r="E215" s="2">
        <v>18</v>
      </c>
      <c r="F215" s="2">
        <v>9</v>
      </c>
      <c r="G215" s="2" t="s">
        <v>32</v>
      </c>
      <c r="H215" s="2" t="s">
        <v>76</v>
      </c>
      <c r="I215" s="2" t="s">
        <v>453</v>
      </c>
      <c r="J215" s="2">
        <v>35</v>
      </c>
      <c r="AS215" s="2" t="s">
        <v>446</v>
      </c>
      <c r="AT215" s="2" t="s">
        <v>73</v>
      </c>
      <c r="AU215" s="2" t="s">
        <v>24</v>
      </c>
      <c r="AV215" s="2" t="s">
        <v>13</v>
      </c>
      <c r="AW215" s="61">
        <v>17</v>
      </c>
      <c r="AX215" s="2">
        <v>10</v>
      </c>
      <c r="AY215" s="2" t="s">
        <v>14</v>
      </c>
      <c r="AZ215" s="2" t="s">
        <v>20</v>
      </c>
      <c r="BA215" s="2" t="s">
        <v>447</v>
      </c>
      <c r="BB215" s="2">
        <v>58</v>
      </c>
    </row>
    <row r="216" spans="1:54" x14ac:dyDescent="0.3">
      <c r="A216" s="2" t="s">
        <v>454</v>
      </c>
      <c r="B216" s="2" t="s">
        <v>29</v>
      </c>
      <c r="C216" s="2" t="s">
        <v>12</v>
      </c>
      <c r="D216" s="2" t="s">
        <v>31</v>
      </c>
      <c r="E216" s="2">
        <v>16</v>
      </c>
      <c r="F216" s="2">
        <v>11</v>
      </c>
      <c r="G216" s="2" t="s">
        <v>43</v>
      </c>
      <c r="H216" s="2" t="s">
        <v>61</v>
      </c>
      <c r="I216" s="2" t="s">
        <v>385</v>
      </c>
      <c r="J216" s="2">
        <v>40</v>
      </c>
      <c r="AS216" s="2" t="s">
        <v>448</v>
      </c>
      <c r="AT216" s="2" t="s">
        <v>73</v>
      </c>
      <c r="AU216" s="2" t="s">
        <v>36</v>
      </c>
      <c r="AV216" s="2" t="s">
        <v>31</v>
      </c>
      <c r="AW216" s="61">
        <v>19</v>
      </c>
      <c r="AX216" s="2">
        <v>12</v>
      </c>
      <c r="AY216" s="2" t="s">
        <v>14</v>
      </c>
      <c r="AZ216" s="2" t="s">
        <v>37</v>
      </c>
      <c r="BA216" s="2" t="s">
        <v>449</v>
      </c>
      <c r="BB216" s="2">
        <v>65</v>
      </c>
    </row>
    <row r="217" spans="1:54" x14ac:dyDescent="0.3">
      <c r="A217" s="2" t="s">
        <v>455</v>
      </c>
      <c r="B217" s="2" t="s">
        <v>29</v>
      </c>
      <c r="C217" s="2" t="s">
        <v>30</v>
      </c>
      <c r="D217" s="2" t="s">
        <v>13</v>
      </c>
      <c r="E217" s="2">
        <v>16</v>
      </c>
      <c r="F217" s="2">
        <v>9</v>
      </c>
      <c r="G217" s="2" t="s">
        <v>14</v>
      </c>
      <c r="H217" s="2" t="s">
        <v>61</v>
      </c>
      <c r="I217" s="2" t="s">
        <v>447</v>
      </c>
      <c r="J217" s="2">
        <v>60</v>
      </c>
      <c r="AS217" s="2" t="s">
        <v>450</v>
      </c>
      <c r="AT217" s="2" t="s">
        <v>54</v>
      </c>
      <c r="AU217" s="2" t="s">
        <v>55</v>
      </c>
      <c r="AV217" s="2" t="s">
        <v>31</v>
      </c>
      <c r="AW217" s="61">
        <v>19</v>
      </c>
      <c r="AX217" s="2">
        <v>12</v>
      </c>
      <c r="AY217" s="2" t="s">
        <v>43</v>
      </c>
      <c r="AZ217" s="2" t="s">
        <v>20</v>
      </c>
      <c r="BA217" s="2" t="s">
        <v>451</v>
      </c>
      <c r="BB217" s="2">
        <v>58</v>
      </c>
    </row>
    <row r="218" spans="1:54" x14ac:dyDescent="0.3">
      <c r="A218" s="2" t="s">
        <v>456</v>
      </c>
      <c r="B218" s="2" t="s">
        <v>11</v>
      </c>
      <c r="C218" s="2" t="s">
        <v>55</v>
      </c>
      <c r="D218" s="2" t="s">
        <v>13</v>
      </c>
      <c r="E218" s="2">
        <v>15</v>
      </c>
      <c r="F218" s="2">
        <v>9</v>
      </c>
      <c r="G218" s="2" t="s">
        <v>32</v>
      </c>
      <c r="H218" s="2" t="s">
        <v>61</v>
      </c>
      <c r="I218" s="2" t="s">
        <v>457</v>
      </c>
      <c r="J218" s="2">
        <v>97</v>
      </c>
      <c r="AS218" s="2" t="s">
        <v>452</v>
      </c>
      <c r="AT218" s="2" t="s">
        <v>51</v>
      </c>
      <c r="AU218" s="2" t="s">
        <v>12</v>
      </c>
      <c r="AV218" s="2" t="s">
        <v>13</v>
      </c>
      <c r="AW218" s="61">
        <v>18</v>
      </c>
      <c r="AX218" s="2">
        <v>9</v>
      </c>
      <c r="AY218" s="2" t="s">
        <v>32</v>
      </c>
      <c r="AZ218" s="2" t="s">
        <v>76</v>
      </c>
      <c r="BA218" s="2" t="s">
        <v>453</v>
      </c>
      <c r="BB218" s="2">
        <v>35</v>
      </c>
    </row>
    <row r="219" spans="1:54" x14ac:dyDescent="0.3">
      <c r="A219" s="2" t="s">
        <v>458</v>
      </c>
      <c r="B219" s="2" t="s">
        <v>11</v>
      </c>
      <c r="C219" s="2" t="s">
        <v>55</v>
      </c>
      <c r="D219" s="2" t="s">
        <v>13</v>
      </c>
      <c r="E219" s="2">
        <v>19</v>
      </c>
      <c r="F219" s="2">
        <v>11</v>
      </c>
      <c r="G219" s="2" t="s">
        <v>14</v>
      </c>
      <c r="H219" s="2" t="s">
        <v>46</v>
      </c>
      <c r="I219" s="2" t="s">
        <v>459</v>
      </c>
      <c r="J219" s="2">
        <v>81</v>
      </c>
      <c r="AS219" s="2" t="s">
        <v>454</v>
      </c>
      <c r="AT219" s="2" t="s">
        <v>29</v>
      </c>
      <c r="AU219" s="2" t="s">
        <v>12</v>
      </c>
      <c r="AV219" s="2" t="s">
        <v>31</v>
      </c>
      <c r="AW219" s="61">
        <v>16</v>
      </c>
      <c r="AX219" s="2">
        <v>11</v>
      </c>
      <c r="AY219" s="2" t="s">
        <v>43</v>
      </c>
      <c r="AZ219" s="2" t="s">
        <v>61</v>
      </c>
      <c r="BA219" s="2" t="s">
        <v>385</v>
      </c>
      <c r="BB219" s="2">
        <v>40</v>
      </c>
    </row>
    <row r="220" spans="1:54" x14ac:dyDescent="0.3">
      <c r="A220" s="2" t="s">
        <v>460</v>
      </c>
      <c r="B220" s="2" t="s">
        <v>51</v>
      </c>
      <c r="C220" s="2" t="s">
        <v>96</v>
      </c>
      <c r="D220" s="2" t="s">
        <v>31</v>
      </c>
      <c r="E220" s="2">
        <v>16</v>
      </c>
      <c r="F220" s="2">
        <v>12</v>
      </c>
      <c r="G220" s="2" t="s">
        <v>43</v>
      </c>
      <c r="H220" s="2" t="s">
        <v>15</v>
      </c>
      <c r="I220" s="2" t="s">
        <v>461</v>
      </c>
      <c r="J220" s="2">
        <v>65</v>
      </c>
      <c r="AS220" s="2" t="s">
        <v>455</v>
      </c>
      <c r="AT220" s="2" t="s">
        <v>29</v>
      </c>
      <c r="AU220" s="2" t="s">
        <v>30</v>
      </c>
      <c r="AV220" s="2" t="s">
        <v>13</v>
      </c>
      <c r="AW220" s="61">
        <v>16</v>
      </c>
      <c r="AX220" s="2">
        <v>9</v>
      </c>
      <c r="AY220" s="2" t="s">
        <v>14</v>
      </c>
      <c r="AZ220" s="2" t="s">
        <v>61</v>
      </c>
      <c r="BA220" s="2" t="s">
        <v>447</v>
      </c>
      <c r="BB220" s="2">
        <v>60</v>
      </c>
    </row>
    <row r="221" spans="1:54" x14ac:dyDescent="0.3">
      <c r="A221" s="2" t="s">
        <v>462</v>
      </c>
      <c r="B221" s="2" t="s">
        <v>11</v>
      </c>
      <c r="C221" s="2" t="s">
        <v>24</v>
      </c>
      <c r="D221" s="2" t="s">
        <v>31</v>
      </c>
      <c r="E221" s="2">
        <v>19</v>
      </c>
      <c r="F221" s="2">
        <v>12</v>
      </c>
      <c r="G221" s="2" t="s">
        <v>43</v>
      </c>
      <c r="H221" s="2" t="s">
        <v>37</v>
      </c>
      <c r="I221" s="2" t="s">
        <v>463</v>
      </c>
      <c r="J221" s="2">
        <v>45</v>
      </c>
      <c r="AS221" s="2" t="s">
        <v>456</v>
      </c>
      <c r="AT221" s="2" t="s">
        <v>11</v>
      </c>
      <c r="AU221" s="2" t="s">
        <v>55</v>
      </c>
      <c r="AV221" s="2" t="s">
        <v>13</v>
      </c>
      <c r="AW221" s="61">
        <v>15</v>
      </c>
      <c r="AX221" s="2">
        <v>9</v>
      </c>
      <c r="AY221" s="2" t="s">
        <v>32</v>
      </c>
      <c r="AZ221" s="2" t="s">
        <v>61</v>
      </c>
      <c r="BA221" s="2" t="s">
        <v>457</v>
      </c>
      <c r="BB221" s="2">
        <v>97</v>
      </c>
    </row>
    <row r="222" spans="1:54" x14ac:dyDescent="0.3">
      <c r="A222" s="2" t="s">
        <v>464</v>
      </c>
      <c r="B222" s="2" t="s">
        <v>11</v>
      </c>
      <c r="C222" s="2" t="s">
        <v>36</v>
      </c>
      <c r="D222" s="2" t="s">
        <v>13</v>
      </c>
      <c r="E222" s="2">
        <v>16</v>
      </c>
      <c r="F222" s="2">
        <v>11</v>
      </c>
      <c r="G222" s="2" t="s">
        <v>25</v>
      </c>
      <c r="H222" s="2" t="s">
        <v>40</v>
      </c>
      <c r="I222" s="2" t="s">
        <v>465</v>
      </c>
      <c r="J222" s="2">
        <v>79</v>
      </c>
      <c r="AS222" s="2" t="s">
        <v>458</v>
      </c>
      <c r="AT222" s="2" t="s">
        <v>11</v>
      </c>
      <c r="AU222" s="2" t="s">
        <v>55</v>
      </c>
      <c r="AV222" s="2" t="s">
        <v>13</v>
      </c>
      <c r="AW222" s="61">
        <v>19</v>
      </c>
      <c r="AX222" s="2">
        <v>11</v>
      </c>
      <c r="AY222" s="2" t="s">
        <v>14</v>
      </c>
      <c r="AZ222" s="2" t="s">
        <v>46</v>
      </c>
      <c r="BA222" s="2" t="s">
        <v>459</v>
      </c>
      <c r="BB222" s="2">
        <v>81</v>
      </c>
    </row>
    <row r="223" spans="1:54" x14ac:dyDescent="0.3">
      <c r="A223" s="2" t="s">
        <v>466</v>
      </c>
      <c r="B223" s="2" t="s">
        <v>11</v>
      </c>
      <c r="C223" s="2" t="s">
        <v>55</v>
      </c>
      <c r="D223" s="2" t="s">
        <v>31</v>
      </c>
      <c r="E223" s="2">
        <v>20</v>
      </c>
      <c r="F223" s="2">
        <v>11</v>
      </c>
      <c r="G223" s="2" t="s">
        <v>32</v>
      </c>
      <c r="H223" s="2" t="s">
        <v>40</v>
      </c>
      <c r="I223" s="2" t="s">
        <v>467</v>
      </c>
      <c r="J223" s="2">
        <v>46</v>
      </c>
      <c r="AS223" s="2" t="s">
        <v>460</v>
      </c>
      <c r="AT223" s="2" t="s">
        <v>51</v>
      </c>
      <c r="AU223" s="2" t="s">
        <v>96</v>
      </c>
      <c r="AV223" s="2" t="s">
        <v>31</v>
      </c>
      <c r="AW223" s="61">
        <v>16</v>
      </c>
      <c r="AX223" s="2">
        <v>12</v>
      </c>
      <c r="AY223" s="2" t="s">
        <v>43</v>
      </c>
      <c r="AZ223" s="2" t="s">
        <v>15</v>
      </c>
      <c r="BA223" s="2" t="s">
        <v>461</v>
      </c>
      <c r="BB223" s="2">
        <v>65</v>
      </c>
    </row>
    <row r="224" spans="1:54" x14ac:dyDescent="0.3">
      <c r="A224" s="2" t="s">
        <v>468</v>
      </c>
      <c r="B224" s="2" t="s">
        <v>73</v>
      </c>
      <c r="C224" s="2" t="s">
        <v>12</v>
      </c>
      <c r="D224" s="2" t="s">
        <v>13</v>
      </c>
      <c r="E224" s="2">
        <v>17</v>
      </c>
      <c r="F224" s="2">
        <v>10</v>
      </c>
      <c r="G224" s="2" t="s">
        <v>43</v>
      </c>
      <c r="H224" s="2" t="s">
        <v>15</v>
      </c>
      <c r="I224" s="2" t="s">
        <v>469</v>
      </c>
      <c r="J224" s="2">
        <v>75</v>
      </c>
      <c r="AS224" s="2" t="s">
        <v>462</v>
      </c>
      <c r="AT224" s="2" t="s">
        <v>11</v>
      </c>
      <c r="AU224" s="2" t="s">
        <v>24</v>
      </c>
      <c r="AV224" s="2" t="s">
        <v>31</v>
      </c>
      <c r="AW224" s="61">
        <v>19</v>
      </c>
      <c r="AX224" s="2">
        <v>12</v>
      </c>
      <c r="AY224" s="2" t="s">
        <v>43</v>
      </c>
      <c r="AZ224" s="2" t="s">
        <v>37</v>
      </c>
      <c r="BA224" s="2" t="s">
        <v>463</v>
      </c>
      <c r="BB224" s="2">
        <v>45</v>
      </c>
    </row>
    <row r="225" spans="1:54" x14ac:dyDescent="0.3">
      <c r="A225" s="2" t="s">
        <v>470</v>
      </c>
      <c r="B225" s="2" t="s">
        <v>35</v>
      </c>
      <c r="C225" s="2" t="s">
        <v>96</v>
      </c>
      <c r="D225" s="2" t="s">
        <v>31</v>
      </c>
      <c r="E225" s="2">
        <v>16</v>
      </c>
      <c r="F225" s="2">
        <v>11</v>
      </c>
      <c r="G225" s="2" t="s">
        <v>32</v>
      </c>
      <c r="H225" s="2" t="s">
        <v>61</v>
      </c>
      <c r="I225" s="2" t="s">
        <v>471</v>
      </c>
      <c r="J225" s="2">
        <v>65</v>
      </c>
      <c r="AS225" s="2" t="s">
        <v>464</v>
      </c>
      <c r="AT225" s="2" t="s">
        <v>11</v>
      </c>
      <c r="AU225" s="2" t="s">
        <v>36</v>
      </c>
      <c r="AV225" s="2" t="s">
        <v>13</v>
      </c>
      <c r="AW225" s="61">
        <v>16</v>
      </c>
      <c r="AX225" s="2">
        <v>11</v>
      </c>
      <c r="AY225" s="2" t="s">
        <v>25</v>
      </c>
      <c r="AZ225" s="2" t="s">
        <v>40</v>
      </c>
      <c r="BA225" s="2" t="s">
        <v>465</v>
      </c>
      <c r="BB225" s="2">
        <v>79</v>
      </c>
    </row>
    <row r="226" spans="1:54" x14ac:dyDescent="0.3">
      <c r="A226" s="2" t="s">
        <v>472</v>
      </c>
      <c r="B226" s="2" t="s">
        <v>84</v>
      </c>
      <c r="C226" s="2" t="s">
        <v>79</v>
      </c>
      <c r="D226" s="2" t="s">
        <v>31</v>
      </c>
      <c r="E226" s="2">
        <v>15</v>
      </c>
      <c r="F226" s="2">
        <v>11</v>
      </c>
      <c r="G226" s="2" t="s">
        <v>14</v>
      </c>
      <c r="H226" s="2" t="s">
        <v>40</v>
      </c>
      <c r="I226" s="2" t="s">
        <v>317</v>
      </c>
      <c r="J226" s="2">
        <v>72</v>
      </c>
      <c r="AS226" s="2" t="s">
        <v>466</v>
      </c>
      <c r="AT226" s="2" t="s">
        <v>11</v>
      </c>
      <c r="AU226" s="2" t="s">
        <v>55</v>
      </c>
      <c r="AV226" s="2" t="s">
        <v>31</v>
      </c>
      <c r="AW226" s="61">
        <v>20</v>
      </c>
      <c r="AX226" s="2">
        <v>11</v>
      </c>
      <c r="AY226" s="2" t="s">
        <v>32</v>
      </c>
      <c r="AZ226" s="2" t="s">
        <v>40</v>
      </c>
      <c r="BA226" s="2" t="s">
        <v>467</v>
      </c>
      <c r="BB226" s="2">
        <v>46</v>
      </c>
    </row>
    <row r="227" spans="1:54" x14ac:dyDescent="0.3">
      <c r="A227" s="2" t="s">
        <v>473</v>
      </c>
      <c r="B227" s="2" t="s">
        <v>18</v>
      </c>
      <c r="C227" s="2" t="s">
        <v>19</v>
      </c>
      <c r="D227" s="2" t="s">
        <v>31</v>
      </c>
      <c r="E227" s="2">
        <v>16</v>
      </c>
      <c r="F227" s="2">
        <v>11</v>
      </c>
      <c r="G227" s="2" t="s">
        <v>14</v>
      </c>
      <c r="H227" s="2" t="s">
        <v>61</v>
      </c>
      <c r="I227" s="2" t="s">
        <v>474</v>
      </c>
      <c r="J227" s="2">
        <v>75</v>
      </c>
      <c r="AS227" s="2" t="s">
        <v>468</v>
      </c>
      <c r="AT227" s="2" t="s">
        <v>73</v>
      </c>
      <c r="AU227" s="2" t="s">
        <v>12</v>
      </c>
      <c r="AV227" s="2" t="s">
        <v>13</v>
      </c>
      <c r="AW227" s="61">
        <v>17</v>
      </c>
      <c r="AX227" s="2">
        <v>10</v>
      </c>
      <c r="AY227" s="2" t="s">
        <v>43</v>
      </c>
      <c r="AZ227" s="2" t="s">
        <v>15</v>
      </c>
      <c r="BA227" s="2" t="s">
        <v>469</v>
      </c>
      <c r="BB227" s="2">
        <v>75</v>
      </c>
    </row>
    <row r="228" spans="1:54" x14ac:dyDescent="0.3">
      <c r="A228" s="2" t="s">
        <v>475</v>
      </c>
      <c r="B228" s="2" t="s">
        <v>35</v>
      </c>
      <c r="C228" s="2" t="s">
        <v>79</v>
      </c>
      <c r="D228" s="2" t="s">
        <v>13</v>
      </c>
      <c r="E228" s="2">
        <v>17</v>
      </c>
      <c r="F228" s="2">
        <v>9</v>
      </c>
      <c r="G228" s="2" t="s">
        <v>32</v>
      </c>
      <c r="H228" s="2" t="s">
        <v>15</v>
      </c>
      <c r="I228" s="2" t="s">
        <v>248</v>
      </c>
      <c r="J228" s="2">
        <v>50</v>
      </c>
      <c r="AS228" s="2" t="s">
        <v>470</v>
      </c>
      <c r="AT228" s="2" t="s">
        <v>35</v>
      </c>
      <c r="AU228" s="2" t="s">
        <v>96</v>
      </c>
      <c r="AV228" s="2" t="s">
        <v>31</v>
      </c>
      <c r="AW228" s="61">
        <v>16</v>
      </c>
      <c r="AX228" s="2">
        <v>11</v>
      </c>
      <c r="AY228" s="2" t="s">
        <v>32</v>
      </c>
      <c r="AZ228" s="2" t="s">
        <v>61</v>
      </c>
      <c r="BA228" s="2" t="s">
        <v>471</v>
      </c>
      <c r="BB228" s="2">
        <v>65</v>
      </c>
    </row>
    <row r="229" spans="1:54" x14ac:dyDescent="0.3">
      <c r="A229" s="2" t="s">
        <v>476</v>
      </c>
      <c r="B229" s="2" t="s">
        <v>29</v>
      </c>
      <c r="C229" s="2" t="s">
        <v>55</v>
      </c>
      <c r="D229" s="2" t="s">
        <v>13</v>
      </c>
      <c r="E229" s="2">
        <v>19</v>
      </c>
      <c r="F229" s="2">
        <v>10</v>
      </c>
      <c r="G229" s="2" t="s">
        <v>43</v>
      </c>
      <c r="H229" s="2" t="s">
        <v>26</v>
      </c>
      <c r="I229" s="2" t="s">
        <v>477</v>
      </c>
      <c r="J229" s="2">
        <v>88</v>
      </c>
      <c r="AS229" s="2" t="s">
        <v>472</v>
      </c>
      <c r="AT229" s="2" t="s">
        <v>84</v>
      </c>
      <c r="AU229" s="2" t="s">
        <v>79</v>
      </c>
      <c r="AV229" s="2" t="s">
        <v>31</v>
      </c>
      <c r="AW229" s="61">
        <v>15</v>
      </c>
      <c r="AX229" s="2">
        <v>11</v>
      </c>
      <c r="AY229" s="2" t="s">
        <v>14</v>
      </c>
      <c r="AZ229" s="2" t="s">
        <v>40</v>
      </c>
      <c r="BA229" s="2" t="s">
        <v>317</v>
      </c>
      <c r="BB229" s="2">
        <v>72</v>
      </c>
    </row>
    <row r="230" spans="1:54" x14ac:dyDescent="0.3">
      <c r="A230" s="2" t="s">
        <v>478</v>
      </c>
      <c r="B230" s="2" t="s">
        <v>11</v>
      </c>
      <c r="C230" s="2" t="s">
        <v>36</v>
      </c>
      <c r="D230" s="2" t="s">
        <v>13</v>
      </c>
      <c r="E230" s="2">
        <v>17</v>
      </c>
      <c r="F230" s="2">
        <v>12</v>
      </c>
      <c r="G230" s="2" t="s">
        <v>14</v>
      </c>
      <c r="H230" s="2" t="s">
        <v>37</v>
      </c>
      <c r="I230" s="2" t="s">
        <v>479</v>
      </c>
      <c r="J230" s="2">
        <v>63</v>
      </c>
      <c r="AS230" s="2" t="s">
        <v>473</v>
      </c>
      <c r="AT230" s="2" t="s">
        <v>18</v>
      </c>
      <c r="AU230" s="2" t="s">
        <v>19</v>
      </c>
      <c r="AV230" s="2" t="s">
        <v>31</v>
      </c>
      <c r="AW230" s="61">
        <v>16</v>
      </c>
      <c r="AX230" s="2">
        <v>11</v>
      </c>
      <c r="AY230" s="2" t="s">
        <v>14</v>
      </c>
      <c r="AZ230" s="2" t="s">
        <v>61</v>
      </c>
      <c r="BA230" s="2" t="s">
        <v>474</v>
      </c>
      <c r="BB230" s="2">
        <v>75</v>
      </c>
    </row>
    <row r="231" spans="1:54" x14ac:dyDescent="0.3">
      <c r="A231" s="2" t="s">
        <v>480</v>
      </c>
      <c r="B231" s="2" t="s">
        <v>35</v>
      </c>
      <c r="C231" s="2" t="s">
        <v>12</v>
      </c>
      <c r="D231" s="2" t="s">
        <v>31</v>
      </c>
      <c r="E231" s="2">
        <v>18</v>
      </c>
      <c r="F231" s="2">
        <v>10</v>
      </c>
      <c r="G231" s="2" t="s">
        <v>14</v>
      </c>
      <c r="H231" s="2" t="s">
        <v>37</v>
      </c>
      <c r="I231" s="2" t="s">
        <v>481</v>
      </c>
      <c r="J231" s="2">
        <v>36</v>
      </c>
      <c r="AS231" s="2" t="s">
        <v>475</v>
      </c>
      <c r="AT231" s="2" t="s">
        <v>35</v>
      </c>
      <c r="AU231" s="2" t="s">
        <v>79</v>
      </c>
      <c r="AV231" s="2" t="s">
        <v>13</v>
      </c>
      <c r="AW231" s="61">
        <v>17</v>
      </c>
      <c r="AX231" s="2">
        <v>9</v>
      </c>
      <c r="AY231" s="2" t="s">
        <v>32</v>
      </c>
      <c r="AZ231" s="2" t="s">
        <v>15</v>
      </c>
      <c r="BA231" s="2" t="s">
        <v>248</v>
      </c>
      <c r="BB231" s="2">
        <v>50</v>
      </c>
    </row>
    <row r="232" spans="1:54" x14ac:dyDescent="0.3">
      <c r="A232" s="2" t="s">
        <v>482</v>
      </c>
      <c r="B232" s="2" t="s">
        <v>35</v>
      </c>
      <c r="C232" s="2" t="s">
        <v>24</v>
      </c>
      <c r="D232" s="2" t="s">
        <v>13</v>
      </c>
      <c r="E232" s="2">
        <v>18</v>
      </c>
      <c r="F232" s="2">
        <v>11</v>
      </c>
      <c r="G232" s="2" t="s">
        <v>14</v>
      </c>
      <c r="H232" s="2" t="s">
        <v>61</v>
      </c>
      <c r="I232" s="2" t="s">
        <v>483</v>
      </c>
      <c r="J232" s="2">
        <v>86</v>
      </c>
      <c r="AS232" s="2" t="s">
        <v>476</v>
      </c>
      <c r="AT232" s="2" t="s">
        <v>29</v>
      </c>
      <c r="AU232" s="2" t="s">
        <v>55</v>
      </c>
      <c r="AV232" s="2" t="s">
        <v>13</v>
      </c>
      <c r="AW232" s="61">
        <v>19</v>
      </c>
      <c r="AX232" s="2">
        <v>10</v>
      </c>
      <c r="AY232" s="2" t="s">
        <v>43</v>
      </c>
      <c r="AZ232" s="2" t="s">
        <v>26</v>
      </c>
      <c r="BA232" s="2" t="s">
        <v>477</v>
      </c>
      <c r="BB232" s="2">
        <v>88</v>
      </c>
    </row>
    <row r="233" spans="1:54" x14ac:dyDescent="0.3">
      <c r="A233" s="2" t="s">
        <v>484</v>
      </c>
      <c r="B233" s="2" t="s">
        <v>29</v>
      </c>
      <c r="C233" s="2" t="s">
        <v>79</v>
      </c>
      <c r="D233" s="2" t="s">
        <v>31</v>
      </c>
      <c r="E233" s="2">
        <v>14</v>
      </c>
      <c r="F233" s="2">
        <v>11</v>
      </c>
      <c r="G233" s="2" t="s">
        <v>32</v>
      </c>
      <c r="H233" s="2" t="s">
        <v>40</v>
      </c>
      <c r="I233" s="2" t="s">
        <v>184</v>
      </c>
      <c r="J233" s="2">
        <v>42</v>
      </c>
      <c r="AS233" s="2" t="s">
        <v>478</v>
      </c>
      <c r="AT233" s="2" t="s">
        <v>11</v>
      </c>
      <c r="AU233" s="2" t="s">
        <v>36</v>
      </c>
      <c r="AV233" s="2" t="s">
        <v>13</v>
      </c>
      <c r="AW233" s="61">
        <v>17</v>
      </c>
      <c r="AX233" s="2">
        <v>12</v>
      </c>
      <c r="AY233" s="2" t="s">
        <v>14</v>
      </c>
      <c r="AZ233" s="2" t="s">
        <v>37</v>
      </c>
      <c r="BA233" s="2" t="s">
        <v>479</v>
      </c>
      <c r="BB233" s="2">
        <v>63</v>
      </c>
    </row>
    <row r="234" spans="1:54" x14ac:dyDescent="0.3">
      <c r="A234" s="2" t="s">
        <v>485</v>
      </c>
      <c r="B234" s="2" t="s">
        <v>18</v>
      </c>
      <c r="C234" s="2" t="s">
        <v>12</v>
      </c>
      <c r="D234" s="2" t="s">
        <v>31</v>
      </c>
      <c r="E234" s="2">
        <v>16</v>
      </c>
      <c r="F234" s="2">
        <v>12</v>
      </c>
      <c r="G234" s="2" t="s">
        <v>14</v>
      </c>
      <c r="H234" s="2" t="s">
        <v>76</v>
      </c>
      <c r="I234" s="2" t="s">
        <v>486</v>
      </c>
      <c r="J234" s="2">
        <v>70</v>
      </c>
      <c r="AS234" s="2" t="s">
        <v>480</v>
      </c>
      <c r="AT234" s="2" t="s">
        <v>35</v>
      </c>
      <c r="AU234" s="2" t="s">
        <v>12</v>
      </c>
      <c r="AV234" s="2" t="s">
        <v>31</v>
      </c>
      <c r="AW234" s="61">
        <v>18</v>
      </c>
      <c r="AX234" s="2">
        <v>10</v>
      </c>
      <c r="AY234" s="2" t="s">
        <v>14</v>
      </c>
      <c r="AZ234" s="2" t="s">
        <v>37</v>
      </c>
      <c r="BA234" s="2" t="s">
        <v>481</v>
      </c>
      <c r="BB234" s="2">
        <v>36</v>
      </c>
    </row>
    <row r="235" spans="1:54" x14ac:dyDescent="0.3">
      <c r="A235" s="2" t="s">
        <v>487</v>
      </c>
      <c r="B235" s="2" t="s">
        <v>18</v>
      </c>
      <c r="C235" s="2" t="s">
        <v>79</v>
      </c>
      <c r="D235" s="2" t="s">
        <v>13</v>
      </c>
      <c r="E235" s="2">
        <v>16</v>
      </c>
      <c r="F235" s="2">
        <v>11</v>
      </c>
      <c r="G235" s="2" t="s">
        <v>43</v>
      </c>
      <c r="H235" s="2" t="s">
        <v>61</v>
      </c>
      <c r="I235" s="2" t="s">
        <v>488</v>
      </c>
      <c r="J235" s="2">
        <v>86</v>
      </c>
      <c r="AS235" s="2" t="s">
        <v>482</v>
      </c>
      <c r="AT235" s="2" t="s">
        <v>35</v>
      </c>
      <c r="AU235" s="2" t="s">
        <v>24</v>
      </c>
      <c r="AV235" s="2" t="s">
        <v>13</v>
      </c>
      <c r="AW235" s="61">
        <v>18</v>
      </c>
      <c r="AX235" s="2">
        <v>11</v>
      </c>
      <c r="AY235" s="2" t="s">
        <v>14</v>
      </c>
      <c r="AZ235" s="2" t="s">
        <v>61</v>
      </c>
      <c r="BA235" s="2" t="s">
        <v>483</v>
      </c>
      <c r="BB235" s="2">
        <v>86</v>
      </c>
    </row>
    <row r="236" spans="1:54" x14ac:dyDescent="0.3">
      <c r="A236" s="2" t="s">
        <v>489</v>
      </c>
      <c r="B236" s="2" t="s">
        <v>68</v>
      </c>
      <c r="C236" s="2" t="s">
        <v>58</v>
      </c>
      <c r="D236" s="2" t="s">
        <v>31</v>
      </c>
      <c r="E236" s="2">
        <v>20</v>
      </c>
      <c r="F236" s="2">
        <v>10</v>
      </c>
      <c r="G236" s="2" t="s">
        <v>32</v>
      </c>
      <c r="H236" s="2" t="s">
        <v>20</v>
      </c>
      <c r="I236" s="2" t="s">
        <v>370</v>
      </c>
      <c r="J236" s="2">
        <v>93</v>
      </c>
      <c r="AS236" s="2" t="s">
        <v>484</v>
      </c>
      <c r="AT236" s="2" t="s">
        <v>29</v>
      </c>
      <c r="AU236" s="2" t="s">
        <v>79</v>
      </c>
      <c r="AV236" s="2" t="s">
        <v>31</v>
      </c>
      <c r="AW236" s="61">
        <v>14</v>
      </c>
      <c r="AX236" s="2">
        <v>11</v>
      </c>
      <c r="AY236" s="2" t="s">
        <v>32</v>
      </c>
      <c r="AZ236" s="2" t="s">
        <v>40</v>
      </c>
      <c r="BA236" s="2" t="s">
        <v>184</v>
      </c>
      <c r="BB236" s="2">
        <v>42</v>
      </c>
    </row>
    <row r="237" spans="1:54" x14ac:dyDescent="0.3">
      <c r="A237" s="2" t="s">
        <v>490</v>
      </c>
      <c r="B237" s="2" t="s">
        <v>73</v>
      </c>
      <c r="C237" s="2" t="s">
        <v>96</v>
      </c>
      <c r="D237" s="2" t="s">
        <v>13</v>
      </c>
      <c r="E237" s="2">
        <v>17</v>
      </c>
      <c r="F237" s="2">
        <v>10</v>
      </c>
      <c r="G237" s="2" t="s">
        <v>32</v>
      </c>
      <c r="H237" s="2" t="s">
        <v>61</v>
      </c>
      <c r="I237" s="2" t="s">
        <v>491</v>
      </c>
      <c r="J237" s="2">
        <v>60</v>
      </c>
      <c r="AS237" s="2" t="s">
        <v>485</v>
      </c>
      <c r="AT237" s="2" t="s">
        <v>18</v>
      </c>
      <c r="AU237" s="2" t="s">
        <v>12</v>
      </c>
      <c r="AV237" s="2" t="s">
        <v>31</v>
      </c>
      <c r="AW237" s="61">
        <v>16</v>
      </c>
      <c r="AX237" s="2">
        <v>12</v>
      </c>
      <c r="AY237" s="2" t="s">
        <v>14</v>
      </c>
      <c r="AZ237" s="2" t="s">
        <v>76</v>
      </c>
      <c r="BA237" s="2" t="s">
        <v>486</v>
      </c>
      <c r="BB237" s="2">
        <v>70</v>
      </c>
    </row>
    <row r="238" spans="1:54" x14ac:dyDescent="0.3">
      <c r="A238" s="2" t="s">
        <v>492</v>
      </c>
      <c r="B238" s="2" t="s">
        <v>18</v>
      </c>
      <c r="C238" s="2" t="s">
        <v>85</v>
      </c>
      <c r="D238" s="2" t="s">
        <v>31</v>
      </c>
      <c r="E238" s="2">
        <v>19</v>
      </c>
      <c r="F238" s="2">
        <v>11</v>
      </c>
      <c r="G238" s="2" t="s">
        <v>43</v>
      </c>
      <c r="H238" s="2" t="s">
        <v>15</v>
      </c>
      <c r="I238" s="2" t="s">
        <v>394</v>
      </c>
      <c r="J238" s="2">
        <v>50</v>
      </c>
      <c r="AS238" s="2" t="s">
        <v>487</v>
      </c>
      <c r="AT238" s="2" t="s">
        <v>18</v>
      </c>
      <c r="AU238" s="2" t="s">
        <v>79</v>
      </c>
      <c r="AV238" s="2" t="s">
        <v>13</v>
      </c>
      <c r="AW238" s="61">
        <v>16</v>
      </c>
      <c r="AX238" s="2">
        <v>11</v>
      </c>
      <c r="AY238" s="2" t="s">
        <v>43</v>
      </c>
      <c r="AZ238" s="2" t="s">
        <v>61</v>
      </c>
      <c r="BA238" s="2" t="s">
        <v>488</v>
      </c>
      <c r="BB238" s="2">
        <v>86</v>
      </c>
    </row>
    <row r="239" spans="1:54" x14ac:dyDescent="0.3">
      <c r="A239" s="2" t="s">
        <v>493</v>
      </c>
      <c r="B239" s="2" t="s">
        <v>51</v>
      </c>
      <c r="C239" s="2" t="s">
        <v>96</v>
      </c>
      <c r="D239" s="2" t="s">
        <v>31</v>
      </c>
      <c r="E239" s="2">
        <v>14</v>
      </c>
      <c r="F239" s="2">
        <v>12</v>
      </c>
      <c r="G239" s="2" t="s">
        <v>14</v>
      </c>
      <c r="H239" s="2" t="s">
        <v>26</v>
      </c>
      <c r="I239" s="2" t="s">
        <v>494</v>
      </c>
      <c r="J239" s="2">
        <v>47</v>
      </c>
      <c r="AS239" s="2" t="s">
        <v>489</v>
      </c>
      <c r="AT239" s="2" t="s">
        <v>68</v>
      </c>
      <c r="AU239" s="2" t="s">
        <v>58</v>
      </c>
      <c r="AV239" s="2" t="s">
        <v>31</v>
      </c>
      <c r="AW239" s="61">
        <v>20</v>
      </c>
      <c r="AX239" s="2">
        <v>10</v>
      </c>
      <c r="AY239" s="2" t="s">
        <v>32</v>
      </c>
      <c r="AZ239" s="2" t="s">
        <v>20</v>
      </c>
      <c r="BA239" s="2" t="s">
        <v>370</v>
      </c>
      <c r="BB239" s="2">
        <v>93</v>
      </c>
    </row>
    <row r="240" spans="1:54" x14ac:dyDescent="0.3">
      <c r="A240" s="2" t="s">
        <v>495</v>
      </c>
      <c r="B240" s="2" t="s">
        <v>35</v>
      </c>
      <c r="C240" s="2" t="s">
        <v>12</v>
      </c>
      <c r="D240" s="2" t="s">
        <v>13</v>
      </c>
      <c r="E240" s="2">
        <v>15</v>
      </c>
      <c r="F240" s="2">
        <v>12</v>
      </c>
      <c r="G240" s="2" t="s">
        <v>43</v>
      </c>
      <c r="H240" s="2" t="s">
        <v>20</v>
      </c>
      <c r="I240" s="2" t="s">
        <v>496</v>
      </c>
      <c r="J240" s="2">
        <v>49</v>
      </c>
      <c r="AS240" s="2" t="s">
        <v>490</v>
      </c>
      <c r="AT240" s="2" t="s">
        <v>73</v>
      </c>
      <c r="AU240" s="2" t="s">
        <v>96</v>
      </c>
      <c r="AV240" s="2" t="s">
        <v>13</v>
      </c>
      <c r="AW240" s="61">
        <v>17</v>
      </c>
      <c r="AX240" s="2">
        <v>10</v>
      </c>
      <c r="AY240" s="2" t="s">
        <v>32</v>
      </c>
      <c r="AZ240" s="2" t="s">
        <v>61</v>
      </c>
      <c r="BA240" s="2" t="s">
        <v>491</v>
      </c>
      <c r="BB240" s="2">
        <v>60</v>
      </c>
    </row>
    <row r="241" spans="1:54" x14ac:dyDescent="0.3">
      <c r="A241" s="2" t="s">
        <v>497</v>
      </c>
      <c r="B241" s="2" t="s">
        <v>51</v>
      </c>
      <c r="C241" s="2" t="s">
        <v>96</v>
      </c>
      <c r="D241" s="2" t="s">
        <v>13</v>
      </c>
      <c r="E241" s="2">
        <v>16</v>
      </c>
      <c r="F241" s="2">
        <v>9</v>
      </c>
      <c r="G241" s="2" t="s">
        <v>25</v>
      </c>
      <c r="H241" s="2" t="s">
        <v>26</v>
      </c>
      <c r="I241" s="2" t="s">
        <v>498</v>
      </c>
      <c r="J241" s="2">
        <v>42</v>
      </c>
      <c r="AS241" s="2" t="s">
        <v>492</v>
      </c>
      <c r="AT241" s="2" t="s">
        <v>18</v>
      </c>
      <c r="AU241" s="2" t="s">
        <v>85</v>
      </c>
      <c r="AV241" s="2" t="s">
        <v>31</v>
      </c>
      <c r="AW241" s="61">
        <v>19</v>
      </c>
      <c r="AX241" s="2">
        <v>11</v>
      </c>
      <c r="AY241" s="2" t="s">
        <v>43</v>
      </c>
      <c r="AZ241" s="2" t="s">
        <v>15</v>
      </c>
      <c r="BA241" s="2" t="s">
        <v>394</v>
      </c>
      <c r="BB241" s="2">
        <v>50</v>
      </c>
    </row>
    <row r="242" spans="1:54" x14ac:dyDescent="0.3">
      <c r="A242" s="2" t="s">
        <v>499</v>
      </c>
      <c r="B242" s="2" t="s">
        <v>54</v>
      </c>
      <c r="C242" s="2" t="s">
        <v>19</v>
      </c>
      <c r="D242" s="2" t="s">
        <v>31</v>
      </c>
      <c r="E242" s="2">
        <v>20</v>
      </c>
      <c r="F242" s="2">
        <v>9</v>
      </c>
      <c r="G242" s="2" t="s">
        <v>32</v>
      </c>
      <c r="H242" s="2" t="s">
        <v>46</v>
      </c>
      <c r="I242" s="2" t="s">
        <v>500</v>
      </c>
      <c r="J242" s="2">
        <v>42</v>
      </c>
      <c r="AS242" s="2" t="s">
        <v>493</v>
      </c>
      <c r="AT242" s="2" t="s">
        <v>51</v>
      </c>
      <c r="AU242" s="2" t="s">
        <v>96</v>
      </c>
      <c r="AV242" s="2" t="s">
        <v>31</v>
      </c>
      <c r="AW242" s="61">
        <v>14</v>
      </c>
      <c r="AX242" s="2">
        <v>12</v>
      </c>
      <c r="AY242" s="2" t="s">
        <v>14</v>
      </c>
      <c r="AZ242" s="2" t="s">
        <v>26</v>
      </c>
      <c r="BA242" s="2" t="s">
        <v>494</v>
      </c>
      <c r="BB242" s="2">
        <v>47</v>
      </c>
    </row>
    <row r="243" spans="1:54" x14ac:dyDescent="0.3">
      <c r="A243" s="2" t="s">
        <v>501</v>
      </c>
      <c r="B243" s="2" t="s">
        <v>84</v>
      </c>
      <c r="C243" s="2" t="s">
        <v>19</v>
      </c>
      <c r="D243" s="2" t="s">
        <v>13</v>
      </c>
      <c r="E243" s="2">
        <v>18</v>
      </c>
      <c r="F243" s="2">
        <v>10</v>
      </c>
      <c r="G243" s="2" t="s">
        <v>14</v>
      </c>
      <c r="H243" s="2" t="s">
        <v>61</v>
      </c>
      <c r="I243" s="2" t="s">
        <v>502</v>
      </c>
      <c r="J243" s="2">
        <v>76</v>
      </c>
      <c r="AS243" s="2" t="s">
        <v>495</v>
      </c>
      <c r="AT243" s="2" t="s">
        <v>35</v>
      </c>
      <c r="AU243" s="2" t="s">
        <v>12</v>
      </c>
      <c r="AV243" s="2" t="s">
        <v>13</v>
      </c>
      <c r="AW243" s="61">
        <v>15</v>
      </c>
      <c r="AX243" s="2">
        <v>12</v>
      </c>
      <c r="AY243" s="2" t="s">
        <v>43</v>
      </c>
      <c r="AZ243" s="2" t="s">
        <v>20</v>
      </c>
      <c r="BA243" s="2" t="s">
        <v>496</v>
      </c>
      <c r="BB243" s="2">
        <v>49</v>
      </c>
    </row>
    <row r="244" spans="1:54" x14ac:dyDescent="0.3">
      <c r="A244" s="2" t="s">
        <v>503</v>
      </c>
      <c r="B244" s="2" t="s">
        <v>84</v>
      </c>
      <c r="C244" s="2" t="s">
        <v>19</v>
      </c>
      <c r="D244" s="2" t="s">
        <v>31</v>
      </c>
      <c r="E244" s="2">
        <v>15</v>
      </c>
      <c r="F244" s="2">
        <v>10</v>
      </c>
      <c r="G244" s="2" t="s">
        <v>43</v>
      </c>
      <c r="H244" s="2" t="s">
        <v>61</v>
      </c>
      <c r="I244" s="2" t="s">
        <v>504</v>
      </c>
      <c r="J244" s="2">
        <v>44</v>
      </c>
      <c r="AS244" s="2" t="s">
        <v>497</v>
      </c>
      <c r="AT244" s="2" t="s">
        <v>51</v>
      </c>
      <c r="AU244" s="2" t="s">
        <v>96</v>
      </c>
      <c r="AV244" s="2" t="s">
        <v>13</v>
      </c>
      <c r="AW244" s="61">
        <v>16</v>
      </c>
      <c r="AX244" s="2">
        <v>9</v>
      </c>
      <c r="AY244" s="2" t="s">
        <v>25</v>
      </c>
      <c r="AZ244" s="2" t="s">
        <v>26</v>
      </c>
      <c r="BA244" s="2" t="s">
        <v>498</v>
      </c>
      <c r="BB244" s="2">
        <v>42</v>
      </c>
    </row>
    <row r="245" spans="1:54" x14ac:dyDescent="0.3">
      <c r="A245" s="2" t="s">
        <v>505</v>
      </c>
      <c r="B245" s="2" t="s">
        <v>11</v>
      </c>
      <c r="C245" s="2" t="s">
        <v>12</v>
      </c>
      <c r="D245" s="2" t="s">
        <v>31</v>
      </c>
      <c r="E245" s="2">
        <v>19</v>
      </c>
      <c r="F245" s="2">
        <v>10</v>
      </c>
      <c r="G245" s="2" t="s">
        <v>14</v>
      </c>
      <c r="H245" s="2" t="s">
        <v>40</v>
      </c>
      <c r="I245" s="2" t="s">
        <v>506</v>
      </c>
      <c r="J245" s="2">
        <v>77</v>
      </c>
      <c r="AS245" s="2" t="s">
        <v>499</v>
      </c>
      <c r="AT245" s="2" t="s">
        <v>54</v>
      </c>
      <c r="AU245" s="2" t="s">
        <v>19</v>
      </c>
      <c r="AV245" s="2" t="s">
        <v>31</v>
      </c>
      <c r="AW245" s="61">
        <v>20</v>
      </c>
      <c r="AX245" s="2">
        <v>9</v>
      </c>
      <c r="AY245" s="2" t="s">
        <v>32</v>
      </c>
      <c r="AZ245" s="2" t="s">
        <v>46</v>
      </c>
      <c r="BA245" s="2" t="s">
        <v>500</v>
      </c>
      <c r="BB245" s="2">
        <v>42</v>
      </c>
    </row>
    <row r="246" spans="1:54" x14ac:dyDescent="0.3">
      <c r="A246" s="2" t="s">
        <v>507</v>
      </c>
      <c r="B246" s="2" t="s">
        <v>54</v>
      </c>
      <c r="C246" s="2" t="s">
        <v>12</v>
      </c>
      <c r="D246" s="2" t="s">
        <v>31</v>
      </c>
      <c r="E246" s="2">
        <v>16</v>
      </c>
      <c r="F246" s="2">
        <v>12</v>
      </c>
      <c r="G246" s="2" t="s">
        <v>43</v>
      </c>
      <c r="H246" s="2" t="s">
        <v>61</v>
      </c>
      <c r="I246" s="2" t="s">
        <v>483</v>
      </c>
      <c r="J246" s="2">
        <v>45</v>
      </c>
      <c r="AS246" s="2" t="s">
        <v>501</v>
      </c>
      <c r="AT246" s="2" t="s">
        <v>84</v>
      </c>
      <c r="AU246" s="2" t="s">
        <v>19</v>
      </c>
      <c r="AV246" s="2" t="s">
        <v>13</v>
      </c>
      <c r="AW246" s="61">
        <v>18</v>
      </c>
      <c r="AX246" s="2">
        <v>10</v>
      </c>
      <c r="AY246" s="2" t="s">
        <v>14</v>
      </c>
      <c r="AZ246" s="2" t="s">
        <v>61</v>
      </c>
      <c r="BA246" s="2" t="s">
        <v>502</v>
      </c>
      <c r="BB246" s="2">
        <v>76</v>
      </c>
    </row>
    <row r="247" spans="1:54" x14ac:dyDescent="0.3">
      <c r="A247" s="2" t="s">
        <v>508</v>
      </c>
      <c r="B247" s="2" t="s">
        <v>73</v>
      </c>
      <c r="C247" s="2" t="s">
        <v>55</v>
      </c>
      <c r="D247" s="2" t="s">
        <v>13</v>
      </c>
      <c r="E247" s="2">
        <v>15</v>
      </c>
      <c r="F247" s="2">
        <v>11</v>
      </c>
      <c r="G247" s="2" t="s">
        <v>43</v>
      </c>
      <c r="H247" s="2" t="s">
        <v>46</v>
      </c>
      <c r="I247" s="2" t="s">
        <v>509</v>
      </c>
      <c r="J247" s="2">
        <v>54</v>
      </c>
      <c r="AS247" s="2" t="s">
        <v>503</v>
      </c>
      <c r="AT247" s="2" t="s">
        <v>84</v>
      </c>
      <c r="AU247" s="2" t="s">
        <v>19</v>
      </c>
      <c r="AV247" s="2" t="s">
        <v>31</v>
      </c>
      <c r="AW247" s="61">
        <v>15</v>
      </c>
      <c r="AX247" s="2">
        <v>10</v>
      </c>
      <c r="AY247" s="2" t="s">
        <v>43</v>
      </c>
      <c r="AZ247" s="2" t="s">
        <v>61</v>
      </c>
      <c r="BA247" s="2" t="s">
        <v>504</v>
      </c>
      <c r="BB247" s="2">
        <v>44</v>
      </c>
    </row>
    <row r="248" spans="1:54" x14ac:dyDescent="0.3">
      <c r="A248" s="2" t="s">
        <v>510</v>
      </c>
      <c r="B248" s="2" t="s">
        <v>54</v>
      </c>
      <c r="C248" s="2" t="s">
        <v>79</v>
      </c>
      <c r="D248" s="2" t="s">
        <v>31</v>
      </c>
      <c r="E248" s="2">
        <v>15</v>
      </c>
      <c r="F248" s="2">
        <v>9</v>
      </c>
      <c r="G248" s="2" t="s">
        <v>14</v>
      </c>
      <c r="H248" s="2" t="s">
        <v>40</v>
      </c>
      <c r="I248" s="2" t="s">
        <v>479</v>
      </c>
      <c r="J248" s="2">
        <v>66</v>
      </c>
      <c r="AS248" s="2" t="s">
        <v>505</v>
      </c>
      <c r="AT248" s="2" t="s">
        <v>11</v>
      </c>
      <c r="AU248" s="2" t="s">
        <v>12</v>
      </c>
      <c r="AV248" s="2" t="s">
        <v>31</v>
      </c>
      <c r="AW248" s="61">
        <v>19</v>
      </c>
      <c r="AX248" s="2">
        <v>10</v>
      </c>
      <c r="AY248" s="2" t="s">
        <v>14</v>
      </c>
      <c r="AZ248" s="2" t="s">
        <v>40</v>
      </c>
      <c r="BA248" s="2" t="s">
        <v>506</v>
      </c>
      <c r="BB248" s="2">
        <v>77</v>
      </c>
    </row>
    <row r="249" spans="1:54" x14ac:dyDescent="0.3">
      <c r="A249" s="2" t="s">
        <v>511</v>
      </c>
      <c r="B249" s="2" t="s">
        <v>35</v>
      </c>
      <c r="C249" s="2" t="s">
        <v>19</v>
      </c>
      <c r="D249" s="2" t="s">
        <v>31</v>
      </c>
      <c r="E249" s="2">
        <v>15</v>
      </c>
      <c r="F249" s="2">
        <v>9</v>
      </c>
      <c r="G249" s="2" t="s">
        <v>25</v>
      </c>
      <c r="H249" s="2" t="s">
        <v>15</v>
      </c>
      <c r="I249" s="2" t="s">
        <v>512</v>
      </c>
      <c r="J249" s="2">
        <v>95</v>
      </c>
      <c r="AS249" s="2" t="s">
        <v>507</v>
      </c>
      <c r="AT249" s="2" t="s">
        <v>54</v>
      </c>
      <c r="AU249" s="2" t="s">
        <v>12</v>
      </c>
      <c r="AV249" s="2" t="s">
        <v>31</v>
      </c>
      <c r="AW249" s="61">
        <v>16</v>
      </c>
      <c r="AX249" s="2">
        <v>12</v>
      </c>
      <c r="AY249" s="2" t="s">
        <v>43</v>
      </c>
      <c r="AZ249" s="2" t="s">
        <v>61</v>
      </c>
      <c r="BA249" s="2" t="s">
        <v>483</v>
      </c>
      <c r="BB249" s="2">
        <v>45</v>
      </c>
    </row>
    <row r="250" spans="1:54" x14ac:dyDescent="0.3">
      <c r="A250" s="2" t="s">
        <v>513</v>
      </c>
      <c r="B250" s="2" t="s">
        <v>11</v>
      </c>
      <c r="C250" s="2" t="s">
        <v>19</v>
      </c>
      <c r="D250" s="2" t="s">
        <v>31</v>
      </c>
      <c r="E250" s="2">
        <v>14</v>
      </c>
      <c r="F250" s="2">
        <v>12</v>
      </c>
      <c r="G250" s="2" t="s">
        <v>32</v>
      </c>
      <c r="H250" s="2" t="s">
        <v>15</v>
      </c>
      <c r="I250" s="2" t="s">
        <v>381</v>
      </c>
      <c r="J250" s="2">
        <v>65</v>
      </c>
      <c r="AS250" s="2" t="s">
        <v>508</v>
      </c>
      <c r="AT250" s="2" t="s">
        <v>73</v>
      </c>
      <c r="AU250" s="2" t="s">
        <v>55</v>
      </c>
      <c r="AV250" s="2" t="s">
        <v>13</v>
      </c>
      <c r="AW250" s="61">
        <v>15</v>
      </c>
      <c r="AX250" s="2">
        <v>11</v>
      </c>
      <c r="AY250" s="2" t="s">
        <v>43</v>
      </c>
      <c r="AZ250" s="2" t="s">
        <v>46</v>
      </c>
      <c r="BA250" s="2" t="s">
        <v>509</v>
      </c>
      <c r="BB250" s="2">
        <v>54</v>
      </c>
    </row>
    <row r="251" spans="1:54" x14ac:dyDescent="0.3">
      <c r="A251" s="2" t="s">
        <v>514</v>
      </c>
      <c r="B251" s="2" t="s">
        <v>11</v>
      </c>
      <c r="C251" s="2" t="s">
        <v>12</v>
      </c>
      <c r="D251" s="2" t="s">
        <v>31</v>
      </c>
      <c r="E251" s="2">
        <v>15</v>
      </c>
      <c r="F251" s="2">
        <v>11</v>
      </c>
      <c r="G251" s="2" t="s">
        <v>25</v>
      </c>
      <c r="H251" s="2" t="s">
        <v>20</v>
      </c>
      <c r="I251" s="2" t="s">
        <v>515</v>
      </c>
      <c r="J251" s="2">
        <v>61</v>
      </c>
      <c r="AS251" s="2" t="s">
        <v>510</v>
      </c>
      <c r="AT251" s="2" t="s">
        <v>54</v>
      </c>
      <c r="AU251" s="2" t="s">
        <v>79</v>
      </c>
      <c r="AV251" s="2" t="s">
        <v>31</v>
      </c>
      <c r="AW251" s="61">
        <v>15</v>
      </c>
      <c r="AX251" s="2">
        <v>9</v>
      </c>
      <c r="AY251" s="2" t="s">
        <v>14</v>
      </c>
      <c r="AZ251" s="2" t="s">
        <v>40</v>
      </c>
      <c r="BA251" s="2" t="s">
        <v>479</v>
      </c>
      <c r="BB251" s="2">
        <v>66</v>
      </c>
    </row>
    <row r="252" spans="1:54" x14ac:dyDescent="0.3">
      <c r="A252" s="2" t="s">
        <v>516</v>
      </c>
      <c r="B252" s="2" t="s">
        <v>18</v>
      </c>
      <c r="C252" s="2" t="s">
        <v>96</v>
      </c>
      <c r="D252" s="2" t="s">
        <v>31</v>
      </c>
      <c r="E252" s="2">
        <v>14</v>
      </c>
      <c r="F252" s="2">
        <v>11</v>
      </c>
      <c r="G252" s="2" t="s">
        <v>32</v>
      </c>
      <c r="H252" s="2" t="s">
        <v>46</v>
      </c>
      <c r="I252" s="2" t="s">
        <v>517</v>
      </c>
      <c r="J252" s="2">
        <v>86</v>
      </c>
      <c r="AS252" s="2" t="s">
        <v>511</v>
      </c>
      <c r="AT252" s="2" t="s">
        <v>35</v>
      </c>
      <c r="AU252" s="2" t="s">
        <v>19</v>
      </c>
      <c r="AV252" s="2" t="s">
        <v>31</v>
      </c>
      <c r="AW252" s="61">
        <v>15</v>
      </c>
      <c r="AX252" s="2">
        <v>9</v>
      </c>
      <c r="AY252" s="2" t="s">
        <v>25</v>
      </c>
      <c r="AZ252" s="2" t="s">
        <v>15</v>
      </c>
      <c r="BA252" s="2" t="s">
        <v>512</v>
      </c>
      <c r="BB252" s="2">
        <v>95</v>
      </c>
    </row>
    <row r="253" spans="1:54" x14ac:dyDescent="0.3">
      <c r="A253" s="2" t="s">
        <v>518</v>
      </c>
      <c r="B253" s="2" t="s">
        <v>51</v>
      </c>
      <c r="C253" s="2" t="s">
        <v>96</v>
      </c>
      <c r="D253" s="2" t="s">
        <v>31</v>
      </c>
      <c r="E253" s="2">
        <v>17</v>
      </c>
      <c r="F253" s="2">
        <v>11</v>
      </c>
      <c r="G253" s="2" t="s">
        <v>25</v>
      </c>
      <c r="H253" s="2" t="s">
        <v>61</v>
      </c>
      <c r="I253" s="2" t="s">
        <v>519</v>
      </c>
      <c r="J253" s="2">
        <v>52</v>
      </c>
      <c r="AS253" s="2" t="s">
        <v>513</v>
      </c>
      <c r="AT253" s="2" t="s">
        <v>11</v>
      </c>
      <c r="AU253" s="2" t="s">
        <v>19</v>
      </c>
      <c r="AV253" s="2" t="s">
        <v>31</v>
      </c>
      <c r="AW253" s="61">
        <v>14</v>
      </c>
      <c r="AX253" s="2">
        <v>12</v>
      </c>
      <c r="AY253" s="2" t="s">
        <v>32</v>
      </c>
      <c r="AZ253" s="2" t="s">
        <v>15</v>
      </c>
      <c r="BA253" s="2" t="s">
        <v>381</v>
      </c>
      <c r="BB253" s="2">
        <v>65</v>
      </c>
    </row>
    <row r="254" spans="1:54" x14ac:dyDescent="0.3">
      <c r="A254" s="2" t="s">
        <v>520</v>
      </c>
      <c r="B254" s="2" t="s">
        <v>68</v>
      </c>
      <c r="C254" s="2" t="s">
        <v>12</v>
      </c>
      <c r="D254" s="2" t="s">
        <v>31</v>
      </c>
      <c r="E254" s="2">
        <v>20</v>
      </c>
      <c r="F254" s="2">
        <v>10</v>
      </c>
      <c r="G254" s="2" t="s">
        <v>32</v>
      </c>
      <c r="H254" s="2" t="s">
        <v>26</v>
      </c>
      <c r="I254" s="2" t="s">
        <v>521</v>
      </c>
      <c r="J254" s="2">
        <v>42</v>
      </c>
      <c r="AS254" s="2" t="s">
        <v>514</v>
      </c>
      <c r="AT254" s="2" t="s">
        <v>11</v>
      </c>
      <c r="AU254" s="2" t="s">
        <v>12</v>
      </c>
      <c r="AV254" s="2" t="s">
        <v>31</v>
      </c>
      <c r="AW254" s="61">
        <v>15</v>
      </c>
      <c r="AX254" s="2">
        <v>11</v>
      </c>
      <c r="AY254" s="2" t="s">
        <v>25</v>
      </c>
      <c r="AZ254" s="2" t="s">
        <v>20</v>
      </c>
      <c r="BA254" s="2" t="s">
        <v>515</v>
      </c>
      <c r="BB254" s="2">
        <v>61</v>
      </c>
    </row>
    <row r="255" spans="1:54" x14ac:dyDescent="0.3">
      <c r="A255" s="2" t="s">
        <v>522</v>
      </c>
      <c r="B255" s="2" t="s">
        <v>54</v>
      </c>
      <c r="C255" s="2" t="s">
        <v>79</v>
      </c>
      <c r="D255" s="2" t="s">
        <v>31</v>
      </c>
      <c r="E255" s="2">
        <v>18</v>
      </c>
      <c r="F255" s="2">
        <v>10</v>
      </c>
      <c r="G255" s="2" t="s">
        <v>14</v>
      </c>
      <c r="H255" s="2" t="s">
        <v>61</v>
      </c>
      <c r="I255" s="2" t="s">
        <v>523</v>
      </c>
      <c r="J255" s="2">
        <v>82</v>
      </c>
      <c r="AS255" s="2" t="s">
        <v>516</v>
      </c>
      <c r="AT255" s="2" t="s">
        <v>18</v>
      </c>
      <c r="AU255" s="2" t="s">
        <v>96</v>
      </c>
      <c r="AV255" s="2" t="s">
        <v>31</v>
      </c>
      <c r="AW255" s="61">
        <v>14</v>
      </c>
      <c r="AX255" s="2">
        <v>11</v>
      </c>
      <c r="AY255" s="2" t="s">
        <v>32</v>
      </c>
      <c r="AZ255" s="2" t="s">
        <v>46</v>
      </c>
      <c r="BA255" s="2" t="s">
        <v>517</v>
      </c>
      <c r="BB255" s="2">
        <v>86</v>
      </c>
    </row>
    <row r="256" spans="1:54" x14ac:dyDescent="0.3">
      <c r="A256" s="2" t="s">
        <v>524</v>
      </c>
      <c r="B256" s="2" t="s">
        <v>35</v>
      </c>
      <c r="C256" s="2" t="s">
        <v>85</v>
      </c>
      <c r="D256" s="2" t="s">
        <v>13</v>
      </c>
      <c r="E256" s="2">
        <v>20</v>
      </c>
      <c r="F256" s="2">
        <v>10</v>
      </c>
      <c r="G256" s="2" t="s">
        <v>14</v>
      </c>
      <c r="H256" s="2" t="s">
        <v>40</v>
      </c>
      <c r="I256" s="2" t="s">
        <v>525</v>
      </c>
      <c r="J256" s="2">
        <v>92</v>
      </c>
      <c r="AS256" s="2" t="s">
        <v>518</v>
      </c>
      <c r="AT256" s="2" t="s">
        <v>51</v>
      </c>
      <c r="AU256" s="2" t="s">
        <v>96</v>
      </c>
      <c r="AV256" s="2" t="s">
        <v>31</v>
      </c>
      <c r="AW256" s="61">
        <v>17</v>
      </c>
      <c r="AX256" s="2">
        <v>11</v>
      </c>
      <c r="AY256" s="2" t="s">
        <v>25</v>
      </c>
      <c r="AZ256" s="2" t="s">
        <v>61</v>
      </c>
      <c r="BA256" s="2" t="s">
        <v>519</v>
      </c>
      <c r="BB256" s="2">
        <v>52</v>
      </c>
    </row>
    <row r="257" spans="1:54" x14ac:dyDescent="0.3">
      <c r="A257" s="2" t="s">
        <v>526</v>
      </c>
      <c r="B257" s="2" t="s">
        <v>18</v>
      </c>
      <c r="C257" s="2" t="s">
        <v>12</v>
      </c>
      <c r="D257" s="2" t="s">
        <v>31</v>
      </c>
      <c r="E257" s="2">
        <v>18</v>
      </c>
      <c r="F257" s="2">
        <v>9</v>
      </c>
      <c r="G257" s="2" t="s">
        <v>14</v>
      </c>
      <c r="H257" s="2" t="s">
        <v>15</v>
      </c>
      <c r="I257" s="2" t="s">
        <v>346</v>
      </c>
      <c r="J257" s="2">
        <v>59</v>
      </c>
      <c r="AS257" s="2" t="s">
        <v>520</v>
      </c>
      <c r="AT257" s="2" t="s">
        <v>68</v>
      </c>
      <c r="AU257" s="2" t="s">
        <v>12</v>
      </c>
      <c r="AV257" s="2" t="s">
        <v>31</v>
      </c>
      <c r="AW257" s="61">
        <v>20</v>
      </c>
      <c r="AX257" s="2">
        <v>10</v>
      </c>
      <c r="AY257" s="2" t="s">
        <v>32</v>
      </c>
      <c r="AZ257" s="2" t="s">
        <v>26</v>
      </c>
      <c r="BA257" s="2" t="s">
        <v>521</v>
      </c>
      <c r="BB257" s="2">
        <v>42</v>
      </c>
    </row>
    <row r="258" spans="1:54" x14ac:dyDescent="0.3">
      <c r="A258" s="2" t="s">
        <v>527</v>
      </c>
      <c r="B258" s="2" t="s">
        <v>11</v>
      </c>
      <c r="C258" s="2" t="s">
        <v>85</v>
      </c>
      <c r="D258" s="2" t="s">
        <v>13</v>
      </c>
      <c r="E258" s="2">
        <v>20</v>
      </c>
      <c r="F258" s="2">
        <v>12</v>
      </c>
      <c r="G258" s="2" t="s">
        <v>25</v>
      </c>
      <c r="H258" s="2" t="s">
        <v>46</v>
      </c>
      <c r="I258" s="2" t="s">
        <v>451</v>
      </c>
      <c r="J258" s="2">
        <v>86</v>
      </c>
      <c r="AS258" s="2" t="s">
        <v>522</v>
      </c>
      <c r="AT258" s="2" t="s">
        <v>54</v>
      </c>
      <c r="AU258" s="2" t="s">
        <v>79</v>
      </c>
      <c r="AV258" s="2" t="s">
        <v>31</v>
      </c>
      <c r="AW258" s="61">
        <v>18</v>
      </c>
      <c r="AX258" s="2">
        <v>10</v>
      </c>
      <c r="AY258" s="2" t="s">
        <v>14</v>
      </c>
      <c r="AZ258" s="2" t="s">
        <v>61</v>
      </c>
      <c r="BA258" s="2" t="s">
        <v>523</v>
      </c>
      <c r="BB258" s="2">
        <v>82</v>
      </c>
    </row>
    <row r="259" spans="1:54" x14ac:dyDescent="0.3">
      <c r="A259" s="2" t="s">
        <v>528</v>
      </c>
      <c r="B259" s="2" t="s">
        <v>51</v>
      </c>
      <c r="C259" s="2" t="s">
        <v>19</v>
      </c>
      <c r="D259" s="2" t="s">
        <v>13</v>
      </c>
      <c r="E259" s="2">
        <v>19</v>
      </c>
      <c r="F259" s="2">
        <v>9</v>
      </c>
      <c r="G259" s="2" t="s">
        <v>43</v>
      </c>
      <c r="H259" s="2" t="s">
        <v>46</v>
      </c>
      <c r="I259" s="2" t="s">
        <v>222</v>
      </c>
      <c r="J259" s="2">
        <v>46</v>
      </c>
      <c r="AS259" s="2" t="s">
        <v>524</v>
      </c>
      <c r="AT259" s="2" t="s">
        <v>35</v>
      </c>
      <c r="AU259" s="2" t="s">
        <v>85</v>
      </c>
      <c r="AV259" s="2" t="s">
        <v>13</v>
      </c>
      <c r="AW259" s="61">
        <v>20</v>
      </c>
      <c r="AX259" s="2">
        <v>10</v>
      </c>
      <c r="AY259" s="2" t="s">
        <v>14</v>
      </c>
      <c r="AZ259" s="2" t="s">
        <v>40</v>
      </c>
      <c r="BA259" s="2" t="s">
        <v>525</v>
      </c>
      <c r="BB259" s="2">
        <v>92</v>
      </c>
    </row>
    <row r="260" spans="1:54" x14ac:dyDescent="0.3">
      <c r="A260" s="2" t="s">
        <v>529</v>
      </c>
      <c r="B260" s="2" t="s">
        <v>84</v>
      </c>
      <c r="C260" s="2" t="s">
        <v>24</v>
      </c>
      <c r="D260" s="2" t="s">
        <v>31</v>
      </c>
      <c r="E260" s="2">
        <v>20</v>
      </c>
      <c r="F260" s="2">
        <v>12</v>
      </c>
      <c r="G260" s="2" t="s">
        <v>25</v>
      </c>
      <c r="H260" s="2" t="s">
        <v>76</v>
      </c>
      <c r="I260" s="2" t="s">
        <v>186</v>
      </c>
      <c r="J260" s="2">
        <v>51</v>
      </c>
      <c r="AS260" s="2" t="s">
        <v>526</v>
      </c>
      <c r="AT260" s="2" t="s">
        <v>18</v>
      </c>
      <c r="AU260" s="2" t="s">
        <v>12</v>
      </c>
      <c r="AV260" s="2" t="s">
        <v>31</v>
      </c>
      <c r="AW260" s="61">
        <v>18</v>
      </c>
      <c r="AX260" s="2">
        <v>9</v>
      </c>
      <c r="AY260" s="2" t="s">
        <v>14</v>
      </c>
      <c r="AZ260" s="2" t="s">
        <v>15</v>
      </c>
      <c r="BA260" s="2" t="s">
        <v>346</v>
      </c>
      <c r="BB260" s="2">
        <v>59</v>
      </c>
    </row>
    <row r="261" spans="1:54" x14ac:dyDescent="0.3">
      <c r="A261" s="2" t="s">
        <v>530</v>
      </c>
      <c r="B261" s="2" t="s">
        <v>54</v>
      </c>
      <c r="C261" s="2" t="s">
        <v>58</v>
      </c>
      <c r="D261" s="2" t="s">
        <v>13</v>
      </c>
      <c r="E261" s="2">
        <v>17</v>
      </c>
      <c r="F261" s="2">
        <v>10</v>
      </c>
      <c r="G261" s="2" t="s">
        <v>32</v>
      </c>
      <c r="H261" s="2" t="s">
        <v>15</v>
      </c>
      <c r="I261" s="2" t="s">
        <v>64</v>
      </c>
      <c r="J261" s="2">
        <v>46</v>
      </c>
      <c r="AS261" s="2" t="s">
        <v>527</v>
      </c>
      <c r="AT261" s="2" t="s">
        <v>11</v>
      </c>
      <c r="AU261" s="2" t="s">
        <v>85</v>
      </c>
      <c r="AV261" s="2" t="s">
        <v>13</v>
      </c>
      <c r="AW261" s="61">
        <v>20</v>
      </c>
      <c r="AX261" s="2">
        <v>12</v>
      </c>
      <c r="AY261" s="2" t="s">
        <v>25</v>
      </c>
      <c r="AZ261" s="2" t="s">
        <v>46</v>
      </c>
      <c r="BA261" s="2" t="s">
        <v>451</v>
      </c>
      <c r="BB261" s="2">
        <v>86</v>
      </c>
    </row>
    <row r="262" spans="1:54" x14ac:dyDescent="0.3">
      <c r="A262" s="2" t="s">
        <v>531</v>
      </c>
      <c r="B262" s="2" t="s">
        <v>23</v>
      </c>
      <c r="C262" s="2" t="s">
        <v>36</v>
      </c>
      <c r="D262" s="2" t="s">
        <v>13</v>
      </c>
      <c r="E262" s="2">
        <v>20</v>
      </c>
      <c r="F262" s="2">
        <v>11</v>
      </c>
      <c r="G262" s="2" t="s">
        <v>43</v>
      </c>
      <c r="H262" s="2" t="s">
        <v>20</v>
      </c>
      <c r="I262" s="2" t="s">
        <v>178</v>
      </c>
      <c r="J262" s="2">
        <v>44</v>
      </c>
      <c r="AS262" s="2" t="s">
        <v>528</v>
      </c>
      <c r="AT262" s="2" t="s">
        <v>51</v>
      </c>
      <c r="AU262" s="2" t="s">
        <v>19</v>
      </c>
      <c r="AV262" s="2" t="s">
        <v>13</v>
      </c>
      <c r="AW262" s="61">
        <v>19</v>
      </c>
      <c r="AX262" s="2">
        <v>9</v>
      </c>
      <c r="AY262" s="2" t="s">
        <v>43</v>
      </c>
      <c r="AZ262" s="2" t="s">
        <v>46</v>
      </c>
      <c r="BA262" s="2" t="s">
        <v>222</v>
      </c>
      <c r="BB262" s="2">
        <v>46</v>
      </c>
    </row>
    <row r="263" spans="1:54" x14ac:dyDescent="0.3">
      <c r="A263" s="2" t="s">
        <v>532</v>
      </c>
      <c r="B263" s="2" t="s">
        <v>51</v>
      </c>
      <c r="C263" s="2" t="s">
        <v>19</v>
      </c>
      <c r="D263" s="2" t="s">
        <v>31</v>
      </c>
      <c r="E263" s="2">
        <v>14</v>
      </c>
      <c r="F263" s="2">
        <v>11</v>
      </c>
      <c r="G263" s="2" t="s">
        <v>43</v>
      </c>
      <c r="H263" s="2" t="s">
        <v>20</v>
      </c>
      <c r="I263" s="2" t="s">
        <v>533</v>
      </c>
      <c r="J263" s="2">
        <v>93</v>
      </c>
      <c r="AS263" s="2" t="s">
        <v>529</v>
      </c>
      <c r="AT263" s="2" t="s">
        <v>84</v>
      </c>
      <c r="AU263" s="2" t="s">
        <v>24</v>
      </c>
      <c r="AV263" s="2" t="s">
        <v>31</v>
      </c>
      <c r="AW263" s="61">
        <v>20</v>
      </c>
      <c r="AX263" s="2">
        <v>12</v>
      </c>
      <c r="AY263" s="2" t="s">
        <v>25</v>
      </c>
      <c r="AZ263" s="2" t="s">
        <v>76</v>
      </c>
      <c r="BA263" s="2" t="s">
        <v>186</v>
      </c>
      <c r="BB263" s="2">
        <v>51</v>
      </c>
    </row>
    <row r="264" spans="1:54" x14ac:dyDescent="0.3">
      <c r="A264" s="2" t="s">
        <v>534</v>
      </c>
      <c r="B264" s="2" t="s">
        <v>23</v>
      </c>
      <c r="C264" s="2" t="s">
        <v>19</v>
      </c>
      <c r="D264" s="2" t="s">
        <v>13</v>
      </c>
      <c r="E264" s="2">
        <v>20</v>
      </c>
      <c r="F264" s="2">
        <v>11</v>
      </c>
      <c r="G264" s="2" t="s">
        <v>32</v>
      </c>
      <c r="H264" s="2" t="s">
        <v>76</v>
      </c>
      <c r="I264" s="2" t="s">
        <v>358</v>
      </c>
      <c r="J264" s="2">
        <v>41</v>
      </c>
      <c r="AS264" s="2" t="s">
        <v>530</v>
      </c>
      <c r="AT264" s="2" t="s">
        <v>54</v>
      </c>
      <c r="AU264" s="2" t="s">
        <v>58</v>
      </c>
      <c r="AV264" s="2" t="s">
        <v>13</v>
      </c>
      <c r="AW264" s="61">
        <v>17</v>
      </c>
      <c r="AX264" s="2">
        <v>10</v>
      </c>
      <c r="AY264" s="2" t="s">
        <v>32</v>
      </c>
      <c r="AZ264" s="2" t="s">
        <v>15</v>
      </c>
      <c r="BA264" s="2" t="s">
        <v>64</v>
      </c>
      <c r="BB264" s="2">
        <v>46</v>
      </c>
    </row>
    <row r="265" spans="1:54" x14ac:dyDescent="0.3">
      <c r="A265" s="2" t="s">
        <v>535</v>
      </c>
      <c r="B265" s="2" t="s">
        <v>84</v>
      </c>
      <c r="C265" s="2" t="s">
        <v>58</v>
      </c>
      <c r="D265" s="2" t="s">
        <v>13</v>
      </c>
      <c r="E265" s="2">
        <v>20</v>
      </c>
      <c r="F265" s="2">
        <v>9</v>
      </c>
      <c r="G265" s="2" t="s">
        <v>25</v>
      </c>
      <c r="H265" s="2" t="s">
        <v>46</v>
      </c>
      <c r="I265" s="2" t="s">
        <v>536</v>
      </c>
      <c r="J265" s="2">
        <v>58</v>
      </c>
      <c r="AS265" s="2" t="s">
        <v>531</v>
      </c>
      <c r="AT265" s="2" t="s">
        <v>23</v>
      </c>
      <c r="AU265" s="2" t="s">
        <v>36</v>
      </c>
      <c r="AV265" s="2" t="s">
        <v>13</v>
      </c>
      <c r="AW265" s="61">
        <v>20</v>
      </c>
      <c r="AX265" s="2">
        <v>11</v>
      </c>
      <c r="AY265" s="2" t="s">
        <v>43</v>
      </c>
      <c r="AZ265" s="2" t="s">
        <v>20</v>
      </c>
      <c r="BA265" s="2" t="s">
        <v>178</v>
      </c>
      <c r="BB265" s="2">
        <v>44</v>
      </c>
    </row>
    <row r="266" spans="1:54" x14ac:dyDescent="0.3">
      <c r="A266" s="2" t="s">
        <v>537</v>
      </c>
      <c r="B266" s="2" t="s">
        <v>68</v>
      </c>
      <c r="C266" s="2" t="s">
        <v>36</v>
      </c>
      <c r="D266" s="2" t="s">
        <v>31</v>
      </c>
      <c r="E266" s="2">
        <v>16</v>
      </c>
      <c r="F266" s="2">
        <v>12</v>
      </c>
      <c r="G266" s="2" t="s">
        <v>25</v>
      </c>
      <c r="H266" s="2" t="s">
        <v>26</v>
      </c>
      <c r="I266" s="2" t="s">
        <v>538</v>
      </c>
      <c r="J266" s="2">
        <v>42</v>
      </c>
      <c r="AS266" s="2" t="s">
        <v>532</v>
      </c>
      <c r="AT266" s="2" t="s">
        <v>51</v>
      </c>
      <c r="AU266" s="2" t="s">
        <v>19</v>
      </c>
      <c r="AV266" s="2" t="s">
        <v>31</v>
      </c>
      <c r="AW266" s="61">
        <v>14</v>
      </c>
      <c r="AX266" s="2">
        <v>11</v>
      </c>
      <c r="AY266" s="2" t="s">
        <v>43</v>
      </c>
      <c r="AZ266" s="2" t="s">
        <v>20</v>
      </c>
      <c r="BA266" s="2" t="s">
        <v>533</v>
      </c>
      <c r="BB266" s="2">
        <v>93</v>
      </c>
    </row>
    <row r="267" spans="1:54" x14ac:dyDescent="0.3">
      <c r="A267" s="2" t="s">
        <v>539</v>
      </c>
      <c r="B267" s="2" t="s">
        <v>73</v>
      </c>
      <c r="C267" s="2" t="s">
        <v>36</v>
      </c>
      <c r="D267" s="2" t="s">
        <v>31</v>
      </c>
      <c r="E267" s="2">
        <v>14</v>
      </c>
      <c r="F267" s="2">
        <v>12</v>
      </c>
      <c r="G267" s="2" t="s">
        <v>43</v>
      </c>
      <c r="H267" s="2" t="s">
        <v>61</v>
      </c>
      <c r="I267" s="2" t="s">
        <v>387</v>
      </c>
      <c r="J267" s="2">
        <v>37</v>
      </c>
      <c r="AS267" s="2" t="s">
        <v>534</v>
      </c>
      <c r="AT267" s="2" t="s">
        <v>23</v>
      </c>
      <c r="AU267" s="2" t="s">
        <v>19</v>
      </c>
      <c r="AV267" s="2" t="s">
        <v>13</v>
      </c>
      <c r="AW267" s="61">
        <v>20</v>
      </c>
      <c r="AX267" s="2">
        <v>11</v>
      </c>
      <c r="AY267" s="2" t="s">
        <v>32</v>
      </c>
      <c r="AZ267" s="2" t="s">
        <v>76</v>
      </c>
      <c r="BA267" s="2" t="s">
        <v>358</v>
      </c>
      <c r="BB267" s="2">
        <v>41</v>
      </c>
    </row>
    <row r="268" spans="1:54" x14ac:dyDescent="0.3">
      <c r="A268" s="2" t="s">
        <v>540</v>
      </c>
      <c r="B268" s="2" t="s">
        <v>51</v>
      </c>
      <c r="C268" s="2" t="s">
        <v>85</v>
      </c>
      <c r="D268" s="2" t="s">
        <v>13</v>
      </c>
      <c r="E268" s="2">
        <v>18</v>
      </c>
      <c r="F268" s="2">
        <v>10</v>
      </c>
      <c r="G268" s="2" t="s">
        <v>14</v>
      </c>
      <c r="H268" s="2" t="s">
        <v>46</v>
      </c>
      <c r="I268" s="2" t="s">
        <v>541</v>
      </c>
      <c r="J268" s="2">
        <v>63</v>
      </c>
      <c r="AS268" s="2" t="s">
        <v>535</v>
      </c>
      <c r="AT268" s="2" t="s">
        <v>84</v>
      </c>
      <c r="AU268" s="2" t="s">
        <v>58</v>
      </c>
      <c r="AV268" s="2" t="s">
        <v>13</v>
      </c>
      <c r="AW268" s="61">
        <v>20</v>
      </c>
      <c r="AX268" s="2">
        <v>9</v>
      </c>
      <c r="AY268" s="2" t="s">
        <v>25</v>
      </c>
      <c r="AZ268" s="2" t="s">
        <v>46</v>
      </c>
      <c r="BA268" s="2" t="s">
        <v>536</v>
      </c>
      <c r="BB268" s="2">
        <v>58</v>
      </c>
    </row>
    <row r="269" spans="1:54" x14ac:dyDescent="0.3">
      <c r="A269" s="2" t="s">
        <v>542</v>
      </c>
      <c r="B269" s="2" t="s">
        <v>84</v>
      </c>
      <c r="C269" s="2" t="s">
        <v>55</v>
      </c>
      <c r="D269" s="2" t="s">
        <v>31</v>
      </c>
      <c r="E269" s="2">
        <v>18</v>
      </c>
      <c r="F269" s="2">
        <v>12</v>
      </c>
      <c r="G269" s="2" t="s">
        <v>32</v>
      </c>
      <c r="H269" s="2" t="s">
        <v>40</v>
      </c>
      <c r="I269" s="2" t="s">
        <v>543</v>
      </c>
      <c r="J269" s="2">
        <v>51</v>
      </c>
      <c r="AS269" s="2" t="s">
        <v>537</v>
      </c>
      <c r="AT269" s="2" t="s">
        <v>68</v>
      </c>
      <c r="AU269" s="2" t="s">
        <v>36</v>
      </c>
      <c r="AV269" s="2" t="s">
        <v>31</v>
      </c>
      <c r="AW269" s="61">
        <v>16</v>
      </c>
      <c r="AX269" s="2">
        <v>12</v>
      </c>
      <c r="AY269" s="2" t="s">
        <v>25</v>
      </c>
      <c r="AZ269" s="2" t="s">
        <v>26</v>
      </c>
      <c r="BA269" s="2" t="s">
        <v>538</v>
      </c>
      <c r="BB269" s="2">
        <v>42</v>
      </c>
    </row>
    <row r="270" spans="1:54" x14ac:dyDescent="0.3">
      <c r="A270" s="2" t="s">
        <v>544</v>
      </c>
      <c r="B270" s="2" t="s">
        <v>68</v>
      </c>
      <c r="C270" s="2" t="s">
        <v>19</v>
      </c>
      <c r="D270" s="2" t="s">
        <v>31</v>
      </c>
      <c r="E270" s="2">
        <v>16</v>
      </c>
      <c r="F270" s="2">
        <v>9</v>
      </c>
      <c r="G270" s="2" t="s">
        <v>14</v>
      </c>
      <c r="H270" s="2" t="s">
        <v>40</v>
      </c>
      <c r="I270" s="2" t="s">
        <v>545</v>
      </c>
      <c r="J270" s="2">
        <v>37</v>
      </c>
      <c r="AS270" s="2" t="s">
        <v>539</v>
      </c>
      <c r="AT270" s="2" t="s">
        <v>73</v>
      </c>
      <c r="AU270" s="2" t="s">
        <v>36</v>
      </c>
      <c r="AV270" s="2" t="s">
        <v>31</v>
      </c>
      <c r="AW270" s="61">
        <v>14</v>
      </c>
      <c r="AX270" s="2">
        <v>12</v>
      </c>
      <c r="AY270" s="2" t="s">
        <v>43</v>
      </c>
      <c r="AZ270" s="2" t="s">
        <v>61</v>
      </c>
      <c r="BA270" s="2" t="s">
        <v>387</v>
      </c>
      <c r="BB270" s="2">
        <v>37</v>
      </c>
    </row>
    <row r="271" spans="1:54" x14ac:dyDescent="0.3">
      <c r="A271" s="2" t="s">
        <v>546</v>
      </c>
      <c r="B271" s="2" t="s">
        <v>51</v>
      </c>
      <c r="C271" s="2" t="s">
        <v>36</v>
      </c>
      <c r="D271" s="2" t="s">
        <v>31</v>
      </c>
      <c r="E271" s="2">
        <v>14</v>
      </c>
      <c r="F271" s="2">
        <v>9</v>
      </c>
      <c r="G271" s="2" t="s">
        <v>14</v>
      </c>
      <c r="H271" s="2" t="s">
        <v>46</v>
      </c>
      <c r="I271" s="2" t="s">
        <v>547</v>
      </c>
      <c r="J271" s="2">
        <v>81</v>
      </c>
      <c r="AS271" s="2" t="s">
        <v>540</v>
      </c>
      <c r="AT271" s="2" t="s">
        <v>51</v>
      </c>
      <c r="AU271" s="2" t="s">
        <v>85</v>
      </c>
      <c r="AV271" s="2" t="s">
        <v>13</v>
      </c>
      <c r="AW271" s="61">
        <v>18</v>
      </c>
      <c r="AX271" s="2">
        <v>10</v>
      </c>
      <c r="AY271" s="2" t="s">
        <v>14</v>
      </c>
      <c r="AZ271" s="2" t="s">
        <v>46</v>
      </c>
      <c r="BA271" s="2" t="s">
        <v>541</v>
      </c>
      <c r="BB271" s="2">
        <v>63</v>
      </c>
    </row>
    <row r="272" spans="1:54" x14ac:dyDescent="0.3">
      <c r="A272" s="2" t="s">
        <v>548</v>
      </c>
      <c r="B272" s="2" t="s">
        <v>51</v>
      </c>
      <c r="C272" s="2" t="s">
        <v>24</v>
      </c>
      <c r="D272" s="2" t="s">
        <v>31</v>
      </c>
      <c r="E272" s="2">
        <v>15</v>
      </c>
      <c r="F272" s="2">
        <v>11</v>
      </c>
      <c r="G272" s="2" t="s">
        <v>32</v>
      </c>
      <c r="H272" s="2" t="s">
        <v>40</v>
      </c>
      <c r="I272" s="2" t="s">
        <v>549</v>
      </c>
      <c r="J272" s="2">
        <v>90</v>
      </c>
      <c r="AS272" s="2" t="s">
        <v>542</v>
      </c>
      <c r="AT272" s="2" t="s">
        <v>84</v>
      </c>
      <c r="AU272" s="2" t="s">
        <v>55</v>
      </c>
      <c r="AV272" s="2" t="s">
        <v>31</v>
      </c>
      <c r="AW272" s="61">
        <v>18</v>
      </c>
      <c r="AX272" s="2">
        <v>12</v>
      </c>
      <c r="AY272" s="2" t="s">
        <v>32</v>
      </c>
      <c r="AZ272" s="2" t="s">
        <v>40</v>
      </c>
      <c r="BA272" s="2" t="s">
        <v>543</v>
      </c>
      <c r="BB272" s="2">
        <v>51</v>
      </c>
    </row>
    <row r="273" spans="1:54" x14ac:dyDescent="0.3">
      <c r="A273" s="2" t="s">
        <v>550</v>
      </c>
      <c r="B273" s="2" t="s">
        <v>73</v>
      </c>
      <c r="C273" s="2" t="s">
        <v>19</v>
      </c>
      <c r="D273" s="2" t="s">
        <v>13</v>
      </c>
      <c r="E273" s="2">
        <v>14</v>
      </c>
      <c r="F273" s="2">
        <v>11</v>
      </c>
      <c r="G273" s="2" t="s">
        <v>32</v>
      </c>
      <c r="H273" s="2" t="s">
        <v>26</v>
      </c>
      <c r="I273" s="2" t="s">
        <v>551</v>
      </c>
      <c r="J273" s="2">
        <v>90</v>
      </c>
      <c r="AS273" s="2" t="s">
        <v>544</v>
      </c>
      <c r="AT273" s="2" t="s">
        <v>68</v>
      </c>
      <c r="AU273" s="2" t="s">
        <v>19</v>
      </c>
      <c r="AV273" s="2" t="s">
        <v>31</v>
      </c>
      <c r="AW273" s="61">
        <v>16</v>
      </c>
      <c r="AX273" s="2">
        <v>9</v>
      </c>
      <c r="AY273" s="2" t="s">
        <v>14</v>
      </c>
      <c r="AZ273" s="2" t="s">
        <v>40</v>
      </c>
      <c r="BA273" s="2" t="s">
        <v>545</v>
      </c>
      <c r="BB273" s="2">
        <v>37</v>
      </c>
    </row>
    <row r="274" spans="1:54" x14ac:dyDescent="0.3">
      <c r="A274" s="2" t="s">
        <v>552</v>
      </c>
      <c r="B274" s="2" t="s">
        <v>35</v>
      </c>
      <c r="C274" s="2" t="s">
        <v>30</v>
      </c>
      <c r="D274" s="2" t="s">
        <v>13</v>
      </c>
      <c r="E274" s="2">
        <v>19</v>
      </c>
      <c r="F274" s="2">
        <v>11</v>
      </c>
      <c r="G274" s="2" t="s">
        <v>14</v>
      </c>
      <c r="H274" s="2" t="s">
        <v>76</v>
      </c>
      <c r="I274" s="2" t="s">
        <v>553</v>
      </c>
      <c r="J274" s="2">
        <v>81</v>
      </c>
      <c r="AS274" s="2" t="s">
        <v>546</v>
      </c>
      <c r="AT274" s="2" t="s">
        <v>51</v>
      </c>
      <c r="AU274" s="2" t="s">
        <v>36</v>
      </c>
      <c r="AV274" s="2" t="s">
        <v>31</v>
      </c>
      <c r="AW274" s="61">
        <v>14</v>
      </c>
      <c r="AX274" s="2">
        <v>9</v>
      </c>
      <c r="AY274" s="2" t="s">
        <v>14</v>
      </c>
      <c r="AZ274" s="2" t="s">
        <v>46</v>
      </c>
      <c r="BA274" s="2" t="s">
        <v>547</v>
      </c>
      <c r="BB274" s="2">
        <v>81</v>
      </c>
    </row>
    <row r="275" spans="1:54" x14ac:dyDescent="0.3">
      <c r="A275" s="2" t="s">
        <v>554</v>
      </c>
      <c r="B275" s="2" t="s">
        <v>29</v>
      </c>
      <c r="C275" s="2" t="s">
        <v>79</v>
      </c>
      <c r="D275" s="2" t="s">
        <v>13</v>
      </c>
      <c r="E275" s="2">
        <v>15</v>
      </c>
      <c r="F275" s="2">
        <v>9</v>
      </c>
      <c r="G275" s="2" t="s">
        <v>32</v>
      </c>
      <c r="H275" s="2" t="s">
        <v>76</v>
      </c>
      <c r="I275" s="2" t="s">
        <v>184</v>
      </c>
      <c r="J275" s="2">
        <v>53</v>
      </c>
      <c r="AS275" s="2" t="s">
        <v>548</v>
      </c>
      <c r="AT275" s="2" t="s">
        <v>51</v>
      </c>
      <c r="AU275" s="2" t="s">
        <v>24</v>
      </c>
      <c r="AV275" s="2" t="s">
        <v>31</v>
      </c>
      <c r="AW275" s="61">
        <v>15</v>
      </c>
      <c r="AX275" s="2">
        <v>11</v>
      </c>
      <c r="AY275" s="2" t="s">
        <v>32</v>
      </c>
      <c r="AZ275" s="2" t="s">
        <v>40</v>
      </c>
      <c r="BA275" s="2" t="s">
        <v>549</v>
      </c>
      <c r="BB275" s="2">
        <v>90</v>
      </c>
    </row>
    <row r="276" spans="1:54" x14ac:dyDescent="0.3">
      <c r="A276" s="2" t="s">
        <v>555</v>
      </c>
      <c r="B276" s="2" t="s">
        <v>73</v>
      </c>
      <c r="C276" s="2" t="s">
        <v>55</v>
      </c>
      <c r="D276" s="2" t="s">
        <v>31</v>
      </c>
      <c r="E276" s="2">
        <v>16</v>
      </c>
      <c r="F276" s="2">
        <v>9</v>
      </c>
      <c r="G276" s="2" t="s">
        <v>14</v>
      </c>
      <c r="H276" s="2" t="s">
        <v>76</v>
      </c>
      <c r="I276" s="2" t="s">
        <v>556</v>
      </c>
      <c r="J276" s="2">
        <v>93</v>
      </c>
      <c r="AS276" s="2" t="s">
        <v>550</v>
      </c>
      <c r="AT276" s="2" t="s">
        <v>73</v>
      </c>
      <c r="AU276" s="2" t="s">
        <v>19</v>
      </c>
      <c r="AV276" s="2" t="s">
        <v>13</v>
      </c>
      <c r="AW276" s="61">
        <v>14</v>
      </c>
      <c r="AX276" s="2">
        <v>11</v>
      </c>
      <c r="AY276" s="2" t="s">
        <v>32</v>
      </c>
      <c r="AZ276" s="2" t="s">
        <v>26</v>
      </c>
      <c r="BA276" s="2" t="s">
        <v>551</v>
      </c>
      <c r="BB276" s="2">
        <v>90</v>
      </c>
    </row>
    <row r="277" spans="1:54" x14ac:dyDescent="0.3">
      <c r="A277" s="2" t="s">
        <v>557</v>
      </c>
      <c r="B277" s="2" t="s">
        <v>23</v>
      </c>
      <c r="C277" s="2" t="s">
        <v>96</v>
      </c>
      <c r="D277" s="2" t="s">
        <v>13</v>
      </c>
      <c r="E277" s="2">
        <v>18</v>
      </c>
      <c r="F277" s="2">
        <v>11</v>
      </c>
      <c r="G277" s="2" t="s">
        <v>25</v>
      </c>
      <c r="H277" s="2" t="s">
        <v>76</v>
      </c>
      <c r="I277" s="2" t="s">
        <v>182</v>
      </c>
      <c r="J277" s="2">
        <v>77</v>
      </c>
      <c r="AS277" s="2" t="s">
        <v>552</v>
      </c>
      <c r="AT277" s="2" t="s">
        <v>35</v>
      </c>
      <c r="AU277" s="2" t="s">
        <v>30</v>
      </c>
      <c r="AV277" s="2" t="s">
        <v>13</v>
      </c>
      <c r="AW277" s="61">
        <v>19</v>
      </c>
      <c r="AX277" s="2">
        <v>11</v>
      </c>
      <c r="AY277" s="2" t="s">
        <v>14</v>
      </c>
      <c r="AZ277" s="2" t="s">
        <v>76</v>
      </c>
      <c r="BA277" s="2" t="s">
        <v>553</v>
      </c>
      <c r="BB277" s="2">
        <v>81</v>
      </c>
    </row>
    <row r="278" spans="1:54" x14ac:dyDescent="0.3">
      <c r="A278" s="2" t="s">
        <v>558</v>
      </c>
      <c r="B278" s="2" t="s">
        <v>54</v>
      </c>
      <c r="C278" s="2" t="s">
        <v>30</v>
      </c>
      <c r="D278" s="2" t="s">
        <v>31</v>
      </c>
      <c r="E278" s="2">
        <v>19</v>
      </c>
      <c r="F278" s="2">
        <v>10</v>
      </c>
      <c r="G278" s="2" t="s">
        <v>43</v>
      </c>
      <c r="H278" s="2" t="s">
        <v>76</v>
      </c>
      <c r="I278" s="2" t="s">
        <v>559</v>
      </c>
      <c r="J278" s="2">
        <v>40</v>
      </c>
      <c r="AS278" s="2" t="s">
        <v>554</v>
      </c>
      <c r="AT278" s="2" t="s">
        <v>29</v>
      </c>
      <c r="AU278" s="2" t="s">
        <v>79</v>
      </c>
      <c r="AV278" s="2" t="s">
        <v>13</v>
      </c>
      <c r="AW278" s="61">
        <v>15</v>
      </c>
      <c r="AX278" s="2">
        <v>9</v>
      </c>
      <c r="AY278" s="2" t="s">
        <v>32</v>
      </c>
      <c r="AZ278" s="2" t="s">
        <v>76</v>
      </c>
      <c r="BA278" s="2" t="s">
        <v>184</v>
      </c>
      <c r="BB278" s="2">
        <v>53</v>
      </c>
    </row>
    <row r="279" spans="1:54" x14ac:dyDescent="0.3">
      <c r="A279" s="2" t="s">
        <v>560</v>
      </c>
      <c r="B279" s="2" t="s">
        <v>68</v>
      </c>
      <c r="C279" s="2" t="s">
        <v>85</v>
      </c>
      <c r="D279" s="2" t="s">
        <v>31</v>
      </c>
      <c r="E279" s="2">
        <v>15</v>
      </c>
      <c r="F279" s="2">
        <v>10</v>
      </c>
      <c r="G279" s="2" t="s">
        <v>43</v>
      </c>
      <c r="H279" s="2" t="s">
        <v>26</v>
      </c>
      <c r="I279" s="2" t="s">
        <v>561</v>
      </c>
      <c r="J279" s="2">
        <v>63</v>
      </c>
      <c r="AS279" s="2" t="s">
        <v>555</v>
      </c>
      <c r="AT279" s="2" t="s">
        <v>73</v>
      </c>
      <c r="AU279" s="2" t="s">
        <v>55</v>
      </c>
      <c r="AV279" s="2" t="s">
        <v>31</v>
      </c>
      <c r="AW279" s="61">
        <v>16</v>
      </c>
      <c r="AX279" s="2">
        <v>9</v>
      </c>
      <c r="AY279" s="2" t="s">
        <v>14</v>
      </c>
      <c r="AZ279" s="2" t="s">
        <v>76</v>
      </c>
      <c r="BA279" s="2" t="s">
        <v>556</v>
      </c>
      <c r="BB279" s="2">
        <v>93</v>
      </c>
    </row>
    <row r="280" spans="1:54" x14ac:dyDescent="0.3">
      <c r="A280" s="2" t="s">
        <v>562</v>
      </c>
      <c r="B280" s="2" t="s">
        <v>29</v>
      </c>
      <c r="C280" s="2" t="s">
        <v>79</v>
      </c>
      <c r="D280" s="2" t="s">
        <v>31</v>
      </c>
      <c r="E280" s="2">
        <v>15</v>
      </c>
      <c r="F280" s="2">
        <v>12</v>
      </c>
      <c r="G280" s="2" t="s">
        <v>32</v>
      </c>
      <c r="H280" s="2" t="s">
        <v>46</v>
      </c>
      <c r="I280" s="2" t="s">
        <v>121</v>
      </c>
      <c r="J280" s="2">
        <v>53</v>
      </c>
      <c r="AS280" s="2" t="s">
        <v>557</v>
      </c>
      <c r="AT280" s="2" t="s">
        <v>23</v>
      </c>
      <c r="AU280" s="2" t="s">
        <v>96</v>
      </c>
      <c r="AV280" s="2" t="s">
        <v>13</v>
      </c>
      <c r="AW280" s="61">
        <v>18</v>
      </c>
      <c r="AX280" s="2">
        <v>11</v>
      </c>
      <c r="AY280" s="2" t="s">
        <v>25</v>
      </c>
      <c r="AZ280" s="2" t="s">
        <v>76</v>
      </c>
      <c r="BA280" s="2" t="s">
        <v>182</v>
      </c>
      <c r="BB280" s="2">
        <v>77</v>
      </c>
    </row>
    <row r="281" spans="1:54" x14ac:dyDescent="0.3">
      <c r="A281" s="2" t="s">
        <v>563</v>
      </c>
      <c r="B281" s="2" t="s">
        <v>35</v>
      </c>
      <c r="C281" s="2" t="s">
        <v>55</v>
      </c>
      <c r="D281" s="2" t="s">
        <v>31</v>
      </c>
      <c r="E281" s="2">
        <v>19</v>
      </c>
      <c r="F281" s="2">
        <v>10</v>
      </c>
      <c r="G281" s="2" t="s">
        <v>43</v>
      </c>
      <c r="H281" s="2" t="s">
        <v>46</v>
      </c>
      <c r="I281" s="2" t="s">
        <v>564</v>
      </c>
      <c r="J281" s="2">
        <v>72</v>
      </c>
      <c r="AS281" s="2" t="s">
        <v>558</v>
      </c>
      <c r="AT281" s="2" t="s">
        <v>54</v>
      </c>
      <c r="AU281" s="2" t="s">
        <v>30</v>
      </c>
      <c r="AV281" s="2" t="s">
        <v>31</v>
      </c>
      <c r="AW281" s="61">
        <v>19</v>
      </c>
      <c r="AX281" s="2">
        <v>10</v>
      </c>
      <c r="AY281" s="2" t="s">
        <v>43</v>
      </c>
      <c r="AZ281" s="2" t="s">
        <v>76</v>
      </c>
      <c r="BA281" s="2" t="s">
        <v>559</v>
      </c>
      <c r="BB281" s="2">
        <v>40</v>
      </c>
    </row>
    <row r="282" spans="1:54" x14ac:dyDescent="0.3">
      <c r="A282" s="2" t="s">
        <v>565</v>
      </c>
      <c r="B282" s="2" t="s">
        <v>54</v>
      </c>
      <c r="C282" s="2" t="s">
        <v>79</v>
      </c>
      <c r="D282" s="2" t="s">
        <v>31</v>
      </c>
      <c r="E282" s="2">
        <v>20</v>
      </c>
      <c r="F282" s="2">
        <v>9</v>
      </c>
      <c r="G282" s="2" t="s">
        <v>43</v>
      </c>
      <c r="H282" s="2" t="s">
        <v>20</v>
      </c>
      <c r="I282" s="2" t="s">
        <v>566</v>
      </c>
      <c r="J282" s="2">
        <v>67</v>
      </c>
      <c r="AS282" s="2" t="s">
        <v>560</v>
      </c>
      <c r="AT282" s="2" t="s">
        <v>68</v>
      </c>
      <c r="AU282" s="2" t="s">
        <v>85</v>
      </c>
      <c r="AV282" s="2" t="s">
        <v>31</v>
      </c>
      <c r="AW282" s="61">
        <v>15</v>
      </c>
      <c r="AX282" s="2">
        <v>10</v>
      </c>
      <c r="AY282" s="2" t="s">
        <v>43</v>
      </c>
      <c r="AZ282" s="2" t="s">
        <v>26</v>
      </c>
      <c r="BA282" s="2" t="s">
        <v>561</v>
      </c>
      <c r="BB282" s="2">
        <v>63</v>
      </c>
    </row>
    <row r="283" spans="1:54" x14ac:dyDescent="0.3">
      <c r="A283" s="2" t="s">
        <v>567</v>
      </c>
      <c r="B283" s="2" t="s">
        <v>54</v>
      </c>
      <c r="C283" s="2" t="s">
        <v>12</v>
      </c>
      <c r="D283" s="2" t="s">
        <v>31</v>
      </c>
      <c r="E283" s="2">
        <v>18</v>
      </c>
      <c r="F283" s="2">
        <v>12</v>
      </c>
      <c r="G283" s="2" t="s">
        <v>25</v>
      </c>
      <c r="H283" s="2" t="s">
        <v>26</v>
      </c>
      <c r="I283" s="2" t="s">
        <v>568</v>
      </c>
      <c r="J283" s="2">
        <v>96</v>
      </c>
      <c r="AS283" s="2" t="s">
        <v>562</v>
      </c>
      <c r="AT283" s="2" t="s">
        <v>29</v>
      </c>
      <c r="AU283" s="2" t="s">
        <v>79</v>
      </c>
      <c r="AV283" s="2" t="s">
        <v>31</v>
      </c>
      <c r="AW283" s="61">
        <v>15</v>
      </c>
      <c r="AX283" s="2">
        <v>12</v>
      </c>
      <c r="AY283" s="2" t="s">
        <v>32</v>
      </c>
      <c r="AZ283" s="2" t="s">
        <v>46</v>
      </c>
      <c r="BA283" s="2" t="s">
        <v>121</v>
      </c>
      <c r="BB283" s="2">
        <v>53</v>
      </c>
    </row>
    <row r="284" spans="1:54" x14ac:dyDescent="0.3">
      <c r="A284" s="2" t="s">
        <v>569</v>
      </c>
      <c r="B284" s="2" t="s">
        <v>54</v>
      </c>
      <c r="C284" s="2" t="s">
        <v>12</v>
      </c>
      <c r="D284" s="2" t="s">
        <v>31</v>
      </c>
      <c r="E284" s="2">
        <v>17</v>
      </c>
      <c r="F284" s="2">
        <v>9</v>
      </c>
      <c r="G284" s="2" t="s">
        <v>25</v>
      </c>
      <c r="H284" s="2" t="s">
        <v>37</v>
      </c>
      <c r="I284" s="2" t="s">
        <v>570</v>
      </c>
      <c r="J284" s="2">
        <v>100</v>
      </c>
      <c r="AS284" s="2" t="s">
        <v>563</v>
      </c>
      <c r="AT284" s="2" t="s">
        <v>35</v>
      </c>
      <c r="AU284" s="2" t="s">
        <v>55</v>
      </c>
      <c r="AV284" s="2" t="s">
        <v>31</v>
      </c>
      <c r="AW284" s="61">
        <v>19</v>
      </c>
      <c r="AX284" s="2">
        <v>10</v>
      </c>
      <c r="AY284" s="2" t="s">
        <v>43</v>
      </c>
      <c r="AZ284" s="2" t="s">
        <v>46</v>
      </c>
      <c r="BA284" s="2" t="s">
        <v>564</v>
      </c>
      <c r="BB284" s="2">
        <v>72</v>
      </c>
    </row>
    <row r="285" spans="1:54" x14ac:dyDescent="0.3">
      <c r="A285" s="2" t="s">
        <v>571</v>
      </c>
      <c r="B285" s="2" t="s">
        <v>68</v>
      </c>
      <c r="C285" s="2" t="s">
        <v>12</v>
      </c>
      <c r="D285" s="2" t="s">
        <v>13</v>
      </c>
      <c r="E285" s="2">
        <v>16</v>
      </c>
      <c r="F285" s="2">
        <v>10</v>
      </c>
      <c r="G285" s="2" t="s">
        <v>25</v>
      </c>
      <c r="H285" s="2" t="s">
        <v>26</v>
      </c>
      <c r="I285" s="2" t="s">
        <v>434</v>
      </c>
      <c r="J285" s="2">
        <v>63</v>
      </c>
      <c r="AS285" s="2" t="s">
        <v>565</v>
      </c>
      <c r="AT285" s="2" t="s">
        <v>54</v>
      </c>
      <c r="AU285" s="2" t="s">
        <v>79</v>
      </c>
      <c r="AV285" s="2" t="s">
        <v>31</v>
      </c>
      <c r="AW285" s="61">
        <v>20</v>
      </c>
      <c r="AX285" s="2">
        <v>9</v>
      </c>
      <c r="AY285" s="2" t="s">
        <v>43</v>
      </c>
      <c r="AZ285" s="2" t="s">
        <v>20</v>
      </c>
      <c r="BA285" s="2" t="s">
        <v>566</v>
      </c>
      <c r="BB285" s="2">
        <v>67</v>
      </c>
    </row>
    <row r="286" spans="1:54" x14ac:dyDescent="0.3">
      <c r="A286" s="2" t="s">
        <v>572</v>
      </c>
      <c r="B286" s="2" t="s">
        <v>23</v>
      </c>
      <c r="C286" s="2" t="s">
        <v>19</v>
      </c>
      <c r="D286" s="2" t="s">
        <v>31</v>
      </c>
      <c r="E286" s="2">
        <v>19</v>
      </c>
      <c r="F286" s="2">
        <v>10</v>
      </c>
      <c r="G286" s="2" t="s">
        <v>32</v>
      </c>
      <c r="H286" s="2" t="s">
        <v>20</v>
      </c>
      <c r="I286" s="2" t="s">
        <v>400</v>
      </c>
      <c r="J286" s="2">
        <v>53</v>
      </c>
      <c r="AS286" s="2" t="s">
        <v>567</v>
      </c>
      <c r="AT286" s="2" t="s">
        <v>54</v>
      </c>
      <c r="AU286" s="2" t="s">
        <v>12</v>
      </c>
      <c r="AV286" s="2" t="s">
        <v>31</v>
      </c>
      <c r="AW286" s="61">
        <v>18</v>
      </c>
      <c r="AX286" s="2">
        <v>12</v>
      </c>
      <c r="AY286" s="2" t="s">
        <v>25</v>
      </c>
      <c r="AZ286" s="2" t="s">
        <v>26</v>
      </c>
      <c r="BA286" s="2" t="s">
        <v>568</v>
      </c>
      <c r="BB286" s="2">
        <v>96</v>
      </c>
    </row>
    <row r="287" spans="1:54" x14ac:dyDescent="0.3">
      <c r="A287" s="2" t="s">
        <v>573</v>
      </c>
      <c r="B287" s="2" t="s">
        <v>54</v>
      </c>
      <c r="C287" s="2" t="s">
        <v>24</v>
      </c>
      <c r="D287" s="2" t="s">
        <v>13</v>
      </c>
      <c r="E287" s="2">
        <v>19</v>
      </c>
      <c r="F287" s="2">
        <v>9</v>
      </c>
      <c r="G287" s="2" t="s">
        <v>43</v>
      </c>
      <c r="H287" s="2" t="s">
        <v>46</v>
      </c>
      <c r="I287" s="2" t="s">
        <v>574</v>
      </c>
      <c r="J287" s="2">
        <v>94</v>
      </c>
      <c r="AS287" s="2" t="s">
        <v>569</v>
      </c>
      <c r="AT287" s="2" t="s">
        <v>54</v>
      </c>
      <c r="AU287" s="2" t="s">
        <v>12</v>
      </c>
      <c r="AV287" s="2" t="s">
        <v>31</v>
      </c>
      <c r="AW287" s="61">
        <v>17</v>
      </c>
      <c r="AX287" s="2">
        <v>9</v>
      </c>
      <c r="AY287" s="2" t="s">
        <v>25</v>
      </c>
      <c r="AZ287" s="2" t="s">
        <v>37</v>
      </c>
      <c r="BA287" s="2" t="s">
        <v>570</v>
      </c>
      <c r="BB287" s="2">
        <v>100</v>
      </c>
    </row>
    <row r="288" spans="1:54" x14ac:dyDescent="0.3">
      <c r="A288" s="2" t="s">
        <v>575</v>
      </c>
      <c r="B288" s="2" t="s">
        <v>35</v>
      </c>
      <c r="C288" s="2" t="s">
        <v>30</v>
      </c>
      <c r="D288" s="2" t="s">
        <v>31</v>
      </c>
      <c r="E288" s="2">
        <v>14</v>
      </c>
      <c r="F288" s="2">
        <v>10</v>
      </c>
      <c r="G288" s="2" t="s">
        <v>32</v>
      </c>
      <c r="H288" s="2" t="s">
        <v>40</v>
      </c>
      <c r="I288" s="2" t="s">
        <v>576</v>
      </c>
      <c r="J288" s="2">
        <v>50</v>
      </c>
      <c r="AS288" s="2" t="s">
        <v>571</v>
      </c>
      <c r="AT288" s="2" t="s">
        <v>68</v>
      </c>
      <c r="AU288" s="2" t="s">
        <v>12</v>
      </c>
      <c r="AV288" s="2" t="s">
        <v>13</v>
      </c>
      <c r="AW288" s="61">
        <v>16</v>
      </c>
      <c r="AX288" s="2">
        <v>10</v>
      </c>
      <c r="AY288" s="2" t="s">
        <v>25</v>
      </c>
      <c r="AZ288" s="2" t="s">
        <v>26</v>
      </c>
      <c r="BA288" s="2" t="s">
        <v>434</v>
      </c>
      <c r="BB288" s="2">
        <v>63</v>
      </c>
    </row>
    <row r="289" spans="1:54" x14ac:dyDescent="0.3">
      <c r="A289" s="2" t="s">
        <v>577</v>
      </c>
      <c r="B289" s="2" t="s">
        <v>84</v>
      </c>
      <c r="C289" s="2" t="s">
        <v>79</v>
      </c>
      <c r="D289" s="2" t="s">
        <v>31</v>
      </c>
      <c r="E289" s="2">
        <v>15</v>
      </c>
      <c r="F289" s="2">
        <v>11</v>
      </c>
      <c r="G289" s="2" t="s">
        <v>25</v>
      </c>
      <c r="H289" s="2" t="s">
        <v>40</v>
      </c>
      <c r="I289" s="2" t="s">
        <v>578</v>
      </c>
      <c r="J289" s="2">
        <v>72</v>
      </c>
      <c r="AS289" s="2" t="s">
        <v>572</v>
      </c>
      <c r="AT289" s="2" t="s">
        <v>23</v>
      </c>
      <c r="AU289" s="2" t="s">
        <v>19</v>
      </c>
      <c r="AV289" s="2" t="s">
        <v>31</v>
      </c>
      <c r="AW289" s="61">
        <v>19</v>
      </c>
      <c r="AX289" s="2">
        <v>10</v>
      </c>
      <c r="AY289" s="2" t="s">
        <v>32</v>
      </c>
      <c r="AZ289" s="2" t="s">
        <v>20</v>
      </c>
      <c r="BA289" s="2" t="s">
        <v>400</v>
      </c>
      <c r="BB289" s="2">
        <v>53</v>
      </c>
    </row>
    <row r="290" spans="1:54" x14ac:dyDescent="0.3">
      <c r="A290" s="2" t="s">
        <v>579</v>
      </c>
      <c r="B290" s="2" t="s">
        <v>51</v>
      </c>
      <c r="C290" s="2" t="s">
        <v>55</v>
      </c>
      <c r="D290" s="2" t="s">
        <v>31</v>
      </c>
      <c r="E290" s="2">
        <v>20</v>
      </c>
      <c r="F290" s="2">
        <v>9</v>
      </c>
      <c r="G290" s="2" t="s">
        <v>25</v>
      </c>
      <c r="H290" s="2" t="s">
        <v>26</v>
      </c>
      <c r="I290" s="2" t="s">
        <v>212</v>
      </c>
      <c r="J290" s="2">
        <v>35</v>
      </c>
      <c r="AS290" s="2" t="s">
        <v>573</v>
      </c>
      <c r="AT290" s="2" t="s">
        <v>54</v>
      </c>
      <c r="AU290" s="2" t="s">
        <v>24</v>
      </c>
      <c r="AV290" s="2" t="s">
        <v>13</v>
      </c>
      <c r="AW290" s="61">
        <v>19</v>
      </c>
      <c r="AX290" s="2">
        <v>9</v>
      </c>
      <c r="AY290" s="2" t="s">
        <v>43</v>
      </c>
      <c r="AZ290" s="2" t="s">
        <v>46</v>
      </c>
      <c r="BA290" s="2" t="s">
        <v>574</v>
      </c>
      <c r="BB290" s="2">
        <v>94</v>
      </c>
    </row>
    <row r="291" spans="1:54" x14ac:dyDescent="0.3">
      <c r="A291" s="2" t="s">
        <v>580</v>
      </c>
      <c r="B291" s="2" t="s">
        <v>29</v>
      </c>
      <c r="C291" s="2" t="s">
        <v>36</v>
      </c>
      <c r="D291" s="2" t="s">
        <v>13</v>
      </c>
      <c r="E291" s="2">
        <v>17</v>
      </c>
      <c r="F291" s="2">
        <v>10</v>
      </c>
      <c r="G291" s="2" t="s">
        <v>32</v>
      </c>
      <c r="H291" s="2" t="s">
        <v>15</v>
      </c>
      <c r="I291" s="2" t="s">
        <v>581</v>
      </c>
      <c r="J291" s="2">
        <v>37</v>
      </c>
      <c r="AS291" s="2" t="s">
        <v>575</v>
      </c>
      <c r="AT291" s="2" t="s">
        <v>35</v>
      </c>
      <c r="AU291" s="2" t="s">
        <v>30</v>
      </c>
      <c r="AV291" s="2" t="s">
        <v>31</v>
      </c>
      <c r="AW291" s="61">
        <v>14</v>
      </c>
      <c r="AX291" s="2">
        <v>10</v>
      </c>
      <c r="AY291" s="2" t="s">
        <v>32</v>
      </c>
      <c r="AZ291" s="2" t="s">
        <v>40</v>
      </c>
      <c r="BA291" s="2" t="s">
        <v>576</v>
      </c>
      <c r="BB291" s="2">
        <v>50</v>
      </c>
    </row>
    <row r="292" spans="1:54" x14ac:dyDescent="0.3">
      <c r="A292" s="2" t="s">
        <v>582</v>
      </c>
      <c r="B292" s="2" t="s">
        <v>51</v>
      </c>
      <c r="C292" s="2" t="s">
        <v>55</v>
      </c>
      <c r="D292" s="2" t="s">
        <v>31</v>
      </c>
      <c r="E292" s="2">
        <v>14</v>
      </c>
      <c r="F292" s="2">
        <v>11</v>
      </c>
      <c r="G292" s="2" t="s">
        <v>25</v>
      </c>
      <c r="H292" s="2" t="s">
        <v>37</v>
      </c>
      <c r="I292" s="2" t="s">
        <v>583</v>
      </c>
      <c r="J292" s="2">
        <v>47</v>
      </c>
      <c r="AS292" s="2" t="s">
        <v>577</v>
      </c>
      <c r="AT292" s="2" t="s">
        <v>84</v>
      </c>
      <c r="AU292" s="2" t="s">
        <v>79</v>
      </c>
      <c r="AV292" s="2" t="s">
        <v>31</v>
      </c>
      <c r="AW292" s="61">
        <v>15</v>
      </c>
      <c r="AX292" s="2">
        <v>11</v>
      </c>
      <c r="AY292" s="2" t="s">
        <v>25</v>
      </c>
      <c r="AZ292" s="2" t="s">
        <v>40</v>
      </c>
      <c r="BA292" s="2" t="s">
        <v>578</v>
      </c>
      <c r="BB292" s="2">
        <v>72</v>
      </c>
    </row>
    <row r="293" spans="1:54" x14ac:dyDescent="0.3">
      <c r="A293" s="2" t="s">
        <v>584</v>
      </c>
      <c r="B293" s="2" t="s">
        <v>68</v>
      </c>
      <c r="C293" s="2" t="s">
        <v>55</v>
      </c>
      <c r="D293" s="2" t="s">
        <v>31</v>
      </c>
      <c r="E293" s="2">
        <v>16</v>
      </c>
      <c r="F293" s="2">
        <v>9</v>
      </c>
      <c r="G293" s="2" t="s">
        <v>14</v>
      </c>
      <c r="H293" s="2" t="s">
        <v>61</v>
      </c>
      <c r="I293" s="2" t="s">
        <v>585</v>
      </c>
      <c r="J293" s="2">
        <v>59</v>
      </c>
      <c r="AS293" s="2" t="s">
        <v>579</v>
      </c>
      <c r="AT293" s="2" t="s">
        <v>51</v>
      </c>
      <c r="AU293" s="2" t="s">
        <v>55</v>
      </c>
      <c r="AV293" s="2" t="s">
        <v>31</v>
      </c>
      <c r="AW293" s="61">
        <v>20</v>
      </c>
      <c r="AX293" s="2">
        <v>9</v>
      </c>
      <c r="AY293" s="2" t="s">
        <v>25</v>
      </c>
      <c r="AZ293" s="2" t="s">
        <v>26</v>
      </c>
      <c r="BA293" s="2" t="s">
        <v>212</v>
      </c>
      <c r="BB293" s="2">
        <v>35</v>
      </c>
    </row>
    <row r="294" spans="1:54" x14ac:dyDescent="0.3">
      <c r="A294" s="2" t="s">
        <v>586</v>
      </c>
      <c r="B294" s="2" t="s">
        <v>11</v>
      </c>
      <c r="C294" s="2" t="s">
        <v>24</v>
      </c>
      <c r="D294" s="2" t="s">
        <v>31</v>
      </c>
      <c r="E294" s="2">
        <v>17</v>
      </c>
      <c r="F294" s="2">
        <v>11</v>
      </c>
      <c r="G294" s="2" t="s">
        <v>43</v>
      </c>
      <c r="H294" s="2" t="s">
        <v>61</v>
      </c>
      <c r="I294" s="2" t="s">
        <v>587</v>
      </c>
      <c r="J294" s="2">
        <v>73</v>
      </c>
      <c r="AS294" s="2" t="s">
        <v>580</v>
      </c>
      <c r="AT294" s="2" t="s">
        <v>29</v>
      </c>
      <c r="AU294" s="2" t="s">
        <v>36</v>
      </c>
      <c r="AV294" s="2" t="s">
        <v>13</v>
      </c>
      <c r="AW294" s="61">
        <v>17</v>
      </c>
      <c r="AX294" s="2">
        <v>10</v>
      </c>
      <c r="AY294" s="2" t="s">
        <v>32</v>
      </c>
      <c r="AZ294" s="2" t="s">
        <v>15</v>
      </c>
      <c r="BA294" s="2" t="s">
        <v>581</v>
      </c>
      <c r="BB294" s="2">
        <v>37</v>
      </c>
    </row>
    <row r="295" spans="1:54" x14ac:dyDescent="0.3">
      <c r="A295" s="2" t="s">
        <v>588</v>
      </c>
      <c r="B295" s="2" t="s">
        <v>68</v>
      </c>
      <c r="C295" s="2" t="s">
        <v>85</v>
      </c>
      <c r="D295" s="2" t="s">
        <v>31</v>
      </c>
      <c r="E295" s="2">
        <v>17</v>
      </c>
      <c r="F295" s="2">
        <v>9</v>
      </c>
      <c r="G295" s="2" t="s">
        <v>25</v>
      </c>
      <c r="H295" s="2" t="s">
        <v>61</v>
      </c>
      <c r="I295" s="2" t="s">
        <v>589</v>
      </c>
      <c r="J295" s="2">
        <v>45</v>
      </c>
      <c r="AS295" s="2" t="s">
        <v>582</v>
      </c>
      <c r="AT295" s="2" t="s">
        <v>51</v>
      </c>
      <c r="AU295" s="2" t="s">
        <v>55</v>
      </c>
      <c r="AV295" s="2" t="s">
        <v>31</v>
      </c>
      <c r="AW295" s="61">
        <v>14</v>
      </c>
      <c r="AX295" s="2">
        <v>11</v>
      </c>
      <c r="AY295" s="2" t="s">
        <v>25</v>
      </c>
      <c r="AZ295" s="2" t="s">
        <v>37</v>
      </c>
      <c r="BA295" s="2" t="s">
        <v>583</v>
      </c>
      <c r="BB295" s="2">
        <v>47</v>
      </c>
    </row>
    <row r="296" spans="1:54" x14ac:dyDescent="0.3">
      <c r="A296" s="2" t="s">
        <v>590</v>
      </c>
      <c r="B296" s="2" t="s">
        <v>35</v>
      </c>
      <c r="C296" s="2" t="s">
        <v>12</v>
      </c>
      <c r="D296" s="2" t="s">
        <v>13</v>
      </c>
      <c r="E296" s="2">
        <v>14</v>
      </c>
      <c r="F296" s="2">
        <v>11</v>
      </c>
      <c r="G296" s="2" t="s">
        <v>25</v>
      </c>
      <c r="H296" s="2" t="s">
        <v>20</v>
      </c>
      <c r="I296" s="2" t="s">
        <v>591</v>
      </c>
      <c r="J296" s="2">
        <v>64</v>
      </c>
      <c r="AS296" s="2" t="s">
        <v>584</v>
      </c>
      <c r="AT296" s="2" t="s">
        <v>68</v>
      </c>
      <c r="AU296" s="2" t="s">
        <v>55</v>
      </c>
      <c r="AV296" s="2" t="s">
        <v>31</v>
      </c>
      <c r="AW296" s="61">
        <v>16</v>
      </c>
      <c r="AX296" s="2">
        <v>9</v>
      </c>
      <c r="AY296" s="2" t="s">
        <v>14</v>
      </c>
      <c r="AZ296" s="2" t="s">
        <v>61</v>
      </c>
      <c r="BA296" s="2" t="s">
        <v>585</v>
      </c>
      <c r="BB296" s="2">
        <v>59</v>
      </c>
    </row>
    <row r="297" spans="1:54" x14ac:dyDescent="0.3">
      <c r="A297" s="2" t="s">
        <v>592</v>
      </c>
      <c r="B297" s="2" t="s">
        <v>51</v>
      </c>
      <c r="C297" s="2" t="s">
        <v>19</v>
      </c>
      <c r="D297" s="2" t="s">
        <v>31</v>
      </c>
      <c r="E297" s="2">
        <v>18</v>
      </c>
      <c r="F297" s="2">
        <v>10</v>
      </c>
      <c r="G297" s="2" t="s">
        <v>43</v>
      </c>
      <c r="H297" s="2" t="s">
        <v>76</v>
      </c>
      <c r="I297" s="2" t="s">
        <v>593</v>
      </c>
      <c r="J297" s="2">
        <v>98</v>
      </c>
      <c r="AS297" s="2" t="s">
        <v>586</v>
      </c>
      <c r="AT297" s="2" t="s">
        <v>11</v>
      </c>
      <c r="AU297" s="2" t="s">
        <v>24</v>
      </c>
      <c r="AV297" s="2" t="s">
        <v>31</v>
      </c>
      <c r="AW297" s="61">
        <v>17</v>
      </c>
      <c r="AX297" s="2">
        <v>11</v>
      </c>
      <c r="AY297" s="2" t="s">
        <v>43</v>
      </c>
      <c r="AZ297" s="2" t="s">
        <v>61</v>
      </c>
      <c r="BA297" s="2" t="s">
        <v>587</v>
      </c>
      <c r="BB297" s="2">
        <v>73</v>
      </c>
    </row>
    <row r="298" spans="1:54" x14ac:dyDescent="0.3">
      <c r="A298" s="2" t="s">
        <v>594</v>
      </c>
      <c r="B298" s="2" t="s">
        <v>54</v>
      </c>
      <c r="C298" s="2" t="s">
        <v>55</v>
      </c>
      <c r="D298" s="2" t="s">
        <v>13</v>
      </c>
      <c r="E298" s="2">
        <v>20</v>
      </c>
      <c r="F298" s="2">
        <v>11</v>
      </c>
      <c r="G298" s="2" t="s">
        <v>43</v>
      </c>
      <c r="H298" s="2" t="s">
        <v>40</v>
      </c>
      <c r="I298" s="2" t="s">
        <v>595</v>
      </c>
      <c r="J298" s="2">
        <v>84</v>
      </c>
      <c r="AS298" s="2" t="s">
        <v>588</v>
      </c>
      <c r="AT298" s="2" t="s">
        <v>68</v>
      </c>
      <c r="AU298" s="2" t="s">
        <v>85</v>
      </c>
      <c r="AV298" s="2" t="s">
        <v>31</v>
      </c>
      <c r="AW298" s="61">
        <v>17</v>
      </c>
      <c r="AX298" s="2">
        <v>9</v>
      </c>
      <c r="AY298" s="2" t="s">
        <v>25</v>
      </c>
      <c r="AZ298" s="2" t="s">
        <v>61</v>
      </c>
      <c r="BA298" s="2" t="s">
        <v>589</v>
      </c>
      <c r="BB298" s="2">
        <v>45</v>
      </c>
    </row>
    <row r="299" spans="1:54" x14ac:dyDescent="0.3">
      <c r="A299" s="2" t="s">
        <v>596</v>
      </c>
      <c r="B299" s="2" t="s">
        <v>11</v>
      </c>
      <c r="C299" s="2" t="s">
        <v>30</v>
      </c>
      <c r="D299" s="2" t="s">
        <v>13</v>
      </c>
      <c r="E299" s="2">
        <v>14</v>
      </c>
      <c r="F299" s="2">
        <v>9</v>
      </c>
      <c r="G299" s="2" t="s">
        <v>25</v>
      </c>
      <c r="H299" s="2" t="s">
        <v>76</v>
      </c>
      <c r="I299" s="2" t="s">
        <v>447</v>
      </c>
      <c r="J299" s="2">
        <v>62</v>
      </c>
      <c r="AS299" s="2" t="s">
        <v>590</v>
      </c>
      <c r="AT299" s="2" t="s">
        <v>35</v>
      </c>
      <c r="AU299" s="2" t="s">
        <v>12</v>
      </c>
      <c r="AV299" s="2" t="s">
        <v>13</v>
      </c>
      <c r="AW299" s="61">
        <v>14</v>
      </c>
      <c r="AX299" s="2">
        <v>11</v>
      </c>
      <c r="AY299" s="2" t="s">
        <v>25</v>
      </c>
      <c r="AZ299" s="2" t="s">
        <v>20</v>
      </c>
      <c r="BA299" s="2" t="s">
        <v>591</v>
      </c>
      <c r="BB299" s="2">
        <v>64</v>
      </c>
    </row>
    <row r="300" spans="1:54" x14ac:dyDescent="0.3">
      <c r="A300" s="2" t="s">
        <v>597</v>
      </c>
      <c r="B300" s="2" t="s">
        <v>18</v>
      </c>
      <c r="C300" s="2" t="s">
        <v>85</v>
      </c>
      <c r="D300" s="2" t="s">
        <v>31</v>
      </c>
      <c r="E300" s="2">
        <v>18</v>
      </c>
      <c r="F300" s="2">
        <v>11</v>
      </c>
      <c r="G300" s="2" t="s">
        <v>43</v>
      </c>
      <c r="H300" s="2" t="s">
        <v>40</v>
      </c>
      <c r="I300" s="2" t="s">
        <v>598</v>
      </c>
      <c r="J300" s="2">
        <v>55</v>
      </c>
      <c r="AS300" s="2" t="s">
        <v>592</v>
      </c>
      <c r="AT300" s="2" t="s">
        <v>51</v>
      </c>
      <c r="AU300" s="2" t="s">
        <v>19</v>
      </c>
      <c r="AV300" s="2" t="s">
        <v>31</v>
      </c>
      <c r="AW300" s="61">
        <v>18</v>
      </c>
      <c r="AX300" s="2">
        <v>10</v>
      </c>
      <c r="AY300" s="2" t="s">
        <v>43</v>
      </c>
      <c r="AZ300" s="2" t="s">
        <v>76</v>
      </c>
      <c r="BA300" s="2" t="s">
        <v>593</v>
      </c>
      <c r="BB300" s="2">
        <v>98</v>
      </c>
    </row>
    <row r="301" spans="1:54" x14ac:dyDescent="0.3">
      <c r="A301" s="2" t="s">
        <v>599</v>
      </c>
      <c r="B301" s="2" t="s">
        <v>84</v>
      </c>
      <c r="C301" s="2" t="s">
        <v>30</v>
      </c>
      <c r="D301" s="2" t="s">
        <v>13</v>
      </c>
      <c r="E301" s="2">
        <v>17</v>
      </c>
      <c r="F301" s="2">
        <v>11</v>
      </c>
      <c r="G301" s="2" t="s">
        <v>43</v>
      </c>
      <c r="H301" s="2" t="s">
        <v>15</v>
      </c>
      <c r="I301" s="2" t="s">
        <v>600</v>
      </c>
      <c r="J301" s="2">
        <v>73</v>
      </c>
      <c r="AS301" s="2" t="s">
        <v>594</v>
      </c>
      <c r="AT301" s="2" t="s">
        <v>54</v>
      </c>
      <c r="AU301" s="2" t="s">
        <v>55</v>
      </c>
      <c r="AV301" s="2" t="s">
        <v>13</v>
      </c>
      <c r="AW301" s="61">
        <v>20</v>
      </c>
      <c r="AX301" s="2">
        <v>11</v>
      </c>
      <c r="AY301" s="2" t="s">
        <v>43</v>
      </c>
      <c r="AZ301" s="2" t="s">
        <v>40</v>
      </c>
      <c r="BA301" s="2" t="s">
        <v>595</v>
      </c>
      <c r="BB301" s="2">
        <v>84</v>
      </c>
    </row>
    <row r="302" spans="1:54" x14ac:dyDescent="0.3">
      <c r="A302" s="2" t="s">
        <v>601</v>
      </c>
      <c r="B302" s="2" t="s">
        <v>73</v>
      </c>
      <c r="C302" s="2" t="s">
        <v>55</v>
      </c>
      <c r="D302" s="2" t="s">
        <v>31</v>
      </c>
      <c r="E302" s="2">
        <v>17</v>
      </c>
      <c r="F302" s="2">
        <v>11</v>
      </c>
      <c r="G302" s="2" t="s">
        <v>43</v>
      </c>
      <c r="H302" s="2" t="s">
        <v>61</v>
      </c>
      <c r="I302" s="2" t="s">
        <v>502</v>
      </c>
      <c r="J302" s="2">
        <v>76</v>
      </c>
      <c r="AS302" s="2" t="s">
        <v>596</v>
      </c>
      <c r="AT302" s="2" t="s">
        <v>11</v>
      </c>
      <c r="AU302" s="2" t="s">
        <v>30</v>
      </c>
      <c r="AV302" s="2" t="s">
        <v>13</v>
      </c>
      <c r="AW302" s="61">
        <v>14</v>
      </c>
      <c r="AX302" s="2">
        <v>9</v>
      </c>
      <c r="AY302" s="2" t="s">
        <v>25</v>
      </c>
      <c r="AZ302" s="2" t="s">
        <v>76</v>
      </c>
      <c r="BA302" s="2" t="s">
        <v>447</v>
      </c>
      <c r="BB302" s="2">
        <v>62</v>
      </c>
    </row>
    <row r="303" spans="1:54" x14ac:dyDescent="0.3">
      <c r="A303" s="2" t="s">
        <v>602</v>
      </c>
      <c r="B303" s="2" t="s">
        <v>23</v>
      </c>
      <c r="C303" s="2" t="s">
        <v>19</v>
      </c>
      <c r="D303" s="2" t="s">
        <v>13</v>
      </c>
      <c r="E303" s="2">
        <v>15</v>
      </c>
      <c r="F303" s="2">
        <v>12</v>
      </c>
      <c r="G303" s="2" t="s">
        <v>14</v>
      </c>
      <c r="H303" s="2" t="s">
        <v>61</v>
      </c>
      <c r="I303" s="2" t="s">
        <v>603</v>
      </c>
      <c r="J303" s="2">
        <v>54</v>
      </c>
      <c r="AS303" s="2" t="s">
        <v>597</v>
      </c>
      <c r="AT303" s="2" t="s">
        <v>18</v>
      </c>
      <c r="AU303" s="2" t="s">
        <v>85</v>
      </c>
      <c r="AV303" s="2" t="s">
        <v>31</v>
      </c>
      <c r="AW303" s="61">
        <v>18</v>
      </c>
      <c r="AX303" s="2">
        <v>11</v>
      </c>
      <c r="AY303" s="2" t="s">
        <v>43</v>
      </c>
      <c r="AZ303" s="2" t="s">
        <v>40</v>
      </c>
      <c r="BA303" s="2" t="s">
        <v>598</v>
      </c>
      <c r="BB303" s="2">
        <v>55</v>
      </c>
    </row>
    <row r="304" spans="1:54" x14ac:dyDescent="0.3">
      <c r="A304" s="2" t="s">
        <v>604</v>
      </c>
      <c r="B304" s="2" t="s">
        <v>51</v>
      </c>
      <c r="C304" s="2" t="s">
        <v>85</v>
      </c>
      <c r="D304" s="2" t="s">
        <v>31</v>
      </c>
      <c r="E304" s="2">
        <v>20</v>
      </c>
      <c r="F304" s="2">
        <v>12</v>
      </c>
      <c r="G304" s="2" t="s">
        <v>25</v>
      </c>
      <c r="H304" s="2" t="s">
        <v>26</v>
      </c>
      <c r="I304" s="2" t="s">
        <v>299</v>
      </c>
      <c r="J304" s="2">
        <v>69</v>
      </c>
      <c r="AS304" s="2" t="s">
        <v>599</v>
      </c>
      <c r="AT304" s="2" t="s">
        <v>84</v>
      </c>
      <c r="AU304" s="2" t="s">
        <v>30</v>
      </c>
      <c r="AV304" s="2" t="s">
        <v>13</v>
      </c>
      <c r="AW304" s="61">
        <v>17</v>
      </c>
      <c r="AX304" s="2">
        <v>11</v>
      </c>
      <c r="AY304" s="2" t="s">
        <v>43</v>
      </c>
      <c r="AZ304" s="2" t="s">
        <v>15</v>
      </c>
      <c r="BA304" s="2" t="s">
        <v>600</v>
      </c>
      <c r="BB304" s="2">
        <v>73</v>
      </c>
    </row>
    <row r="305" spans="1:54" x14ac:dyDescent="0.3">
      <c r="A305" s="2" t="s">
        <v>605</v>
      </c>
      <c r="B305" s="2" t="s">
        <v>54</v>
      </c>
      <c r="C305" s="2" t="s">
        <v>19</v>
      </c>
      <c r="D305" s="2" t="s">
        <v>31</v>
      </c>
      <c r="E305" s="2">
        <v>20</v>
      </c>
      <c r="F305" s="2">
        <v>10</v>
      </c>
      <c r="G305" s="2" t="s">
        <v>43</v>
      </c>
      <c r="H305" s="2" t="s">
        <v>37</v>
      </c>
      <c r="I305" s="2" t="s">
        <v>606</v>
      </c>
      <c r="J305" s="2">
        <v>99</v>
      </c>
      <c r="AS305" s="2" t="s">
        <v>601</v>
      </c>
      <c r="AT305" s="2" t="s">
        <v>73</v>
      </c>
      <c r="AU305" s="2" t="s">
        <v>55</v>
      </c>
      <c r="AV305" s="2" t="s">
        <v>31</v>
      </c>
      <c r="AW305" s="61">
        <v>17</v>
      </c>
      <c r="AX305" s="2">
        <v>11</v>
      </c>
      <c r="AY305" s="2" t="s">
        <v>43</v>
      </c>
      <c r="AZ305" s="2" t="s">
        <v>61</v>
      </c>
      <c r="BA305" s="2" t="s">
        <v>502</v>
      </c>
      <c r="BB305" s="2">
        <v>76</v>
      </c>
    </row>
    <row r="306" spans="1:54" x14ac:dyDescent="0.3">
      <c r="A306" s="2" t="s">
        <v>607</v>
      </c>
      <c r="B306" s="2" t="s">
        <v>68</v>
      </c>
      <c r="C306" s="2" t="s">
        <v>55</v>
      </c>
      <c r="D306" s="2" t="s">
        <v>13</v>
      </c>
      <c r="E306" s="2">
        <v>19</v>
      </c>
      <c r="F306" s="2">
        <v>11</v>
      </c>
      <c r="G306" s="2" t="s">
        <v>25</v>
      </c>
      <c r="H306" s="2" t="s">
        <v>20</v>
      </c>
      <c r="I306" s="2" t="s">
        <v>608</v>
      </c>
      <c r="J306" s="2">
        <v>43</v>
      </c>
      <c r="AS306" s="2" t="s">
        <v>602</v>
      </c>
      <c r="AT306" s="2" t="s">
        <v>23</v>
      </c>
      <c r="AU306" s="2" t="s">
        <v>19</v>
      </c>
      <c r="AV306" s="2" t="s">
        <v>13</v>
      </c>
      <c r="AW306" s="61">
        <v>15</v>
      </c>
      <c r="AX306" s="2">
        <v>12</v>
      </c>
      <c r="AY306" s="2" t="s">
        <v>14</v>
      </c>
      <c r="AZ306" s="2" t="s">
        <v>61</v>
      </c>
      <c r="BA306" s="2" t="s">
        <v>603</v>
      </c>
      <c r="BB306" s="2">
        <v>54</v>
      </c>
    </row>
    <row r="307" spans="1:54" x14ac:dyDescent="0.3">
      <c r="A307" s="2" t="s">
        <v>609</v>
      </c>
      <c r="B307" s="2" t="s">
        <v>68</v>
      </c>
      <c r="C307" s="2" t="s">
        <v>58</v>
      </c>
      <c r="D307" s="2" t="s">
        <v>13</v>
      </c>
      <c r="E307" s="2">
        <v>14</v>
      </c>
      <c r="F307" s="2">
        <v>10</v>
      </c>
      <c r="G307" s="2" t="s">
        <v>25</v>
      </c>
      <c r="H307" s="2" t="s">
        <v>37</v>
      </c>
      <c r="I307" s="2" t="s">
        <v>610</v>
      </c>
      <c r="J307" s="2">
        <v>90</v>
      </c>
      <c r="AS307" s="2" t="s">
        <v>604</v>
      </c>
      <c r="AT307" s="2" t="s">
        <v>51</v>
      </c>
      <c r="AU307" s="2" t="s">
        <v>85</v>
      </c>
      <c r="AV307" s="2" t="s">
        <v>31</v>
      </c>
      <c r="AW307" s="61">
        <v>20</v>
      </c>
      <c r="AX307" s="2">
        <v>12</v>
      </c>
      <c r="AY307" s="2" t="s">
        <v>25</v>
      </c>
      <c r="AZ307" s="2" t="s">
        <v>26</v>
      </c>
      <c r="BA307" s="2" t="s">
        <v>299</v>
      </c>
      <c r="BB307" s="2">
        <v>69</v>
      </c>
    </row>
    <row r="308" spans="1:54" x14ac:dyDescent="0.3">
      <c r="A308" s="2" t="s">
        <v>611</v>
      </c>
      <c r="B308" s="2" t="s">
        <v>18</v>
      </c>
      <c r="C308" s="2" t="s">
        <v>24</v>
      </c>
      <c r="D308" s="2" t="s">
        <v>31</v>
      </c>
      <c r="E308" s="2">
        <v>19</v>
      </c>
      <c r="F308" s="2">
        <v>12</v>
      </c>
      <c r="G308" s="2" t="s">
        <v>43</v>
      </c>
      <c r="H308" s="2" t="s">
        <v>26</v>
      </c>
      <c r="I308" s="2" t="s">
        <v>612</v>
      </c>
      <c r="J308" s="2">
        <v>82</v>
      </c>
      <c r="AS308" s="2" t="s">
        <v>605</v>
      </c>
      <c r="AT308" s="2" t="s">
        <v>54</v>
      </c>
      <c r="AU308" s="2" t="s">
        <v>19</v>
      </c>
      <c r="AV308" s="2" t="s">
        <v>31</v>
      </c>
      <c r="AW308" s="61">
        <v>20</v>
      </c>
      <c r="AX308" s="2">
        <v>10</v>
      </c>
      <c r="AY308" s="2" t="s">
        <v>43</v>
      </c>
      <c r="AZ308" s="2" t="s">
        <v>37</v>
      </c>
      <c r="BA308" s="2" t="s">
        <v>606</v>
      </c>
      <c r="BB308" s="2">
        <v>99</v>
      </c>
    </row>
    <row r="309" spans="1:54" x14ac:dyDescent="0.3">
      <c r="A309" s="2" t="s">
        <v>613</v>
      </c>
      <c r="B309" s="2" t="s">
        <v>68</v>
      </c>
      <c r="C309" s="2" t="s">
        <v>85</v>
      </c>
      <c r="D309" s="2" t="s">
        <v>31</v>
      </c>
      <c r="E309" s="2">
        <v>15</v>
      </c>
      <c r="F309" s="2">
        <v>9</v>
      </c>
      <c r="G309" s="2" t="s">
        <v>32</v>
      </c>
      <c r="H309" s="2" t="s">
        <v>37</v>
      </c>
      <c r="I309" s="2" t="s">
        <v>614</v>
      </c>
      <c r="J309" s="2">
        <v>39</v>
      </c>
      <c r="AS309" s="2" t="s">
        <v>607</v>
      </c>
      <c r="AT309" s="2" t="s">
        <v>68</v>
      </c>
      <c r="AU309" s="2" t="s">
        <v>55</v>
      </c>
      <c r="AV309" s="2" t="s">
        <v>13</v>
      </c>
      <c r="AW309" s="61">
        <v>19</v>
      </c>
      <c r="AX309" s="2">
        <v>11</v>
      </c>
      <c r="AY309" s="2" t="s">
        <v>25</v>
      </c>
      <c r="AZ309" s="2" t="s">
        <v>20</v>
      </c>
      <c r="BA309" s="2" t="s">
        <v>608</v>
      </c>
      <c r="BB309" s="2">
        <v>43</v>
      </c>
    </row>
    <row r="310" spans="1:54" x14ac:dyDescent="0.3">
      <c r="A310" s="2" t="s">
        <v>615</v>
      </c>
      <c r="B310" s="2" t="s">
        <v>18</v>
      </c>
      <c r="C310" s="2" t="s">
        <v>12</v>
      </c>
      <c r="D310" s="2" t="s">
        <v>13</v>
      </c>
      <c r="E310" s="2">
        <v>17</v>
      </c>
      <c r="F310" s="2">
        <v>12</v>
      </c>
      <c r="G310" s="2" t="s">
        <v>14</v>
      </c>
      <c r="H310" s="2" t="s">
        <v>61</v>
      </c>
      <c r="I310" s="2" t="s">
        <v>616</v>
      </c>
      <c r="J310" s="2">
        <v>99</v>
      </c>
      <c r="AS310" s="2" t="s">
        <v>609</v>
      </c>
      <c r="AT310" s="2" t="s">
        <v>68</v>
      </c>
      <c r="AU310" s="2" t="s">
        <v>58</v>
      </c>
      <c r="AV310" s="2" t="s">
        <v>13</v>
      </c>
      <c r="AW310" s="61">
        <v>14</v>
      </c>
      <c r="AX310" s="2">
        <v>10</v>
      </c>
      <c r="AY310" s="2" t="s">
        <v>25</v>
      </c>
      <c r="AZ310" s="2" t="s">
        <v>37</v>
      </c>
      <c r="BA310" s="2" t="s">
        <v>610</v>
      </c>
      <c r="BB310" s="2">
        <v>90</v>
      </c>
    </row>
    <row r="311" spans="1:54" x14ac:dyDescent="0.3">
      <c r="A311" s="2" t="s">
        <v>617</v>
      </c>
      <c r="B311" s="2" t="s">
        <v>35</v>
      </c>
      <c r="C311" s="2" t="s">
        <v>12</v>
      </c>
      <c r="D311" s="2" t="s">
        <v>13</v>
      </c>
      <c r="E311" s="2">
        <v>15</v>
      </c>
      <c r="F311" s="2">
        <v>9</v>
      </c>
      <c r="G311" s="2" t="s">
        <v>25</v>
      </c>
      <c r="H311" s="2" t="s">
        <v>46</v>
      </c>
      <c r="I311" s="2" t="s">
        <v>155</v>
      </c>
      <c r="J311" s="2">
        <v>85</v>
      </c>
      <c r="AS311" s="2" t="s">
        <v>611</v>
      </c>
      <c r="AT311" s="2" t="s">
        <v>18</v>
      </c>
      <c r="AU311" s="2" t="s">
        <v>24</v>
      </c>
      <c r="AV311" s="2" t="s">
        <v>31</v>
      </c>
      <c r="AW311" s="61">
        <v>19</v>
      </c>
      <c r="AX311" s="2">
        <v>12</v>
      </c>
      <c r="AY311" s="2" t="s">
        <v>43</v>
      </c>
      <c r="AZ311" s="2" t="s">
        <v>26</v>
      </c>
      <c r="BA311" s="2" t="s">
        <v>612</v>
      </c>
      <c r="BB311" s="2">
        <v>82</v>
      </c>
    </row>
    <row r="312" spans="1:54" x14ac:dyDescent="0.3">
      <c r="A312" s="2" t="s">
        <v>618</v>
      </c>
      <c r="B312" s="2" t="s">
        <v>73</v>
      </c>
      <c r="C312" s="2" t="s">
        <v>85</v>
      </c>
      <c r="D312" s="2" t="s">
        <v>31</v>
      </c>
      <c r="E312" s="2">
        <v>14</v>
      </c>
      <c r="F312" s="2">
        <v>11</v>
      </c>
      <c r="G312" s="2" t="s">
        <v>25</v>
      </c>
      <c r="H312" s="2" t="s">
        <v>20</v>
      </c>
      <c r="I312" s="2" t="s">
        <v>619</v>
      </c>
      <c r="J312" s="2">
        <v>67</v>
      </c>
      <c r="AS312" s="2" t="s">
        <v>613</v>
      </c>
      <c r="AT312" s="2" t="s">
        <v>68</v>
      </c>
      <c r="AU312" s="2" t="s">
        <v>85</v>
      </c>
      <c r="AV312" s="2" t="s">
        <v>31</v>
      </c>
      <c r="AW312" s="61">
        <v>15</v>
      </c>
      <c r="AX312" s="2">
        <v>9</v>
      </c>
      <c r="AY312" s="2" t="s">
        <v>32</v>
      </c>
      <c r="AZ312" s="2" t="s">
        <v>37</v>
      </c>
      <c r="BA312" s="2" t="s">
        <v>614</v>
      </c>
      <c r="BB312" s="2">
        <v>39</v>
      </c>
    </row>
    <row r="313" spans="1:54" x14ac:dyDescent="0.3">
      <c r="A313" s="2" t="s">
        <v>620</v>
      </c>
      <c r="B313" s="2" t="s">
        <v>84</v>
      </c>
      <c r="C313" s="2" t="s">
        <v>24</v>
      </c>
      <c r="D313" s="2" t="s">
        <v>31</v>
      </c>
      <c r="E313" s="2">
        <v>19</v>
      </c>
      <c r="F313" s="2">
        <v>12</v>
      </c>
      <c r="G313" s="2" t="s">
        <v>14</v>
      </c>
      <c r="H313" s="2" t="s">
        <v>61</v>
      </c>
      <c r="I313" s="2" t="s">
        <v>621</v>
      </c>
      <c r="J313" s="2">
        <v>77</v>
      </c>
      <c r="AS313" s="2" t="s">
        <v>615</v>
      </c>
      <c r="AT313" s="2" t="s">
        <v>18</v>
      </c>
      <c r="AU313" s="2" t="s">
        <v>12</v>
      </c>
      <c r="AV313" s="2" t="s">
        <v>13</v>
      </c>
      <c r="AW313" s="61">
        <v>17</v>
      </c>
      <c r="AX313" s="2">
        <v>12</v>
      </c>
      <c r="AY313" s="2" t="s">
        <v>14</v>
      </c>
      <c r="AZ313" s="2" t="s">
        <v>61</v>
      </c>
      <c r="BA313" s="2" t="s">
        <v>616</v>
      </c>
      <c r="BB313" s="2">
        <v>99</v>
      </c>
    </row>
    <row r="314" spans="1:54" x14ac:dyDescent="0.3">
      <c r="A314" s="2" t="s">
        <v>622</v>
      </c>
      <c r="B314" s="2" t="s">
        <v>23</v>
      </c>
      <c r="C314" s="2" t="s">
        <v>96</v>
      </c>
      <c r="D314" s="2" t="s">
        <v>31</v>
      </c>
      <c r="E314" s="2">
        <v>17</v>
      </c>
      <c r="F314" s="2">
        <v>12</v>
      </c>
      <c r="G314" s="2" t="s">
        <v>43</v>
      </c>
      <c r="H314" s="2" t="s">
        <v>46</v>
      </c>
      <c r="I314" s="2" t="s">
        <v>170</v>
      </c>
      <c r="J314" s="2">
        <v>62</v>
      </c>
      <c r="AS314" s="2" t="s">
        <v>617</v>
      </c>
      <c r="AT314" s="2" t="s">
        <v>35</v>
      </c>
      <c r="AU314" s="2" t="s">
        <v>12</v>
      </c>
      <c r="AV314" s="2" t="s">
        <v>13</v>
      </c>
      <c r="AW314" s="61">
        <v>15</v>
      </c>
      <c r="AX314" s="2">
        <v>9</v>
      </c>
      <c r="AY314" s="2" t="s">
        <v>25</v>
      </c>
      <c r="AZ314" s="2" t="s">
        <v>46</v>
      </c>
      <c r="BA314" s="2" t="s">
        <v>155</v>
      </c>
      <c r="BB314" s="2">
        <v>85</v>
      </c>
    </row>
    <row r="315" spans="1:54" x14ac:dyDescent="0.3">
      <c r="A315" s="2" t="s">
        <v>623</v>
      </c>
      <c r="B315" s="2" t="s">
        <v>29</v>
      </c>
      <c r="C315" s="2" t="s">
        <v>12</v>
      </c>
      <c r="D315" s="2" t="s">
        <v>31</v>
      </c>
      <c r="E315" s="2">
        <v>19</v>
      </c>
      <c r="F315" s="2">
        <v>11</v>
      </c>
      <c r="G315" s="2" t="s">
        <v>25</v>
      </c>
      <c r="H315" s="2" t="s">
        <v>76</v>
      </c>
      <c r="I315" s="2" t="s">
        <v>624</v>
      </c>
      <c r="J315" s="2">
        <v>49</v>
      </c>
      <c r="AS315" s="2" t="s">
        <v>618</v>
      </c>
      <c r="AT315" s="2" t="s">
        <v>73</v>
      </c>
      <c r="AU315" s="2" t="s">
        <v>85</v>
      </c>
      <c r="AV315" s="2" t="s">
        <v>31</v>
      </c>
      <c r="AW315" s="61">
        <v>14</v>
      </c>
      <c r="AX315" s="2">
        <v>11</v>
      </c>
      <c r="AY315" s="2" t="s">
        <v>25</v>
      </c>
      <c r="AZ315" s="2" t="s">
        <v>20</v>
      </c>
      <c r="BA315" s="2" t="s">
        <v>619</v>
      </c>
      <c r="BB315" s="2">
        <v>67</v>
      </c>
    </row>
    <row r="316" spans="1:54" x14ac:dyDescent="0.3">
      <c r="A316" s="2" t="s">
        <v>625</v>
      </c>
      <c r="B316" s="2" t="s">
        <v>68</v>
      </c>
      <c r="C316" s="2" t="s">
        <v>96</v>
      </c>
      <c r="D316" s="2" t="s">
        <v>31</v>
      </c>
      <c r="E316" s="2">
        <v>19</v>
      </c>
      <c r="F316" s="2">
        <v>12</v>
      </c>
      <c r="G316" s="2" t="s">
        <v>32</v>
      </c>
      <c r="H316" s="2" t="s">
        <v>15</v>
      </c>
      <c r="I316" s="2" t="s">
        <v>626</v>
      </c>
      <c r="J316" s="2">
        <v>86</v>
      </c>
      <c r="AS316" s="2" t="s">
        <v>620</v>
      </c>
      <c r="AT316" s="2" t="s">
        <v>84</v>
      </c>
      <c r="AU316" s="2" t="s">
        <v>24</v>
      </c>
      <c r="AV316" s="2" t="s">
        <v>31</v>
      </c>
      <c r="AW316" s="61">
        <v>19</v>
      </c>
      <c r="AX316" s="2">
        <v>12</v>
      </c>
      <c r="AY316" s="2" t="s">
        <v>14</v>
      </c>
      <c r="AZ316" s="2" t="s">
        <v>61</v>
      </c>
      <c r="BA316" s="2" t="s">
        <v>621</v>
      </c>
      <c r="BB316" s="2">
        <v>77</v>
      </c>
    </row>
    <row r="317" spans="1:54" x14ac:dyDescent="0.3">
      <c r="A317" s="2" t="s">
        <v>627</v>
      </c>
      <c r="B317" s="2" t="s">
        <v>35</v>
      </c>
      <c r="C317" s="2" t="s">
        <v>85</v>
      </c>
      <c r="D317" s="2" t="s">
        <v>31</v>
      </c>
      <c r="E317" s="2">
        <v>16</v>
      </c>
      <c r="F317" s="2">
        <v>9</v>
      </c>
      <c r="G317" s="2" t="s">
        <v>43</v>
      </c>
      <c r="H317" s="2" t="s">
        <v>20</v>
      </c>
      <c r="I317" s="2" t="s">
        <v>628</v>
      </c>
      <c r="J317" s="2">
        <v>84</v>
      </c>
      <c r="AS317" s="2" t="s">
        <v>622</v>
      </c>
      <c r="AT317" s="2" t="s">
        <v>23</v>
      </c>
      <c r="AU317" s="2" t="s">
        <v>96</v>
      </c>
      <c r="AV317" s="2" t="s">
        <v>31</v>
      </c>
      <c r="AW317" s="61">
        <v>17</v>
      </c>
      <c r="AX317" s="2">
        <v>12</v>
      </c>
      <c r="AY317" s="2" t="s">
        <v>43</v>
      </c>
      <c r="AZ317" s="2" t="s">
        <v>46</v>
      </c>
      <c r="BA317" s="2" t="s">
        <v>170</v>
      </c>
      <c r="BB317" s="2">
        <v>62</v>
      </c>
    </row>
    <row r="318" spans="1:54" x14ac:dyDescent="0.3">
      <c r="A318" s="2" t="s">
        <v>629</v>
      </c>
      <c r="B318" s="2" t="s">
        <v>35</v>
      </c>
      <c r="C318" s="2" t="s">
        <v>58</v>
      </c>
      <c r="D318" s="2" t="s">
        <v>13</v>
      </c>
      <c r="E318" s="2">
        <v>18</v>
      </c>
      <c r="F318" s="2">
        <v>9</v>
      </c>
      <c r="G318" s="2" t="s">
        <v>25</v>
      </c>
      <c r="H318" s="2" t="s">
        <v>76</v>
      </c>
      <c r="I318" s="2" t="s">
        <v>105</v>
      </c>
      <c r="J318" s="2">
        <v>82</v>
      </c>
      <c r="AS318" s="2" t="s">
        <v>623</v>
      </c>
      <c r="AT318" s="2" t="s">
        <v>29</v>
      </c>
      <c r="AU318" s="2" t="s">
        <v>12</v>
      </c>
      <c r="AV318" s="2" t="s">
        <v>31</v>
      </c>
      <c r="AW318" s="61">
        <v>19</v>
      </c>
      <c r="AX318" s="2">
        <v>11</v>
      </c>
      <c r="AY318" s="2" t="s">
        <v>25</v>
      </c>
      <c r="AZ318" s="2" t="s">
        <v>76</v>
      </c>
      <c r="BA318" s="2" t="s">
        <v>624</v>
      </c>
      <c r="BB318" s="2">
        <v>49</v>
      </c>
    </row>
    <row r="319" spans="1:54" x14ac:dyDescent="0.3">
      <c r="A319" s="2" t="s">
        <v>630</v>
      </c>
      <c r="B319" s="2" t="s">
        <v>84</v>
      </c>
      <c r="C319" s="2" t="s">
        <v>96</v>
      </c>
      <c r="D319" s="2" t="s">
        <v>31</v>
      </c>
      <c r="E319" s="2">
        <v>19</v>
      </c>
      <c r="F319" s="2">
        <v>10</v>
      </c>
      <c r="G319" s="2" t="s">
        <v>43</v>
      </c>
      <c r="H319" s="2" t="s">
        <v>20</v>
      </c>
      <c r="I319" s="2" t="s">
        <v>631</v>
      </c>
      <c r="J319" s="2">
        <v>63</v>
      </c>
      <c r="AS319" s="2" t="s">
        <v>625</v>
      </c>
      <c r="AT319" s="2" t="s">
        <v>68</v>
      </c>
      <c r="AU319" s="2" t="s">
        <v>96</v>
      </c>
      <c r="AV319" s="2" t="s">
        <v>31</v>
      </c>
      <c r="AW319" s="61">
        <v>19</v>
      </c>
      <c r="AX319" s="2">
        <v>12</v>
      </c>
      <c r="AY319" s="2" t="s">
        <v>32</v>
      </c>
      <c r="AZ319" s="2" t="s">
        <v>15</v>
      </c>
      <c r="BA319" s="2" t="s">
        <v>626</v>
      </c>
      <c r="BB319" s="2">
        <v>86</v>
      </c>
    </row>
    <row r="320" spans="1:54" x14ac:dyDescent="0.3">
      <c r="A320" s="2" t="s">
        <v>632</v>
      </c>
      <c r="B320" s="2" t="s">
        <v>54</v>
      </c>
      <c r="C320" s="2" t="s">
        <v>55</v>
      </c>
      <c r="D320" s="2" t="s">
        <v>31</v>
      </c>
      <c r="E320" s="2">
        <v>19</v>
      </c>
      <c r="F320" s="2">
        <v>11</v>
      </c>
      <c r="G320" s="2" t="s">
        <v>25</v>
      </c>
      <c r="H320" s="2" t="s">
        <v>61</v>
      </c>
      <c r="I320" s="2" t="s">
        <v>633</v>
      </c>
      <c r="J320" s="2">
        <v>82</v>
      </c>
      <c r="AS320" s="2" t="s">
        <v>627</v>
      </c>
      <c r="AT320" s="2" t="s">
        <v>35</v>
      </c>
      <c r="AU320" s="2" t="s">
        <v>85</v>
      </c>
      <c r="AV320" s="2" t="s">
        <v>31</v>
      </c>
      <c r="AW320" s="61">
        <v>16</v>
      </c>
      <c r="AX320" s="2">
        <v>9</v>
      </c>
      <c r="AY320" s="2" t="s">
        <v>43</v>
      </c>
      <c r="AZ320" s="2" t="s">
        <v>20</v>
      </c>
      <c r="BA320" s="2" t="s">
        <v>628</v>
      </c>
      <c r="BB320" s="2">
        <v>84</v>
      </c>
    </row>
    <row r="321" spans="1:54" x14ac:dyDescent="0.3">
      <c r="A321" s="2" t="s">
        <v>634</v>
      </c>
      <c r="B321" s="2" t="s">
        <v>54</v>
      </c>
      <c r="C321" s="2" t="s">
        <v>30</v>
      </c>
      <c r="D321" s="2" t="s">
        <v>31</v>
      </c>
      <c r="E321" s="2">
        <v>15</v>
      </c>
      <c r="F321" s="2">
        <v>9</v>
      </c>
      <c r="G321" s="2" t="s">
        <v>25</v>
      </c>
      <c r="H321" s="2" t="s">
        <v>40</v>
      </c>
      <c r="I321" s="2" t="s">
        <v>635</v>
      </c>
      <c r="J321" s="2">
        <v>53</v>
      </c>
      <c r="AS321" s="2" t="s">
        <v>629</v>
      </c>
      <c r="AT321" s="2" t="s">
        <v>35</v>
      </c>
      <c r="AU321" s="2" t="s">
        <v>58</v>
      </c>
      <c r="AV321" s="2" t="s">
        <v>13</v>
      </c>
      <c r="AW321" s="61">
        <v>18</v>
      </c>
      <c r="AX321" s="2">
        <v>9</v>
      </c>
      <c r="AY321" s="2" t="s">
        <v>25</v>
      </c>
      <c r="AZ321" s="2" t="s">
        <v>76</v>
      </c>
      <c r="BA321" s="2" t="s">
        <v>105</v>
      </c>
      <c r="BB321" s="2">
        <v>82</v>
      </c>
    </row>
    <row r="322" spans="1:54" x14ac:dyDescent="0.3">
      <c r="A322" s="2" t="s">
        <v>636</v>
      </c>
      <c r="B322" s="2" t="s">
        <v>11</v>
      </c>
      <c r="C322" s="2" t="s">
        <v>79</v>
      </c>
      <c r="D322" s="2" t="s">
        <v>13</v>
      </c>
      <c r="E322" s="2">
        <v>19</v>
      </c>
      <c r="F322" s="2">
        <v>9</v>
      </c>
      <c r="G322" s="2" t="s">
        <v>32</v>
      </c>
      <c r="H322" s="2" t="s">
        <v>76</v>
      </c>
      <c r="I322" s="2" t="s">
        <v>637</v>
      </c>
      <c r="J322" s="2">
        <v>97</v>
      </c>
      <c r="AS322" s="2" t="s">
        <v>630</v>
      </c>
      <c r="AT322" s="2" t="s">
        <v>84</v>
      </c>
      <c r="AU322" s="2" t="s">
        <v>96</v>
      </c>
      <c r="AV322" s="2" t="s">
        <v>31</v>
      </c>
      <c r="AW322" s="61">
        <v>19</v>
      </c>
      <c r="AX322" s="2">
        <v>10</v>
      </c>
      <c r="AY322" s="2" t="s">
        <v>43</v>
      </c>
      <c r="AZ322" s="2" t="s">
        <v>20</v>
      </c>
      <c r="BA322" s="2" t="s">
        <v>631</v>
      </c>
      <c r="BB322" s="2">
        <v>63</v>
      </c>
    </row>
    <row r="323" spans="1:54" x14ac:dyDescent="0.3">
      <c r="A323" s="2" t="s">
        <v>638</v>
      </c>
      <c r="B323" s="2" t="s">
        <v>54</v>
      </c>
      <c r="C323" s="2" t="s">
        <v>12</v>
      </c>
      <c r="D323" s="2" t="s">
        <v>31</v>
      </c>
      <c r="E323" s="2">
        <v>15</v>
      </c>
      <c r="F323" s="2">
        <v>12</v>
      </c>
      <c r="G323" s="2" t="s">
        <v>43</v>
      </c>
      <c r="H323" s="2" t="s">
        <v>76</v>
      </c>
      <c r="I323" s="2" t="s">
        <v>639</v>
      </c>
      <c r="J323" s="2">
        <v>51</v>
      </c>
      <c r="AS323" s="2" t="s">
        <v>632</v>
      </c>
      <c r="AT323" s="2" t="s">
        <v>54</v>
      </c>
      <c r="AU323" s="2" t="s">
        <v>55</v>
      </c>
      <c r="AV323" s="2" t="s">
        <v>31</v>
      </c>
      <c r="AW323" s="61">
        <v>19</v>
      </c>
      <c r="AX323" s="2">
        <v>11</v>
      </c>
      <c r="AY323" s="2" t="s">
        <v>25</v>
      </c>
      <c r="AZ323" s="2" t="s">
        <v>61</v>
      </c>
      <c r="BA323" s="2" t="s">
        <v>633</v>
      </c>
      <c r="BB323" s="2">
        <v>82</v>
      </c>
    </row>
    <row r="324" spans="1:54" x14ac:dyDescent="0.3">
      <c r="A324" s="2" t="s">
        <v>640</v>
      </c>
      <c r="B324" s="2" t="s">
        <v>84</v>
      </c>
      <c r="C324" s="2" t="s">
        <v>79</v>
      </c>
      <c r="D324" s="2" t="s">
        <v>31</v>
      </c>
      <c r="E324" s="2">
        <v>14</v>
      </c>
      <c r="F324" s="2">
        <v>9</v>
      </c>
      <c r="G324" s="2" t="s">
        <v>14</v>
      </c>
      <c r="H324" s="2" t="s">
        <v>37</v>
      </c>
      <c r="I324" s="2" t="s">
        <v>641</v>
      </c>
      <c r="J324" s="2">
        <v>43</v>
      </c>
      <c r="AS324" s="2" t="s">
        <v>634</v>
      </c>
      <c r="AT324" s="2" t="s">
        <v>54</v>
      </c>
      <c r="AU324" s="2" t="s">
        <v>30</v>
      </c>
      <c r="AV324" s="2" t="s">
        <v>31</v>
      </c>
      <c r="AW324" s="61">
        <v>15</v>
      </c>
      <c r="AX324" s="2">
        <v>9</v>
      </c>
      <c r="AY324" s="2" t="s">
        <v>25</v>
      </c>
      <c r="AZ324" s="2" t="s">
        <v>40</v>
      </c>
      <c r="BA324" s="2" t="s">
        <v>635</v>
      </c>
      <c r="BB324" s="2">
        <v>53</v>
      </c>
    </row>
    <row r="325" spans="1:54" x14ac:dyDescent="0.3">
      <c r="A325" s="2" t="s">
        <v>642</v>
      </c>
      <c r="B325" s="2" t="s">
        <v>18</v>
      </c>
      <c r="C325" s="2" t="s">
        <v>19</v>
      </c>
      <c r="D325" s="2" t="s">
        <v>13</v>
      </c>
      <c r="E325" s="2">
        <v>14</v>
      </c>
      <c r="F325" s="2">
        <v>9</v>
      </c>
      <c r="G325" s="2" t="s">
        <v>43</v>
      </c>
      <c r="H325" s="2" t="s">
        <v>20</v>
      </c>
      <c r="I325" s="2" t="s">
        <v>643</v>
      </c>
      <c r="J325" s="2">
        <v>57</v>
      </c>
      <c r="AS325" s="2" t="s">
        <v>636</v>
      </c>
      <c r="AT325" s="2" t="s">
        <v>11</v>
      </c>
      <c r="AU325" s="2" t="s">
        <v>79</v>
      </c>
      <c r="AV325" s="2" t="s">
        <v>13</v>
      </c>
      <c r="AW325" s="61">
        <v>19</v>
      </c>
      <c r="AX325" s="2">
        <v>9</v>
      </c>
      <c r="AY325" s="2" t="s">
        <v>32</v>
      </c>
      <c r="AZ325" s="2" t="s">
        <v>76</v>
      </c>
      <c r="BA325" s="2" t="s">
        <v>637</v>
      </c>
      <c r="BB325" s="2">
        <v>97</v>
      </c>
    </row>
    <row r="326" spans="1:54" x14ac:dyDescent="0.3">
      <c r="A326" s="2" t="s">
        <v>644</v>
      </c>
      <c r="B326" s="2" t="s">
        <v>51</v>
      </c>
      <c r="C326" s="2" t="s">
        <v>36</v>
      </c>
      <c r="D326" s="2" t="s">
        <v>31</v>
      </c>
      <c r="E326" s="2">
        <v>16</v>
      </c>
      <c r="F326" s="2">
        <v>11</v>
      </c>
      <c r="G326" s="2" t="s">
        <v>43</v>
      </c>
      <c r="H326" s="2" t="s">
        <v>20</v>
      </c>
      <c r="I326" s="2" t="s">
        <v>645</v>
      </c>
      <c r="J326" s="2">
        <v>81</v>
      </c>
      <c r="AS326" s="2" t="s">
        <v>638</v>
      </c>
      <c r="AT326" s="2" t="s">
        <v>54</v>
      </c>
      <c r="AU326" s="2" t="s">
        <v>12</v>
      </c>
      <c r="AV326" s="2" t="s">
        <v>31</v>
      </c>
      <c r="AW326" s="61">
        <v>15</v>
      </c>
      <c r="AX326" s="2">
        <v>12</v>
      </c>
      <c r="AY326" s="2" t="s">
        <v>43</v>
      </c>
      <c r="AZ326" s="2" t="s">
        <v>76</v>
      </c>
      <c r="BA326" s="2" t="s">
        <v>639</v>
      </c>
      <c r="BB326" s="2">
        <v>51</v>
      </c>
    </row>
    <row r="327" spans="1:54" x14ac:dyDescent="0.3">
      <c r="A327" s="2" t="s">
        <v>646</v>
      </c>
      <c r="B327" s="2" t="s">
        <v>84</v>
      </c>
      <c r="C327" s="2" t="s">
        <v>12</v>
      </c>
      <c r="D327" s="2" t="s">
        <v>31</v>
      </c>
      <c r="E327" s="2">
        <v>17</v>
      </c>
      <c r="F327" s="2">
        <v>12</v>
      </c>
      <c r="G327" s="2" t="s">
        <v>25</v>
      </c>
      <c r="H327" s="2" t="s">
        <v>76</v>
      </c>
      <c r="I327" s="2" t="s">
        <v>647</v>
      </c>
      <c r="J327" s="2">
        <v>83</v>
      </c>
      <c r="AS327" s="2" t="s">
        <v>640</v>
      </c>
      <c r="AT327" s="2" t="s">
        <v>84</v>
      </c>
      <c r="AU327" s="2" t="s">
        <v>79</v>
      </c>
      <c r="AV327" s="2" t="s">
        <v>31</v>
      </c>
      <c r="AW327" s="61">
        <v>14</v>
      </c>
      <c r="AX327" s="2">
        <v>9</v>
      </c>
      <c r="AY327" s="2" t="s">
        <v>14</v>
      </c>
      <c r="AZ327" s="2" t="s">
        <v>37</v>
      </c>
      <c r="BA327" s="2" t="s">
        <v>641</v>
      </c>
      <c r="BB327" s="2">
        <v>43</v>
      </c>
    </row>
    <row r="328" spans="1:54" x14ac:dyDescent="0.3">
      <c r="A328" s="2" t="s">
        <v>648</v>
      </c>
      <c r="B328" s="2" t="s">
        <v>51</v>
      </c>
      <c r="C328" s="2" t="s">
        <v>79</v>
      </c>
      <c r="D328" s="2" t="s">
        <v>13</v>
      </c>
      <c r="E328" s="2">
        <v>14</v>
      </c>
      <c r="F328" s="2">
        <v>9</v>
      </c>
      <c r="G328" s="2" t="s">
        <v>25</v>
      </c>
      <c r="H328" s="2" t="s">
        <v>15</v>
      </c>
      <c r="I328" s="2" t="s">
        <v>649</v>
      </c>
      <c r="J328" s="2">
        <v>77</v>
      </c>
      <c r="AS328" s="2" t="s">
        <v>642</v>
      </c>
      <c r="AT328" s="2" t="s">
        <v>18</v>
      </c>
      <c r="AU328" s="2" t="s">
        <v>19</v>
      </c>
      <c r="AV328" s="2" t="s">
        <v>13</v>
      </c>
      <c r="AW328" s="61">
        <v>14</v>
      </c>
      <c r="AX328" s="2">
        <v>9</v>
      </c>
      <c r="AY328" s="2" t="s">
        <v>43</v>
      </c>
      <c r="AZ328" s="2" t="s">
        <v>20</v>
      </c>
      <c r="BA328" s="2" t="s">
        <v>643</v>
      </c>
      <c r="BB328" s="2">
        <v>57</v>
      </c>
    </row>
    <row r="329" spans="1:54" x14ac:dyDescent="0.3">
      <c r="A329" s="2" t="s">
        <v>650</v>
      </c>
      <c r="B329" s="2" t="s">
        <v>23</v>
      </c>
      <c r="C329" s="2" t="s">
        <v>24</v>
      </c>
      <c r="D329" s="2" t="s">
        <v>13</v>
      </c>
      <c r="E329" s="2">
        <v>17</v>
      </c>
      <c r="F329" s="2">
        <v>12</v>
      </c>
      <c r="G329" s="2" t="s">
        <v>25</v>
      </c>
      <c r="H329" s="2" t="s">
        <v>46</v>
      </c>
      <c r="I329" s="2" t="s">
        <v>651</v>
      </c>
      <c r="J329" s="2">
        <v>45</v>
      </c>
      <c r="AS329" s="2" t="s">
        <v>644</v>
      </c>
      <c r="AT329" s="2" t="s">
        <v>51</v>
      </c>
      <c r="AU329" s="2" t="s">
        <v>36</v>
      </c>
      <c r="AV329" s="2" t="s">
        <v>31</v>
      </c>
      <c r="AW329" s="61">
        <v>16</v>
      </c>
      <c r="AX329" s="2">
        <v>11</v>
      </c>
      <c r="AY329" s="2" t="s">
        <v>43</v>
      </c>
      <c r="AZ329" s="2" t="s">
        <v>20</v>
      </c>
      <c r="BA329" s="2" t="s">
        <v>645</v>
      </c>
      <c r="BB329" s="2">
        <v>81</v>
      </c>
    </row>
    <row r="330" spans="1:54" x14ac:dyDescent="0.3">
      <c r="A330" s="2" t="s">
        <v>652</v>
      </c>
      <c r="B330" s="2" t="s">
        <v>51</v>
      </c>
      <c r="C330" s="2" t="s">
        <v>55</v>
      </c>
      <c r="D330" s="2" t="s">
        <v>13</v>
      </c>
      <c r="E330" s="2">
        <v>16</v>
      </c>
      <c r="F330" s="2">
        <v>12</v>
      </c>
      <c r="G330" s="2" t="s">
        <v>32</v>
      </c>
      <c r="H330" s="2" t="s">
        <v>61</v>
      </c>
      <c r="I330" s="2" t="s">
        <v>653</v>
      </c>
      <c r="J330" s="2">
        <v>45</v>
      </c>
      <c r="AS330" s="2" t="s">
        <v>646</v>
      </c>
      <c r="AT330" s="2" t="s">
        <v>84</v>
      </c>
      <c r="AU330" s="2" t="s">
        <v>12</v>
      </c>
      <c r="AV330" s="2" t="s">
        <v>31</v>
      </c>
      <c r="AW330" s="61">
        <v>17</v>
      </c>
      <c r="AX330" s="2">
        <v>12</v>
      </c>
      <c r="AY330" s="2" t="s">
        <v>25</v>
      </c>
      <c r="AZ330" s="2" t="s">
        <v>76</v>
      </c>
      <c r="BA330" s="2" t="s">
        <v>647</v>
      </c>
      <c r="BB330" s="2">
        <v>83</v>
      </c>
    </row>
    <row r="331" spans="1:54" x14ac:dyDescent="0.3">
      <c r="A331" s="2" t="s">
        <v>654</v>
      </c>
      <c r="B331" s="2" t="s">
        <v>18</v>
      </c>
      <c r="C331" s="2" t="s">
        <v>24</v>
      </c>
      <c r="D331" s="2" t="s">
        <v>31</v>
      </c>
      <c r="E331" s="2">
        <v>14</v>
      </c>
      <c r="F331" s="2">
        <v>12</v>
      </c>
      <c r="G331" s="2" t="s">
        <v>14</v>
      </c>
      <c r="H331" s="2" t="s">
        <v>46</v>
      </c>
      <c r="I331" s="2" t="s">
        <v>655</v>
      </c>
      <c r="J331" s="2">
        <v>42</v>
      </c>
      <c r="AS331" s="2" t="s">
        <v>648</v>
      </c>
      <c r="AT331" s="2" t="s">
        <v>51</v>
      </c>
      <c r="AU331" s="2" t="s">
        <v>79</v>
      </c>
      <c r="AV331" s="2" t="s">
        <v>13</v>
      </c>
      <c r="AW331" s="61">
        <v>14</v>
      </c>
      <c r="AX331" s="2">
        <v>9</v>
      </c>
      <c r="AY331" s="2" t="s">
        <v>25</v>
      </c>
      <c r="AZ331" s="2" t="s">
        <v>15</v>
      </c>
      <c r="BA331" s="2" t="s">
        <v>649</v>
      </c>
      <c r="BB331" s="2">
        <v>77</v>
      </c>
    </row>
    <row r="332" spans="1:54" x14ac:dyDescent="0.3">
      <c r="A332" s="2" t="s">
        <v>656</v>
      </c>
      <c r="B332" s="2" t="s">
        <v>29</v>
      </c>
      <c r="C332" s="2" t="s">
        <v>30</v>
      </c>
      <c r="D332" s="2" t="s">
        <v>13</v>
      </c>
      <c r="E332" s="2">
        <v>19</v>
      </c>
      <c r="F332" s="2">
        <v>10</v>
      </c>
      <c r="G332" s="2" t="s">
        <v>43</v>
      </c>
      <c r="H332" s="2" t="s">
        <v>15</v>
      </c>
      <c r="I332" s="2" t="s">
        <v>657</v>
      </c>
      <c r="J332" s="2">
        <v>85</v>
      </c>
      <c r="AS332" s="2" t="s">
        <v>650</v>
      </c>
      <c r="AT332" s="2" t="s">
        <v>23</v>
      </c>
      <c r="AU332" s="2" t="s">
        <v>24</v>
      </c>
      <c r="AV332" s="2" t="s">
        <v>13</v>
      </c>
      <c r="AW332" s="61">
        <v>17</v>
      </c>
      <c r="AX332" s="2">
        <v>12</v>
      </c>
      <c r="AY332" s="2" t="s">
        <v>25</v>
      </c>
      <c r="AZ332" s="2" t="s">
        <v>46</v>
      </c>
      <c r="BA332" s="2" t="s">
        <v>651</v>
      </c>
      <c r="BB332" s="2">
        <v>45</v>
      </c>
    </row>
    <row r="333" spans="1:54" x14ac:dyDescent="0.3">
      <c r="A333" s="2" t="s">
        <v>658</v>
      </c>
      <c r="B333" s="2" t="s">
        <v>11</v>
      </c>
      <c r="C333" s="2" t="s">
        <v>96</v>
      </c>
      <c r="D333" s="2" t="s">
        <v>31</v>
      </c>
      <c r="E333" s="2">
        <v>20</v>
      </c>
      <c r="F333" s="2">
        <v>10</v>
      </c>
      <c r="G333" s="2" t="s">
        <v>43</v>
      </c>
      <c r="H333" s="2" t="s">
        <v>37</v>
      </c>
      <c r="I333" s="2" t="s">
        <v>659</v>
      </c>
      <c r="J333" s="2">
        <v>62</v>
      </c>
      <c r="AS333" s="2" t="s">
        <v>652</v>
      </c>
      <c r="AT333" s="2" t="s">
        <v>51</v>
      </c>
      <c r="AU333" s="2" t="s">
        <v>55</v>
      </c>
      <c r="AV333" s="2" t="s">
        <v>13</v>
      </c>
      <c r="AW333" s="61">
        <v>16</v>
      </c>
      <c r="AX333" s="2">
        <v>12</v>
      </c>
      <c r="AY333" s="2" t="s">
        <v>32</v>
      </c>
      <c r="AZ333" s="2" t="s">
        <v>61</v>
      </c>
      <c r="BA333" s="2" t="s">
        <v>653</v>
      </c>
      <c r="BB333" s="2">
        <v>45</v>
      </c>
    </row>
    <row r="334" spans="1:54" x14ac:dyDescent="0.3">
      <c r="A334" s="2" t="s">
        <v>660</v>
      </c>
      <c r="B334" s="2" t="s">
        <v>23</v>
      </c>
      <c r="C334" s="2" t="s">
        <v>12</v>
      </c>
      <c r="D334" s="2" t="s">
        <v>13</v>
      </c>
      <c r="E334" s="2">
        <v>16</v>
      </c>
      <c r="F334" s="2">
        <v>11</v>
      </c>
      <c r="G334" s="2" t="s">
        <v>25</v>
      </c>
      <c r="H334" s="2" t="s">
        <v>40</v>
      </c>
      <c r="I334" s="2" t="s">
        <v>41</v>
      </c>
      <c r="J334" s="2">
        <v>86</v>
      </c>
      <c r="AS334" s="2" t="s">
        <v>654</v>
      </c>
      <c r="AT334" s="2" t="s">
        <v>18</v>
      </c>
      <c r="AU334" s="2" t="s">
        <v>24</v>
      </c>
      <c r="AV334" s="2" t="s">
        <v>31</v>
      </c>
      <c r="AW334" s="61">
        <v>14</v>
      </c>
      <c r="AX334" s="2">
        <v>12</v>
      </c>
      <c r="AY334" s="2" t="s">
        <v>14</v>
      </c>
      <c r="AZ334" s="2" t="s">
        <v>46</v>
      </c>
      <c r="BA334" s="2" t="s">
        <v>655</v>
      </c>
      <c r="BB334" s="2">
        <v>42</v>
      </c>
    </row>
    <row r="335" spans="1:54" x14ac:dyDescent="0.3">
      <c r="A335" s="2" t="s">
        <v>661</v>
      </c>
      <c r="B335" s="2" t="s">
        <v>54</v>
      </c>
      <c r="C335" s="2" t="s">
        <v>12</v>
      </c>
      <c r="D335" s="2" t="s">
        <v>31</v>
      </c>
      <c r="E335" s="2">
        <v>19</v>
      </c>
      <c r="F335" s="2">
        <v>10</v>
      </c>
      <c r="G335" s="2" t="s">
        <v>14</v>
      </c>
      <c r="H335" s="2" t="s">
        <v>76</v>
      </c>
      <c r="I335" s="2" t="s">
        <v>662</v>
      </c>
      <c r="J335" s="2">
        <v>54</v>
      </c>
      <c r="AS335" s="2" t="s">
        <v>656</v>
      </c>
      <c r="AT335" s="2" t="s">
        <v>29</v>
      </c>
      <c r="AU335" s="2" t="s">
        <v>30</v>
      </c>
      <c r="AV335" s="2" t="s">
        <v>13</v>
      </c>
      <c r="AW335" s="61">
        <v>19</v>
      </c>
      <c r="AX335" s="2">
        <v>10</v>
      </c>
      <c r="AY335" s="2" t="s">
        <v>43</v>
      </c>
      <c r="AZ335" s="2" t="s">
        <v>15</v>
      </c>
      <c r="BA335" s="2" t="s">
        <v>657</v>
      </c>
      <c r="BB335" s="2">
        <v>85</v>
      </c>
    </row>
    <row r="336" spans="1:54" x14ac:dyDescent="0.3">
      <c r="A336" s="2" t="s">
        <v>663</v>
      </c>
      <c r="B336" s="2" t="s">
        <v>73</v>
      </c>
      <c r="C336" s="2" t="s">
        <v>36</v>
      </c>
      <c r="D336" s="2" t="s">
        <v>13</v>
      </c>
      <c r="E336" s="2">
        <v>20</v>
      </c>
      <c r="F336" s="2">
        <v>12</v>
      </c>
      <c r="G336" s="2" t="s">
        <v>25</v>
      </c>
      <c r="H336" s="2" t="s">
        <v>40</v>
      </c>
      <c r="I336" s="2" t="s">
        <v>664</v>
      </c>
      <c r="J336" s="2">
        <v>50</v>
      </c>
      <c r="AS336" s="2" t="s">
        <v>658</v>
      </c>
      <c r="AT336" s="2" t="s">
        <v>11</v>
      </c>
      <c r="AU336" s="2" t="s">
        <v>96</v>
      </c>
      <c r="AV336" s="2" t="s">
        <v>31</v>
      </c>
      <c r="AW336" s="61">
        <v>20</v>
      </c>
      <c r="AX336" s="2">
        <v>10</v>
      </c>
      <c r="AY336" s="2" t="s">
        <v>43</v>
      </c>
      <c r="AZ336" s="2" t="s">
        <v>37</v>
      </c>
      <c r="BA336" s="2" t="s">
        <v>659</v>
      </c>
      <c r="BB336" s="2">
        <v>62</v>
      </c>
    </row>
    <row r="337" spans="1:54" x14ac:dyDescent="0.3">
      <c r="A337" s="2" t="s">
        <v>665</v>
      </c>
      <c r="B337" s="2" t="s">
        <v>51</v>
      </c>
      <c r="C337" s="2" t="s">
        <v>96</v>
      </c>
      <c r="D337" s="2" t="s">
        <v>13</v>
      </c>
      <c r="E337" s="2">
        <v>14</v>
      </c>
      <c r="F337" s="2">
        <v>10</v>
      </c>
      <c r="G337" s="2" t="s">
        <v>14</v>
      </c>
      <c r="H337" s="2" t="s">
        <v>37</v>
      </c>
      <c r="I337" s="2" t="s">
        <v>666</v>
      </c>
      <c r="J337" s="2">
        <v>68</v>
      </c>
      <c r="AS337" s="2" t="s">
        <v>660</v>
      </c>
      <c r="AT337" s="2" t="s">
        <v>23</v>
      </c>
      <c r="AU337" s="2" t="s">
        <v>12</v>
      </c>
      <c r="AV337" s="2" t="s">
        <v>13</v>
      </c>
      <c r="AW337" s="61">
        <v>16</v>
      </c>
      <c r="AX337" s="2">
        <v>11</v>
      </c>
      <c r="AY337" s="2" t="s">
        <v>25</v>
      </c>
      <c r="AZ337" s="2" t="s">
        <v>40</v>
      </c>
      <c r="BA337" s="2" t="s">
        <v>41</v>
      </c>
      <c r="BB337" s="2">
        <v>86</v>
      </c>
    </row>
    <row r="338" spans="1:54" x14ac:dyDescent="0.3">
      <c r="A338" s="2" t="s">
        <v>667</v>
      </c>
      <c r="B338" s="2" t="s">
        <v>35</v>
      </c>
      <c r="C338" s="2" t="s">
        <v>12</v>
      </c>
      <c r="D338" s="2" t="s">
        <v>31</v>
      </c>
      <c r="E338" s="2">
        <v>15</v>
      </c>
      <c r="F338" s="2">
        <v>12</v>
      </c>
      <c r="G338" s="2" t="s">
        <v>14</v>
      </c>
      <c r="H338" s="2" t="s">
        <v>46</v>
      </c>
      <c r="I338" s="2" t="s">
        <v>668</v>
      </c>
      <c r="J338" s="2">
        <v>82</v>
      </c>
      <c r="AS338" s="2" t="s">
        <v>661</v>
      </c>
      <c r="AT338" s="2" t="s">
        <v>54</v>
      </c>
      <c r="AU338" s="2" t="s">
        <v>12</v>
      </c>
      <c r="AV338" s="2" t="s">
        <v>31</v>
      </c>
      <c r="AW338" s="61">
        <v>19</v>
      </c>
      <c r="AX338" s="2">
        <v>10</v>
      </c>
      <c r="AY338" s="2" t="s">
        <v>14</v>
      </c>
      <c r="AZ338" s="2" t="s">
        <v>76</v>
      </c>
      <c r="BA338" s="2" t="s">
        <v>662</v>
      </c>
      <c r="BB338" s="2">
        <v>54</v>
      </c>
    </row>
    <row r="339" spans="1:54" x14ac:dyDescent="0.3">
      <c r="A339" s="2" t="s">
        <v>669</v>
      </c>
      <c r="B339" s="2" t="s">
        <v>11</v>
      </c>
      <c r="C339" s="2" t="s">
        <v>24</v>
      </c>
      <c r="D339" s="2" t="s">
        <v>13</v>
      </c>
      <c r="E339" s="2">
        <v>19</v>
      </c>
      <c r="F339" s="2">
        <v>9</v>
      </c>
      <c r="G339" s="2" t="s">
        <v>32</v>
      </c>
      <c r="H339" s="2" t="s">
        <v>40</v>
      </c>
      <c r="I339" s="2" t="s">
        <v>670</v>
      </c>
      <c r="J339" s="2">
        <v>51</v>
      </c>
      <c r="AS339" s="2" t="s">
        <v>663</v>
      </c>
      <c r="AT339" s="2" t="s">
        <v>73</v>
      </c>
      <c r="AU339" s="2" t="s">
        <v>36</v>
      </c>
      <c r="AV339" s="2" t="s">
        <v>13</v>
      </c>
      <c r="AW339" s="61">
        <v>20</v>
      </c>
      <c r="AX339" s="2">
        <v>12</v>
      </c>
      <c r="AY339" s="2" t="s">
        <v>25</v>
      </c>
      <c r="AZ339" s="2" t="s">
        <v>40</v>
      </c>
      <c r="BA339" s="2" t="s">
        <v>664</v>
      </c>
      <c r="BB339" s="2">
        <v>50</v>
      </c>
    </row>
    <row r="340" spans="1:54" x14ac:dyDescent="0.3">
      <c r="A340" s="2" t="s">
        <v>671</v>
      </c>
      <c r="B340" s="2" t="s">
        <v>11</v>
      </c>
      <c r="C340" s="2" t="s">
        <v>36</v>
      </c>
      <c r="D340" s="2" t="s">
        <v>13</v>
      </c>
      <c r="E340" s="2">
        <v>14</v>
      </c>
      <c r="F340" s="2">
        <v>10</v>
      </c>
      <c r="G340" s="2" t="s">
        <v>32</v>
      </c>
      <c r="H340" s="2" t="s">
        <v>40</v>
      </c>
      <c r="I340" s="2" t="s">
        <v>672</v>
      </c>
      <c r="J340" s="2">
        <v>64</v>
      </c>
      <c r="AS340" s="2" t="s">
        <v>665</v>
      </c>
      <c r="AT340" s="2" t="s">
        <v>51</v>
      </c>
      <c r="AU340" s="2" t="s">
        <v>96</v>
      </c>
      <c r="AV340" s="2" t="s">
        <v>13</v>
      </c>
      <c r="AW340" s="61">
        <v>14</v>
      </c>
      <c r="AX340" s="2">
        <v>10</v>
      </c>
      <c r="AY340" s="2" t="s">
        <v>14</v>
      </c>
      <c r="AZ340" s="2" t="s">
        <v>37</v>
      </c>
      <c r="BA340" s="2" t="s">
        <v>666</v>
      </c>
      <c r="BB340" s="2">
        <v>68</v>
      </c>
    </row>
    <row r="341" spans="1:54" x14ac:dyDescent="0.3">
      <c r="A341" s="2" t="s">
        <v>673</v>
      </c>
      <c r="B341" s="2" t="s">
        <v>11</v>
      </c>
      <c r="C341" s="2" t="s">
        <v>19</v>
      </c>
      <c r="D341" s="2" t="s">
        <v>31</v>
      </c>
      <c r="E341" s="2">
        <v>17</v>
      </c>
      <c r="F341" s="2">
        <v>10</v>
      </c>
      <c r="G341" s="2" t="s">
        <v>32</v>
      </c>
      <c r="H341" s="2" t="s">
        <v>46</v>
      </c>
      <c r="I341" s="2" t="s">
        <v>674</v>
      </c>
      <c r="J341" s="2">
        <v>85</v>
      </c>
      <c r="AS341" s="2" t="s">
        <v>667</v>
      </c>
      <c r="AT341" s="2" t="s">
        <v>35</v>
      </c>
      <c r="AU341" s="2" t="s">
        <v>12</v>
      </c>
      <c r="AV341" s="2" t="s">
        <v>31</v>
      </c>
      <c r="AW341" s="61">
        <v>15</v>
      </c>
      <c r="AX341" s="2">
        <v>12</v>
      </c>
      <c r="AY341" s="2" t="s">
        <v>14</v>
      </c>
      <c r="AZ341" s="2" t="s">
        <v>46</v>
      </c>
      <c r="BA341" s="2" t="s">
        <v>668</v>
      </c>
      <c r="BB341" s="2">
        <v>82</v>
      </c>
    </row>
    <row r="342" spans="1:54" x14ac:dyDescent="0.3">
      <c r="A342" s="2" t="s">
        <v>675</v>
      </c>
      <c r="B342" s="2" t="s">
        <v>73</v>
      </c>
      <c r="C342" s="2" t="s">
        <v>24</v>
      </c>
      <c r="D342" s="2" t="s">
        <v>13</v>
      </c>
      <c r="E342" s="2">
        <v>19</v>
      </c>
      <c r="F342" s="2">
        <v>11</v>
      </c>
      <c r="G342" s="2" t="s">
        <v>14</v>
      </c>
      <c r="H342" s="2" t="s">
        <v>37</v>
      </c>
      <c r="I342" s="2" t="s">
        <v>676</v>
      </c>
      <c r="J342" s="2">
        <v>51</v>
      </c>
      <c r="AS342" s="2" t="s">
        <v>669</v>
      </c>
      <c r="AT342" s="2" t="s">
        <v>11</v>
      </c>
      <c r="AU342" s="2" t="s">
        <v>24</v>
      </c>
      <c r="AV342" s="2" t="s">
        <v>13</v>
      </c>
      <c r="AW342" s="61">
        <v>19</v>
      </c>
      <c r="AX342" s="2">
        <v>9</v>
      </c>
      <c r="AY342" s="2" t="s">
        <v>32</v>
      </c>
      <c r="AZ342" s="2" t="s">
        <v>40</v>
      </c>
      <c r="BA342" s="2" t="s">
        <v>670</v>
      </c>
      <c r="BB342" s="2">
        <v>51</v>
      </c>
    </row>
    <row r="343" spans="1:54" x14ac:dyDescent="0.3">
      <c r="A343" s="2" t="s">
        <v>677</v>
      </c>
      <c r="B343" s="2" t="s">
        <v>23</v>
      </c>
      <c r="C343" s="2" t="s">
        <v>85</v>
      </c>
      <c r="D343" s="2" t="s">
        <v>13</v>
      </c>
      <c r="E343" s="2">
        <v>20</v>
      </c>
      <c r="F343" s="2">
        <v>10</v>
      </c>
      <c r="G343" s="2" t="s">
        <v>32</v>
      </c>
      <c r="H343" s="2" t="s">
        <v>40</v>
      </c>
      <c r="I343" s="2" t="s">
        <v>678</v>
      </c>
      <c r="J343" s="2">
        <v>56</v>
      </c>
      <c r="AS343" s="2" t="s">
        <v>671</v>
      </c>
      <c r="AT343" s="2" t="s">
        <v>11</v>
      </c>
      <c r="AU343" s="2" t="s">
        <v>36</v>
      </c>
      <c r="AV343" s="2" t="s">
        <v>13</v>
      </c>
      <c r="AW343" s="61">
        <v>14</v>
      </c>
      <c r="AX343" s="2">
        <v>10</v>
      </c>
      <c r="AY343" s="2" t="s">
        <v>32</v>
      </c>
      <c r="AZ343" s="2" t="s">
        <v>40</v>
      </c>
      <c r="BA343" s="2" t="s">
        <v>672</v>
      </c>
      <c r="BB343" s="2">
        <v>64</v>
      </c>
    </row>
    <row r="344" spans="1:54" x14ac:dyDescent="0.3">
      <c r="A344" s="2" t="s">
        <v>679</v>
      </c>
      <c r="B344" s="2" t="s">
        <v>18</v>
      </c>
      <c r="C344" s="2" t="s">
        <v>96</v>
      </c>
      <c r="D344" s="2" t="s">
        <v>13</v>
      </c>
      <c r="E344" s="2">
        <v>14</v>
      </c>
      <c r="F344" s="2">
        <v>12</v>
      </c>
      <c r="G344" s="2" t="s">
        <v>32</v>
      </c>
      <c r="H344" s="2" t="s">
        <v>46</v>
      </c>
      <c r="I344" s="2" t="s">
        <v>680</v>
      </c>
      <c r="J344" s="2">
        <v>44</v>
      </c>
      <c r="AS344" s="2" t="s">
        <v>673</v>
      </c>
      <c r="AT344" s="2" t="s">
        <v>11</v>
      </c>
      <c r="AU344" s="2" t="s">
        <v>19</v>
      </c>
      <c r="AV344" s="2" t="s">
        <v>31</v>
      </c>
      <c r="AW344" s="61">
        <v>17</v>
      </c>
      <c r="AX344" s="2">
        <v>10</v>
      </c>
      <c r="AY344" s="2" t="s">
        <v>32</v>
      </c>
      <c r="AZ344" s="2" t="s">
        <v>46</v>
      </c>
      <c r="BA344" s="2" t="s">
        <v>674</v>
      </c>
      <c r="BB344" s="2">
        <v>85</v>
      </c>
    </row>
    <row r="345" spans="1:54" x14ac:dyDescent="0.3">
      <c r="A345" s="2" t="s">
        <v>681</v>
      </c>
      <c r="B345" s="2" t="s">
        <v>35</v>
      </c>
      <c r="C345" s="2" t="s">
        <v>36</v>
      </c>
      <c r="D345" s="2" t="s">
        <v>13</v>
      </c>
      <c r="E345" s="2">
        <v>14</v>
      </c>
      <c r="F345" s="2">
        <v>9</v>
      </c>
      <c r="G345" s="2" t="s">
        <v>43</v>
      </c>
      <c r="H345" s="2" t="s">
        <v>46</v>
      </c>
      <c r="I345" s="2" t="s">
        <v>682</v>
      </c>
      <c r="J345" s="2">
        <v>67</v>
      </c>
      <c r="AS345" s="2" t="s">
        <v>675</v>
      </c>
      <c r="AT345" s="2" t="s">
        <v>73</v>
      </c>
      <c r="AU345" s="2" t="s">
        <v>24</v>
      </c>
      <c r="AV345" s="2" t="s">
        <v>13</v>
      </c>
      <c r="AW345" s="61">
        <v>19</v>
      </c>
      <c r="AX345" s="2">
        <v>11</v>
      </c>
      <c r="AY345" s="2" t="s">
        <v>14</v>
      </c>
      <c r="AZ345" s="2" t="s">
        <v>37</v>
      </c>
      <c r="BA345" s="2" t="s">
        <v>676</v>
      </c>
      <c r="BB345" s="2">
        <v>51</v>
      </c>
    </row>
    <row r="346" spans="1:54" x14ac:dyDescent="0.3">
      <c r="A346" s="2" t="s">
        <v>683</v>
      </c>
      <c r="B346" s="2" t="s">
        <v>84</v>
      </c>
      <c r="C346" s="2" t="s">
        <v>55</v>
      </c>
      <c r="D346" s="2" t="s">
        <v>31</v>
      </c>
      <c r="E346" s="2">
        <v>16</v>
      </c>
      <c r="F346" s="2">
        <v>12</v>
      </c>
      <c r="G346" s="2" t="s">
        <v>14</v>
      </c>
      <c r="H346" s="2" t="s">
        <v>76</v>
      </c>
      <c r="I346" s="2" t="s">
        <v>125</v>
      </c>
      <c r="J346" s="2">
        <v>60</v>
      </c>
      <c r="AS346" s="2" t="s">
        <v>677</v>
      </c>
      <c r="AT346" s="2" t="s">
        <v>23</v>
      </c>
      <c r="AU346" s="2" t="s">
        <v>85</v>
      </c>
      <c r="AV346" s="2" t="s">
        <v>13</v>
      </c>
      <c r="AW346" s="61">
        <v>20</v>
      </c>
      <c r="AX346" s="2">
        <v>10</v>
      </c>
      <c r="AY346" s="2" t="s">
        <v>32</v>
      </c>
      <c r="AZ346" s="2" t="s">
        <v>40</v>
      </c>
      <c r="BA346" s="2" t="s">
        <v>678</v>
      </c>
      <c r="BB346" s="2">
        <v>56</v>
      </c>
    </row>
    <row r="347" spans="1:54" x14ac:dyDescent="0.3">
      <c r="A347" s="2" t="s">
        <v>684</v>
      </c>
      <c r="B347" s="2" t="s">
        <v>54</v>
      </c>
      <c r="C347" s="2" t="s">
        <v>24</v>
      </c>
      <c r="D347" s="2" t="s">
        <v>31</v>
      </c>
      <c r="E347" s="2">
        <v>17</v>
      </c>
      <c r="F347" s="2">
        <v>10</v>
      </c>
      <c r="G347" s="2" t="s">
        <v>43</v>
      </c>
      <c r="H347" s="2" t="s">
        <v>46</v>
      </c>
      <c r="I347" s="2" t="s">
        <v>685</v>
      </c>
      <c r="J347" s="2">
        <v>74</v>
      </c>
      <c r="AS347" s="2" t="s">
        <v>679</v>
      </c>
      <c r="AT347" s="2" t="s">
        <v>18</v>
      </c>
      <c r="AU347" s="2" t="s">
        <v>96</v>
      </c>
      <c r="AV347" s="2" t="s">
        <v>13</v>
      </c>
      <c r="AW347" s="61">
        <v>14</v>
      </c>
      <c r="AX347" s="2">
        <v>12</v>
      </c>
      <c r="AY347" s="2" t="s">
        <v>32</v>
      </c>
      <c r="AZ347" s="2" t="s">
        <v>46</v>
      </c>
      <c r="BA347" s="2" t="s">
        <v>680</v>
      </c>
      <c r="BB347" s="2">
        <v>44</v>
      </c>
    </row>
    <row r="348" spans="1:54" x14ac:dyDescent="0.3">
      <c r="A348" s="2" t="s">
        <v>686</v>
      </c>
      <c r="B348" s="2" t="s">
        <v>23</v>
      </c>
      <c r="C348" s="2" t="s">
        <v>96</v>
      </c>
      <c r="D348" s="2" t="s">
        <v>31</v>
      </c>
      <c r="E348" s="2">
        <v>16</v>
      </c>
      <c r="F348" s="2">
        <v>9</v>
      </c>
      <c r="G348" s="2" t="s">
        <v>25</v>
      </c>
      <c r="H348" s="2" t="s">
        <v>20</v>
      </c>
      <c r="I348" s="2" t="s">
        <v>277</v>
      </c>
      <c r="J348" s="2">
        <v>71</v>
      </c>
      <c r="AS348" s="2" t="s">
        <v>681</v>
      </c>
      <c r="AT348" s="2" t="s">
        <v>35</v>
      </c>
      <c r="AU348" s="2" t="s">
        <v>36</v>
      </c>
      <c r="AV348" s="2" t="s">
        <v>13</v>
      </c>
      <c r="AW348" s="61">
        <v>14</v>
      </c>
      <c r="AX348" s="2">
        <v>9</v>
      </c>
      <c r="AY348" s="2" t="s">
        <v>43</v>
      </c>
      <c r="AZ348" s="2" t="s">
        <v>46</v>
      </c>
      <c r="BA348" s="2" t="s">
        <v>682</v>
      </c>
      <c r="BB348" s="2">
        <v>67</v>
      </c>
    </row>
    <row r="349" spans="1:54" x14ac:dyDescent="0.3">
      <c r="A349" s="2" t="s">
        <v>687</v>
      </c>
      <c r="B349" s="2" t="s">
        <v>84</v>
      </c>
      <c r="C349" s="2" t="s">
        <v>19</v>
      </c>
      <c r="D349" s="2" t="s">
        <v>13</v>
      </c>
      <c r="E349" s="2">
        <v>16</v>
      </c>
      <c r="F349" s="2">
        <v>10</v>
      </c>
      <c r="G349" s="2" t="s">
        <v>25</v>
      </c>
      <c r="H349" s="2" t="s">
        <v>46</v>
      </c>
      <c r="I349" s="2" t="s">
        <v>564</v>
      </c>
      <c r="J349" s="2">
        <v>52</v>
      </c>
      <c r="AS349" s="2" t="s">
        <v>683</v>
      </c>
      <c r="AT349" s="2" t="s">
        <v>84</v>
      </c>
      <c r="AU349" s="2" t="s">
        <v>55</v>
      </c>
      <c r="AV349" s="2" t="s">
        <v>31</v>
      </c>
      <c r="AW349" s="61">
        <v>16</v>
      </c>
      <c r="AX349" s="2">
        <v>12</v>
      </c>
      <c r="AY349" s="2" t="s">
        <v>14</v>
      </c>
      <c r="AZ349" s="2" t="s">
        <v>76</v>
      </c>
      <c r="BA349" s="2" t="s">
        <v>125</v>
      </c>
      <c r="BB349" s="2">
        <v>60</v>
      </c>
    </row>
    <row r="350" spans="1:54" x14ac:dyDescent="0.3">
      <c r="A350" s="2" t="s">
        <v>688</v>
      </c>
      <c r="B350" s="2" t="s">
        <v>23</v>
      </c>
      <c r="C350" s="2" t="s">
        <v>96</v>
      </c>
      <c r="D350" s="2" t="s">
        <v>31</v>
      </c>
      <c r="E350" s="2">
        <v>19</v>
      </c>
      <c r="F350" s="2">
        <v>10</v>
      </c>
      <c r="G350" s="2" t="s">
        <v>25</v>
      </c>
      <c r="H350" s="2" t="s">
        <v>40</v>
      </c>
      <c r="I350" s="2" t="s">
        <v>195</v>
      </c>
      <c r="J350" s="2">
        <v>55</v>
      </c>
      <c r="AS350" s="2" t="s">
        <v>684</v>
      </c>
      <c r="AT350" s="2" t="s">
        <v>54</v>
      </c>
      <c r="AU350" s="2" t="s">
        <v>24</v>
      </c>
      <c r="AV350" s="2" t="s">
        <v>31</v>
      </c>
      <c r="AW350" s="61">
        <v>17</v>
      </c>
      <c r="AX350" s="2">
        <v>10</v>
      </c>
      <c r="AY350" s="2" t="s">
        <v>43</v>
      </c>
      <c r="AZ350" s="2" t="s">
        <v>46</v>
      </c>
      <c r="BA350" s="2" t="s">
        <v>685</v>
      </c>
      <c r="BB350" s="2">
        <v>74</v>
      </c>
    </row>
    <row r="351" spans="1:54" x14ac:dyDescent="0.3">
      <c r="A351" s="2" t="s">
        <v>689</v>
      </c>
      <c r="B351" s="2" t="s">
        <v>68</v>
      </c>
      <c r="C351" s="2" t="s">
        <v>96</v>
      </c>
      <c r="D351" s="2" t="s">
        <v>13</v>
      </c>
      <c r="E351" s="2">
        <v>20</v>
      </c>
      <c r="F351" s="2">
        <v>12</v>
      </c>
      <c r="G351" s="2" t="s">
        <v>43</v>
      </c>
      <c r="H351" s="2" t="s">
        <v>20</v>
      </c>
      <c r="I351" s="2" t="s">
        <v>626</v>
      </c>
      <c r="J351" s="2">
        <v>48</v>
      </c>
      <c r="AS351" s="2" t="s">
        <v>686</v>
      </c>
      <c r="AT351" s="2" t="s">
        <v>23</v>
      </c>
      <c r="AU351" s="2" t="s">
        <v>96</v>
      </c>
      <c r="AV351" s="2" t="s">
        <v>31</v>
      </c>
      <c r="AW351" s="61">
        <v>16</v>
      </c>
      <c r="AX351" s="2">
        <v>9</v>
      </c>
      <c r="AY351" s="2" t="s">
        <v>25</v>
      </c>
      <c r="AZ351" s="2" t="s">
        <v>20</v>
      </c>
      <c r="BA351" s="2" t="s">
        <v>277</v>
      </c>
      <c r="BB351" s="2">
        <v>71</v>
      </c>
    </row>
    <row r="352" spans="1:54" x14ac:dyDescent="0.3">
      <c r="A352" s="2" t="s">
        <v>690</v>
      </c>
      <c r="B352" s="2" t="s">
        <v>23</v>
      </c>
      <c r="C352" s="2" t="s">
        <v>85</v>
      </c>
      <c r="D352" s="2" t="s">
        <v>13</v>
      </c>
      <c r="E352" s="2">
        <v>19</v>
      </c>
      <c r="F352" s="2">
        <v>9</v>
      </c>
      <c r="G352" s="2" t="s">
        <v>14</v>
      </c>
      <c r="H352" s="2" t="s">
        <v>76</v>
      </c>
      <c r="I352" s="2" t="s">
        <v>635</v>
      </c>
      <c r="J352" s="2">
        <v>91</v>
      </c>
      <c r="AS352" s="2" t="s">
        <v>687</v>
      </c>
      <c r="AT352" s="2" t="s">
        <v>84</v>
      </c>
      <c r="AU352" s="2" t="s">
        <v>19</v>
      </c>
      <c r="AV352" s="2" t="s">
        <v>13</v>
      </c>
      <c r="AW352" s="61">
        <v>16</v>
      </c>
      <c r="AX352" s="2">
        <v>10</v>
      </c>
      <c r="AY352" s="2" t="s">
        <v>25</v>
      </c>
      <c r="AZ352" s="2" t="s">
        <v>46</v>
      </c>
      <c r="BA352" s="2" t="s">
        <v>564</v>
      </c>
      <c r="BB352" s="2">
        <v>52</v>
      </c>
    </row>
    <row r="353" spans="1:54" x14ac:dyDescent="0.3">
      <c r="A353" s="2" t="s">
        <v>691</v>
      </c>
      <c r="B353" s="2" t="s">
        <v>84</v>
      </c>
      <c r="C353" s="2" t="s">
        <v>55</v>
      </c>
      <c r="D353" s="2" t="s">
        <v>13</v>
      </c>
      <c r="E353" s="2">
        <v>16</v>
      </c>
      <c r="F353" s="2">
        <v>10</v>
      </c>
      <c r="G353" s="2" t="s">
        <v>43</v>
      </c>
      <c r="H353" s="2" t="s">
        <v>46</v>
      </c>
      <c r="I353" s="2" t="s">
        <v>692</v>
      </c>
      <c r="J353" s="2">
        <v>91</v>
      </c>
      <c r="AS353" s="2" t="s">
        <v>688</v>
      </c>
      <c r="AT353" s="2" t="s">
        <v>23</v>
      </c>
      <c r="AU353" s="2" t="s">
        <v>96</v>
      </c>
      <c r="AV353" s="2" t="s">
        <v>31</v>
      </c>
      <c r="AW353" s="61">
        <v>19</v>
      </c>
      <c r="AX353" s="2">
        <v>10</v>
      </c>
      <c r="AY353" s="2" t="s">
        <v>25</v>
      </c>
      <c r="AZ353" s="2" t="s">
        <v>40</v>
      </c>
      <c r="BA353" s="2" t="s">
        <v>195</v>
      </c>
      <c r="BB353" s="2">
        <v>55</v>
      </c>
    </row>
    <row r="354" spans="1:54" x14ac:dyDescent="0.3">
      <c r="A354" s="2" t="s">
        <v>693</v>
      </c>
      <c r="B354" s="2" t="s">
        <v>73</v>
      </c>
      <c r="C354" s="2" t="s">
        <v>58</v>
      </c>
      <c r="D354" s="2" t="s">
        <v>31</v>
      </c>
      <c r="E354" s="2">
        <v>16</v>
      </c>
      <c r="F354" s="2">
        <v>11</v>
      </c>
      <c r="G354" s="2" t="s">
        <v>25</v>
      </c>
      <c r="H354" s="2" t="s">
        <v>37</v>
      </c>
      <c r="I354" s="2" t="s">
        <v>694</v>
      </c>
      <c r="J354" s="2">
        <v>65</v>
      </c>
      <c r="AS354" s="2" t="s">
        <v>689</v>
      </c>
      <c r="AT354" s="2" t="s">
        <v>68</v>
      </c>
      <c r="AU354" s="2" t="s">
        <v>96</v>
      </c>
      <c r="AV354" s="2" t="s">
        <v>13</v>
      </c>
      <c r="AW354" s="61">
        <v>20</v>
      </c>
      <c r="AX354" s="2">
        <v>12</v>
      </c>
      <c r="AY354" s="2" t="s">
        <v>43</v>
      </c>
      <c r="AZ354" s="2" t="s">
        <v>20</v>
      </c>
      <c r="BA354" s="2" t="s">
        <v>626</v>
      </c>
      <c r="BB354" s="2">
        <v>48</v>
      </c>
    </row>
    <row r="355" spans="1:54" x14ac:dyDescent="0.3">
      <c r="A355" s="2" t="s">
        <v>695</v>
      </c>
      <c r="B355" s="2" t="s">
        <v>51</v>
      </c>
      <c r="C355" s="2" t="s">
        <v>24</v>
      </c>
      <c r="D355" s="2" t="s">
        <v>13</v>
      </c>
      <c r="E355" s="2">
        <v>17</v>
      </c>
      <c r="F355" s="2">
        <v>9</v>
      </c>
      <c r="G355" s="2" t="s">
        <v>32</v>
      </c>
      <c r="H355" s="2" t="s">
        <v>15</v>
      </c>
      <c r="I355" s="2" t="s">
        <v>696</v>
      </c>
      <c r="J355" s="2">
        <v>69</v>
      </c>
      <c r="AS355" s="2" t="s">
        <v>690</v>
      </c>
      <c r="AT355" s="2" t="s">
        <v>23</v>
      </c>
      <c r="AU355" s="2" t="s">
        <v>85</v>
      </c>
      <c r="AV355" s="2" t="s">
        <v>13</v>
      </c>
      <c r="AW355" s="61">
        <v>19</v>
      </c>
      <c r="AX355" s="2">
        <v>9</v>
      </c>
      <c r="AY355" s="2" t="s">
        <v>14</v>
      </c>
      <c r="AZ355" s="2" t="s">
        <v>76</v>
      </c>
      <c r="BA355" s="2" t="s">
        <v>635</v>
      </c>
      <c r="BB355" s="2">
        <v>91</v>
      </c>
    </row>
    <row r="356" spans="1:54" x14ac:dyDescent="0.3">
      <c r="A356" s="2" t="s">
        <v>697</v>
      </c>
      <c r="B356" s="2" t="s">
        <v>29</v>
      </c>
      <c r="C356" s="2" t="s">
        <v>30</v>
      </c>
      <c r="D356" s="2" t="s">
        <v>31</v>
      </c>
      <c r="E356" s="2">
        <v>19</v>
      </c>
      <c r="F356" s="2">
        <v>10</v>
      </c>
      <c r="G356" s="2" t="s">
        <v>25</v>
      </c>
      <c r="H356" s="2" t="s">
        <v>61</v>
      </c>
      <c r="I356" s="2" t="s">
        <v>698</v>
      </c>
      <c r="J356" s="2">
        <v>75</v>
      </c>
      <c r="AS356" s="2" t="s">
        <v>691</v>
      </c>
      <c r="AT356" s="2" t="s">
        <v>84</v>
      </c>
      <c r="AU356" s="2" t="s">
        <v>55</v>
      </c>
      <c r="AV356" s="2" t="s">
        <v>13</v>
      </c>
      <c r="AW356" s="61">
        <v>16</v>
      </c>
      <c r="AX356" s="2">
        <v>10</v>
      </c>
      <c r="AY356" s="2" t="s">
        <v>43</v>
      </c>
      <c r="AZ356" s="2" t="s">
        <v>46</v>
      </c>
      <c r="BA356" s="2" t="s">
        <v>692</v>
      </c>
      <c r="BB356" s="2">
        <v>91</v>
      </c>
    </row>
    <row r="357" spans="1:54" x14ac:dyDescent="0.3">
      <c r="A357" s="2" t="s">
        <v>699</v>
      </c>
      <c r="B357" s="2" t="s">
        <v>11</v>
      </c>
      <c r="C357" s="2" t="s">
        <v>30</v>
      </c>
      <c r="D357" s="2" t="s">
        <v>31</v>
      </c>
      <c r="E357" s="2">
        <v>16</v>
      </c>
      <c r="F357" s="2">
        <v>11</v>
      </c>
      <c r="G357" s="2" t="s">
        <v>43</v>
      </c>
      <c r="H357" s="2" t="s">
        <v>40</v>
      </c>
      <c r="I357" s="2" t="s">
        <v>97</v>
      </c>
      <c r="J357" s="2">
        <v>72</v>
      </c>
      <c r="AS357" s="2" t="s">
        <v>693</v>
      </c>
      <c r="AT357" s="2" t="s">
        <v>73</v>
      </c>
      <c r="AU357" s="2" t="s">
        <v>58</v>
      </c>
      <c r="AV357" s="2" t="s">
        <v>31</v>
      </c>
      <c r="AW357" s="61">
        <v>16</v>
      </c>
      <c r="AX357" s="2">
        <v>11</v>
      </c>
      <c r="AY357" s="2" t="s">
        <v>25</v>
      </c>
      <c r="AZ357" s="2" t="s">
        <v>37</v>
      </c>
      <c r="BA357" s="2" t="s">
        <v>694</v>
      </c>
      <c r="BB357" s="2">
        <v>65</v>
      </c>
    </row>
    <row r="358" spans="1:54" x14ac:dyDescent="0.3">
      <c r="A358" s="2" t="s">
        <v>700</v>
      </c>
      <c r="B358" s="2" t="s">
        <v>23</v>
      </c>
      <c r="C358" s="2" t="s">
        <v>55</v>
      </c>
      <c r="D358" s="2" t="s">
        <v>31</v>
      </c>
      <c r="E358" s="2">
        <v>20</v>
      </c>
      <c r="F358" s="2">
        <v>10</v>
      </c>
      <c r="G358" s="2" t="s">
        <v>14</v>
      </c>
      <c r="H358" s="2" t="s">
        <v>15</v>
      </c>
      <c r="I358" s="2" t="s">
        <v>678</v>
      </c>
      <c r="J358" s="2">
        <v>59</v>
      </c>
      <c r="AS358" s="2" t="s">
        <v>695</v>
      </c>
      <c r="AT358" s="2" t="s">
        <v>51</v>
      </c>
      <c r="AU358" s="2" t="s">
        <v>24</v>
      </c>
      <c r="AV358" s="2" t="s">
        <v>13</v>
      </c>
      <c r="AW358" s="61">
        <v>17</v>
      </c>
      <c r="AX358" s="2">
        <v>9</v>
      </c>
      <c r="AY358" s="2" t="s">
        <v>32</v>
      </c>
      <c r="AZ358" s="2" t="s">
        <v>15</v>
      </c>
      <c r="BA358" s="2" t="s">
        <v>696</v>
      </c>
      <c r="BB358" s="2">
        <v>69</v>
      </c>
    </row>
    <row r="359" spans="1:54" x14ac:dyDescent="0.3">
      <c r="A359" s="2" t="s">
        <v>701</v>
      </c>
      <c r="B359" s="2" t="s">
        <v>54</v>
      </c>
      <c r="C359" s="2" t="s">
        <v>30</v>
      </c>
      <c r="D359" s="2" t="s">
        <v>31</v>
      </c>
      <c r="E359" s="2">
        <v>15</v>
      </c>
      <c r="F359" s="2">
        <v>11</v>
      </c>
      <c r="G359" s="2" t="s">
        <v>14</v>
      </c>
      <c r="H359" s="2" t="s">
        <v>76</v>
      </c>
      <c r="I359" s="2" t="s">
        <v>702</v>
      </c>
      <c r="J359" s="2">
        <v>42</v>
      </c>
      <c r="AS359" s="2" t="s">
        <v>697</v>
      </c>
      <c r="AT359" s="2" t="s">
        <v>29</v>
      </c>
      <c r="AU359" s="2" t="s">
        <v>30</v>
      </c>
      <c r="AV359" s="2" t="s">
        <v>31</v>
      </c>
      <c r="AW359" s="61">
        <v>19</v>
      </c>
      <c r="AX359" s="2">
        <v>10</v>
      </c>
      <c r="AY359" s="2" t="s">
        <v>25</v>
      </c>
      <c r="AZ359" s="2" t="s">
        <v>61</v>
      </c>
      <c r="BA359" s="2" t="s">
        <v>698</v>
      </c>
      <c r="BB359" s="2">
        <v>75</v>
      </c>
    </row>
    <row r="360" spans="1:54" x14ac:dyDescent="0.3">
      <c r="A360" s="2" t="s">
        <v>703</v>
      </c>
      <c r="B360" s="2" t="s">
        <v>73</v>
      </c>
      <c r="C360" s="2" t="s">
        <v>30</v>
      </c>
      <c r="D360" s="2" t="s">
        <v>31</v>
      </c>
      <c r="E360" s="2">
        <v>17</v>
      </c>
      <c r="F360" s="2">
        <v>12</v>
      </c>
      <c r="G360" s="2" t="s">
        <v>32</v>
      </c>
      <c r="H360" s="2" t="s">
        <v>40</v>
      </c>
      <c r="I360" s="2" t="s">
        <v>704</v>
      </c>
      <c r="J360" s="2">
        <v>93</v>
      </c>
      <c r="AS360" s="2" t="s">
        <v>699</v>
      </c>
      <c r="AT360" s="2" t="s">
        <v>11</v>
      </c>
      <c r="AU360" s="2" t="s">
        <v>30</v>
      </c>
      <c r="AV360" s="2" t="s">
        <v>31</v>
      </c>
      <c r="AW360" s="61">
        <v>16</v>
      </c>
      <c r="AX360" s="2">
        <v>11</v>
      </c>
      <c r="AY360" s="2" t="s">
        <v>43</v>
      </c>
      <c r="AZ360" s="2" t="s">
        <v>40</v>
      </c>
      <c r="BA360" s="2" t="s">
        <v>97</v>
      </c>
      <c r="BB360" s="2">
        <v>72</v>
      </c>
    </row>
    <row r="361" spans="1:54" x14ac:dyDescent="0.3">
      <c r="A361" s="2" t="s">
        <v>705</v>
      </c>
      <c r="B361" s="2" t="s">
        <v>84</v>
      </c>
      <c r="C361" s="2" t="s">
        <v>55</v>
      </c>
      <c r="D361" s="2" t="s">
        <v>31</v>
      </c>
      <c r="E361" s="2">
        <v>14</v>
      </c>
      <c r="F361" s="2">
        <v>12</v>
      </c>
      <c r="G361" s="2" t="s">
        <v>43</v>
      </c>
      <c r="H361" s="2" t="s">
        <v>76</v>
      </c>
      <c r="I361" s="2" t="s">
        <v>706</v>
      </c>
      <c r="J361" s="2">
        <v>63</v>
      </c>
      <c r="AS361" s="2" t="s">
        <v>700</v>
      </c>
      <c r="AT361" s="2" t="s">
        <v>23</v>
      </c>
      <c r="AU361" s="2" t="s">
        <v>55</v>
      </c>
      <c r="AV361" s="2" t="s">
        <v>31</v>
      </c>
      <c r="AW361" s="61">
        <v>20</v>
      </c>
      <c r="AX361" s="2">
        <v>10</v>
      </c>
      <c r="AY361" s="2" t="s">
        <v>14</v>
      </c>
      <c r="AZ361" s="2" t="s">
        <v>15</v>
      </c>
      <c r="BA361" s="2" t="s">
        <v>678</v>
      </c>
      <c r="BB361" s="2">
        <v>59</v>
      </c>
    </row>
    <row r="362" spans="1:54" x14ac:dyDescent="0.3">
      <c r="A362" s="2" t="s">
        <v>707</v>
      </c>
      <c r="B362" s="2" t="s">
        <v>68</v>
      </c>
      <c r="C362" s="2" t="s">
        <v>96</v>
      </c>
      <c r="D362" s="2" t="s">
        <v>31</v>
      </c>
      <c r="E362" s="2">
        <v>20</v>
      </c>
      <c r="F362" s="2">
        <v>12</v>
      </c>
      <c r="G362" s="2" t="s">
        <v>43</v>
      </c>
      <c r="H362" s="2" t="s">
        <v>37</v>
      </c>
      <c r="I362" s="2" t="s">
        <v>708</v>
      </c>
      <c r="J362" s="2">
        <v>35</v>
      </c>
      <c r="AS362" s="2" t="s">
        <v>701</v>
      </c>
      <c r="AT362" s="2" t="s">
        <v>54</v>
      </c>
      <c r="AU362" s="2" t="s">
        <v>30</v>
      </c>
      <c r="AV362" s="2" t="s">
        <v>31</v>
      </c>
      <c r="AW362" s="61">
        <v>15</v>
      </c>
      <c r="AX362" s="2">
        <v>11</v>
      </c>
      <c r="AY362" s="2" t="s">
        <v>14</v>
      </c>
      <c r="AZ362" s="2" t="s">
        <v>76</v>
      </c>
      <c r="BA362" s="2" t="s">
        <v>702</v>
      </c>
      <c r="BB362" s="2">
        <v>42</v>
      </c>
    </row>
    <row r="363" spans="1:54" x14ac:dyDescent="0.3">
      <c r="A363" s="2" t="s">
        <v>709</v>
      </c>
      <c r="B363" s="2" t="s">
        <v>54</v>
      </c>
      <c r="C363" s="2" t="s">
        <v>19</v>
      </c>
      <c r="D363" s="2" t="s">
        <v>31</v>
      </c>
      <c r="E363" s="2">
        <v>18</v>
      </c>
      <c r="F363" s="2">
        <v>10</v>
      </c>
      <c r="G363" s="2" t="s">
        <v>43</v>
      </c>
      <c r="H363" s="2" t="s">
        <v>37</v>
      </c>
      <c r="I363" s="2" t="s">
        <v>710</v>
      </c>
      <c r="J363" s="2">
        <v>89</v>
      </c>
      <c r="AS363" s="2" t="s">
        <v>703</v>
      </c>
      <c r="AT363" s="2" t="s">
        <v>73</v>
      </c>
      <c r="AU363" s="2" t="s">
        <v>30</v>
      </c>
      <c r="AV363" s="2" t="s">
        <v>31</v>
      </c>
      <c r="AW363" s="61">
        <v>17</v>
      </c>
      <c r="AX363" s="2">
        <v>12</v>
      </c>
      <c r="AY363" s="2" t="s">
        <v>32</v>
      </c>
      <c r="AZ363" s="2" t="s">
        <v>40</v>
      </c>
      <c r="BA363" s="2" t="s">
        <v>704</v>
      </c>
      <c r="BB363" s="2">
        <v>93</v>
      </c>
    </row>
    <row r="364" spans="1:54" x14ac:dyDescent="0.3">
      <c r="A364" s="2" t="s">
        <v>711</v>
      </c>
      <c r="B364" s="2" t="s">
        <v>29</v>
      </c>
      <c r="C364" s="2" t="s">
        <v>79</v>
      </c>
      <c r="D364" s="2" t="s">
        <v>13</v>
      </c>
      <c r="E364" s="2">
        <v>14</v>
      </c>
      <c r="F364" s="2">
        <v>9</v>
      </c>
      <c r="G364" s="2" t="s">
        <v>32</v>
      </c>
      <c r="H364" s="2" t="s">
        <v>15</v>
      </c>
      <c r="I364" s="2" t="s">
        <v>712</v>
      </c>
      <c r="J364" s="2">
        <v>72</v>
      </c>
      <c r="AS364" s="2" t="s">
        <v>705</v>
      </c>
      <c r="AT364" s="2" t="s">
        <v>84</v>
      </c>
      <c r="AU364" s="2" t="s">
        <v>55</v>
      </c>
      <c r="AV364" s="2" t="s">
        <v>31</v>
      </c>
      <c r="AW364" s="61">
        <v>14</v>
      </c>
      <c r="AX364" s="2">
        <v>12</v>
      </c>
      <c r="AY364" s="2" t="s">
        <v>43</v>
      </c>
      <c r="AZ364" s="2" t="s">
        <v>76</v>
      </c>
      <c r="BA364" s="2" t="s">
        <v>706</v>
      </c>
      <c r="BB364" s="2">
        <v>63</v>
      </c>
    </row>
    <row r="365" spans="1:54" x14ac:dyDescent="0.3">
      <c r="A365" s="2" t="s">
        <v>713</v>
      </c>
      <c r="B365" s="2" t="s">
        <v>29</v>
      </c>
      <c r="C365" s="2" t="s">
        <v>24</v>
      </c>
      <c r="D365" s="2" t="s">
        <v>31</v>
      </c>
      <c r="E365" s="2">
        <v>16</v>
      </c>
      <c r="F365" s="2">
        <v>12</v>
      </c>
      <c r="G365" s="2" t="s">
        <v>32</v>
      </c>
      <c r="H365" s="2" t="s">
        <v>26</v>
      </c>
      <c r="I365" s="2" t="s">
        <v>714</v>
      </c>
      <c r="J365" s="2">
        <v>57</v>
      </c>
      <c r="AS365" s="2" t="s">
        <v>707</v>
      </c>
      <c r="AT365" s="2" t="s">
        <v>68</v>
      </c>
      <c r="AU365" s="2" t="s">
        <v>96</v>
      </c>
      <c r="AV365" s="2" t="s">
        <v>31</v>
      </c>
      <c r="AW365" s="61">
        <v>20</v>
      </c>
      <c r="AX365" s="2">
        <v>12</v>
      </c>
      <c r="AY365" s="2" t="s">
        <v>43</v>
      </c>
      <c r="AZ365" s="2" t="s">
        <v>37</v>
      </c>
      <c r="BA365" s="2" t="s">
        <v>708</v>
      </c>
      <c r="BB365" s="2">
        <v>35</v>
      </c>
    </row>
    <row r="366" spans="1:54" x14ac:dyDescent="0.3">
      <c r="A366" s="2" t="s">
        <v>715</v>
      </c>
      <c r="B366" s="2" t="s">
        <v>51</v>
      </c>
      <c r="C366" s="2" t="s">
        <v>79</v>
      </c>
      <c r="D366" s="2" t="s">
        <v>13</v>
      </c>
      <c r="E366" s="2">
        <v>19</v>
      </c>
      <c r="F366" s="2">
        <v>10</v>
      </c>
      <c r="G366" s="2" t="s">
        <v>32</v>
      </c>
      <c r="H366" s="2" t="s">
        <v>40</v>
      </c>
      <c r="I366" s="2" t="s">
        <v>702</v>
      </c>
      <c r="J366" s="2">
        <v>84</v>
      </c>
      <c r="AS366" s="2" t="s">
        <v>709</v>
      </c>
      <c r="AT366" s="2" t="s">
        <v>54</v>
      </c>
      <c r="AU366" s="2" t="s">
        <v>19</v>
      </c>
      <c r="AV366" s="2" t="s">
        <v>31</v>
      </c>
      <c r="AW366" s="61">
        <v>18</v>
      </c>
      <c r="AX366" s="2">
        <v>10</v>
      </c>
      <c r="AY366" s="2" t="s">
        <v>43</v>
      </c>
      <c r="AZ366" s="2" t="s">
        <v>37</v>
      </c>
      <c r="BA366" s="2" t="s">
        <v>710</v>
      </c>
      <c r="BB366" s="2">
        <v>89</v>
      </c>
    </row>
    <row r="367" spans="1:54" x14ac:dyDescent="0.3">
      <c r="A367" s="2" t="s">
        <v>716</v>
      </c>
      <c r="B367" s="2" t="s">
        <v>23</v>
      </c>
      <c r="C367" s="2" t="s">
        <v>58</v>
      </c>
      <c r="D367" s="2" t="s">
        <v>31</v>
      </c>
      <c r="E367" s="2">
        <v>17</v>
      </c>
      <c r="F367" s="2">
        <v>9</v>
      </c>
      <c r="G367" s="2" t="s">
        <v>25</v>
      </c>
      <c r="H367" s="2" t="s">
        <v>15</v>
      </c>
      <c r="I367" s="2" t="s">
        <v>717</v>
      </c>
      <c r="J367" s="2">
        <v>51</v>
      </c>
      <c r="AS367" s="2" t="s">
        <v>711</v>
      </c>
      <c r="AT367" s="2" t="s">
        <v>29</v>
      </c>
      <c r="AU367" s="2" t="s">
        <v>79</v>
      </c>
      <c r="AV367" s="2" t="s">
        <v>13</v>
      </c>
      <c r="AW367" s="61">
        <v>14</v>
      </c>
      <c r="AX367" s="2">
        <v>9</v>
      </c>
      <c r="AY367" s="2" t="s">
        <v>32</v>
      </c>
      <c r="AZ367" s="2" t="s">
        <v>15</v>
      </c>
      <c r="BA367" s="2" t="s">
        <v>712</v>
      </c>
      <c r="BB367" s="2">
        <v>72</v>
      </c>
    </row>
    <row r="368" spans="1:54" x14ac:dyDescent="0.3">
      <c r="A368" s="2" t="s">
        <v>718</v>
      </c>
      <c r="B368" s="2" t="s">
        <v>84</v>
      </c>
      <c r="C368" s="2" t="s">
        <v>12</v>
      </c>
      <c r="D368" s="2" t="s">
        <v>31</v>
      </c>
      <c r="E368" s="2">
        <v>20</v>
      </c>
      <c r="F368" s="2">
        <v>10</v>
      </c>
      <c r="G368" s="2" t="s">
        <v>25</v>
      </c>
      <c r="H368" s="2" t="s">
        <v>61</v>
      </c>
      <c r="I368" s="2" t="s">
        <v>639</v>
      </c>
      <c r="J368" s="2">
        <v>35</v>
      </c>
      <c r="AS368" s="2" t="s">
        <v>713</v>
      </c>
      <c r="AT368" s="2" t="s">
        <v>29</v>
      </c>
      <c r="AU368" s="2" t="s">
        <v>24</v>
      </c>
      <c r="AV368" s="2" t="s">
        <v>31</v>
      </c>
      <c r="AW368" s="61">
        <v>16</v>
      </c>
      <c r="AX368" s="2">
        <v>12</v>
      </c>
      <c r="AY368" s="2" t="s">
        <v>32</v>
      </c>
      <c r="AZ368" s="2" t="s">
        <v>26</v>
      </c>
      <c r="BA368" s="2" t="s">
        <v>714</v>
      </c>
      <c r="BB368" s="2">
        <v>57</v>
      </c>
    </row>
    <row r="369" spans="1:54" x14ac:dyDescent="0.3">
      <c r="A369" s="2" t="s">
        <v>719</v>
      </c>
      <c r="B369" s="2" t="s">
        <v>18</v>
      </c>
      <c r="C369" s="2" t="s">
        <v>24</v>
      </c>
      <c r="D369" s="2" t="s">
        <v>31</v>
      </c>
      <c r="E369" s="2">
        <v>18</v>
      </c>
      <c r="F369" s="2">
        <v>11</v>
      </c>
      <c r="G369" s="2" t="s">
        <v>43</v>
      </c>
      <c r="H369" s="2" t="s">
        <v>40</v>
      </c>
      <c r="I369" s="2" t="s">
        <v>720</v>
      </c>
      <c r="J369" s="2">
        <v>83</v>
      </c>
      <c r="AS369" s="2" t="s">
        <v>715</v>
      </c>
      <c r="AT369" s="2" t="s">
        <v>51</v>
      </c>
      <c r="AU369" s="2" t="s">
        <v>79</v>
      </c>
      <c r="AV369" s="2" t="s">
        <v>13</v>
      </c>
      <c r="AW369" s="61">
        <v>19</v>
      </c>
      <c r="AX369" s="2">
        <v>10</v>
      </c>
      <c r="AY369" s="2" t="s">
        <v>32</v>
      </c>
      <c r="AZ369" s="2" t="s">
        <v>40</v>
      </c>
      <c r="BA369" s="2" t="s">
        <v>702</v>
      </c>
      <c r="BB369" s="2">
        <v>84</v>
      </c>
    </row>
    <row r="370" spans="1:54" x14ac:dyDescent="0.3">
      <c r="A370" s="2" t="s">
        <v>721</v>
      </c>
      <c r="B370" s="2" t="s">
        <v>23</v>
      </c>
      <c r="C370" s="2" t="s">
        <v>19</v>
      </c>
      <c r="D370" s="2" t="s">
        <v>31</v>
      </c>
      <c r="E370" s="2">
        <v>18</v>
      </c>
      <c r="F370" s="2">
        <v>10</v>
      </c>
      <c r="G370" s="2" t="s">
        <v>14</v>
      </c>
      <c r="H370" s="2" t="s">
        <v>26</v>
      </c>
      <c r="I370" s="2" t="s">
        <v>722</v>
      </c>
      <c r="J370" s="2">
        <v>43</v>
      </c>
      <c r="AS370" s="2" t="s">
        <v>716</v>
      </c>
      <c r="AT370" s="2" t="s">
        <v>23</v>
      </c>
      <c r="AU370" s="2" t="s">
        <v>58</v>
      </c>
      <c r="AV370" s="2" t="s">
        <v>31</v>
      </c>
      <c r="AW370" s="61">
        <v>17</v>
      </c>
      <c r="AX370" s="2">
        <v>9</v>
      </c>
      <c r="AY370" s="2" t="s">
        <v>25</v>
      </c>
      <c r="AZ370" s="2" t="s">
        <v>15</v>
      </c>
      <c r="BA370" s="2" t="s">
        <v>717</v>
      </c>
      <c r="BB370" s="2">
        <v>51</v>
      </c>
    </row>
    <row r="371" spans="1:54" x14ac:dyDescent="0.3">
      <c r="A371" s="2" t="s">
        <v>723</v>
      </c>
      <c r="B371" s="2" t="s">
        <v>68</v>
      </c>
      <c r="C371" s="2" t="s">
        <v>79</v>
      </c>
      <c r="D371" s="2" t="s">
        <v>31</v>
      </c>
      <c r="E371" s="2">
        <v>19</v>
      </c>
      <c r="F371" s="2">
        <v>12</v>
      </c>
      <c r="G371" s="2" t="s">
        <v>25</v>
      </c>
      <c r="H371" s="2" t="s">
        <v>40</v>
      </c>
      <c r="I371" s="2" t="s">
        <v>724</v>
      </c>
      <c r="J371" s="2">
        <v>65</v>
      </c>
      <c r="AS371" s="2" t="s">
        <v>718</v>
      </c>
      <c r="AT371" s="2" t="s">
        <v>84</v>
      </c>
      <c r="AU371" s="2" t="s">
        <v>12</v>
      </c>
      <c r="AV371" s="2" t="s">
        <v>31</v>
      </c>
      <c r="AW371" s="61">
        <v>20</v>
      </c>
      <c r="AX371" s="2">
        <v>10</v>
      </c>
      <c r="AY371" s="2" t="s">
        <v>25</v>
      </c>
      <c r="AZ371" s="2" t="s">
        <v>61</v>
      </c>
      <c r="BA371" s="2" t="s">
        <v>639</v>
      </c>
      <c r="BB371" s="2">
        <v>35</v>
      </c>
    </row>
    <row r="372" spans="1:54" x14ac:dyDescent="0.3">
      <c r="A372" s="2" t="s">
        <v>725</v>
      </c>
      <c r="B372" s="2" t="s">
        <v>11</v>
      </c>
      <c r="C372" s="2" t="s">
        <v>55</v>
      </c>
      <c r="D372" s="2" t="s">
        <v>31</v>
      </c>
      <c r="E372" s="2">
        <v>15</v>
      </c>
      <c r="F372" s="2">
        <v>9</v>
      </c>
      <c r="G372" s="2" t="s">
        <v>25</v>
      </c>
      <c r="H372" s="2" t="s">
        <v>37</v>
      </c>
      <c r="I372" s="2" t="s">
        <v>726</v>
      </c>
      <c r="J372" s="2">
        <v>72</v>
      </c>
      <c r="AS372" s="2" t="s">
        <v>719</v>
      </c>
      <c r="AT372" s="2" t="s">
        <v>18</v>
      </c>
      <c r="AU372" s="2" t="s">
        <v>24</v>
      </c>
      <c r="AV372" s="2" t="s">
        <v>31</v>
      </c>
      <c r="AW372" s="61">
        <v>18</v>
      </c>
      <c r="AX372" s="2">
        <v>11</v>
      </c>
      <c r="AY372" s="2" t="s">
        <v>43</v>
      </c>
      <c r="AZ372" s="2" t="s">
        <v>40</v>
      </c>
      <c r="BA372" s="2" t="s">
        <v>720</v>
      </c>
      <c r="BB372" s="2">
        <v>83</v>
      </c>
    </row>
    <row r="373" spans="1:54" x14ac:dyDescent="0.3">
      <c r="A373" s="2" t="s">
        <v>727</v>
      </c>
      <c r="B373" s="2" t="s">
        <v>68</v>
      </c>
      <c r="C373" s="2" t="s">
        <v>12</v>
      </c>
      <c r="D373" s="2" t="s">
        <v>13</v>
      </c>
      <c r="E373" s="2">
        <v>14</v>
      </c>
      <c r="F373" s="2">
        <v>9</v>
      </c>
      <c r="G373" s="2" t="s">
        <v>14</v>
      </c>
      <c r="H373" s="2" t="s">
        <v>20</v>
      </c>
      <c r="I373" s="2" t="s">
        <v>728</v>
      </c>
      <c r="J373" s="2">
        <v>68</v>
      </c>
      <c r="AS373" s="2" t="s">
        <v>721</v>
      </c>
      <c r="AT373" s="2" t="s">
        <v>23</v>
      </c>
      <c r="AU373" s="2" t="s">
        <v>19</v>
      </c>
      <c r="AV373" s="2" t="s">
        <v>31</v>
      </c>
      <c r="AW373" s="61">
        <v>18</v>
      </c>
      <c r="AX373" s="2">
        <v>10</v>
      </c>
      <c r="AY373" s="2" t="s">
        <v>14</v>
      </c>
      <c r="AZ373" s="2" t="s">
        <v>26</v>
      </c>
      <c r="BA373" s="2" t="s">
        <v>722</v>
      </c>
      <c r="BB373" s="2">
        <v>43</v>
      </c>
    </row>
    <row r="374" spans="1:54" x14ac:dyDescent="0.3">
      <c r="A374" s="2" t="s">
        <v>729</v>
      </c>
      <c r="B374" s="2" t="s">
        <v>35</v>
      </c>
      <c r="C374" s="2" t="s">
        <v>79</v>
      </c>
      <c r="D374" s="2" t="s">
        <v>13</v>
      </c>
      <c r="E374" s="2">
        <v>15</v>
      </c>
      <c r="F374" s="2">
        <v>9</v>
      </c>
      <c r="G374" s="2" t="s">
        <v>43</v>
      </c>
      <c r="H374" s="2" t="s">
        <v>76</v>
      </c>
      <c r="I374" s="2" t="s">
        <v>730</v>
      </c>
      <c r="J374" s="2">
        <v>39</v>
      </c>
      <c r="AS374" s="2" t="s">
        <v>723</v>
      </c>
      <c r="AT374" s="2" t="s">
        <v>68</v>
      </c>
      <c r="AU374" s="2" t="s">
        <v>79</v>
      </c>
      <c r="AV374" s="2" t="s">
        <v>31</v>
      </c>
      <c r="AW374" s="61">
        <v>19</v>
      </c>
      <c r="AX374" s="2">
        <v>12</v>
      </c>
      <c r="AY374" s="2" t="s">
        <v>25</v>
      </c>
      <c r="AZ374" s="2" t="s">
        <v>40</v>
      </c>
      <c r="BA374" s="2" t="s">
        <v>724</v>
      </c>
      <c r="BB374" s="2">
        <v>65</v>
      </c>
    </row>
    <row r="375" spans="1:54" x14ac:dyDescent="0.3">
      <c r="A375" s="2" t="s">
        <v>731</v>
      </c>
      <c r="B375" s="2" t="s">
        <v>84</v>
      </c>
      <c r="C375" s="2" t="s">
        <v>85</v>
      </c>
      <c r="D375" s="2" t="s">
        <v>31</v>
      </c>
      <c r="E375" s="2">
        <v>17</v>
      </c>
      <c r="F375" s="2">
        <v>9</v>
      </c>
      <c r="G375" s="2" t="s">
        <v>43</v>
      </c>
      <c r="H375" s="2" t="s">
        <v>76</v>
      </c>
      <c r="I375" s="2" t="s">
        <v>732</v>
      </c>
      <c r="J375" s="2">
        <v>97</v>
      </c>
      <c r="AS375" s="2" t="s">
        <v>725</v>
      </c>
      <c r="AT375" s="2" t="s">
        <v>11</v>
      </c>
      <c r="AU375" s="2" t="s">
        <v>55</v>
      </c>
      <c r="AV375" s="2" t="s">
        <v>31</v>
      </c>
      <c r="AW375" s="61">
        <v>15</v>
      </c>
      <c r="AX375" s="2">
        <v>9</v>
      </c>
      <c r="AY375" s="2" t="s">
        <v>25</v>
      </c>
      <c r="AZ375" s="2" t="s">
        <v>37</v>
      </c>
      <c r="BA375" s="2" t="s">
        <v>726</v>
      </c>
      <c r="BB375" s="2">
        <v>72</v>
      </c>
    </row>
    <row r="376" spans="1:54" x14ac:dyDescent="0.3">
      <c r="A376" s="2" t="s">
        <v>733</v>
      </c>
      <c r="B376" s="2" t="s">
        <v>84</v>
      </c>
      <c r="C376" s="2" t="s">
        <v>85</v>
      </c>
      <c r="D376" s="2" t="s">
        <v>31</v>
      </c>
      <c r="E376" s="2">
        <v>17</v>
      </c>
      <c r="F376" s="2">
        <v>12</v>
      </c>
      <c r="G376" s="2" t="s">
        <v>43</v>
      </c>
      <c r="H376" s="2" t="s">
        <v>15</v>
      </c>
      <c r="I376" s="2" t="s">
        <v>734</v>
      </c>
      <c r="J376" s="2">
        <v>77</v>
      </c>
      <c r="AS376" s="2" t="s">
        <v>727</v>
      </c>
      <c r="AT376" s="2" t="s">
        <v>68</v>
      </c>
      <c r="AU376" s="2" t="s">
        <v>12</v>
      </c>
      <c r="AV376" s="2" t="s">
        <v>13</v>
      </c>
      <c r="AW376" s="61">
        <v>14</v>
      </c>
      <c r="AX376" s="2">
        <v>9</v>
      </c>
      <c r="AY376" s="2" t="s">
        <v>14</v>
      </c>
      <c r="AZ376" s="2" t="s">
        <v>20</v>
      </c>
      <c r="BA376" s="2" t="s">
        <v>728</v>
      </c>
      <c r="BB376" s="2">
        <v>68</v>
      </c>
    </row>
    <row r="377" spans="1:54" x14ac:dyDescent="0.3">
      <c r="A377" s="2" t="s">
        <v>735</v>
      </c>
      <c r="B377" s="2" t="s">
        <v>68</v>
      </c>
      <c r="C377" s="2" t="s">
        <v>24</v>
      </c>
      <c r="D377" s="2" t="s">
        <v>31</v>
      </c>
      <c r="E377" s="2">
        <v>16</v>
      </c>
      <c r="F377" s="2">
        <v>12</v>
      </c>
      <c r="G377" s="2" t="s">
        <v>43</v>
      </c>
      <c r="H377" s="2" t="s">
        <v>26</v>
      </c>
      <c r="I377" s="2" t="s">
        <v>736</v>
      </c>
      <c r="J377" s="2">
        <v>85</v>
      </c>
      <c r="AS377" s="2" t="s">
        <v>729</v>
      </c>
      <c r="AT377" s="2" t="s">
        <v>35</v>
      </c>
      <c r="AU377" s="2" t="s">
        <v>79</v>
      </c>
      <c r="AV377" s="2" t="s">
        <v>13</v>
      </c>
      <c r="AW377" s="61">
        <v>15</v>
      </c>
      <c r="AX377" s="2">
        <v>9</v>
      </c>
      <c r="AY377" s="2" t="s">
        <v>43</v>
      </c>
      <c r="AZ377" s="2" t="s">
        <v>76</v>
      </c>
      <c r="BA377" s="2" t="s">
        <v>730</v>
      </c>
      <c r="BB377" s="2">
        <v>39</v>
      </c>
    </row>
    <row r="378" spans="1:54" x14ac:dyDescent="0.3">
      <c r="A378" s="2" t="s">
        <v>737</v>
      </c>
      <c r="B378" s="2" t="s">
        <v>54</v>
      </c>
      <c r="C378" s="2" t="s">
        <v>96</v>
      </c>
      <c r="D378" s="2" t="s">
        <v>13</v>
      </c>
      <c r="E378" s="2">
        <v>19</v>
      </c>
      <c r="F378" s="2">
        <v>12</v>
      </c>
      <c r="G378" s="2" t="s">
        <v>25</v>
      </c>
      <c r="H378" s="2" t="s">
        <v>20</v>
      </c>
      <c r="I378" s="2" t="s">
        <v>738</v>
      </c>
      <c r="J378" s="2">
        <v>85</v>
      </c>
      <c r="AS378" s="2" t="s">
        <v>731</v>
      </c>
      <c r="AT378" s="2" t="s">
        <v>84</v>
      </c>
      <c r="AU378" s="2" t="s">
        <v>85</v>
      </c>
      <c r="AV378" s="2" t="s">
        <v>31</v>
      </c>
      <c r="AW378" s="61">
        <v>17</v>
      </c>
      <c r="AX378" s="2">
        <v>9</v>
      </c>
      <c r="AY378" s="2" t="s">
        <v>43</v>
      </c>
      <c r="AZ378" s="2" t="s">
        <v>76</v>
      </c>
      <c r="BA378" s="2" t="s">
        <v>732</v>
      </c>
      <c r="BB378" s="2">
        <v>97</v>
      </c>
    </row>
    <row r="379" spans="1:54" x14ac:dyDescent="0.3">
      <c r="A379" s="2" t="s">
        <v>739</v>
      </c>
      <c r="B379" s="2" t="s">
        <v>18</v>
      </c>
      <c r="C379" s="2" t="s">
        <v>79</v>
      </c>
      <c r="D379" s="2" t="s">
        <v>31</v>
      </c>
      <c r="E379" s="2">
        <v>14</v>
      </c>
      <c r="F379" s="2">
        <v>10</v>
      </c>
      <c r="G379" s="2" t="s">
        <v>32</v>
      </c>
      <c r="H379" s="2" t="s">
        <v>20</v>
      </c>
      <c r="I379" s="2" t="s">
        <v>740</v>
      </c>
      <c r="J379" s="2">
        <v>99</v>
      </c>
      <c r="AS379" s="2" t="s">
        <v>733</v>
      </c>
      <c r="AT379" s="2" t="s">
        <v>84</v>
      </c>
      <c r="AU379" s="2" t="s">
        <v>85</v>
      </c>
      <c r="AV379" s="2" t="s">
        <v>31</v>
      </c>
      <c r="AW379" s="61">
        <v>17</v>
      </c>
      <c r="AX379" s="2">
        <v>12</v>
      </c>
      <c r="AY379" s="2" t="s">
        <v>43</v>
      </c>
      <c r="AZ379" s="2" t="s">
        <v>15</v>
      </c>
      <c r="BA379" s="2" t="s">
        <v>734</v>
      </c>
      <c r="BB379" s="2">
        <v>77</v>
      </c>
    </row>
    <row r="380" spans="1:54" x14ac:dyDescent="0.3">
      <c r="A380" s="2" t="s">
        <v>741</v>
      </c>
      <c r="B380" s="2" t="s">
        <v>54</v>
      </c>
      <c r="C380" s="2" t="s">
        <v>24</v>
      </c>
      <c r="D380" s="2" t="s">
        <v>13</v>
      </c>
      <c r="E380" s="2">
        <v>14</v>
      </c>
      <c r="F380" s="2">
        <v>9</v>
      </c>
      <c r="G380" s="2" t="s">
        <v>14</v>
      </c>
      <c r="H380" s="2" t="s">
        <v>76</v>
      </c>
      <c r="I380" s="2" t="s">
        <v>742</v>
      </c>
      <c r="J380" s="2">
        <v>55</v>
      </c>
      <c r="AS380" s="2" t="s">
        <v>735</v>
      </c>
      <c r="AT380" s="2" t="s">
        <v>68</v>
      </c>
      <c r="AU380" s="2" t="s">
        <v>24</v>
      </c>
      <c r="AV380" s="2" t="s">
        <v>31</v>
      </c>
      <c r="AW380" s="61">
        <v>16</v>
      </c>
      <c r="AX380" s="2">
        <v>12</v>
      </c>
      <c r="AY380" s="2" t="s">
        <v>43</v>
      </c>
      <c r="AZ380" s="2" t="s">
        <v>26</v>
      </c>
      <c r="BA380" s="2" t="s">
        <v>736</v>
      </c>
      <c r="BB380" s="2">
        <v>85</v>
      </c>
    </row>
    <row r="381" spans="1:54" x14ac:dyDescent="0.3">
      <c r="A381" s="2" t="s">
        <v>743</v>
      </c>
      <c r="B381" s="2" t="s">
        <v>84</v>
      </c>
      <c r="C381" s="2" t="s">
        <v>19</v>
      </c>
      <c r="D381" s="2" t="s">
        <v>13</v>
      </c>
      <c r="E381" s="2">
        <v>15</v>
      </c>
      <c r="F381" s="2">
        <v>10</v>
      </c>
      <c r="G381" s="2" t="s">
        <v>43</v>
      </c>
      <c r="H381" s="2" t="s">
        <v>26</v>
      </c>
      <c r="I381" s="2" t="s">
        <v>744</v>
      </c>
      <c r="J381" s="2">
        <v>60</v>
      </c>
      <c r="AS381" s="2" t="s">
        <v>737</v>
      </c>
      <c r="AT381" s="2" t="s">
        <v>54</v>
      </c>
      <c r="AU381" s="2" t="s">
        <v>96</v>
      </c>
      <c r="AV381" s="2" t="s">
        <v>13</v>
      </c>
      <c r="AW381" s="61">
        <v>19</v>
      </c>
      <c r="AX381" s="2">
        <v>12</v>
      </c>
      <c r="AY381" s="2" t="s">
        <v>25</v>
      </c>
      <c r="AZ381" s="2" t="s">
        <v>20</v>
      </c>
      <c r="BA381" s="2" t="s">
        <v>738</v>
      </c>
      <c r="BB381" s="2">
        <v>85</v>
      </c>
    </row>
    <row r="382" spans="1:54" x14ac:dyDescent="0.3">
      <c r="A382" s="2" t="s">
        <v>745</v>
      </c>
      <c r="B382" s="2" t="s">
        <v>73</v>
      </c>
      <c r="C382" s="2" t="s">
        <v>36</v>
      </c>
      <c r="D382" s="2" t="s">
        <v>13</v>
      </c>
      <c r="E382" s="2">
        <v>16</v>
      </c>
      <c r="F382" s="2">
        <v>9</v>
      </c>
      <c r="G382" s="2" t="s">
        <v>32</v>
      </c>
      <c r="H382" s="2" t="s">
        <v>76</v>
      </c>
      <c r="I382" s="2" t="s">
        <v>746</v>
      </c>
      <c r="J382" s="2">
        <v>38</v>
      </c>
      <c r="AS382" s="2" t="s">
        <v>739</v>
      </c>
      <c r="AT382" s="2" t="s">
        <v>18</v>
      </c>
      <c r="AU382" s="2" t="s">
        <v>79</v>
      </c>
      <c r="AV382" s="2" t="s">
        <v>31</v>
      </c>
      <c r="AW382" s="61">
        <v>14</v>
      </c>
      <c r="AX382" s="2">
        <v>10</v>
      </c>
      <c r="AY382" s="2" t="s">
        <v>32</v>
      </c>
      <c r="AZ382" s="2" t="s">
        <v>20</v>
      </c>
      <c r="BA382" s="2" t="s">
        <v>740</v>
      </c>
      <c r="BB382" s="2">
        <v>99</v>
      </c>
    </row>
    <row r="383" spans="1:54" x14ac:dyDescent="0.3">
      <c r="A383" s="2" t="s">
        <v>747</v>
      </c>
      <c r="B383" s="2" t="s">
        <v>51</v>
      </c>
      <c r="C383" s="2" t="s">
        <v>96</v>
      </c>
      <c r="D383" s="2" t="s">
        <v>13</v>
      </c>
      <c r="E383" s="2">
        <v>17</v>
      </c>
      <c r="F383" s="2">
        <v>12</v>
      </c>
      <c r="G383" s="2" t="s">
        <v>14</v>
      </c>
      <c r="H383" s="2" t="s">
        <v>26</v>
      </c>
      <c r="I383" s="2" t="s">
        <v>748</v>
      </c>
      <c r="J383" s="2">
        <v>67</v>
      </c>
      <c r="AS383" s="2" t="s">
        <v>741</v>
      </c>
      <c r="AT383" s="2" t="s">
        <v>54</v>
      </c>
      <c r="AU383" s="2" t="s">
        <v>24</v>
      </c>
      <c r="AV383" s="2" t="s">
        <v>13</v>
      </c>
      <c r="AW383" s="61">
        <v>14</v>
      </c>
      <c r="AX383" s="2">
        <v>9</v>
      </c>
      <c r="AY383" s="2" t="s">
        <v>14</v>
      </c>
      <c r="AZ383" s="2" t="s">
        <v>76</v>
      </c>
      <c r="BA383" s="2" t="s">
        <v>742</v>
      </c>
      <c r="BB383" s="2">
        <v>55</v>
      </c>
    </row>
    <row r="384" spans="1:54" x14ac:dyDescent="0.3">
      <c r="A384" s="2" t="s">
        <v>749</v>
      </c>
      <c r="B384" s="2" t="s">
        <v>84</v>
      </c>
      <c r="C384" s="2" t="s">
        <v>30</v>
      </c>
      <c r="D384" s="2" t="s">
        <v>13</v>
      </c>
      <c r="E384" s="2">
        <v>15</v>
      </c>
      <c r="F384" s="2">
        <v>12</v>
      </c>
      <c r="G384" s="2" t="s">
        <v>25</v>
      </c>
      <c r="H384" s="2" t="s">
        <v>61</v>
      </c>
      <c r="I384" s="2" t="s">
        <v>750</v>
      </c>
      <c r="J384" s="2">
        <v>95</v>
      </c>
      <c r="AS384" s="2" t="s">
        <v>743</v>
      </c>
      <c r="AT384" s="2" t="s">
        <v>84</v>
      </c>
      <c r="AU384" s="2" t="s">
        <v>19</v>
      </c>
      <c r="AV384" s="2" t="s">
        <v>13</v>
      </c>
      <c r="AW384" s="61">
        <v>15</v>
      </c>
      <c r="AX384" s="2">
        <v>10</v>
      </c>
      <c r="AY384" s="2" t="s">
        <v>43</v>
      </c>
      <c r="AZ384" s="2" t="s">
        <v>26</v>
      </c>
      <c r="BA384" s="2" t="s">
        <v>744</v>
      </c>
      <c r="BB384" s="2">
        <v>60</v>
      </c>
    </row>
    <row r="385" spans="1:54" x14ac:dyDescent="0.3">
      <c r="A385" s="2" t="s">
        <v>751</v>
      </c>
      <c r="B385" s="2" t="s">
        <v>73</v>
      </c>
      <c r="C385" s="2" t="s">
        <v>79</v>
      </c>
      <c r="D385" s="2" t="s">
        <v>31</v>
      </c>
      <c r="E385" s="2">
        <v>20</v>
      </c>
      <c r="F385" s="2">
        <v>12</v>
      </c>
      <c r="G385" s="2" t="s">
        <v>25</v>
      </c>
      <c r="H385" s="2" t="s">
        <v>76</v>
      </c>
      <c r="I385" s="2" t="s">
        <v>752</v>
      </c>
      <c r="J385" s="2">
        <v>91</v>
      </c>
      <c r="AS385" s="2" t="s">
        <v>745</v>
      </c>
      <c r="AT385" s="2" t="s">
        <v>73</v>
      </c>
      <c r="AU385" s="2" t="s">
        <v>36</v>
      </c>
      <c r="AV385" s="2" t="s">
        <v>13</v>
      </c>
      <c r="AW385" s="61">
        <v>16</v>
      </c>
      <c r="AX385" s="2">
        <v>9</v>
      </c>
      <c r="AY385" s="2" t="s">
        <v>32</v>
      </c>
      <c r="AZ385" s="2" t="s">
        <v>76</v>
      </c>
      <c r="BA385" s="2" t="s">
        <v>746</v>
      </c>
      <c r="BB385" s="2">
        <v>38</v>
      </c>
    </row>
    <row r="386" spans="1:54" x14ac:dyDescent="0.3">
      <c r="A386" s="2" t="s">
        <v>753</v>
      </c>
      <c r="B386" s="2" t="s">
        <v>73</v>
      </c>
      <c r="C386" s="2" t="s">
        <v>24</v>
      </c>
      <c r="D386" s="2" t="s">
        <v>13</v>
      </c>
      <c r="E386" s="2">
        <v>18</v>
      </c>
      <c r="F386" s="2">
        <v>11</v>
      </c>
      <c r="G386" s="2" t="s">
        <v>32</v>
      </c>
      <c r="H386" s="2" t="s">
        <v>40</v>
      </c>
      <c r="I386" s="2" t="s">
        <v>313</v>
      </c>
      <c r="J386" s="2">
        <v>58</v>
      </c>
      <c r="AS386" s="2" t="s">
        <v>747</v>
      </c>
      <c r="AT386" s="2" t="s">
        <v>51</v>
      </c>
      <c r="AU386" s="2" t="s">
        <v>96</v>
      </c>
      <c r="AV386" s="2" t="s">
        <v>13</v>
      </c>
      <c r="AW386" s="61">
        <v>17</v>
      </c>
      <c r="AX386" s="2">
        <v>12</v>
      </c>
      <c r="AY386" s="2" t="s">
        <v>14</v>
      </c>
      <c r="AZ386" s="2" t="s">
        <v>26</v>
      </c>
      <c r="BA386" s="2" t="s">
        <v>748</v>
      </c>
      <c r="BB386" s="2">
        <v>67</v>
      </c>
    </row>
    <row r="387" spans="1:54" x14ac:dyDescent="0.3">
      <c r="A387" s="2" t="s">
        <v>754</v>
      </c>
      <c r="B387" s="2" t="s">
        <v>54</v>
      </c>
      <c r="C387" s="2" t="s">
        <v>12</v>
      </c>
      <c r="D387" s="2" t="s">
        <v>13</v>
      </c>
      <c r="E387" s="2">
        <v>14</v>
      </c>
      <c r="F387" s="2">
        <v>12</v>
      </c>
      <c r="G387" s="2" t="s">
        <v>32</v>
      </c>
      <c r="H387" s="2" t="s">
        <v>20</v>
      </c>
      <c r="I387" s="2" t="s">
        <v>755</v>
      </c>
      <c r="J387" s="2">
        <v>98</v>
      </c>
      <c r="AS387" s="2" t="s">
        <v>749</v>
      </c>
      <c r="AT387" s="2" t="s">
        <v>84</v>
      </c>
      <c r="AU387" s="2" t="s">
        <v>30</v>
      </c>
      <c r="AV387" s="2" t="s">
        <v>13</v>
      </c>
      <c r="AW387" s="61">
        <v>15</v>
      </c>
      <c r="AX387" s="2">
        <v>12</v>
      </c>
      <c r="AY387" s="2" t="s">
        <v>25</v>
      </c>
      <c r="AZ387" s="2" t="s">
        <v>61</v>
      </c>
      <c r="BA387" s="2" t="s">
        <v>750</v>
      </c>
      <c r="BB387" s="2">
        <v>95</v>
      </c>
    </row>
    <row r="388" spans="1:54" x14ac:dyDescent="0.3">
      <c r="A388" s="2" t="s">
        <v>756</v>
      </c>
      <c r="B388" s="2" t="s">
        <v>11</v>
      </c>
      <c r="C388" s="2" t="s">
        <v>30</v>
      </c>
      <c r="D388" s="2" t="s">
        <v>13</v>
      </c>
      <c r="E388" s="2">
        <v>15</v>
      </c>
      <c r="F388" s="2">
        <v>11</v>
      </c>
      <c r="G388" s="2" t="s">
        <v>14</v>
      </c>
      <c r="H388" s="2" t="s">
        <v>76</v>
      </c>
      <c r="I388" s="2" t="s">
        <v>757</v>
      </c>
      <c r="J388" s="2">
        <v>39</v>
      </c>
      <c r="AS388" s="2" t="s">
        <v>751</v>
      </c>
      <c r="AT388" s="2" t="s">
        <v>73</v>
      </c>
      <c r="AU388" s="2" t="s">
        <v>79</v>
      </c>
      <c r="AV388" s="2" t="s">
        <v>31</v>
      </c>
      <c r="AW388" s="61">
        <v>20</v>
      </c>
      <c r="AX388" s="2">
        <v>12</v>
      </c>
      <c r="AY388" s="2" t="s">
        <v>25</v>
      </c>
      <c r="AZ388" s="2" t="s">
        <v>76</v>
      </c>
      <c r="BA388" s="2" t="s">
        <v>752</v>
      </c>
      <c r="BB388" s="2">
        <v>91</v>
      </c>
    </row>
    <row r="389" spans="1:54" x14ac:dyDescent="0.3">
      <c r="A389" s="2" t="s">
        <v>758</v>
      </c>
      <c r="B389" s="2" t="s">
        <v>73</v>
      </c>
      <c r="C389" s="2" t="s">
        <v>12</v>
      </c>
      <c r="D389" s="2" t="s">
        <v>31</v>
      </c>
      <c r="E389" s="2">
        <v>16</v>
      </c>
      <c r="F389" s="2">
        <v>11</v>
      </c>
      <c r="G389" s="2" t="s">
        <v>43</v>
      </c>
      <c r="H389" s="2" t="s">
        <v>40</v>
      </c>
      <c r="I389" s="2" t="s">
        <v>759</v>
      </c>
      <c r="J389" s="2">
        <v>70</v>
      </c>
      <c r="AS389" s="2" t="s">
        <v>753</v>
      </c>
      <c r="AT389" s="2" t="s">
        <v>73</v>
      </c>
      <c r="AU389" s="2" t="s">
        <v>24</v>
      </c>
      <c r="AV389" s="2" t="s">
        <v>13</v>
      </c>
      <c r="AW389" s="61">
        <v>18</v>
      </c>
      <c r="AX389" s="2">
        <v>11</v>
      </c>
      <c r="AY389" s="2" t="s">
        <v>32</v>
      </c>
      <c r="AZ389" s="2" t="s">
        <v>40</v>
      </c>
      <c r="BA389" s="2" t="s">
        <v>313</v>
      </c>
      <c r="BB389" s="2">
        <v>58</v>
      </c>
    </row>
    <row r="390" spans="1:54" x14ac:dyDescent="0.3">
      <c r="A390" s="2" t="s">
        <v>760</v>
      </c>
      <c r="B390" s="2" t="s">
        <v>84</v>
      </c>
      <c r="C390" s="2" t="s">
        <v>96</v>
      </c>
      <c r="D390" s="2" t="s">
        <v>31</v>
      </c>
      <c r="E390" s="2">
        <v>16</v>
      </c>
      <c r="F390" s="2">
        <v>11</v>
      </c>
      <c r="G390" s="2" t="s">
        <v>32</v>
      </c>
      <c r="H390" s="2" t="s">
        <v>76</v>
      </c>
      <c r="I390" s="2" t="s">
        <v>761</v>
      </c>
      <c r="J390" s="2">
        <v>83</v>
      </c>
      <c r="AS390" s="2" t="s">
        <v>754</v>
      </c>
      <c r="AT390" s="2" t="s">
        <v>54</v>
      </c>
      <c r="AU390" s="2" t="s">
        <v>12</v>
      </c>
      <c r="AV390" s="2" t="s">
        <v>13</v>
      </c>
      <c r="AW390" s="61">
        <v>14</v>
      </c>
      <c r="AX390" s="2">
        <v>12</v>
      </c>
      <c r="AY390" s="2" t="s">
        <v>32</v>
      </c>
      <c r="AZ390" s="2" t="s">
        <v>20</v>
      </c>
      <c r="BA390" s="2" t="s">
        <v>755</v>
      </c>
      <c r="BB390" s="2">
        <v>98</v>
      </c>
    </row>
    <row r="391" spans="1:54" x14ac:dyDescent="0.3">
      <c r="A391" s="2" t="s">
        <v>762</v>
      </c>
      <c r="B391" s="2" t="s">
        <v>68</v>
      </c>
      <c r="C391" s="2" t="s">
        <v>85</v>
      </c>
      <c r="D391" s="2" t="s">
        <v>31</v>
      </c>
      <c r="E391" s="2">
        <v>20</v>
      </c>
      <c r="F391" s="2">
        <v>12</v>
      </c>
      <c r="G391" s="2" t="s">
        <v>43</v>
      </c>
      <c r="H391" s="2" t="s">
        <v>20</v>
      </c>
      <c r="I391" s="2" t="s">
        <v>763</v>
      </c>
      <c r="J391" s="2">
        <v>82</v>
      </c>
      <c r="AS391" s="2" t="s">
        <v>756</v>
      </c>
      <c r="AT391" s="2" t="s">
        <v>11</v>
      </c>
      <c r="AU391" s="2" t="s">
        <v>30</v>
      </c>
      <c r="AV391" s="2" t="s">
        <v>13</v>
      </c>
      <c r="AW391" s="61">
        <v>15</v>
      </c>
      <c r="AX391" s="2">
        <v>11</v>
      </c>
      <c r="AY391" s="2" t="s">
        <v>14</v>
      </c>
      <c r="AZ391" s="2" t="s">
        <v>76</v>
      </c>
      <c r="BA391" s="2" t="s">
        <v>757</v>
      </c>
      <c r="BB391" s="2">
        <v>39</v>
      </c>
    </row>
    <row r="392" spans="1:54" x14ac:dyDescent="0.3">
      <c r="A392" s="2" t="s">
        <v>764</v>
      </c>
      <c r="B392" s="2" t="s">
        <v>18</v>
      </c>
      <c r="C392" s="2" t="s">
        <v>55</v>
      </c>
      <c r="D392" s="2" t="s">
        <v>13</v>
      </c>
      <c r="E392" s="2">
        <v>16</v>
      </c>
      <c r="F392" s="2">
        <v>12</v>
      </c>
      <c r="G392" s="2" t="s">
        <v>14</v>
      </c>
      <c r="H392" s="2" t="s">
        <v>40</v>
      </c>
      <c r="I392" s="2" t="s">
        <v>765</v>
      </c>
      <c r="J392" s="2">
        <v>61</v>
      </c>
      <c r="AS392" s="2" t="s">
        <v>758</v>
      </c>
      <c r="AT392" s="2" t="s">
        <v>73</v>
      </c>
      <c r="AU392" s="2" t="s">
        <v>12</v>
      </c>
      <c r="AV392" s="2" t="s">
        <v>31</v>
      </c>
      <c r="AW392" s="61">
        <v>16</v>
      </c>
      <c r="AX392" s="2">
        <v>11</v>
      </c>
      <c r="AY392" s="2" t="s">
        <v>43</v>
      </c>
      <c r="AZ392" s="2" t="s">
        <v>40</v>
      </c>
      <c r="BA392" s="2" t="s">
        <v>759</v>
      </c>
      <c r="BB392" s="2">
        <v>70</v>
      </c>
    </row>
    <row r="393" spans="1:54" x14ac:dyDescent="0.3">
      <c r="A393" s="2" t="s">
        <v>766</v>
      </c>
      <c r="B393" s="2" t="s">
        <v>35</v>
      </c>
      <c r="C393" s="2" t="s">
        <v>58</v>
      </c>
      <c r="D393" s="2" t="s">
        <v>13</v>
      </c>
      <c r="E393" s="2">
        <v>20</v>
      </c>
      <c r="F393" s="2">
        <v>11</v>
      </c>
      <c r="G393" s="2" t="s">
        <v>32</v>
      </c>
      <c r="H393" s="2" t="s">
        <v>46</v>
      </c>
      <c r="I393" s="2" t="s">
        <v>767</v>
      </c>
      <c r="J393" s="2">
        <v>54</v>
      </c>
      <c r="AS393" s="2" t="s">
        <v>760</v>
      </c>
      <c r="AT393" s="2" t="s">
        <v>84</v>
      </c>
      <c r="AU393" s="2" t="s">
        <v>96</v>
      </c>
      <c r="AV393" s="2" t="s">
        <v>31</v>
      </c>
      <c r="AW393" s="61">
        <v>16</v>
      </c>
      <c r="AX393" s="2">
        <v>11</v>
      </c>
      <c r="AY393" s="2" t="s">
        <v>32</v>
      </c>
      <c r="AZ393" s="2" t="s">
        <v>76</v>
      </c>
      <c r="BA393" s="2" t="s">
        <v>761</v>
      </c>
      <c r="BB393" s="2">
        <v>83</v>
      </c>
    </row>
    <row r="394" spans="1:54" x14ac:dyDescent="0.3">
      <c r="A394" s="2" t="s">
        <v>768</v>
      </c>
      <c r="B394" s="2" t="s">
        <v>23</v>
      </c>
      <c r="C394" s="2" t="s">
        <v>24</v>
      </c>
      <c r="D394" s="2" t="s">
        <v>13</v>
      </c>
      <c r="E394" s="2">
        <v>17</v>
      </c>
      <c r="F394" s="2">
        <v>11</v>
      </c>
      <c r="G394" s="2" t="s">
        <v>25</v>
      </c>
      <c r="H394" s="2" t="s">
        <v>40</v>
      </c>
      <c r="I394" s="2" t="s">
        <v>258</v>
      </c>
      <c r="J394" s="2">
        <v>61</v>
      </c>
      <c r="AS394" s="2" t="s">
        <v>762</v>
      </c>
      <c r="AT394" s="2" t="s">
        <v>68</v>
      </c>
      <c r="AU394" s="2" t="s">
        <v>85</v>
      </c>
      <c r="AV394" s="2" t="s">
        <v>31</v>
      </c>
      <c r="AW394" s="61">
        <v>20</v>
      </c>
      <c r="AX394" s="2">
        <v>12</v>
      </c>
      <c r="AY394" s="2" t="s">
        <v>43</v>
      </c>
      <c r="AZ394" s="2" t="s">
        <v>20</v>
      </c>
      <c r="BA394" s="2" t="s">
        <v>763</v>
      </c>
      <c r="BB394" s="2">
        <v>82</v>
      </c>
    </row>
    <row r="395" spans="1:54" x14ac:dyDescent="0.3">
      <c r="A395" s="2" t="s">
        <v>769</v>
      </c>
      <c r="B395" s="2" t="s">
        <v>35</v>
      </c>
      <c r="C395" s="2" t="s">
        <v>30</v>
      </c>
      <c r="D395" s="2" t="s">
        <v>13</v>
      </c>
      <c r="E395" s="2">
        <v>16</v>
      </c>
      <c r="F395" s="2">
        <v>11</v>
      </c>
      <c r="G395" s="2" t="s">
        <v>32</v>
      </c>
      <c r="H395" s="2" t="s">
        <v>46</v>
      </c>
      <c r="I395" s="2" t="s">
        <v>770</v>
      </c>
      <c r="J395" s="2">
        <v>85</v>
      </c>
      <c r="AS395" s="2" t="s">
        <v>764</v>
      </c>
      <c r="AT395" s="2" t="s">
        <v>18</v>
      </c>
      <c r="AU395" s="2" t="s">
        <v>55</v>
      </c>
      <c r="AV395" s="2" t="s">
        <v>13</v>
      </c>
      <c r="AW395" s="61">
        <v>16</v>
      </c>
      <c r="AX395" s="2">
        <v>12</v>
      </c>
      <c r="AY395" s="2" t="s">
        <v>14</v>
      </c>
      <c r="AZ395" s="2" t="s">
        <v>40</v>
      </c>
      <c r="BA395" s="2" t="s">
        <v>765</v>
      </c>
      <c r="BB395" s="2">
        <v>61</v>
      </c>
    </row>
    <row r="396" spans="1:54" x14ac:dyDescent="0.3">
      <c r="A396" s="2" t="s">
        <v>771</v>
      </c>
      <c r="B396" s="2" t="s">
        <v>23</v>
      </c>
      <c r="C396" s="2" t="s">
        <v>24</v>
      </c>
      <c r="D396" s="2" t="s">
        <v>31</v>
      </c>
      <c r="E396" s="2">
        <v>18</v>
      </c>
      <c r="F396" s="2">
        <v>11</v>
      </c>
      <c r="G396" s="2" t="s">
        <v>25</v>
      </c>
      <c r="H396" s="2" t="s">
        <v>46</v>
      </c>
      <c r="I396" s="2" t="s">
        <v>772</v>
      </c>
      <c r="J396" s="2">
        <v>89</v>
      </c>
      <c r="AS396" s="2" t="s">
        <v>766</v>
      </c>
      <c r="AT396" s="2" t="s">
        <v>35</v>
      </c>
      <c r="AU396" s="2" t="s">
        <v>58</v>
      </c>
      <c r="AV396" s="2" t="s">
        <v>13</v>
      </c>
      <c r="AW396" s="61">
        <v>20</v>
      </c>
      <c r="AX396" s="2">
        <v>11</v>
      </c>
      <c r="AY396" s="2" t="s">
        <v>32</v>
      </c>
      <c r="AZ396" s="2" t="s">
        <v>46</v>
      </c>
      <c r="BA396" s="2" t="s">
        <v>767</v>
      </c>
      <c r="BB396" s="2">
        <v>54</v>
      </c>
    </row>
    <row r="397" spans="1:54" x14ac:dyDescent="0.3">
      <c r="A397" s="2" t="s">
        <v>773</v>
      </c>
      <c r="B397" s="2" t="s">
        <v>68</v>
      </c>
      <c r="C397" s="2" t="s">
        <v>19</v>
      </c>
      <c r="D397" s="2" t="s">
        <v>13</v>
      </c>
      <c r="E397" s="2">
        <v>14</v>
      </c>
      <c r="F397" s="2">
        <v>11</v>
      </c>
      <c r="G397" s="2" t="s">
        <v>14</v>
      </c>
      <c r="H397" s="2" t="s">
        <v>20</v>
      </c>
      <c r="I397" s="2" t="s">
        <v>774</v>
      </c>
      <c r="J397" s="2">
        <v>72</v>
      </c>
      <c r="AS397" s="2" t="s">
        <v>768</v>
      </c>
      <c r="AT397" s="2" t="s">
        <v>23</v>
      </c>
      <c r="AU397" s="2" t="s">
        <v>24</v>
      </c>
      <c r="AV397" s="2" t="s">
        <v>13</v>
      </c>
      <c r="AW397" s="61">
        <v>17</v>
      </c>
      <c r="AX397" s="2">
        <v>11</v>
      </c>
      <c r="AY397" s="2" t="s">
        <v>25</v>
      </c>
      <c r="AZ397" s="2" t="s">
        <v>40</v>
      </c>
      <c r="BA397" s="2" t="s">
        <v>258</v>
      </c>
      <c r="BB397" s="2">
        <v>61</v>
      </c>
    </row>
    <row r="398" spans="1:54" x14ac:dyDescent="0.3">
      <c r="A398" s="2" t="s">
        <v>775</v>
      </c>
      <c r="B398" s="2" t="s">
        <v>29</v>
      </c>
      <c r="C398" s="2" t="s">
        <v>85</v>
      </c>
      <c r="D398" s="2" t="s">
        <v>31</v>
      </c>
      <c r="E398" s="2">
        <v>20</v>
      </c>
      <c r="F398" s="2">
        <v>10</v>
      </c>
      <c r="G398" s="2" t="s">
        <v>14</v>
      </c>
      <c r="H398" s="2" t="s">
        <v>46</v>
      </c>
      <c r="I398" s="2" t="s">
        <v>366</v>
      </c>
      <c r="J398" s="2">
        <v>100</v>
      </c>
      <c r="AS398" s="2" t="s">
        <v>769</v>
      </c>
      <c r="AT398" s="2" t="s">
        <v>35</v>
      </c>
      <c r="AU398" s="2" t="s">
        <v>30</v>
      </c>
      <c r="AV398" s="2" t="s">
        <v>13</v>
      </c>
      <c r="AW398" s="61">
        <v>16</v>
      </c>
      <c r="AX398" s="2">
        <v>11</v>
      </c>
      <c r="AY398" s="2" t="s">
        <v>32</v>
      </c>
      <c r="AZ398" s="2" t="s">
        <v>46</v>
      </c>
      <c r="BA398" s="2" t="s">
        <v>770</v>
      </c>
      <c r="BB398" s="2">
        <v>85</v>
      </c>
    </row>
    <row r="399" spans="1:54" x14ac:dyDescent="0.3">
      <c r="A399" s="2" t="s">
        <v>776</v>
      </c>
      <c r="B399" s="2" t="s">
        <v>11</v>
      </c>
      <c r="C399" s="2" t="s">
        <v>12</v>
      </c>
      <c r="D399" s="2" t="s">
        <v>31</v>
      </c>
      <c r="E399" s="2">
        <v>20</v>
      </c>
      <c r="F399" s="2">
        <v>9</v>
      </c>
      <c r="G399" s="2" t="s">
        <v>14</v>
      </c>
      <c r="H399" s="2" t="s">
        <v>76</v>
      </c>
      <c r="I399" s="2" t="s">
        <v>777</v>
      </c>
      <c r="J399" s="2">
        <v>84</v>
      </c>
      <c r="AS399" s="2" t="s">
        <v>771</v>
      </c>
      <c r="AT399" s="2" t="s">
        <v>23</v>
      </c>
      <c r="AU399" s="2" t="s">
        <v>24</v>
      </c>
      <c r="AV399" s="2" t="s">
        <v>31</v>
      </c>
      <c r="AW399" s="61">
        <v>18</v>
      </c>
      <c r="AX399" s="2">
        <v>11</v>
      </c>
      <c r="AY399" s="2" t="s">
        <v>25</v>
      </c>
      <c r="AZ399" s="2" t="s">
        <v>46</v>
      </c>
      <c r="BA399" s="2" t="s">
        <v>772</v>
      </c>
      <c r="BB399" s="2">
        <v>89</v>
      </c>
    </row>
    <row r="400" spans="1:54" x14ac:dyDescent="0.3">
      <c r="A400" s="2" t="s">
        <v>778</v>
      </c>
      <c r="B400" s="2" t="s">
        <v>73</v>
      </c>
      <c r="C400" s="2" t="s">
        <v>19</v>
      </c>
      <c r="D400" s="2" t="s">
        <v>13</v>
      </c>
      <c r="E400" s="2">
        <v>17</v>
      </c>
      <c r="F400" s="2">
        <v>12</v>
      </c>
      <c r="G400" s="2" t="s">
        <v>14</v>
      </c>
      <c r="H400" s="2" t="s">
        <v>37</v>
      </c>
      <c r="I400" s="2" t="s">
        <v>779</v>
      </c>
      <c r="J400" s="2">
        <v>76</v>
      </c>
      <c r="AS400" s="2" t="s">
        <v>773</v>
      </c>
      <c r="AT400" s="2" t="s">
        <v>68</v>
      </c>
      <c r="AU400" s="2" t="s">
        <v>19</v>
      </c>
      <c r="AV400" s="2" t="s">
        <v>13</v>
      </c>
      <c r="AW400" s="61">
        <v>14</v>
      </c>
      <c r="AX400" s="2">
        <v>11</v>
      </c>
      <c r="AY400" s="2" t="s">
        <v>14</v>
      </c>
      <c r="AZ400" s="2" t="s">
        <v>20</v>
      </c>
      <c r="BA400" s="2" t="s">
        <v>774</v>
      </c>
      <c r="BB400" s="2">
        <v>72</v>
      </c>
    </row>
    <row r="401" spans="1:54" x14ac:dyDescent="0.3">
      <c r="A401" s="2" t="s">
        <v>780</v>
      </c>
      <c r="B401" s="2" t="s">
        <v>35</v>
      </c>
      <c r="C401" s="2" t="s">
        <v>36</v>
      </c>
      <c r="D401" s="2" t="s">
        <v>31</v>
      </c>
      <c r="E401" s="2">
        <v>14</v>
      </c>
      <c r="F401" s="2">
        <v>9</v>
      </c>
      <c r="G401" s="2" t="s">
        <v>25</v>
      </c>
      <c r="H401" s="2" t="s">
        <v>40</v>
      </c>
      <c r="I401" s="2" t="s">
        <v>781</v>
      </c>
      <c r="J401" s="2">
        <v>36</v>
      </c>
      <c r="AS401" s="2" t="s">
        <v>775</v>
      </c>
      <c r="AT401" s="2" t="s">
        <v>29</v>
      </c>
      <c r="AU401" s="2" t="s">
        <v>85</v>
      </c>
      <c r="AV401" s="2" t="s">
        <v>31</v>
      </c>
      <c r="AW401" s="61">
        <v>20</v>
      </c>
      <c r="AX401" s="2">
        <v>10</v>
      </c>
      <c r="AY401" s="2" t="s">
        <v>14</v>
      </c>
      <c r="AZ401" s="2" t="s">
        <v>46</v>
      </c>
      <c r="BA401" s="2" t="s">
        <v>366</v>
      </c>
      <c r="BB401" s="2">
        <v>100</v>
      </c>
    </row>
    <row r="402" spans="1:54" x14ac:dyDescent="0.3">
      <c r="A402" s="2" t="s">
        <v>782</v>
      </c>
      <c r="B402" s="2" t="s">
        <v>84</v>
      </c>
      <c r="C402" s="2" t="s">
        <v>12</v>
      </c>
      <c r="D402" s="2" t="s">
        <v>31</v>
      </c>
      <c r="E402" s="2">
        <v>14</v>
      </c>
      <c r="F402" s="2">
        <v>11</v>
      </c>
      <c r="G402" s="2" t="s">
        <v>14</v>
      </c>
      <c r="H402" s="2" t="s">
        <v>37</v>
      </c>
      <c r="I402" s="2" t="s">
        <v>252</v>
      </c>
      <c r="J402" s="2">
        <v>95</v>
      </c>
      <c r="AS402" s="2" t="s">
        <v>776</v>
      </c>
      <c r="AT402" s="2" t="s">
        <v>11</v>
      </c>
      <c r="AU402" s="2" t="s">
        <v>12</v>
      </c>
      <c r="AV402" s="2" t="s">
        <v>31</v>
      </c>
      <c r="AW402" s="61">
        <v>20</v>
      </c>
      <c r="AX402" s="2">
        <v>9</v>
      </c>
      <c r="AY402" s="2" t="s">
        <v>14</v>
      </c>
      <c r="AZ402" s="2" t="s">
        <v>76</v>
      </c>
      <c r="BA402" s="2" t="s">
        <v>777</v>
      </c>
      <c r="BB402" s="2">
        <v>84</v>
      </c>
    </row>
    <row r="403" spans="1:54" x14ac:dyDescent="0.3">
      <c r="A403" s="2" t="s">
        <v>783</v>
      </c>
      <c r="B403" s="2" t="s">
        <v>54</v>
      </c>
      <c r="C403" s="2" t="s">
        <v>79</v>
      </c>
      <c r="D403" s="2" t="s">
        <v>31</v>
      </c>
      <c r="E403" s="2">
        <v>15</v>
      </c>
      <c r="F403" s="2">
        <v>11</v>
      </c>
      <c r="G403" s="2" t="s">
        <v>25</v>
      </c>
      <c r="H403" s="2" t="s">
        <v>61</v>
      </c>
      <c r="I403" s="2" t="s">
        <v>628</v>
      </c>
      <c r="J403" s="2">
        <v>39</v>
      </c>
      <c r="AS403" s="2" t="s">
        <v>778</v>
      </c>
      <c r="AT403" s="2" t="s">
        <v>73</v>
      </c>
      <c r="AU403" s="2" t="s">
        <v>19</v>
      </c>
      <c r="AV403" s="2" t="s">
        <v>13</v>
      </c>
      <c r="AW403" s="61">
        <v>17</v>
      </c>
      <c r="AX403" s="2">
        <v>12</v>
      </c>
      <c r="AY403" s="2" t="s">
        <v>14</v>
      </c>
      <c r="AZ403" s="2" t="s">
        <v>37</v>
      </c>
      <c r="BA403" s="2" t="s">
        <v>779</v>
      </c>
      <c r="BB403" s="2">
        <v>76</v>
      </c>
    </row>
    <row r="404" spans="1:54" x14ac:dyDescent="0.3">
      <c r="A404" s="2" t="s">
        <v>784</v>
      </c>
      <c r="B404" s="2" t="s">
        <v>84</v>
      </c>
      <c r="C404" s="2" t="s">
        <v>12</v>
      </c>
      <c r="D404" s="2" t="s">
        <v>13</v>
      </c>
      <c r="E404" s="2">
        <v>17</v>
      </c>
      <c r="F404" s="2">
        <v>9</v>
      </c>
      <c r="G404" s="2" t="s">
        <v>43</v>
      </c>
      <c r="H404" s="2" t="s">
        <v>76</v>
      </c>
      <c r="I404" s="2" t="s">
        <v>685</v>
      </c>
      <c r="J404" s="2">
        <v>89</v>
      </c>
      <c r="AS404" s="2" t="s">
        <v>780</v>
      </c>
      <c r="AT404" s="2" t="s">
        <v>35</v>
      </c>
      <c r="AU404" s="2" t="s">
        <v>36</v>
      </c>
      <c r="AV404" s="2" t="s">
        <v>31</v>
      </c>
      <c r="AW404" s="61">
        <v>14</v>
      </c>
      <c r="AX404" s="2">
        <v>9</v>
      </c>
      <c r="AY404" s="2" t="s">
        <v>25</v>
      </c>
      <c r="AZ404" s="2" t="s">
        <v>40</v>
      </c>
      <c r="BA404" s="2" t="s">
        <v>781</v>
      </c>
      <c r="BB404" s="2">
        <v>36</v>
      </c>
    </row>
    <row r="405" spans="1:54" x14ac:dyDescent="0.3">
      <c r="A405" s="2" t="s">
        <v>785</v>
      </c>
      <c r="B405" s="2" t="s">
        <v>35</v>
      </c>
      <c r="C405" s="2" t="s">
        <v>58</v>
      </c>
      <c r="D405" s="2" t="s">
        <v>13</v>
      </c>
      <c r="E405" s="2">
        <v>18</v>
      </c>
      <c r="F405" s="2">
        <v>12</v>
      </c>
      <c r="G405" s="2" t="s">
        <v>43</v>
      </c>
      <c r="H405" s="2" t="s">
        <v>20</v>
      </c>
      <c r="I405" s="2" t="s">
        <v>786</v>
      </c>
      <c r="J405" s="2">
        <v>93</v>
      </c>
      <c r="AS405" s="2" t="s">
        <v>782</v>
      </c>
      <c r="AT405" s="2" t="s">
        <v>84</v>
      </c>
      <c r="AU405" s="2" t="s">
        <v>12</v>
      </c>
      <c r="AV405" s="2" t="s">
        <v>31</v>
      </c>
      <c r="AW405" s="61">
        <v>14</v>
      </c>
      <c r="AX405" s="2">
        <v>11</v>
      </c>
      <c r="AY405" s="2" t="s">
        <v>14</v>
      </c>
      <c r="AZ405" s="2" t="s">
        <v>37</v>
      </c>
      <c r="BA405" s="2" t="s">
        <v>252</v>
      </c>
      <c r="BB405" s="2">
        <v>95</v>
      </c>
    </row>
    <row r="406" spans="1:54" x14ac:dyDescent="0.3">
      <c r="A406" s="2" t="s">
        <v>787</v>
      </c>
      <c r="B406" s="2" t="s">
        <v>18</v>
      </c>
      <c r="C406" s="2" t="s">
        <v>36</v>
      </c>
      <c r="D406" s="2" t="s">
        <v>31</v>
      </c>
      <c r="E406" s="2">
        <v>16</v>
      </c>
      <c r="F406" s="2">
        <v>9</v>
      </c>
      <c r="G406" s="2" t="s">
        <v>14</v>
      </c>
      <c r="H406" s="2" t="s">
        <v>76</v>
      </c>
      <c r="I406" s="2" t="s">
        <v>788</v>
      </c>
      <c r="J406" s="2">
        <v>88</v>
      </c>
      <c r="AS406" s="2" t="s">
        <v>783</v>
      </c>
      <c r="AT406" s="2" t="s">
        <v>54</v>
      </c>
      <c r="AU406" s="2" t="s">
        <v>79</v>
      </c>
      <c r="AV406" s="2" t="s">
        <v>31</v>
      </c>
      <c r="AW406" s="61">
        <v>15</v>
      </c>
      <c r="AX406" s="2">
        <v>11</v>
      </c>
      <c r="AY406" s="2" t="s">
        <v>25</v>
      </c>
      <c r="AZ406" s="2" t="s">
        <v>61</v>
      </c>
      <c r="BA406" s="2" t="s">
        <v>628</v>
      </c>
      <c r="BB406" s="2">
        <v>39</v>
      </c>
    </row>
    <row r="407" spans="1:54" x14ac:dyDescent="0.3">
      <c r="A407" s="2" t="s">
        <v>789</v>
      </c>
      <c r="B407" s="2" t="s">
        <v>54</v>
      </c>
      <c r="C407" s="2" t="s">
        <v>12</v>
      </c>
      <c r="D407" s="2" t="s">
        <v>31</v>
      </c>
      <c r="E407" s="2">
        <v>18</v>
      </c>
      <c r="F407" s="2">
        <v>10</v>
      </c>
      <c r="G407" s="2" t="s">
        <v>25</v>
      </c>
      <c r="H407" s="2" t="s">
        <v>15</v>
      </c>
      <c r="I407" s="2" t="s">
        <v>790</v>
      </c>
      <c r="J407" s="2">
        <v>95</v>
      </c>
      <c r="AS407" s="2" t="s">
        <v>784</v>
      </c>
      <c r="AT407" s="2" t="s">
        <v>84</v>
      </c>
      <c r="AU407" s="2" t="s">
        <v>12</v>
      </c>
      <c r="AV407" s="2" t="s">
        <v>13</v>
      </c>
      <c r="AW407" s="61">
        <v>17</v>
      </c>
      <c r="AX407" s="2">
        <v>9</v>
      </c>
      <c r="AY407" s="2" t="s">
        <v>43</v>
      </c>
      <c r="AZ407" s="2" t="s">
        <v>76</v>
      </c>
      <c r="BA407" s="2" t="s">
        <v>685</v>
      </c>
      <c r="BB407" s="2">
        <v>89</v>
      </c>
    </row>
    <row r="408" spans="1:54" x14ac:dyDescent="0.3">
      <c r="A408" s="2" t="s">
        <v>791</v>
      </c>
      <c r="B408" s="2" t="s">
        <v>51</v>
      </c>
      <c r="C408" s="2" t="s">
        <v>85</v>
      </c>
      <c r="D408" s="2" t="s">
        <v>13</v>
      </c>
      <c r="E408" s="2">
        <v>14</v>
      </c>
      <c r="F408" s="2">
        <v>9</v>
      </c>
      <c r="G408" s="2" t="s">
        <v>43</v>
      </c>
      <c r="H408" s="2" t="s">
        <v>61</v>
      </c>
      <c r="I408" s="2" t="s">
        <v>792</v>
      </c>
      <c r="J408" s="2">
        <v>96</v>
      </c>
      <c r="AS408" s="2" t="s">
        <v>785</v>
      </c>
      <c r="AT408" s="2" t="s">
        <v>35</v>
      </c>
      <c r="AU408" s="2" t="s">
        <v>58</v>
      </c>
      <c r="AV408" s="2" t="s">
        <v>13</v>
      </c>
      <c r="AW408" s="61">
        <v>18</v>
      </c>
      <c r="AX408" s="2">
        <v>12</v>
      </c>
      <c r="AY408" s="2" t="s">
        <v>43</v>
      </c>
      <c r="AZ408" s="2" t="s">
        <v>20</v>
      </c>
      <c r="BA408" s="2" t="s">
        <v>786</v>
      </c>
      <c r="BB408" s="2">
        <v>93</v>
      </c>
    </row>
    <row r="409" spans="1:54" x14ac:dyDescent="0.3">
      <c r="A409" s="2" t="s">
        <v>793</v>
      </c>
      <c r="B409" s="2" t="s">
        <v>35</v>
      </c>
      <c r="C409" s="2" t="s">
        <v>19</v>
      </c>
      <c r="D409" s="2" t="s">
        <v>31</v>
      </c>
      <c r="E409" s="2">
        <v>20</v>
      </c>
      <c r="F409" s="2">
        <v>11</v>
      </c>
      <c r="G409" s="2" t="s">
        <v>32</v>
      </c>
      <c r="H409" s="2" t="s">
        <v>20</v>
      </c>
      <c r="I409" s="2" t="s">
        <v>794</v>
      </c>
      <c r="J409" s="2">
        <v>74</v>
      </c>
      <c r="AS409" s="2" t="s">
        <v>787</v>
      </c>
      <c r="AT409" s="2" t="s">
        <v>18</v>
      </c>
      <c r="AU409" s="2" t="s">
        <v>36</v>
      </c>
      <c r="AV409" s="2" t="s">
        <v>31</v>
      </c>
      <c r="AW409" s="61">
        <v>16</v>
      </c>
      <c r="AX409" s="2">
        <v>9</v>
      </c>
      <c r="AY409" s="2" t="s">
        <v>14</v>
      </c>
      <c r="AZ409" s="2" t="s">
        <v>76</v>
      </c>
      <c r="BA409" s="2" t="s">
        <v>788</v>
      </c>
      <c r="BB409" s="2">
        <v>88</v>
      </c>
    </row>
    <row r="410" spans="1:54" x14ac:dyDescent="0.3">
      <c r="A410" s="2" t="s">
        <v>795</v>
      </c>
      <c r="B410" s="2" t="s">
        <v>54</v>
      </c>
      <c r="C410" s="2" t="s">
        <v>30</v>
      </c>
      <c r="D410" s="2" t="s">
        <v>13</v>
      </c>
      <c r="E410" s="2">
        <v>18</v>
      </c>
      <c r="F410" s="2">
        <v>12</v>
      </c>
      <c r="G410" s="2" t="s">
        <v>32</v>
      </c>
      <c r="H410" s="2" t="s">
        <v>20</v>
      </c>
      <c r="I410" s="2" t="s">
        <v>796</v>
      </c>
      <c r="J410" s="2">
        <v>55</v>
      </c>
      <c r="AS410" s="2" t="s">
        <v>789</v>
      </c>
      <c r="AT410" s="2" t="s">
        <v>54</v>
      </c>
      <c r="AU410" s="2" t="s">
        <v>12</v>
      </c>
      <c r="AV410" s="2" t="s">
        <v>31</v>
      </c>
      <c r="AW410" s="61">
        <v>18</v>
      </c>
      <c r="AX410" s="2">
        <v>10</v>
      </c>
      <c r="AY410" s="2" t="s">
        <v>25</v>
      </c>
      <c r="AZ410" s="2" t="s">
        <v>15</v>
      </c>
      <c r="BA410" s="2" t="s">
        <v>790</v>
      </c>
      <c r="BB410" s="2">
        <v>95</v>
      </c>
    </row>
    <row r="411" spans="1:54" x14ac:dyDescent="0.3">
      <c r="A411" s="2" t="s">
        <v>797</v>
      </c>
      <c r="B411" s="2" t="s">
        <v>23</v>
      </c>
      <c r="C411" s="2" t="s">
        <v>85</v>
      </c>
      <c r="D411" s="2" t="s">
        <v>13</v>
      </c>
      <c r="E411" s="2">
        <v>17</v>
      </c>
      <c r="F411" s="2">
        <v>12</v>
      </c>
      <c r="G411" s="2" t="s">
        <v>14</v>
      </c>
      <c r="H411" s="2" t="s">
        <v>76</v>
      </c>
      <c r="I411" s="2" t="s">
        <v>71</v>
      </c>
      <c r="J411" s="2">
        <v>77</v>
      </c>
      <c r="AS411" s="2" t="s">
        <v>791</v>
      </c>
      <c r="AT411" s="2" t="s">
        <v>51</v>
      </c>
      <c r="AU411" s="2" t="s">
        <v>85</v>
      </c>
      <c r="AV411" s="2" t="s">
        <v>13</v>
      </c>
      <c r="AW411" s="61">
        <v>14</v>
      </c>
      <c r="AX411" s="2">
        <v>9</v>
      </c>
      <c r="AY411" s="2" t="s">
        <v>43</v>
      </c>
      <c r="AZ411" s="2" t="s">
        <v>61</v>
      </c>
      <c r="BA411" s="2" t="s">
        <v>792</v>
      </c>
      <c r="BB411" s="2">
        <v>96</v>
      </c>
    </row>
    <row r="412" spans="1:54" x14ac:dyDescent="0.3">
      <c r="A412" s="2" t="s">
        <v>798</v>
      </c>
      <c r="B412" s="2" t="s">
        <v>23</v>
      </c>
      <c r="C412" s="2" t="s">
        <v>19</v>
      </c>
      <c r="D412" s="2" t="s">
        <v>13</v>
      </c>
      <c r="E412" s="2">
        <v>17</v>
      </c>
      <c r="F412" s="2">
        <v>12</v>
      </c>
      <c r="G412" s="2" t="s">
        <v>14</v>
      </c>
      <c r="H412" s="2" t="s">
        <v>40</v>
      </c>
      <c r="I412" s="2" t="s">
        <v>159</v>
      </c>
      <c r="J412" s="2">
        <v>95</v>
      </c>
      <c r="AS412" s="2" t="s">
        <v>793</v>
      </c>
      <c r="AT412" s="2" t="s">
        <v>35</v>
      </c>
      <c r="AU412" s="2" t="s">
        <v>19</v>
      </c>
      <c r="AV412" s="2" t="s">
        <v>31</v>
      </c>
      <c r="AW412" s="61">
        <v>20</v>
      </c>
      <c r="AX412" s="2">
        <v>11</v>
      </c>
      <c r="AY412" s="2" t="s">
        <v>32</v>
      </c>
      <c r="AZ412" s="2" t="s">
        <v>20</v>
      </c>
      <c r="BA412" s="2" t="s">
        <v>794</v>
      </c>
      <c r="BB412" s="2">
        <v>74</v>
      </c>
    </row>
    <row r="413" spans="1:54" x14ac:dyDescent="0.3">
      <c r="A413" s="2" t="s">
        <v>799</v>
      </c>
      <c r="B413" s="2" t="s">
        <v>54</v>
      </c>
      <c r="C413" s="2" t="s">
        <v>36</v>
      </c>
      <c r="D413" s="2" t="s">
        <v>31</v>
      </c>
      <c r="E413" s="2">
        <v>17</v>
      </c>
      <c r="F413" s="2">
        <v>12</v>
      </c>
      <c r="G413" s="2" t="s">
        <v>14</v>
      </c>
      <c r="H413" s="2" t="s">
        <v>46</v>
      </c>
      <c r="I413" s="2" t="s">
        <v>533</v>
      </c>
      <c r="J413" s="2">
        <v>59</v>
      </c>
      <c r="AS413" s="2" t="s">
        <v>795</v>
      </c>
      <c r="AT413" s="2" t="s">
        <v>54</v>
      </c>
      <c r="AU413" s="2" t="s">
        <v>30</v>
      </c>
      <c r="AV413" s="2" t="s">
        <v>13</v>
      </c>
      <c r="AW413" s="61">
        <v>18</v>
      </c>
      <c r="AX413" s="2">
        <v>12</v>
      </c>
      <c r="AY413" s="2" t="s">
        <v>32</v>
      </c>
      <c r="AZ413" s="2" t="s">
        <v>20</v>
      </c>
      <c r="BA413" s="2" t="s">
        <v>796</v>
      </c>
      <c r="BB413" s="2">
        <v>55</v>
      </c>
    </row>
    <row r="414" spans="1:54" x14ac:dyDescent="0.3">
      <c r="A414" s="2" t="s">
        <v>800</v>
      </c>
      <c r="B414" s="2" t="s">
        <v>23</v>
      </c>
      <c r="C414" s="2" t="s">
        <v>79</v>
      </c>
      <c r="D414" s="2" t="s">
        <v>31</v>
      </c>
      <c r="E414" s="2">
        <v>18</v>
      </c>
      <c r="F414" s="2">
        <v>11</v>
      </c>
      <c r="G414" s="2" t="s">
        <v>32</v>
      </c>
      <c r="H414" s="2" t="s">
        <v>76</v>
      </c>
      <c r="I414" s="2" t="s">
        <v>801</v>
      </c>
      <c r="J414" s="2">
        <v>97</v>
      </c>
      <c r="AS414" s="2" t="s">
        <v>797</v>
      </c>
      <c r="AT414" s="2" t="s">
        <v>23</v>
      </c>
      <c r="AU414" s="2" t="s">
        <v>85</v>
      </c>
      <c r="AV414" s="2" t="s">
        <v>13</v>
      </c>
      <c r="AW414" s="61">
        <v>17</v>
      </c>
      <c r="AX414" s="2">
        <v>12</v>
      </c>
      <c r="AY414" s="2" t="s">
        <v>14</v>
      </c>
      <c r="AZ414" s="2" t="s">
        <v>76</v>
      </c>
      <c r="BA414" s="2" t="s">
        <v>71</v>
      </c>
      <c r="BB414" s="2">
        <v>77</v>
      </c>
    </row>
    <row r="415" spans="1:54" x14ac:dyDescent="0.3">
      <c r="A415" s="2" t="s">
        <v>802</v>
      </c>
      <c r="B415" s="2" t="s">
        <v>29</v>
      </c>
      <c r="C415" s="2" t="s">
        <v>96</v>
      </c>
      <c r="D415" s="2" t="s">
        <v>13</v>
      </c>
      <c r="E415" s="2">
        <v>14</v>
      </c>
      <c r="F415" s="2">
        <v>10</v>
      </c>
      <c r="G415" s="2" t="s">
        <v>25</v>
      </c>
      <c r="H415" s="2" t="s">
        <v>61</v>
      </c>
      <c r="I415" s="2" t="s">
        <v>803</v>
      </c>
      <c r="J415" s="2">
        <v>89</v>
      </c>
      <c r="AS415" s="2" t="s">
        <v>798</v>
      </c>
      <c r="AT415" s="2" t="s">
        <v>23</v>
      </c>
      <c r="AU415" s="2" t="s">
        <v>19</v>
      </c>
      <c r="AV415" s="2" t="s">
        <v>13</v>
      </c>
      <c r="AW415" s="61">
        <v>17</v>
      </c>
      <c r="AX415" s="2">
        <v>12</v>
      </c>
      <c r="AY415" s="2" t="s">
        <v>14</v>
      </c>
      <c r="AZ415" s="2" t="s">
        <v>40</v>
      </c>
      <c r="BA415" s="2" t="s">
        <v>159</v>
      </c>
      <c r="BB415" s="2">
        <v>95</v>
      </c>
    </row>
    <row r="416" spans="1:54" x14ac:dyDescent="0.3">
      <c r="A416" s="2" t="s">
        <v>804</v>
      </c>
      <c r="B416" s="2" t="s">
        <v>54</v>
      </c>
      <c r="C416" s="2" t="s">
        <v>79</v>
      </c>
      <c r="D416" s="2" t="s">
        <v>13</v>
      </c>
      <c r="E416" s="2">
        <v>19</v>
      </c>
      <c r="F416" s="2">
        <v>9</v>
      </c>
      <c r="G416" s="2" t="s">
        <v>25</v>
      </c>
      <c r="H416" s="2" t="s">
        <v>61</v>
      </c>
      <c r="I416" s="2" t="s">
        <v>56</v>
      </c>
      <c r="J416" s="2">
        <v>43</v>
      </c>
      <c r="AS416" s="2" t="s">
        <v>799</v>
      </c>
      <c r="AT416" s="2" t="s">
        <v>54</v>
      </c>
      <c r="AU416" s="2" t="s">
        <v>36</v>
      </c>
      <c r="AV416" s="2" t="s">
        <v>31</v>
      </c>
      <c r="AW416" s="61">
        <v>17</v>
      </c>
      <c r="AX416" s="2">
        <v>12</v>
      </c>
      <c r="AY416" s="2" t="s">
        <v>14</v>
      </c>
      <c r="AZ416" s="2" t="s">
        <v>46</v>
      </c>
      <c r="BA416" s="2" t="s">
        <v>533</v>
      </c>
      <c r="BB416" s="2">
        <v>59</v>
      </c>
    </row>
    <row r="417" spans="1:54" x14ac:dyDescent="0.3">
      <c r="A417" s="2" t="s">
        <v>805</v>
      </c>
      <c r="B417" s="2" t="s">
        <v>29</v>
      </c>
      <c r="C417" s="2" t="s">
        <v>36</v>
      </c>
      <c r="D417" s="2" t="s">
        <v>31</v>
      </c>
      <c r="E417" s="2">
        <v>17</v>
      </c>
      <c r="F417" s="2">
        <v>10</v>
      </c>
      <c r="G417" s="2" t="s">
        <v>25</v>
      </c>
      <c r="H417" s="2" t="s">
        <v>15</v>
      </c>
      <c r="I417" s="2" t="s">
        <v>806</v>
      </c>
      <c r="J417" s="2">
        <v>59</v>
      </c>
      <c r="AS417" s="2" t="s">
        <v>800</v>
      </c>
      <c r="AT417" s="2" t="s">
        <v>23</v>
      </c>
      <c r="AU417" s="2" t="s">
        <v>79</v>
      </c>
      <c r="AV417" s="2" t="s">
        <v>31</v>
      </c>
      <c r="AW417" s="61">
        <v>18</v>
      </c>
      <c r="AX417" s="2">
        <v>11</v>
      </c>
      <c r="AY417" s="2" t="s">
        <v>32</v>
      </c>
      <c r="AZ417" s="2" t="s">
        <v>76</v>
      </c>
      <c r="BA417" s="2" t="s">
        <v>801</v>
      </c>
      <c r="BB417" s="2">
        <v>97</v>
      </c>
    </row>
    <row r="418" spans="1:54" x14ac:dyDescent="0.3">
      <c r="A418" s="2" t="s">
        <v>807</v>
      </c>
      <c r="B418" s="2" t="s">
        <v>68</v>
      </c>
      <c r="C418" s="2" t="s">
        <v>79</v>
      </c>
      <c r="D418" s="2" t="s">
        <v>31</v>
      </c>
      <c r="E418" s="2">
        <v>16</v>
      </c>
      <c r="F418" s="2">
        <v>10</v>
      </c>
      <c r="G418" s="2" t="s">
        <v>43</v>
      </c>
      <c r="H418" s="2" t="s">
        <v>76</v>
      </c>
      <c r="I418" s="2" t="s">
        <v>305</v>
      </c>
      <c r="J418" s="2">
        <v>40</v>
      </c>
      <c r="AS418" s="2" t="s">
        <v>802</v>
      </c>
      <c r="AT418" s="2" t="s">
        <v>29</v>
      </c>
      <c r="AU418" s="2" t="s">
        <v>96</v>
      </c>
      <c r="AV418" s="2" t="s">
        <v>13</v>
      </c>
      <c r="AW418" s="61">
        <v>14</v>
      </c>
      <c r="AX418" s="2">
        <v>10</v>
      </c>
      <c r="AY418" s="2" t="s">
        <v>25</v>
      </c>
      <c r="AZ418" s="2" t="s">
        <v>61</v>
      </c>
      <c r="BA418" s="2" t="s">
        <v>803</v>
      </c>
      <c r="BB418" s="2">
        <v>89</v>
      </c>
    </row>
    <row r="419" spans="1:54" x14ac:dyDescent="0.3">
      <c r="A419" s="2" t="s">
        <v>808</v>
      </c>
      <c r="B419" s="2" t="s">
        <v>54</v>
      </c>
      <c r="C419" s="2" t="s">
        <v>24</v>
      </c>
      <c r="D419" s="2" t="s">
        <v>13</v>
      </c>
      <c r="E419" s="2">
        <v>14</v>
      </c>
      <c r="F419" s="2">
        <v>9</v>
      </c>
      <c r="G419" s="2" t="s">
        <v>25</v>
      </c>
      <c r="H419" s="2" t="s">
        <v>46</v>
      </c>
      <c r="I419" s="2" t="s">
        <v>809</v>
      </c>
      <c r="J419" s="2">
        <v>92</v>
      </c>
      <c r="AS419" s="2" t="s">
        <v>804</v>
      </c>
      <c r="AT419" s="2" t="s">
        <v>54</v>
      </c>
      <c r="AU419" s="2" t="s">
        <v>79</v>
      </c>
      <c r="AV419" s="2" t="s">
        <v>13</v>
      </c>
      <c r="AW419" s="61">
        <v>19</v>
      </c>
      <c r="AX419" s="2">
        <v>9</v>
      </c>
      <c r="AY419" s="2" t="s">
        <v>25</v>
      </c>
      <c r="AZ419" s="2" t="s">
        <v>61</v>
      </c>
      <c r="BA419" s="2" t="s">
        <v>56</v>
      </c>
      <c r="BB419" s="2">
        <v>43</v>
      </c>
    </row>
    <row r="420" spans="1:54" x14ac:dyDescent="0.3">
      <c r="A420" s="2" t="s">
        <v>810</v>
      </c>
      <c r="B420" s="2" t="s">
        <v>73</v>
      </c>
      <c r="C420" s="2" t="s">
        <v>12</v>
      </c>
      <c r="D420" s="2" t="s">
        <v>13</v>
      </c>
      <c r="E420" s="2">
        <v>14</v>
      </c>
      <c r="F420" s="2">
        <v>10</v>
      </c>
      <c r="G420" s="2" t="s">
        <v>14</v>
      </c>
      <c r="H420" s="2" t="s">
        <v>46</v>
      </c>
      <c r="I420" s="2" t="s">
        <v>385</v>
      </c>
      <c r="J420" s="2">
        <v>49</v>
      </c>
      <c r="AS420" s="2" t="s">
        <v>805</v>
      </c>
      <c r="AT420" s="2" t="s">
        <v>29</v>
      </c>
      <c r="AU420" s="2" t="s">
        <v>36</v>
      </c>
      <c r="AV420" s="2" t="s">
        <v>31</v>
      </c>
      <c r="AW420" s="61">
        <v>17</v>
      </c>
      <c r="AX420" s="2">
        <v>10</v>
      </c>
      <c r="AY420" s="2" t="s">
        <v>25</v>
      </c>
      <c r="AZ420" s="2" t="s">
        <v>15</v>
      </c>
      <c r="BA420" s="2" t="s">
        <v>806</v>
      </c>
      <c r="BB420" s="2">
        <v>59</v>
      </c>
    </row>
    <row r="421" spans="1:54" x14ac:dyDescent="0.3">
      <c r="A421" s="2" t="s">
        <v>811</v>
      </c>
      <c r="B421" s="2" t="s">
        <v>29</v>
      </c>
      <c r="C421" s="2" t="s">
        <v>58</v>
      </c>
      <c r="D421" s="2" t="s">
        <v>13</v>
      </c>
      <c r="E421" s="2">
        <v>20</v>
      </c>
      <c r="F421" s="2">
        <v>11</v>
      </c>
      <c r="G421" s="2" t="s">
        <v>14</v>
      </c>
      <c r="H421" s="2" t="s">
        <v>61</v>
      </c>
      <c r="I421" s="2" t="s">
        <v>358</v>
      </c>
      <c r="J421" s="2">
        <v>44</v>
      </c>
      <c r="AS421" s="2" t="s">
        <v>807</v>
      </c>
      <c r="AT421" s="2" t="s">
        <v>68</v>
      </c>
      <c r="AU421" s="2" t="s">
        <v>79</v>
      </c>
      <c r="AV421" s="2" t="s">
        <v>31</v>
      </c>
      <c r="AW421" s="61">
        <v>16</v>
      </c>
      <c r="AX421" s="2">
        <v>10</v>
      </c>
      <c r="AY421" s="2" t="s">
        <v>43</v>
      </c>
      <c r="AZ421" s="2" t="s">
        <v>76</v>
      </c>
      <c r="BA421" s="2" t="s">
        <v>305</v>
      </c>
      <c r="BB421" s="2">
        <v>40</v>
      </c>
    </row>
    <row r="422" spans="1:54" x14ac:dyDescent="0.3">
      <c r="A422" s="2" t="s">
        <v>812</v>
      </c>
      <c r="B422" s="2" t="s">
        <v>51</v>
      </c>
      <c r="C422" s="2" t="s">
        <v>55</v>
      </c>
      <c r="D422" s="2" t="s">
        <v>13</v>
      </c>
      <c r="E422" s="2">
        <v>15</v>
      </c>
      <c r="F422" s="2">
        <v>10</v>
      </c>
      <c r="G422" s="2" t="s">
        <v>43</v>
      </c>
      <c r="H422" s="2" t="s">
        <v>46</v>
      </c>
      <c r="I422" s="2" t="s">
        <v>82</v>
      </c>
      <c r="J422" s="2">
        <v>62</v>
      </c>
      <c r="AS422" s="2" t="s">
        <v>808</v>
      </c>
      <c r="AT422" s="2" t="s">
        <v>54</v>
      </c>
      <c r="AU422" s="2" t="s">
        <v>24</v>
      </c>
      <c r="AV422" s="2" t="s">
        <v>13</v>
      </c>
      <c r="AW422" s="61">
        <v>14</v>
      </c>
      <c r="AX422" s="2">
        <v>9</v>
      </c>
      <c r="AY422" s="2" t="s">
        <v>25</v>
      </c>
      <c r="AZ422" s="2" t="s">
        <v>46</v>
      </c>
      <c r="BA422" s="2" t="s">
        <v>809</v>
      </c>
      <c r="BB422" s="2">
        <v>92</v>
      </c>
    </row>
    <row r="423" spans="1:54" x14ac:dyDescent="0.3">
      <c r="A423" s="2" t="s">
        <v>813</v>
      </c>
      <c r="B423" s="2" t="s">
        <v>73</v>
      </c>
      <c r="C423" s="2" t="s">
        <v>58</v>
      </c>
      <c r="D423" s="2" t="s">
        <v>13</v>
      </c>
      <c r="E423" s="2">
        <v>17</v>
      </c>
      <c r="F423" s="2">
        <v>12</v>
      </c>
      <c r="G423" s="2" t="s">
        <v>32</v>
      </c>
      <c r="H423" s="2" t="s">
        <v>46</v>
      </c>
      <c r="I423" s="2" t="s">
        <v>346</v>
      </c>
      <c r="J423" s="2">
        <v>60</v>
      </c>
      <c r="AS423" s="2" t="s">
        <v>810</v>
      </c>
      <c r="AT423" s="2" t="s">
        <v>73</v>
      </c>
      <c r="AU423" s="2" t="s">
        <v>12</v>
      </c>
      <c r="AV423" s="2" t="s">
        <v>13</v>
      </c>
      <c r="AW423" s="61">
        <v>14</v>
      </c>
      <c r="AX423" s="2">
        <v>10</v>
      </c>
      <c r="AY423" s="2" t="s">
        <v>14</v>
      </c>
      <c r="AZ423" s="2" t="s">
        <v>46</v>
      </c>
      <c r="BA423" s="2" t="s">
        <v>385</v>
      </c>
      <c r="BB423" s="2">
        <v>49</v>
      </c>
    </row>
    <row r="424" spans="1:54" x14ac:dyDescent="0.3">
      <c r="A424" s="2" t="s">
        <v>814</v>
      </c>
      <c r="B424" s="2" t="s">
        <v>18</v>
      </c>
      <c r="C424" s="2" t="s">
        <v>24</v>
      </c>
      <c r="D424" s="2" t="s">
        <v>31</v>
      </c>
      <c r="E424" s="2">
        <v>17</v>
      </c>
      <c r="F424" s="2">
        <v>10</v>
      </c>
      <c r="G424" s="2" t="s">
        <v>14</v>
      </c>
      <c r="H424" s="2" t="s">
        <v>76</v>
      </c>
      <c r="I424" s="2" t="s">
        <v>815</v>
      </c>
      <c r="J424" s="2">
        <v>47</v>
      </c>
      <c r="AS424" s="2" t="s">
        <v>811</v>
      </c>
      <c r="AT424" s="2" t="s">
        <v>29</v>
      </c>
      <c r="AU424" s="2" t="s">
        <v>58</v>
      </c>
      <c r="AV424" s="2" t="s">
        <v>13</v>
      </c>
      <c r="AW424" s="61">
        <v>20</v>
      </c>
      <c r="AX424" s="2">
        <v>11</v>
      </c>
      <c r="AY424" s="2" t="s">
        <v>14</v>
      </c>
      <c r="AZ424" s="2" t="s">
        <v>61</v>
      </c>
      <c r="BA424" s="2" t="s">
        <v>358</v>
      </c>
      <c r="BB424" s="2">
        <v>44</v>
      </c>
    </row>
    <row r="425" spans="1:54" x14ac:dyDescent="0.3">
      <c r="A425" s="2" t="s">
        <v>816</v>
      </c>
      <c r="B425" s="2" t="s">
        <v>23</v>
      </c>
      <c r="C425" s="2" t="s">
        <v>79</v>
      </c>
      <c r="D425" s="2" t="s">
        <v>31</v>
      </c>
      <c r="E425" s="2">
        <v>15</v>
      </c>
      <c r="F425" s="2">
        <v>9</v>
      </c>
      <c r="G425" s="2" t="s">
        <v>25</v>
      </c>
      <c r="H425" s="2" t="s">
        <v>76</v>
      </c>
      <c r="I425" s="2" t="s">
        <v>149</v>
      </c>
      <c r="J425" s="2">
        <v>79</v>
      </c>
      <c r="AS425" s="2" t="s">
        <v>812</v>
      </c>
      <c r="AT425" s="2" t="s">
        <v>51</v>
      </c>
      <c r="AU425" s="2" t="s">
        <v>55</v>
      </c>
      <c r="AV425" s="2" t="s">
        <v>13</v>
      </c>
      <c r="AW425" s="61">
        <v>15</v>
      </c>
      <c r="AX425" s="2">
        <v>10</v>
      </c>
      <c r="AY425" s="2" t="s">
        <v>43</v>
      </c>
      <c r="AZ425" s="2" t="s">
        <v>46</v>
      </c>
      <c r="BA425" s="2" t="s">
        <v>82</v>
      </c>
      <c r="BB425" s="2">
        <v>62</v>
      </c>
    </row>
    <row r="426" spans="1:54" x14ac:dyDescent="0.3">
      <c r="A426" s="2" t="s">
        <v>817</v>
      </c>
      <c r="B426" s="2" t="s">
        <v>51</v>
      </c>
      <c r="C426" s="2" t="s">
        <v>55</v>
      </c>
      <c r="D426" s="2" t="s">
        <v>31</v>
      </c>
      <c r="E426" s="2">
        <v>19</v>
      </c>
      <c r="F426" s="2">
        <v>11</v>
      </c>
      <c r="G426" s="2" t="s">
        <v>14</v>
      </c>
      <c r="H426" s="2" t="s">
        <v>26</v>
      </c>
      <c r="I426" s="2" t="s">
        <v>818</v>
      </c>
      <c r="J426" s="2">
        <v>56</v>
      </c>
      <c r="AS426" s="2" t="s">
        <v>813</v>
      </c>
      <c r="AT426" s="2" t="s">
        <v>73</v>
      </c>
      <c r="AU426" s="2" t="s">
        <v>58</v>
      </c>
      <c r="AV426" s="2" t="s">
        <v>13</v>
      </c>
      <c r="AW426" s="61">
        <v>17</v>
      </c>
      <c r="AX426" s="2">
        <v>12</v>
      </c>
      <c r="AY426" s="2" t="s">
        <v>32</v>
      </c>
      <c r="AZ426" s="2" t="s">
        <v>46</v>
      </c>
      <c r="BA426" s="2" t="s">
        <v>346</v>
      </c>
      <c r="BB426" s="2">
        <v>60</v>
      </c>
    </row>
    <row r="427" spans="1:54" x14ac:dyDescent="0.3">
      <c r="A427" s="2" t="s">
        <v>819</v>
      </c>
      <c r="B427" s="2" t="s">
        <v>18</v>
      </c>
      <c r="C427" s="2" t="s">
        <v>36</v>
      </c>
      <c r="D427" s="2" t="s">
        <v>31</v>
      </c>
      <c r="E427" s="2">
        <v>14</v>
      </c>
      <c r="F427" s="2">
        <v>10</v>
      </c>
      <c r="G427" s="2" t="s">
        <v>43</v>
      </c>
      <c r="H427" s="2" t="s">
        <v>76</v>
      </c>
      <c r="I427" s="2" t="s">
        <v>820</v>
      </c>
      <c r="J427" s="2">
        <v>56</v>
      </c>
      <c r="AS427" s="2" t="s">
        <v>814</v>
      </c>
      <c r="AT427" s="2" t="s">
        <v>18</v>
      </c>
      <c r="AU427" s="2" t="s">
        <v>24</v>
      </c>
      <c r="AV427" s="2" t="s">
        <v>31</v>
      </c>
      <c r="AW427" s="61">
        <v>17</v>
      </c>
      <c r="AX427" s="2">
        <v>10</v>
      </c>
      <c r="AY427" s="2" t="s">
        <v>14</v>
      </c>
      <c r="AZ427" s="2" t="s">
        <v>76</v>
      </c>
      <c r="BA427" s="2" t="s">
        <v>815</v>
      </c>
      <c r="BB427" s="2">
        <v>47</v>
      </c>
    </row>
    <row r="428" spans="1:54" x14ac:dyDescent="0.3">
      <c r="A428" s="2" t="s">
        <v>821</v>
      </c>
      <c r="B428" s="2" t="s">
        <v>18</v>
      </c>
      <c r="C428" s="2" t="s">
        <v>79</v>
      </c>
      <c r="D428" s="2" t="s">
        <v>13</v>
      </c>
      <c r="E428" s="2">
        <v>20</v>
      </c>
      <c r="F428" s="2">
        <v>12</v>
      </c>
      <c r="G428" s="2" t="s">
        <v>32</v>
      </c>
      <c r="H428" s="2" t="s">
        <v>26</v>
      </c>
      <c r="I428" s="2" t="s">
        <v>822</v>
      </c>
      <c r="J428" s="2">
        <v>52</v>
      </c>
      <c r="AS428" s="2" t="s">
        <v>816</v>
      </c>
      <c r="AT428" s="2" t="s">
        <v>23</v>
      </c>
      <c r="AU428" s="2" t="s">
        <v>79</v>
      </c>
      <c r="AV428" s="2" t="s">
        <v>31</v>
      </c>
      <c r="AW428" s="61">
        <v>15</v>
      </c>
      <c r="AX428" s="2">
        <v>9</v>
      </c>
      <c r="AY428" s="2" t="s">
        <v>25</v>
      </c>
      <c r="AZ428" s="2" t="s">
        <v>76</v>
      </c>
      <c r="BA428" s="2" t="s">
        <v>149</v>
      </c>
      <c r="BB428" s="2">
        <v>79</v>
      </c>
    </row>
    <row r="429" spans="1:54" x14ac:dyDescent="0.3">
      <c r="A429" s="2" t="s">
        <v>823</v>
      </c>
      <c r="B429" s="2" t="s">
        <v>11</v>
      </c>
      <c r="C429" s="2" t="s">
        <v>79</v>
      </c>
      <c r="D429" s="2" t="s">
        <v>31</v>
      </c>
      <c r="E429" s="2">
        <v>18</v>
      </c>
      <c r="F429" s="2">
        <v>12</v>
      </c>
      <c r="G429" s="2" t="s">
        <v>43</v>
      </c>
      <c r="H429" s="2" t="s">
        <v>37</v>
      </c>
      <c r="I429" s="2" t="s">
        <v>292</v>
      </c>
      <c r="J429" s="2">
        <v>94</v>
      </c>
      <c r="AS429" s="2" t="s">
        <v>817</v>
      </c>
      <c r="AT429" s="2" t="s">
        <v>51</v>
      </c>
      <c r="AU429" s="2" t="s">
        <v>55</v>
      </c>
      <c r="AV429" s="2" t="s">
        <v>31</v>
      </c>
      <c r="AW429" s="61">
        <v>19</v>
      </c>
      <c r="AX429" s="2">
        <v>11</v>
      </c>
      <c r="AY429" s="2" t="s">
        <v>14</v>
      </c>
      <c r="AZ429" s="2" t="s">
        <v>26</v>
      </c>
      <c r="BA429" s="2" t="s">
        <v>818</v>
      </c>
      <c r="BB429" s="2">
        <v>56</v>
      </c>
    </row>
    <row r="430" spans="1:54" x14ac:dyDescent="0.3">
      <c r="A430" s="2" t="s">
        <v>824</v>
      </c>
      <c r="B430" s="2" t="s">
        <v>54</v>
      </c>
      <c r="C430" s="2" t="s">
        <v>19</v>
      </c>
      <c r="D430" s="2" t="s">
        <v>31</v>
      </c>
      <c r="E430" s="2">
        <v>20</v>
      </c>
      <c r="F430" s="2">
        <v>9</v>
      </c>
      <c r="G430" s="2" t="s">
        <v>14</v>
      </c>
      <c r="H430" s="2" t="s">
        <v>37</v>
      </c>
      <c r="I430" s="2" t="s">
        <v>825</v>
      </c>
      <c r="J430" s="2">
        <v>43</v>
      </c>
      <c r="AS430" s="2" t="s">
        <v>819</v>
      </c>
      <c r="AT430" s="2" t="s">
        <v>18</v>
      </c>
      <c r="AU430" s="2" t="s">
        <v>36</v>
      </c>
      <c r="AV430" s="2" t="s">
        <v>31</v>
      </c>
      <c r="AW430" s="61">
        <v>14</v>
      </c>
      <c r="AX430" s="2">
        <v>10</v>
      </c>
      <c r="AY430" s="2" t="s">
        <v>43</v>
      </c>
      <c r="AZ430" s="2" t="s">
        <v>76</v>
      </c>
      <c r="BA430" s="2" t="s">
        <v>820</v>
      </c>
      <c r="BB430" s="2">
        <v>56</v>
      </c>
    </row>
    <row r="431" spans="1:54" x14ac:dyDescent="0.3">
      <c r="A431" s="2" t="s">
        <v>826</v>
      </c>
      <c r="B431" s="2" t="s">
        <v>51</v>
      </c>
      <c r="C431" s="2" t="s">
        <v>55</v>
      </c>
      <c r="D431" s="2" t="s">
        <v>31</v>
      </c>
      <c r="E431" s="2">
        <v>15</v>
      </c>
      <c r="F431" s="2">
        <v>10</v>
      </c>
      <c r="G431" s="2" t="s">
        <v>43</v>
      </c>
      <c r="H431" s="2" t="s">
        <v>37</v>
      </c>
      <c r="I431" s="2" t="s">
        <v>174</v>
      </c>
      <c r="J431" s="2">
        <v>42</v>
      </c>
      <c r="AS431" s="2" t="s">
        <v>821</v>
      </c>
      <c r="AT431" s="2" t="s">
        <v>18</v>
      </c>
      <c r="AU431" s="2" t="s">
        <v>79</v>
      </c>
      <c r="AV431" s="2" t="s">
        <v>13</v>
      </c>
      <c r="AW431" s="61">
        <v>20</v>
      </c>
      <c r="AX431" s="2">
        <v>12</v>
      </c>
      <c r="AY431" s="2" t="s">
        <v>32</v>
      </c>
      <c r="AZ431" s="2" t="s">
        <v>26</v>
      </c>
      <c r="BA431" s="2" t="s">
        <v>822</v>
      </c>
      <c r="BB431" s="2">
        <v>52</v>
      </c>
    </row>
    <row r="432" spans="1:54" x14ac:dyDescent="0.3">
      <c r="A432" s="2" t="s">
        <v>827</v>
      </c>
      <c r="B432" s="2" t="s">
        <v>35</v>
      </c>
      <c r="C432" s="2" t="s">
        <v>12</v>
      </c>
      <c r="D432" s="2" t="s">
        <v>13</v>
      </c>
      <c r="E432" s="2">
        <v>14</v>
      </c>
      <c r="F432" s="2">
        <v>12</v>
      </c>
      <c r="G432" s="2" t="s">
        <v>25</v>
      </c>
      <c r="H432" s="2" t="s">
        <v>61</v>
      </c>
      <c r="I432" s="2" t="s">
        <v>570</v>
      </c>
      <c r="J432" s="2">
        <v>65</v>
      </c>
      <c r="AS432" s="2" t="s">
        <v>823</v>
      </c>
      <c r="AT432" s="2" t="s">
        <v>11</v>
      </c>
      <c r="AU432" s="2" t="s">
        <v>79</v>
      </c>
      <c r="AV432" s="2" t="s">
        <v>31</v>
      </c>
      <c r="AW432" s="61">
        <v>18</v>
      </c>
      <c r="AX432" s="2">
        <v>12</v>
      </c>
      <c r="AY432" s="2" t="s">
        <v>43</v>
      </c>
      <c r="AZ432" s="2" t="s">
        <v>37</v>
      </c>
      <c r="BA432" s="2" t="s">
        <v>292</v>
      </c>
      <c r="BB432" s="2">
        <v>94</v>
      </c>
    </row>
    <row r="433" spans="1:54" x14ac:dyDescent="0.3">
      <c r="A433" s="2" t="s">
        <v>828</v>
      </c>
      <c r="B433" s="2" t="s">
        <v>29</v>
      </c>
      <c r="C433" s="2" t="s">
        <v>55</v>
      </c>
      <c r="D433" s="2" t="s">
        <v>13</v>
      </c>
      <c r="E433" s="2">
        <v>15</v>
      </c>
      <c r="F433" s="2">
        <v>9</v>
      </c>
      <c r="G433" s="2" t="s">
        <v>32</v>
      </c>
      <c r="H433" s="2" t="s">
        <v>40</v>
      </c>
      <c r="I433" s="2" t="s">
        <v>829</v>
      </c>
      <c r="J433" s="2">
        <v>64</v>
      </c>
      <c r="AS433" s="2" t="s">
        <v>824</v>
      </c>
      <c r="AT433" s="2" t="s">
        <v>54</v>
      </c>
      <c r="AU433" s="2" t="s">
        <v>19</v>
      </c>
      <c r="AV433" s="2" t="s">
        <v>31</v>
      </c>
      <c r="AW433" s="61">
        <v>20</v>
      </c>
      <c r="AX433" s="2">
        <v>9</v>
      </c>
      <c r="AY433" s="2" t="s">
        <v>14</v>
      </c>
      <c r="AZ433" s="2" t="s">
        <v>37</v>
      </c>
      <c r="BA433" s="2" t="s">
        <v>825</v>
      </c>
      <c r="BB433" s="2">
        <v>43</v>
      </c>
    </row>
    <row r="434" spans="1:54" x14ac:dyDescent="0.3">
      <c r="A434" s="2" t="s">
        <v>830</v>
      </c>
      <c r="B434" s="2" t="s">
        <v>23</v>
      </c>
      <c r="C434" s="2" t="s">
        <v>58</v>
      </c>
      <c r="D434" s="2" t="s">
        <v>31</v>
      </c>
      <c r="E434" s="2">
        <v>17</v>
      </c>
      <c r="F434" s="2">
        <v>9</v>
      </c>
      <c r="G434" s="2" t="s">
        <v>43</v>
      </c>
      <c r="H434" s="2" t="s">
        <v>61</v>
      </c>
      <c r="I434" s="2" t="s">
        <v>820</v>
      </c>
      <c r="J434" s="2">
        <v>59</v>
      </c>
      <c r="AS434" s="2" t="s">
        <v>826</v>
      </c>
      <c r="AT434" s="2" t="s">
        <v>51</v>
      </c>
      <c r="AU434" s="2" t="s">
        <v>55</v>
      </c>
      <c r="AV434" s="2" t="s">
        <v>31</v>
      </c>
      <c r="AW434" s="61">
        <v>15</v>
      </c>
      <c r="AX434" s="2">
        <v>10</v>
      </c>
      <c r="AY434" s="2" t="s">
        <v>43</v>
      </c>
      <c r="AZ434" s="2" t="s">
        <v>37</v>
      </c>
      <c r="BA434" s="2" t="s">
        <v>174</v>
      </c>
      <c r="BB434" s="2">
        <v>42</v>
      </c>
    </row>
    <row r="435" spans="1:54" x14ac:dyDescent="0.3">
      <c r="A435" s="2" t="s">
        <v>831</v>
      </c>
      <c r="B435" s="2" t="s">
        <v>54</v>
      </c>
      <c r="C435" s="2" t="s">
        <v>36</v>
      </c>
      <c r="D435" s="2" t="s">
        <v>31</v>
      </c>
      <c r="E435" s="2">
        <v>19</v>
      </c>
      <c r="F435" s="2">
        <v>9</v>
      </c>
      <c r="G435" s="2" t="s">
        <v>32</v>
      </c>
      <c r="H435" s="2" t="s">
        <v>15</v>
      </c>
      <c r="I435" s="2" t="s">
        <v>832</v>
      </c>
      <c r="J435" s="2">
        <v>35</v>
      </c>
      <c r="AS435" s="2" t="s">
        <v>827</v>
      </c>
      <c r="AT435" s="2" t="s">
        <v>35</v>
      </c>
      <c r="AU435" s="2" t="s">
        <v>12</v>
      </c>
      <c r="AV435" s="2" t="s">
        <v>13</v>
      </c>
      <c r="AW435" s="61">
        <v>14</v>
      </c>
      <c r="AX435" s="2">
        <v>12</v>
      </c>
      <c r="AY435" s="2" t="s">
        <v>25</v>
      </c>
      <c r="AZ435" s="2" t="s">
        <v>61</v>
      </c>
      <c r="BA435" s="2" t="s">
        <v>570</v>
      </c>
      <c r="BB435" s="2">
        <v>65</v>
      </c>
    </row>
    <row r="436" spans="1:54" x14ac:dyDescent="0.3">
      <c r="A436" s="2" t="s">
        <v>833</v>
      </c>
      <c r="B436" s="2" t="s">
        <v>73</v>
      </c>
      <c r="C436" s="2" t="s">
        <v>96</v>
      </c>
      <c r="D436" s="2" t="s">
        <v>31</v>
      </c>
      <c r="E436" s="2">
        <v>15</v>
      </c>
      <c r="F436" s="2">
        <v>10</v>
      </c>
      <c r="G436" s="2" t="s">
        <v>43</v>
      </c>
      <c r="H436" s="2" t="s">
        <v>76</v>
      </c>
      <c r="I436" s="2" t="s">
        <v>834</v>
      </c>
      <c r="J436" s="2">
        <v>37</v>
      </c>
      <c r="AS436" s="2" t="s">
        <v>828</v>
      </c>
      <c r="AT436" s="2" t="s">
        <v>29</v>
      </c>
      <c r="AU436" s="2" t="s">
        <v>55</v>
      </c>
      <c r="AV436" s="2" t="s">
        <v>13</v>
      </c>
      <c r="AW436" s="61">
        <v>15</v>
      </c>
      <c r="AX436" s="2">
        <v>9</v>
      </c>
      <c r="AY436" s="2" t="s">
        <v>32</v>
      </c>
      <c r="AZ436" s="2" t="s">
        <v>40</v>
      </c>
      <c r="BA436" s="2" t="s">
        <v>829</v>
      </c>
      <c r="BB436" s="2">
        <v>64</v>
      </c>
    </row>
    <row r="437" spans="1:54" x14ac:dyDescent="0.3">
      <c r="A437" s="2" t="s">
        <v>835</v>
      </c>
      <c r="B437" s="2" t="s">
        <v>18</v>
      </c>
      <c r="C437" s="2" t="s">
        <v>55</v>
      </c>
      <c r="D437" s="2" t="s">
        <v>31</v>
      </c>
      <c r="E437" s="2">
        <v>16</v>
      </c>
      <c r="F437" s="2">
        <v>10</v>
      </c>
      <c r="G437" s="2" t="s">
        <v>14</v>
      </c>
      <c r="H437" s="2" t="s">
        <v>61</v>
      </c>
      <c r="I437" s="2" t="s">
        <v>411</v>
      </c>
      <c r="J437" s="2">
        <v>52</v>
      </c>
      <c r="AS437" s="2" t="s">
        <v>830</v>
      </c>
      <c r="AT437" s="2" t="s">
        <v>23</v>
      </c>
      <c r="AU437" s="2" t="s">
        <v>58</v>
      </c>
      <c r="AV437" s="2" t="s">
        <v>31</v>
      </c>
      <c r="AW437" s="61">
        <v>17</v>
      </c>
      <c r="AX437" s="2">
        <v>9</v>
      </c>
      <c r="AY437" s="2" t="s">
        <v>43</v>
      </c>
      <c r="AZ437" s="2" t="s">
        <v>61</v>
      </c>
      <c r="BA437" s="2" t="s">
        <v>820</v>
      </c>
      <c r="BB437" s="2">
        <v>59</v>
      </c>
    </row>
    <row r="438" spans="1:54" x14ac:dyDescent="0.3">
      <c r="A438" s="2" t="s">
        <v>836</v>
      </c>
      <c r="B438" s="2" t="s">
        <v>18</v>
      </c>
      <c r="C438" s="2" t="s">
        <v>58</v>
      </c>
      <c r="D438" s="2" t="s">
        <v>13</v>
      </c>
      <c r="E438" s="2">
        <v>16</v>
      </c>
      <c r="F438" s="2">
        <v>9</v>
      </c>
      <c r="G438" s="2" t="s">
        <v>14</v>
      </c>
      <c r="H438" s="2" t="s">
        <v>37</v>
      </c>
      <c r="I438" s="2" t="s">
        <v>837</v>
      </c>
      <c r="J438" s="2">
        <v>64</v>
      </c>
      <c r="AS438" s="2" t="s">
        <v>831</v>
      </c>
      <c r="AT438" s="2" t="s">
        <v>54</v>
      </c>
      <c r="AU438" s="2" t="s">
        <v>36</v>
      </c>
      <c r="AV438" s="2" t="s">
        <v>31</v>
      </c>
      <c r="AW438" s="61">
        <v>19</v>
      </c>
      <c r="AX438" s="2">
        <v>9</v>
      </c>
      <c r="AY438" s="2" t="s">
        <v>32</v>
      </c>
      <c r="AZ438" s="2" t="s">
        <v>15</v>
      </c>
      <c r="BA438" s="2" t="s">
        <v>832</v>
      </c>
      <c r="BB438" s="2">
        <v>35</v>
      </c>
    </row>
    <row r="439" spans="1:54" x14ac:dyDescent="0.3">
      <c r="A439" s="2" t="s">
        <v>838</v>
      </c>
      <c r="B439" s="2" t="s">
        <v>29</v>
      </c>
      <c r="C439" s="2" t="s">
        <v>36</v>
      </c>
      <c r="D439" s="2" t="s">
        <v>31</v>
      </c>
      <c r="E439" s="2">
        <v>17</v>
      </c>
      <c r="F439" s="2">
        <v>10</v>
      </c>
      <c r="G439" s="2" t="s">
        <v>25</v>
      </c>
      <c r="H439" s="2" t="s">
        <v>15</v>
      </c>
      <c r="I439" s="2" t="s">
        <v>839</v>
      </c>
      <c r="J439" s="2">
        <v>35</v>
      </c>
      <c r="AS439" s="2" t="s">
        <v>833</v>
      </c>
      <c r="AT439" s="2" t="s">
        <v>73</v>
      </c>
      <c r="AU439" s="2" t="s">
        <v>96</v>
      </c>
      <c r="AV439" s="2" t="s">
        <v>31</v>
      </c>
      <c r="AW439" s="61">
        <v>15</v>
      </c>
      <c r="AX439" s="2">
        <v>10</v>
      </c>
      <c r="AY439" s="2" t="s">
        <v>43</v>
      </c>
      <c r="AZ439" s="2" t="s">
        <v>76</v>
      </c>
      <c r="BA439" s="2" t="s">
        <v>834</v>
      </c>
      <c r="BB439" s="2">
        <v>37</v>
      </c>
    </row>
    <row r="440" spans="1:54" x14ac:dyDescent="0.3">
      <c r="A440" s="2" t="s">
        <v>840</v>
      </c>
      <c r="B440" s="2" t="s">
        <v>29</v>
      </c>
      <c r="C440" s="2" t="s">
        <v>12</v>
      </c>
      <c r="D440" s="2" t="s">
        <v>31</v>
      </c>
      <c r="E440" s="2">
        <v>20</v>
      </c>
      <c r="F440" s="2">
        <v>10</v>
      </c>
      <c r="G440" s="2" t="s">
        <v>43</v>
      </c>
      <c r="H440" s="2" t="s">
        <v>15</v>
      </c>
      <c r="I440" s="2" t="s">
        <v>841</v>
      </c>
      <c r="J440" s="2">
        <v>37</v>
      </c>
      <c r="AS440" s="2" t="s">
        <v>835</v>
      </c>
      <c r="AT440" s="2" t="s">
        <v>18</v>
      </c>
      <c r="AU440" s="2" t="s">
        <v>55</v>
      </c>
      <c r="AV440" s="2" t="s">
        <v>31</v>
      </c>
      <c r="AW440" s="61">
        <v>16</v>
      </c>
      <c r="AX440" s="2">
        <v>10</v>
      </c>
      <c r="AY440" s="2" t="s">
        <v>14</v>
      </c>
      <c r="AZ440" s="2" t="s">
        <v>61</v>
      </c>
      <c r="BA440" s="2" t="s">
        <v>411</v>
      </c>
      <c r="BB440" s="2">
        <v>52</v>
      </c>
    </row>
    <row r="441" spans="1:54" x14ac:dyDescent="0.3">
      <c r="A441" s="2" t="s">
        <v>842</v>
      </c>
      <c r="B441" s="2" t="s">
        <v>23</v>
      </c>
      <c r="C441" s="2" t="s">
        <v>30</v>
      </c>
      <c r="D441" s="2" t="s">
        <v>13</v>
      </c>
      <c r="E441" s="2">
        <v>15</v>
      </c>
      <c r="F441" s="2">
        <v>9</v>
      </c>
      <c r="G441" s="2" t="s">
        <v>32</v>
      </c>
      <c r="H441" s="2" t="s">
        <v>37</v>
      </c>
      <c r="I441" s="2" t="s">
        <v>477</v>
      </c>
      <c r="J441" s="2">
        <v>51</v>
      </c>
      <c r="AS441" s="2" t="s">
        <v>836</v>
      </c>
      <c r="AT441" s="2" t="s">
        <v>18</v>
      </c>
      <c r="AU441" s="2" t="s">
        <v>58</v>
      </c>
      <c r="AV441" s="2" t="s">
        <v>13</v>
      </c>
      <c r="AW441" s="61">
        <v>16</v>
      </c>
      <c r="AX441" s="2">
        <v>9</v>
      </c>
      <c r="AY441" s="2" t="s">
        <v>14</v>
      </c>
      <c r="AZ441" s="2" t="s">
        <v>37</v>
      </c>
      <c r="BA441" s="2" t="s">
        <v>837</v>
      </c>
      <c r="BB441" s="2">
        <v>64</v>
      </c>
    </row>
    <row r="442" spans="1:54" x14ac:dyDescent="0.3">
      <c r="A442" s="2" t="s">
        <v>843</v>
      </c>
      <c r="B442" s="2" t="s">
        <v>54</v>
      </c>
      <c r="C442" s="2" t="s">
        <v>12</v>
      </c>
      <c r="D442" s="2" t="s">
        <v>31</v>
      </c>
      <c r="E442" s="2">
        <v>17</v>
      </c>
      <c r="F442" s="2">
        <v>10</v>
      </c>
      <c r="G442" s="2" t="s">
        <v>25</v>
      </c>
      <c r="H442" s="2" t="s">
        <v>40</v>
      </c>
      <c r="I442" s="2" t="s">
        <v>844</v>
      </c>
      <c r="J442" s="2">
        <v>43</v>
      </c>
      <c r="AS442" s="2" t="s">
        <v>838</v>
      </c>
      <c r="AT442" s="2" t="s">
        <v>29</v>
      </c>
      <c r="AU442" s="2" t="s">
        <v>36</v>
      </c>
      <c r="AV442" s="2" t="s">
        <v>31</v>
      </c>
      <c r="AW442" s="61">
        <v>17</v>
      </c>
      <c r="AX442" s="2">
        <v>10</v>
      </c>
      <c r="AY442" s="2" t="s">
        <v>25</v>
      </c>
      <c r="AZ442" s="2" t="s">
        <v>15</v>
      </c>
      <c r="BA442" s="2" t="s">
        <v>839</v>
      </c>
      <c r="BB442" s="2">
        <v>35</v>
      </c>
    </row>
    <row r="443" spans="1:54" x14ac:dyDescent="0.3">
      <c r="A443" s="2" t="s">
        <v>845</v>
      </c>
      <c r="B443" s="2" t="s">
        <v>11</v>
      </c>
      <c r="C443" s="2" t="s">
        <v>19</v>
      </c>
      <c r="D443" s="2" t="s">
        <v>31</v>
      </c>
      <c r="E443" s="2">
        <v>19</v>
      </c>
      <c r="F443" s="2">
        <v>11</v>
      </c>
      <c r="G443" s="2" t="s">
        <v>43</v>
      </c>
      <c r="H443" s="2" t="s">
        <v>76</v>
      </c>
      <c r="I443" s="2" t="s">
        <v>282</v>
      </c>
      <c r="J443" s="2">
        <v>44</v>
      </c>
      <c r="AS443" s="2" t="s">
        <v>840</v>
      </c>
      <c r="AT443" s="2" t="s">
        <v>29</v>
      </c>
      <c r="AU443" s="2" t="s">
        <v>12</v>
      </c>
      <c r="AV443" s="2" t="s">
        <v>31</v>
      </c>
      <c r="AW443" s="61">
        <v>20</v>
      </c>
      <c r="AX443" s="2">
        <v>10</v>
      </c>
      <c r="AY443" s="2" t="s">
        <v>43</v>
      </c>
      <c r="AZ443" s="2" t="s">
        <v>15</v>
      </c>
      <c r="BA443" s="2" t="s">
        <v>841</v>
      </c>
      <c r="BB443" s="2">
        <v>37</v>
      </c>
    </row>
    <row r="444" spans="1:54" x14ac:dyDescent="0.3">
      <c r="A444" s="2" t="s">
        <v>846</v>
      </c>
      <c r="B444" s="2" t="s">
        <v>35</v>
      </c>
      <c r="C444" s="2" t="s">
        <v>79</v>
      </c>
      <c r="D444" s="2" t="s">
        <v>13</v>
      </c>
      <c r="E444" s="2">
        <v>17</v>
      </c>
      <c r="F444" s="2">
        <v>12</v>
      </c>
      <c r="G444" s="2" t="s">
        <v>25</v>
      </c>
      <c r="H444" s="2" t="s">
        <v>46</v>
      </c>
      <c r="I444" s="2" t="s">
        <v>847</v>
      </c>
      <c r="J444" s="2">
        <v>41</v>
      </c>
      <c r="AS444" s="2" t="s">
        <v>842</v>
      </c>
      <c r="AT444" s="2" t="s">
        <v>23</v>
      </c>
      <c r="AU444" s="2" t="s">
        <v>30</v>
      </c>
      <c r="AV444" s="2" t="s">
        <v>13</v>
      </c>
      <c r="AW444" s="61">
        <v>15</v>
      </c>
      <c r="AX444" s="2">
        <v>9</v>
      </c>
      <c r="AY444" s="2" t="s">
        <v>32</v>
      </c>
      <c r="AZ444" s="2" t="s">
        <v>37</v>
      </c>
      <c r="BA444" s="2" t="s">
        <v>477</v>
      </c>
      <c r="BB444" s="2">
        <v>51</v>
      </c>
    </row>
    <row r="445" spans="1:54" x14ac:dyDescent="0.3">
      <c r="A445" s="2" t="s">
        <v>848</v>
      </c>
      <c r="B445" s="2" t="s">
        <v>18</v>
      </c>
      <c r="C445" s="2" t="s">
        <v>24</v>
      </c>
      <c r="D445" s="2" t="s">
        <v>31</v>
      </c>
      <c r="E445" s="2">
        <v>16</v>
      </c>
      <c r="F445" s="2">
        <v>10</v>
      </c>
      <c r="G445" s="2" t="s">
        <v>25</v>
      </c>
      <c r="H445" s="2" t="s">
        <v>61</v>
      </c>
      <c r="I445" s="2" t="s">
        <v>849</v>
      </c>
      <c r="J445" s="2">
        <v>78</v>
      </c>
      <c r="AS445" s="2" t="s">
        <v>843</v>
      </c>
      <c r="AT445" s="2" t="s">
        <v>54</v>
      </c>
      <c r="AU445" s="2" t="s">
        <v>12</v>
      </c>
      <c r="AV445" s="2" t="s">
        <v>31</v>
      </c>
      <c r="AW445" s="61">
        <v>17</v>
      </c>
      <c r="AX445" s="2">
        <v>10</v>
      </c>
      <c r="AY445" s="2" t="s">
        <v>25</v>
      </c>
      <c r="AZ445" s="2" t="s">
        <v>40</v>
      </c>
      <c r="BA445" s="2" t="s">
        <v>844</v>
      </c>
      <c r="BB445" s="2">
        <v>43</v>
      </c>
    </row>
    <row r="446" spans="1:54" x14ac:dyDescent="0.3">
      <c r="A446" s="2" t="s">
        <v>850</v>
      </c>
      <c r="B446" s="2" t="s">
        <v>51</v>
      </c>
      <c r="C446" s="2" t="s">
        <v>96</v>
      </c>
      <c r="D446" s="2" t="s">
        <v>13</v>
      </c>
      <c r="E446" s="2">
        <v>14</v>
      </c>
      <c r="F446" s="2">
        <v>9</v>
      </c>
      <c r="G446" s="2" t="s">
        <v>25</v>
      </c>
      <c r="H446" s="2" t="s">
        <v>26</v>
      </c>
      <c r="I446" s="2" t="s">
        <v>851</v>
      </c>
      <c r="J446" s="2">
        <v>90</v>
      </c>
      <c r="AS446" s="2" t="s">
        <v>845</v>
      </c>
      <c r="AT446" s="2" t="s">
        <v>11</v>
      </c>
      <c r="AU446" s="2" t="s">
        <v>19</v>
      </c>
      <c r="AV446" s="2" t="s">
        <v>31</v>
      </c>
      <c r="AW446" s="61">
        <v>19</v>
      </c>
      <c r="AX446" s="2">
        <v>11</v>
      </c>
      <c r="AY446" s="2" t="s">
        <v>43</v>
      </c>
      <c r="AZ446" s="2" t="s">
        <v>76</v>
      </c>
      <c r="BA446" s="2" t="s">
        <v>282</v>
      </c>
      <c r="BB446" s="2">
        <v>44</v>
      </c>
    </row>
    <row r="447" spans="1:54" x14ac:dyDescent="0.3">
      <c r="A447" s="2" t="s">
        <v>852</v>
      </c>
      <c r="B447" s="2" t="s">
        <v>29</v>
      </c>
      <c r="C447" s="2" t="s">
        <v>55</v>
      </c>
      <c r="D447" s="2" t="s">
        <v>13</v>
      </c>
      <c r="E447" s="2">
        <v>15</v>
      </c>
      <c r="F447" s="2">
        <v>9</v>
      </c>
      <c r="G447" s="2" t="s">
        <v>14</v>
      </c>
      <c r="H447" s="2" t="s">
        <v>20</v>
      </c>
      <c r="I447" s="2" t="s">
        <v>853</v>
      </c>
      <c r="J447" s="2">
        <v>74</v>
      </c>
      <c r="AS447" s="2" t="s">
        <v>846</v>
      </c>
      <c r="AT447" s="2" t="s">
        <v>35</v>
      </c>
      <c r="AU447" s="2" t="s">
        <v>79</v>
      </c>
      <c r="AV447" s="2" t="s">
        <v>13</v>
      </c>
      <c r="AW447" s="61">
        <v>17</v>
      </c>
      <c r="AX447" s="2">
        <v>12</v>
      </c>
      <c r="AY447" s="2" t="s">
        <v>25</v>
      </c>
      <c r="AZ447" s="2" t="s">
        <v>46</v>
      </c>
      <c r="BA447" s="2" t="s">
        <v>847</v>
      </c>
      <c r="BB447" s="2">
        <v>41</v>
      </c>
    </row>
    <row r="448" spans="1:54" x14ac:dyDescent="0.3">
      <c r="A448" s="2" t="s">
        <v>854</v>
      </c>
      <c r="B448" s="2" t="s">
        <v>51</v>
      </c>
      <c r="C448" s="2" t="s">
        <v>55</v>
      </c>
      <c r="D448" s="2" t="s">
        <v>13</v>
      </c>
      <c r="E448" s="2">
        <v>15</v>
      </c>
      <c r="F448" s="2">
        <v>11</v>
      </c>
      <c r="G448" s="2" t="s">
        <v>14</v>
      </c>
      <c r="H448" s="2" t="s">
        <v>61</v>
      </c>
      <c r="I448" s="2" t="s">
        <v>855</v>
      </c>
      <c r="J448" s="2">
        <v>84</v>
      </c>
      <c r="AS448" s="2" t="s">
        <v>848</v>
      </c>
      <c r="AT448" s="2" t="s">
        <v>18</v>
      </c>
      <c r="AU448" s="2" t="s">
        <v>24</v>
      </c>
      <c r="AV448" s="2" t="s">
        <v>31</v>
      </c>
      <c r="AW448" s="61">
        <v>16</v>
      </c>
      <c r="AX448" s="2">
        <v>10</v>
      </c>
      <c r="AY448" s="2" t="s">
        <v>25</v>
      </c>
      <c r="AZ448" s="2" t="s">
        <v>61</v>
      </c>
      <c r="BA448" s="2" t="s">
        <v>849</v>
      </c>
      <c r="BB448" s="2">
        <v>78</v>
      </c>
    </row>
    <row r="449" spans="1:54" x14ac:dyDescent="0.3">
      <c r="A449" s="2" t="s">
        <v>856</v>
      </c>
      <c r="B449" s="2" t="s">
        <v>29</v>
      </c>
      <c r="C449" s="2" t="s">
        <v>85</v>
      </c>
      <c r="D449" s="2" t="s">
        <v>13</v>
      </c>
      <c r="E449" s="2">
        <v>16</v>
      </c>
      <c r="F449" s="2">
        <v>9</v>
      </c>
      <c r="G449" s="2" t="s">
        <v>14</v>
      </c>
      <c r="H449" s="2" t="s">
        <v>61</v>
      </c>
      <c r="I449" s="2" t="s">
        <v>262</v>
      </c>
      <c r="J449" s="2">
        <v>78</v>
      </c>
      <c r="AS449" s="2" t="s">
        <v>850</v>
      </c>
      <c r="AT449" s="2" t="s">
        <v>51</v>
      </c>
      <c r="AU449" s="2" t="s">
        <v>96</v>
      </c>
      <c r="AV449" s="2" t="s">
        <v>13</v>
      </c>
      <c r="AW449" s="61">
        <v>14</v>
      </c>
      <c r="AX449" s="2">
        <v>9</v>
      </c>
      <c r="AY449" s="2" t="s">
        <v>25</v>
      </c>
      <c r="AZ449" s="2" t="s">
        <v>26</v>
      </c>
      <c r="BA449" s="2" t="s">
        <v>851</v>
      </c>
      <c r="BB449" s="2">
        <v>90</v>
      </c>
    </row>
    <row r="450" spans="1:54" x14ac:dyDescent="0.3">
      <c r="A450" s="2" t="s">
        <v>857</v>
      </c>
      <c r="B450" s="2" t="s">
        <v>18</v>
      </c>
      <c r="C450" s="2" t="s">
        <v>96</v>
      </c>
      <c r="D450" s="2" t="s">
        <v>13</v>
      </c>
      <c r="E450" s="2">
        <v>20</v>
      </c>
      <c r="F450" s="2">
        <v>11</v>
      </c>
      <c r="G450" s="2" t="s">
        <v>32</v>
      </c>
      <c r="H450" s="2" t="s">
        <v>61</v>
      </c>
      <c r="I450" s="2" t="s">
        <v>570</v>
      </c>
      <c r="J450" s="2">
        <v>94</v>
      </c>
      <c r="AS450" s="2" t="s">
        <v>852</v>
      </c>
      <c r="AT450" s="2" t="s">
        <v>29</v>
      </c>
      <c r="AU450" s="2" t="s">
        <v>55</v>
      </c>
      <c r="AV450" s="2" t="s">
        <v>13</v>
      </c>
      <c r="AW450" s="61">
        <v>15</v>
      </c>
      <c r="AX450" s="2">
        <v>9</v>
      </c>
      <c r="AY450" s="2" t="s">
        <v>14</v>
      </c>
      <c r="AZ450" s="2" t="s">
        <v>20</v>
      </c>
      <c r="BA450" s="2" t="s">
        <v>853</v>
      </c>
      <c r="BB450" s="2">
        <v>74</v>
      </c>
    </row>
    <row r="451" spans="1:54" x14ac:dyDescent="0.3">
      <c r="A451" s="2" t="s">
        <v>858</v>
      </c>
      <c r="B451" s="2" t="s">
        <v>35</v>
      </c>
      <c r="C451" s="2" t="s">
        <v>12</v>
      </c>
      <c r="D451" s="2" t="s">
        <v>31</v>
      </c>
      <c r="E451" s="2">
        <v>19</v>
      </c>
      <c r="F451" s="2">
        <v>9</v>
      </c>
      <c r="G451" s="2" t="s">
        <v>43</v>
      </c>
      <c r="H451" s="2" t="s">
        <v>26</v>
      </c>
      <c r="I451" s="2" t="s">
        <v>859</v>
      </c>
      <c r="J451" s="2">
        <v>88</v>
      </c>
      <c r="AS451" s="2" t="s">
        <v>854</v>
      </c>
      <c r="AT451" s="2" t="s">
        <v>51</v>
      </c>
      <c r="AU451" s="2" t="s">
        <v>55</v>
      </c>
      <c r="AV451" s="2" t="s">
        <v>13</v>
      </c>
      <c r="AW451" s="61">
        <v>15</v>
      </c>
      <c r="AX451" s="2">
        <v>11</v>
      </c>
      <c r="AY451" s="2" t="s">
        <v>14</v>
      </c>
      <c r="AZ451" s="2" t="s">
        <v>61</v>
      </c>
      <c r="BA451" s="2" t="s">
        <v>855</v>
      </c>
      <c r="BB451" s="2">
        <v>84</v>
      </c>
    </row>
    <row r="452" spans="1:54" x14ac:dyDescent="0.3">
      <c r="A452" s="2" t="s">
        <v>860</v>
      </c>
      <c r="B452" s="2" t="s">
        <v>68</v>
      </c>
      <c r="C452" s="2" t="s">
        <v>12</v>
      </c>
      <c r="D452" s="2" t="s">
        <v>13</v>
      </c>
      <c r="E452" s="2">
        <v>16</v>
      </c>
      <c r="F452" s="2">
        <v>12</v>
      </c>
      <c r="G452" s="2" t="s">
        <v>14</v>
      </c>
      <c r="H452" s="2" t="s">
        <v>37</v>
      </c>
      <c r="I452" s="2" t="s">
        <v>861</v>
      </c>
      <c r="J452" s="2">
        <v>84</v>
      </c>
      <c r="AS452" s="2" t="s">
        <v>856</v>
      </c>
      <c r="AT452" s="2" t="s">
        <v>29</v>
      </c>
      <c r="AU452" s="2" t="s">
        <v>85</v>
      </c>
      <c r="AV452" s="2" t="s">
        <v>13</v>
      </c>
      <c r="AW452" s="61">
        <v>16</v>
      </c>
      <c r="AX452" s="2">
        <v>9</v>
      </c>
      <c r="AY452" s="2" t="s">
        <v>14</v>
      </c>
      <c r="AZ452" s="2" t="s">
        <v>61</v>
      </c>
      <c r="BA452" s="2" t="s">
        <v>262</v>
      </c>
      <c r="BB452" s="2">
        <v>78</v>
      </c>
    </row>
    <row r="453" spans="1:54" x14ac:dyDescent="0.3">
      <c r="A453" s="2" t="s">
        <v>862</v>
      </c>
      <c r="B453" s="2" t="s">
        <v>51</v>
      </c>
      <c r="C453" s="2" t="s">
        <v>24</v>
      </c>
      <c r="D453" s="2" t="s">
        <v>13</v>
      </c>
      <c r="E453" s="2">
        <v>17</v>
      </c>
      <c r="F453" s="2">
        <v>9</v>
      </c>
      <c r="G453" s="2" t="s">
        <v>43</v>
      </c>
      <c r="H453" s="2" t="s">
        <v>15</v>
      </c>
      <c r="I453" s="2" t="s">
        <v>863</v>
      </c>
      <c r="J453" s="2">
        <v>86</v>
      </c>
      <c r="AS453" s="2" t="s">
        <v>857</v>
      </c>
      <c r="AT453" s="2" t="s">
        <v>18</v>
      </c>
      <c r="AU453" s="2" t="s">
        <v>96</v>
      </c>
      <c r="AV453" s="2" t="s">
        <v>13</v>
      </c>
      <c r="AW453" s="61">
        <v>20</v>
      </c>
      <c r="AX453" s="2">
        <v>11</v>
      </c>
      <c r="AY453" s="2" t="s">
        <v>32</v>
      </c>
      <c r="AZ453" s="2" t="s">
        <v>61</v>
      </c>
      <c r="BA453" s="2" t="s">
        <v>570</v>
      </c>
      <c r="BB453" s="2">
        <v>94</v>
      </c>
    </row>
    <row r="454" spans="1:54" x14ac:dyDescent="0.3">
      <c r="A454" s="2" t="s">
        <v>864</v>
      </c>
      <c r="B454" s="2" t="s">
        <v>35</v>
      </c>
      <c r="C454" s="2" t="s">
        <v>58</v>
      </c>
      <c r="D454" s="2" t="s">
        <v>13</v>
      </c>
      <c r="E454" s="2">
        <v>17</v>
      </c>
      <c r="F454" s="2">
        <v>10</v>
      </c>
      <c r="G454" s="2" t="s">
        <v>14</v>
      </c>
      <c r="H454" s="2" t="s">
        <v>20</v>
      </c>
      <c r="I454" s="2" t="s">
        <v>865</v>
      </c>
      <c r="J454" s="2">
        <v>92</v>
      </c>
      <c r="AS454" s="2" t="s">
        <v>858</v>
      </c>
      <c r="AT454" s="2" t="s">
        <v>35</v>
      </c>
      <c r="AU454" s="2" t="s">
        <v>12</v>
      </c>
      <c r="AV454" s="2" t="s">
        <v>31</v>
      </c>
      <c r="AW454" s="61">
        <v>19</v>
      </c>
      <c r="AX454" s="2">
        <v>9</v>
      </c>
      <c r="AY454" s="2" t="s">
        <v>43</v>
      </c>
      <c r="AZ454" s="2" t="s">
        <v>26</v>
      </c>
      <c r="BA454" s="2" t="s">
        <v>859</v>
      </c>
      <c r="BB454" s="2">
        <v>88</v>
      </c>
    </row>
    <row r="455" spans="1:54" x14ac:dyDescent="0.3">
      <c r="A455" s="2" t="s">
        <v>866</v>
      </c>
      <c r="B455" s="2" t="s">
        <v>18</v>
      </c>
      <c r="C455" s="2" t="s">
        <v>24</v>
      </c>
      <c r="D455" s="2" t="s">
        <v>13</v>
      </c>
      <c r="E455" s="2">
        <v>15</v>
      </c>
      <c r="F455" s="2">
        <v>11</v>
      </c>
      <c r="G455" s="2" t="s">
        <v>14</v>
      </c>
      <c r="H455" s="2" t="s">
        <v>61</v>
      </c>
      <c r="I455" s="2" t="s">
        <v>867</v>
      </c>
      <c r="J455" s="2">
        <v>97</v>
      </c>
      <c r="AS455" s="2" t="s">
        <v>860</v>
      </c>
      <c r="AT455" s="2" t="s">
        <v>68</v>
      </c>
      <c r="AU455" s="2" t="s">
        <v>12</v>
      </c>
      <c r="AV455" s="2" t="s">
        <v>13</v>
      </c>
      <c r="AW455" s="61">
        <v>16</v>
      </c>
      <c r="AX455" s="2">
        <v>12</v>
      </c>
      <c r="AY455" s="2" t="s">
        <v>14</v>
      </c>
      <c r="AZ455" s="2" t="s">
        <v>37</v>
      </c>
      <c r="BA455" s="2" t="s">
        <v>861</v>
      </c>
      <c r="BB455" s="2">
        <v>84</v>
      </c>
    </row>
    <row r="456" spans="1:54" x14ac:dyDescent="0.3">
      <c r="A456" s="2" t="s">
        <v>868</v>
      </c>
      <c r="B456" s="2" t="s">
        <v>84</v>
      </c>
      <c r="C456" s="2" t="s">
        <v>30</v>
      </c>
      <c r="D456" s="2" t="s">
        <v>31</v>
      </c>
      <c r="E456" s="2">
        <v>15</v>
      </c>
      <c r="F456" s="2">
        <v>9</v>
      </c>
      <c r="G456" s="2" t="s">
        <v>43</v>
      </c>
      <c r="H456" s="2" t="s">
        <v>61</v>
      </c>
      <c r="I456" s="2" t="s">
        <v>151</v>
      </c>
      <c r="J456" s="2">
        <v>45</v>
      </c>
      <c r="AS456" s="2" t="s">
        <v>862</v>
      </c>
      <c r="AT456" s="2" t="s">
        <v>51</v>
      </c>
      <c r="AU456" s="2" t="s">
        <v>24</v>
      </c>
      <c r="AV456" s="2" t="s">
        <v>13</v>
      </c>
      <c r="AW456" s="61">
        <v>17</v>
      </c>
      <c r="AX456" s="2">
        <v>9</v>
      </c>
      <c r="AY456" s="2" t="s">
        <v>43</v>
      </c>
      <c r="AZ456" s="2" t="s">
        <v>15</v>
      </c>
      <c r="BA456" s="2" t="s">
        <v>863</v>
      </c>
      <c r="BB456" s="2">
        <v>86</v>
      </c>
    </row>
    <row r="457" spans="1:54" x14ac:dyDescent="0.3">
      <c r="A457" s="2" t="s">
        <v>869</v>
      </c>
      <c r="B457" s="2" t="s">
        <v>73</v>
      </c>
      <c r="C457" s="2" t="s">
        <v>96</v>
      </c>
      <c r="D457" s="2" t="s">
        <v>31</v>
      </c>
      <c r="E457" s="2">
        <v>17</v>
      </c>
      <c r="F457" s="2">
        <v>9</v>
      </c>
      <c r="G457" s="2" t="s">
        <v>43</v>
      </c>
      <c r="H457" s="2" t="s">
        <v>26</v>
      </c>
      <c r="I457" s="2" t="s">
        <v>870</v>
      </c>
      <c r="J457" s="2">
        <v>53</v>
      </c>
      <c r="AS457" s="2" t="s">
        <v>864</v>
      </c>
      <c r="AT457" s="2" t="s">
        <v>35</v>
      </c>
      <c r="AU457" s="2" t="s">
        <v>58</v>
      </c>
      <c r="AV457" s="2" t="s">
        <v>13</v>
      </c>
      <c r="AW457" s="61">
        <v>17</v>
      </c>
      <c r="AX457" s="2">
        <v>10</v>
      </c>
      <c r="AY457" s="2" t="s">
        <v>14</v>
      </c>
      <c r="AZ457" s="2" t="s">
        <v>20</v>
      </c>
      <c r="BA457" s="2" t="s">
        <v>865</v>
      </c>
      <c r="BB457" s="2">
        <v>92</v>
      </c>
    </row>
    <row r="458" spans="1:54" x14ac:dyDescent="0.3">
      <c r="A458" s="2" t="s">
        <v>871</v>
      </c>
      <c r="B458" s="2" t="s">
        <v>11</v>
      </c>
      <c r="C458" s="2" t="s">
        <v>12</v>
      </c>
      <c r="D458" s="2" t="s">
        <v>13</v>
      </c>
      <c r="E458" s="2">
        <v>20</v>
      </c>
      <c r="F458" s="2">
        <v>10</v>
      </c>
      <c r="G458" s="2" t="s">
        <v>25</v>
      </c>
      <c r="H458" s="2" t="s">
        <v>76</v>
      </c>
      <c r="I458" s="2" t="s">
        <v>872</v>
      </c>
      <c r="J458" s="2">
        <v>66</v>
      </c>
      <c r="AS458" s="2" t="s">
        <v>866</v>
      </c>
      <c r="AT458" s="2" t="s">
        <v>18</v>
      </c>
      <c r="AU458" s="2" t="s">
        <v>24</v>
      </c>
      <c r="AV458" s="2" t="s">
        <v>13</v>
      </c>
      <c r="AW458" s="61">
        <v>15</v>
      </c>
      <c r="AX458" s="2">
        <v>11</v>
      </c>
      <c r="AY458" s="2" t="s">
        <v>14</v>
      </c>
      <c r="AZ458" s="2" t="s">
        <v>61</v>
      </c>
      <c r="BA458" s="2" t="s">
        <v>867</v>
      </c>
      <c r="BB458" s="2">
        <v>97</v>
      </c>
    </row>
    <row r="459" spans="1:54" x14ac:dyDescent="0.3">
      <c r="A459" s="2" t="s">
        <v>873</v>
      </c>
      <c r="B459" s="2" t="s">
        <v>18</v>
      </c>
      <c r="C459" s="2" t="s">
        <v>79</v>
      </c>
      <c r="D459" s="2" t="s">
        <v>31</v>
      </c>
      <c r="E459" s="2">
        <v>19</v>
      </c>
      <c r="F459" s="2">
        <v>12</v>
      </c>
      <c r="G459" s="2" t="s">
        <v>32</v>
      </c>
      <c r="H459" s="2" t="s">
        <v>76</v>
      </c>
      <c r="I459" s="2" t="s">
        <v>742</v>
      </c>
      <c r="J459" s="2">
        <v>83</v>
      </c>
      <c r="AS459" s="2" t="s">
        <v>868</v>
      </c>
      <c r="AT459" s="2" t="s">
        <v>84</v>
      </c>
      <c r="AU459" s="2" t="s">
        <v>30</v>
      </c>
      <c r="AV459" s="2" t="s">
        <v>31</v>
      </c>
      <c r="AW459" s="61">
        <v>15</v>
      </c>
      <c r="AX459" s="2">
        <v>9</v>
      </c>
      <c r="AY459" s="2" t="s">
        <v>43</v>
      </c>
      <c r="AZ459" s="2" t="s">
        <v>61</v>
      </c>
      <c r="BA459" s="2" t="s">
        <v>151</v>
      </c>
      <c r="BB459" s="2">
        <v>45</v>
      </c>
    </row>
    <row r="460" spans="1:54" x14ac:dyDescent="0.3">
      <c r="A460" s="2" t="s">
        <v>874</v>
      </c>
      <c r="B460" s="2" t="s">
        <v>35</v>
      </c>
      <c r="C460" s="2" t="s">
        <v>36</v>
      </c>
      <c r="D460" s="2" t="s">
        <v>13</v>
      </c>
      <c r="E460" s="2">
        <v>16</v>
      </c>
      <c r="F460" s="2">
        <v>10</v>
      </c>
      <c r="G460" s="2" t="s">
        <v>14</v>
      </c>
      <c r="H460" s="2" t="s">
        <v>61</v>
      </c>
      <c r="I460" s="2" t="s">
        <v>875</v>
      </c>
      <c r="J460" s="2">
        <v>35</v>
      </c>
      <c r="AS460" s="2" t="s">
        <v>869</v>
      </c>
      <c r="AT460" s="2" t="s">
        <v>73</v>
      </c>
      <c r="AU460" s="2" t="s">
        <v>96</v>
      </c>
      <c r="AV460" s="2" t="s">
        <v>31</v>
      </c>
      <c r="AW460" s="61">
        <v>17</v>
      </c>
      <c r="AX460" s="2">
        <v>9</v>
      </c>
      <c r="AY460" s="2" t="s">
        <v>43</v>
      </c>
      <c r="AZ460" s="2" t="s">
        <v>26</v>
      </c>
      <c r="BA460" s="2" t="s">
        <v>870</v>
      </c>
      <c r="BB460" s="2">
        <v>53</v>
      </c>
    </row>
    <row r="461" spans="1:54" x14ac:dyDescent="0.3">
      <c r="A461" s="2" t="s">
        <v>876</v>
      </c>
      <c r="B461" s="2" t="s">
        <v>18</v>
      </c>
      <c r="C461" s="2" t="s">
        <v>24</v>
      </c>
      <c r="D461" s="2" t="s">
        <v>31</v>
      </c>
      <c r="E461" s="2">
        <v>16</v>
      </c>
      <c r="F461" s="2">
        <v>9</v>
      </c>
      <c r="G461" s="2" t="s">
        <v>43</v>
      </c>
      <c r="H461" s="2" t="s">
        <v>26</v>
      </c>
      <c r="I461" s="2" t="s">
        <v>515</v>
      </c>
      <c r="J461" s="2">
        <v>48</v>
      </c>
      <c r="AS461" s="2" t="s">
        <v>871</v>
      </c>
      <c r="AT461" s="2" t="s">
        <v>11</v>
      </c>
      <c r="AU461" s="2" t="s">
        <v>12</v>
      </c>
      <c r="AV461" s="2" t="s">
        <v>13</v>
      </c>
      <c r="AW461" s="61">
        <v>20</v>
      </c>
      <c r="AX461" s="2">
        <v>10</v>
      </c>
      <c r="AY461" s="2" t="s">
        <v>25</v>
      </c>
      <c r="AZ461" s="2" t="s">
        <v>76</v>
      </c>
      <c r="BA461" s="2" t="s">
        <v>872</v>
      </c>
      <c r="BB461" s="2">
        <v>66</v>
      </c>
    </row>
    <row r="462" spans="1:54" x14ac:dyDescent="0.3">
      <c r="A462" s="2" t="s">
        <v>877</v>
      </c>
      <c r="B462" s="2" t="s">
        <v>73</v>
      </c>
      <c r="C462" s="2" t="s">
        <v>85</v>
      </c>
      <c r="D462" s="2" t="s">
        <v>13</v>
      </c>
      <c r="E462" s="2">
        <v>19</v>
      </c>
      <c r="F462" s="2">
        <v>10</v>
      </c>
      <c r="G462" s="2" t="s">
        <v>25</v>
      </c>
      <c r="H462" s="2" t="s">
        <v>26</v>
      </c>
      <c r="I462" s="2" t="s">
        <v>878</v>
      </c>
      <c r="J462" s="2">
        <v>81</v>
      </c>
      <c r="AS462" s="2" t="s">
        <v>873</v>
      </c>
      <c r="AT462" s="2" t="s">
        <v>18</v>
      </c>
      <c r="AU462" s="2" t="s">
        <v>79</v>
      </c>
      <c r="AV462" s="2" t="s">
        <v>31</v>
      </c>
      <c r="AW462" s="61">
        <v>19</v>
      </c>
      <c r="AX462" s="2">
        <v>12</v>
      </c>
      <c r="AY462" s="2" t="s">
        <v>32</v>
      </c>
      <c r="AZ462" s="2" t="s">
        <v>76</v>
      </c>
      <c r="BA462" s="2" t="s">
        <v>742</v>
      </c>
      <c r="BB462" s="2">
        <v>83</v>
      </c>
    </row>
    <row r="463" spans="1:54" x14ac:dyDescent="0.3">
      <c r="A463" s="2" t="s">
        <v>879</v>
      </c>
      <c r="B463" s="2" t="s">
        <v>18</v>
      </c>
      <c r="C463" s="2" t="s">
        <v>85</v>
      </c>
      <c r="D463" s="2" t="s">
        <v>13</v>
      </c>
      <c r="E463" s="2">
        <v>15</v>
      </c>
      <c r="F463" s="2">
        <v>11</v>
      </c>
      <c r="G463" s="2" t="s">
        <v>32</v>
      </c>
      <c r="H463" s="2" t="s">
        <v>37</v>
      </c>
      <c r="I463" s="2" t="s">
        <v>880</v>
      </c>
      <c r="J463" s="2">
        <v>86</v>
      </c>
      <c r="AS463" s="2" t="s">
        <v>874</v>
      </c>
      <c r="AT463" s="2" t="s">
        <v>35</v>
      </c>
      <c r="AU463" s="2" t="s">
        <v>36</v>
      </c>
      <c r="AV463" s="2" t="s">
        <v>13</v>
      </c>
      <c r="AW463" s="61">
        <v>16</v>
      </c>
      <c r="AX463" s="2">
        <v>10</v>
      </c>
      <c r="AY463" s="2" t="s">
        <v>14</v>
      </c>
      <c r="AZ463" s="2" t="s">
        <v>61</v>
      </c>
      <c r="BA463" s="2" t="s">
        <v>875</v>
      </c>
      <c r="BB463" s="2">
        <v>35</v>
      </c>
    </row>
    <row r="464" spans="1:54" x14ac:dyDescent="0.3">
      <c r="A464" s="2" t="s">
        <v>881</v>
      </c>
      <c r="B464" s="2" t="s">
        <v>73</v>
      </c>
      <c r="C464" s="2" t="s">
        <v>24</v>
      </c>
      <c r="D464" s="2" t="s">
        <v>31</v>
      </c>
      <c r="E464" s="2">
        <v>14</v>
      </c>
      <c r="F464" s="2">
        <v>12</v>
      </c>
      <c r="G464" s="2" t="s">
        <v>25</v>
      </c>
      <c r="H464" s="2" t="s">
        <v>46</v>
      </c>
      <c r="I464" s="2" t="s">
        <v>882</v>
      </c>
      <c r="J464" s="2">
        <v>58</v>
      </c>
      <c r="AS464" s="2" t="s">
        <v>876</v>
      </c>
      <c r="AT464" s="2" t="s">
        <v>18</v>
      </c>
      <c r="AU464" s="2" t="s">
        <v>24</v>
      </c>
      <c r="AV464" s="2" t="s">
        <v>31</v>
      </c>
      <c r="AW464" s="61">
        <v>16</v>
      </c>
      <c r="AX464" s="2">
        <v>9</v>
      </c>
      <c r="AY464" s="2" t="s">
        <v>43</v>
      </c>
      <c r="AZ464" s="2" t="s">
        <v>26</v>
      </c>
      <c r="BA464" s="2" t="s">
        <v>515</v>
      </c>
      <c r="BB464" s="2">
        <v>48</v>
      </c>
    </row>
    <row r="465" spans="1:54" x14ac:dyDescent="0.3">
      <c r="A465" s="2" t="s">
        <v>883</v>
      </c>
      <c r="B465" s="2" t="s">
        <v>23</v>
      </c>
      <c r="C465" s="2" t="s">
        <v>85</v>
      </c>
      <c r="D465" s="2" t="s">
        <v>13</v>
      </c>
      <c r="E465" s="2">
        <v>19</v>
      </c>
      <c r="F465" s="2">
        <v>9</v>
      </c>
      <c r="G465" s="2" t="s">
        <v>43</v>
      </c>
      <c r="H465" s="2" t="s">
        <v>20</v>
      </c>
      <c r="I465" s="2" t="s">
        <v>884</v>
      </c>
      <c r="J465" s="2">
        <v>69</v>
      </c>
      <c r="AS465" s="2" t="s">
        <v>877</v>
      </c>
      <c r="AT465" s="2" t="s">
        <v>73</v>
      </c>
      <c r="AU465" s="2" t="s">
        <v>85</v>
      </c>
      <c r="AV465" s="2" t="s">
        <v>13</v>
      </c>
      <c r="AW465" s="61">
        <v>19</v>
      </c>
      <c r="AX465" s="2">
        <v>10</v>
      </c>
      <c r="AY465" s="2" t="s">
        <v>25</v>
      </c>
      <c r="AZ465" s="2" t="s">
        <v>26</v>
      </c>
      <c r="BA465" s="2" t="s">
        <v>878</v>
      </c>
      <c r="BB465" s="2">
        <v>81</v>
      </c>
    </row>
    <row r="466" spans="1:54" x14ac:dyDescent="0.3">
      <c r="A466" s="2" t="s">
        <v>885</v>
      </c>
      <c r="B466" s="2" t="s">
        <v>51</v>
      </c>
      <c r="C466" s="2" t="s">
        <v>55</v>
      </c>
      <c r="D466" s="2" t="s">
        <v>13</v>
      </c>
      <c r="E466" s="2">
        <v>16</v>
      </c>
      <c r="F466" s="2">
        <v>11</v>
      </c>
      <c r="G466" s="2" t="s">
        <v>32</v>
      </c>
      <c r="H466" s="2" t="s">
        <v>76</v>
      </c>
      <c r="I466" s="2" t="s">
        <v>886</v>
      </c>
      <c r="J466" s="2">
        <v>65</v>
      </c>
      <c r="AS466" s="2" t="s">
        <v>879</v>
      </c>
      <c r="AT466" s="2" t="s">
        <v>18</v>
      </c>
      <c r="AU466" s="2" t="s">
        <v>85</v>
      </c>
      <c r="AV466" s="2" t="s">
        <v>13</v>
      </c>
      <c r="AW466" s="61">
        <v>15</v>
      </c>
      <c r="AX466" s="2">
        <v>11</v>
      </c>
      <c r="AY466" s="2" t="s">
        <v>32</v>
      </c>
      <c r="AZ466" s="2" t="s">
        <v>37</v>
      </c>
      <c r="BA466" s="2" t="s">
        <v>880</v>
      </c>
      <c r="BB466" s="2">
        <v>86</v>
      </c>
    </row>
    <row r="467" spans="1:54" x14ac:dyDescent="0.3">
      <c r="A467" s="2" t="s">
        <v>887</v>
      </c>
      <c r="B467" s="2" t="s">
        <v>11</v>
      </c>
      <c r="C467" s="2" t="s">
        <v>30</v>
      </c>
      <c r="D467" s="2" t="s">
        <v>31</v>
      </c>
      <c r="E467" s="2">
        <v>17</v>
      </c>
      <c r="F467" s="2">
        <v>9</v>
      </c>
      <c r="G467" s="2" t="s">
        <v>14</v>
      </c>
      <c r="H467" s="2" t="s">
        <v>76</v>
      </c>
      <c r="I467" s="2" t="s">
        <v>653</v>
      </c>
      <c r="J467" s="2">
        <v>53</v>
      </c>
      <c r="AS467" s="2" t="s">
        <v>881</v>
      </c>
      <c r="AT467" s="2" t="s">
        <v>73</v>
      </c>
      <c r="AU467" s="2" t="s">
        <v>24</v>
      </c>
      <c r="AV467" s="2" t="s">
        <v>31</v>
      </c>
      <c r="AW467" s="61">
        <v>14</v>
      </c>
      <c r="AX467" s="2">
        <v>12</v>
      </c>
      <c r="AY467" s="2" t="s">
        <v>25</v>
      </c>
      <c r="AZ467" s="2" t="s">
        <v>46</v>
      </c>
      <c r="BA467" s="2" t="s">
        <v>882</v>
      </c>
      <c r="BB467" s="2">
        <v>58</v>
      </c>
    </row>
    <row r="468" spans="1:54" x14ac:dyDescent="0.3">
      <c r="A468" s="2" t="s">
        <v>888</v>
      </c>
      <c r="B468" s="2" t="s">
        <v>23</v>
      </c>
      <c r="C468" s="2" t="s">
        <v>58</v>
      </c>
      <c r="D468" s="2" t="s">
        <v>31</v>
      </c>
      <c r="E468" s="2">
        <v>18</v>
      </c>
      <c r="F468" s="2">
        <v>10</v>
      </c>
      <c r="G468" s="2" t="s">
        <v>14</v>
      </c>
      <c r="H468" s="2" t="s">
        <v>20</v>
      </c>
      <c r="I468" s="2" t="s">
        <v>153</v>
      </c>
      <c r="J468" s="2">
        <v>92</v>
      </c>
      <c r="AS468" s="2" t="s">
        <v>883</v>
      </c>
      <c r="AT468" s="2" t="s">
        <v>23</v>
      </c>
      <c r="AU468" s="2" t="s">
        <v>85</v>
      </c>
      <c r="AV468" s="2" t="s">
        <v>13</v>
      </c>
      <c r="AW468" s="61">
        <v>19</v>
      </c>
      <c r="AX468" s="2">
        <v>9</v>
      </c>
      <c r="AY468" s="2" t="s">
        <v>43</v>
      </c>
      <c r="AZ468" s="2" t="s">
        <v>20</v>
      </c>
      <c r="BA468" s="2" t="s">
        <v>884</v>
      </c>
      <c r="BB468" s="2">
        <v>69</v>
      </c>
    </row>
    <row r="469" spans="1:54" x14ac:dyDescent="0.3">
      <c r="A469" s="2" t="s">
        <v>889</v>
      </c>
      <c r="B469" s="2" t="s">
        <v>68</v>
      </c>
      <c r="C469" s="2" t="s">
        <v>19</v>
      </c>
      <c r="D469" s="2" t="s">
        <v>31</v>
      </c>
      <c r="E469" s="2">
        <v>18</v>
      </c>
      <c r="F469" s="2">
        <v>12</v>
      </c>
      <c r="G469" s="2" t="s">
        <v>32</v>
      </c>
      <c r="H469" s="2" t="s">
        <v>46</v>
      </c>
      <c r="I469" s="2" t="s">
        <v>890</v>
      </c>
      <c r="J469" s="2">
        <v>88</v>
      </c>
      <c r="AS469" s="2" t="s">
        <v>885</v>
      </c>
      <c r="AT469" s="2" t="s">
        <v>51</v>
      </c>
      <c r="AU469" s="2" t="s">
        <v>55</v>
      </c>
      <c r="AV469" s="2" t="s">
        <v>13</v>
      </c>
      <c r="AW469" s="61">
        <v>16</v>
      </c>
      <c r="AX469" s="2">
        <v>11</v>
      </c>
      <c r="AY469" s="2" t="s">
        <v>32</v>
      </c>
      <c r="AZ469" s="2" t="s">
        <v>76</v>
      </c>
      <c r="BA469" s="2" t="s">
        <v>886</v>
      </c>
      <c r="BB469" s="2">
        <v>65</v>
      </c>
    </row>
    <row r="470" spans="1:54" x14ac:dyDescent="0.3">
      <c r="A470" s="2" t="s">
        <v>891</v>
      </c>
      <c r="B470" s="2" t="s">
        <v>68</v>
      </c>
      <c r="C470" s="2" t="s">
        <v>79</v>
      </c>
      <c r="D470" s="2" t="s">
        <v>31</v>
      </c>
      <c r="E470" s="2">
        <v>17</v>
      </c>
      <c r="F470" s="2">
        <v>10</v>
      </c>
      <c r="G470" s="2" t="s">
        <v>32</v>
      </c>
      <c r="H470" s="2" t="s">
        <v>61</v>
      </c>
      <c r="I470" s="2" t="s">
        <v>892</v>
      </c>
      <c r="J470" s="2">
        <v>56</v>
      </c>
      <c r="AS470" s="2" t="s">
        <v>887</v>
      </c>
      <c r="AT470" s="2" t="s">
        <v>11</v>
      </c>
      <c r="AU470" s="2" t="s">
        <v>30</v>
      </c>
      <c r="AV470" s="2" t="s">
        <v>31</v>
      </c>
      <c r="AW470" s="61">
        <v>17</v>
      </c>
      <c r="AX470" s="2">
        <v>9</v>
      </c>
      <c r="AY470" s="2" t="s">
        <v>14</v>
      </c>
      <c r="AZ470" s="2" t="s">
        <v>76</v>
      </c>
      <c r="BA470" s="2" t="s">
        <v>653</v>
      </c>
      <c r="BB470" s="2">
        <v>53</v>
      </c>
    </row>
    <row r="471" spans="1:54" x14ac:dyDescent="0.3">
      <c r="A471" s="2" t="s">
        <v>893</v>
      </c>
      <c r="B471" s="2" t="s">
        <v>29</v>
      </c>
      <c r="C471" s="2" t="s">
        <v>30</v>
      </c>
      <c r="D471" s="2" t="s">
        <v>13</v>
      </c>
      <c r="E471" s="2">
        <v>17</v>
      </c>
      <c r="F471" s="2">
        <v>9</v>
      </c>
      <c r="G471" s="2" t="s">
        <v>14</v>
      </c>
      <c r="H471" s="2" t="s">
        <v>46</v>
      </c>
      <c r="I471" s="2" t="s">
        <v>423</v>
      </c>
      <c r="J471" s="2">
        <v>46</v>
      </c>
      <c r="AS471" s="2" t="s">
        <v>888</v>
      </c>
      <c r="AT471" s="2" t="s">
        <v>23</v>
      </c>
      <c r="AU471" s="2" t="s">
        <v>58</v>
      </c>
      <c r="AV471" s="2" t="s">
        <v>31</v>
      </c>
      <c r="AW471" s="61">
        <v>18</v>
      </c>
      <c r="AX471" s="2">
        <v>10</v>
      </c>
      <c r="AY471" s="2" t="s">
        <v>14</v>
      </c>
      <c r="AZ471" s="2" t="s">
        <v>20</v>
      </c>
      <c r="BA471" s="2" t="s">
        <v>153</v>
      </c>
      <c r="BB471" s="2">
        <v>92</v>
      </c>
    </row>
    <row r="472" spans="1:54" x14ac:dyDescent="0.3">
      <c r="A472" s="2" t="s">
        <v>894</v>
      </c>
      <c r="B472" s="2" t="s">
        <v>23</v>
      </c>
      <c r="C472" s="2" t="s">
        <v>79</v>
      </c>
      <c r="D472" s="2" t="s">
        <v>31</v>
      </c>
      <c r="E472" s="2">
        <v>20</v>
      </c>
      <c r="F472" s="2">
        <v>9</v>
      </c>
      <c r="G472" s="2" t="s">
        <v>14</v>
      </c>
      <c r="H472" s="2" t="s">
        <v>26</v>
      </c>
      <c r="I472" s="2" t="s">
        <v>895</v>
      </c>
      <c r="J472" s="2">
        <v>36</v>
      </c>
      <c r="AS472" s="2" t="s">
        <v>889</v>
      </c>
      <c r="AT472" s="2" t="s">
        <v>68</v>
      </c>
      <c r="AU472" s="2" t="s">
        <v>19</v>
      </c>
      <c r="AV472" s="2" t="s">
        <v>31</v>
      </c>
      <c r="AW472" s="61">
        <v>18</v>
      </c>
      <c r="AX472" s="2">
        <v>12</v>
      </c>
      <c r="AY472" s="2" t="s">
        <v>32</v>
      </c>
      <c r="AZ472" s="2" t="s">
        <v>46</v>
      </c>
      <c r="BA472" s="2" t="s">
        <v>890</v>
      </c>
      <c r="BB472" s="2">
        <v>88</v>
      </c>
    </row>
    <row r="473" spans="1:54" x14ac:dyDescent="0.3">
      <c r="A473" s="2" t="s">
        <v>896</v>
      </c>
      <c r="B473" s="2" t="s">
        <v>11</v>
      </c>
      <c r="C473" s="2" t="s">
        <v>36</v>
      </c>
      <c r="D473" s="2" t="s">
        <v>13</v>
      </c>
      <c r="E473" s="2">
        <v>15</v>
      </c>
      <c r="F473" s="2">
        <v>11</v>
      </c>
      <c r="G473" s="2" t="s">
        <v>14</v>
      </c>
      <c r="H473" s="2" t="s">
        <v>26</v>
      </c>
      <c r="I473" s="2" t="s">
        <v>897</v>
      </c>
      <c r="J473" s="2">
        <v>95</v>
      </c>
      <c r="AS473" s="2" t="s">
        <v>891</v>
      </c>
      <c r="AT473" s="2" t="s">
        <v>68</v>
      </c>
      <c r="AU473" s="2" t="s">
        <v>79</v>
      </c>
      <c r="AV473" s="2" t="s">
        <v>31</v>
      </c>
      <c r="AW473" s="61">
        <v>17</v>
      </c>
      <c r="AX473" s="2">
        <v>10</v>
      </c>
      <c r="AY473" s="2" t="s">
        <v>32</v>
      </c>
      <c r="AZ473" s="2" t="s">
        <v>61</v>
      </c>
      <c r="BA473" s="2" t="s">
        <v>892</v>
      </c>
      <c r="BB473" s="2">
        <v>56</v>
      </c>
    </row>
    <row r="474" spans="1:54" x14ac:dyDescent="0.3">
      <c r="A474" s="2" t="s">
        <v>898</v>
      </c>
      <c r="B474" s="2" t="s">
        <v>18</v>
      </c>
      <c r="C474" s="2" t="s">
        <v>19</v>
      </c>
      <c r="D474" s="2" t="s">
        <v>13</v>
      </c>
      <c r="E474" s="2">
        <v>17</v>
      </c>
      <c r="F474" s="2">
        <v>10</v>
      </c>
      <c r="G474" s="2" t="s">
        <v>25</v>
      </c>
      <c r="H474" s="2" t="s">
        <v>61</v>
      </c>
      <c r="I474" s="2" t="s">
        <v>471</v>
      </c>
      <c r="J474" s="2">
        <v>58</v>
      </c>
      <c r="AS474" s="2" t="s">
        <v>893</v>
      </c>
      <c r="AT474" s="2" t="s">
        <v>29</v>
      </c>
      <c r="AU474" s="2" t="s">
        <v>30</v>
      </c>
      <c r="AV474" s="2" t="s">
        <v>13</v>
      </c>
      <c r="AW474" s="61">
        <v>17</v>
      </c>
      <c r="AX474" s="2">
        <v>9</v>
      </c>
      <c r="AY474" s="2" t="s">
        <v>14</v>
      </c>
      <c r="AZ474" s="2" t="s">
        <v>46</v>
      </c>
      <c r="BA474" s="2" t="s">
        <v>423</v>
      </c>
      <c r="BB474" s="2">
        <v>46</v>
      </c>
    </row>
    <row r="475" spans="1:54" x14ac:dyDescent="0.3">
      <c r="A475" s="2" t="s">
        <v>899</v>
      </c>
      <c r="B475" s="2" t="s">
        <v>11</v>
      </c>
      <c r="C475" s="2" t="s">
        <v>79</v>
      </c>
      <c r="D475" s="2" t="s">
        <v>13</v>
      </c>
      <c r="E475" s="2">
        <v>15</v>
      </c>
      <c r="F475" s="2">
        <v>10</v>
      </c>
      <c r="G475" s="2" t="s">
        <v>14</v>
      </c>
      <c r="H475" s="2" t="s">
        <v>37</v>
      </c>
      <c r="I475" s="2" t="s">
        <v>900</v>
      </c>
      <c r="J475" s="2">
        <v>88</v>
      </c>
      <c r="AS475" s="2" t="s">
        <v>894</v>
      </c>
      <c r="AT475" s="2" t="s">
        <v>23</v>
      </c>
      <c r="AU475" s="2" t="s">
        <v>79</v>
      </c>
      <c r="AV475" s="2" t="s">
        <v>31</v>
      </c>
      <c r="AW475" s="61">
        <v>20</v>
      </c>
      <c r="AX475" s="2">
        <v>9</v>
      </c>
      <c r="AY475" s="2" t="s">
        <v>14</v>
      </c>
      <c r="AZ475" s="2" t="s">
        <v>26</v>
      </c>
      <c r="BA475" s="2" t="s">
        <v>895</v>
      </c>
      <c r="BB475" s="2">
        <v>36</v>
      </c>
    </row>
    <row r="476" spans="1:54" x14ac:dyDescent="0.3">
      <c r="A476" s="2" t="s">
        <v>901</v>
      </c>
      <c r="B476" s="2" t="s">
        <v>68</v>
      </c>
      <c r="C476" s="2" t="s">
        <v>19</v>
      </c>
      <c r="D476" s="2" t="s">
        <v>31</v>
      </c>
      <c r="E476" s="2">
        <v>18</v>
      </c>
      <c r="F476" s="2">
        <v>11</v>
      </c>
      <c r="G476" s="2" t="s">
        <v>14</v>
      </c>
      <c r="H476" s="2" t="s">
        <v>40</v>
      </c>
      <c r="I476" s="2" t="s">
        <v>139</v>
      </c>
      <c r="J476" s="2">
        <v>75</v>
      </c>
      <c r="AS476" s="2" t="s">
        <v>896</v>
      </c>
      <c r="AT476" s="2" t="s">
        <v>11</v>
      </c>
      <c r="AU476" s="2" t="s">
        <v>36</v>
      </c>
      <c r="AV476" s="2" t="s">
        <v>13</v>
      </c>
      <c r="AW476" s="61">
        <v>15</v>
      </c>
      <c r="AX476" s="2">
        <v>11</v>
      </c>
      <c r="AY476" s="2" t="s">
        <v>14</v>
      </c>
      <c r="AZ476" s="2" t="s">
        <v>26</v>
      </c>
      <c r="BA476" s="2" t="s">
        <v>897</v>
      </c>
      <c r="BB476" s="2">
        <v>95</v>
      </c>
    </row>
    <row r="477" spans="1:54" x14ac:dyDescent="0.3">
      <c r="A477" s="2" t="s">
        <v>902</v>
      </c>
      <c r="B477" s="2" t="s">
        <v>35</v>
      </c>
      <c r="C477" s="2" t="s">
        <v>12</v>
      </c>
      <c r="D477" s="2" t="s">
        <v>31</v>
      </c>
      <c r="E477" s="2">
        <v>14</v>
      </c>
      <c r="F477" s="2">
        <v>11</v>
      </c>
      <c r="G477" s="2" t="s">
        <v>14</v>
      </c>
      <c r="H477" s="2" t="s">
        <v>37</v>
      </c>
      <c r="I477" s="2" t="s">
        <v>271</v>
      </c>
      <c r="J477" s="2">
        <v>59</v>
      </c>
      <c r="AS477" s="2" t="s">
        <v>898</v>
      </c>
      <c r="AT477" s="2" t="s">
        <v>18</v>
      </c>
      <c r="AU477" s="2" t="s">
        <v>19</v>
      </c>
      <c r="AV477" s="2" t="s">
        <v>13</v>
      </c>
      <c r="AW477" s="61">
        <v>17</v>
      </c>
      <c r="AX477" s="2">
        <v>10</v>
      </c>
      <c r="AY477" s="2" t="s">
        <v>25</v>
      </c>
      <c r="AZ477" s="2" t="s">
        <v>61</v>
      </c>
      <c r="BA477" s="2" t="s">
        <v>471</v>
      </c>
      <c r="BB477" s="2">
        <v>58</v>
      </c>
    </row>
    <row r="478" spans="1:54" x14ac:dyDescent="0.3">
      <c r="A478" s="2" t="s">
        <v>903</v>
      </c>
      <c r="B478" s="2" t="s">
        <v>54</v>
      </c>
      <c r="C478" s="2" t="s">
        <v>30</v>
      </c>
      <c r="D478" s="2" t="s">
        <v>31</v>
      </c>
      <c r="E478" s="2">
        <v>20</v>
      </c>
      <c r="F478" s="2">
        <v>12</v>
      </c>
      <c r="G478" s="2" t="s">
        <v>43</v>
      </c>
      <c r="H478" s="2" t="s">
        <v>40</v>
      </c>
      <c r="I478" s="2" t="s">
        <v>904</v>
      </c>
      <c r="J478" s="2">
        <v>55</v>
      </c>
      <c r="AS478" s="2" t="s">
        <v>899</v>
      </c>
      <c r="AT478" s="2" t="s">
        <v>11</v>
      </c>
      <c r="AU478" s="2" t="s">
        <v>79</v>
      </c>
      <c r="AV478" s="2" t="s">
        <v>13</v>
      </c>
      <c r="AW478" s="61">
        <v>15</v>
      </c>
      <c r="AX478" s="2">
        <v>10</v>
      </c>
      <c r="AY478" s="2" t="s">
        <v>14</v>
      </c>
      <c r="AZ478" s="2" t="s">
        <v>37</v>
      </c>
      <c r="BA478" s="2" t="s">
        <v>900</v>
      </c>
      <c r="BB478" s="2">
        <v>88</v>
      </c>
    </row>
    <row r="479" spans="1:54" x14ac:dyDescent="0.3">
      <c r="A479" s="2" t="s">
        <v>905</v>
      </c>
      <c r="B479" s="2" t="s">
        <v>54</v>
      </c>
      <c r="C479" s="2" t="s">
        <v>30</v>
      </c>
      <c r="D479" s="2" t="s">
        <v>13</v>
      </c>
      <c r="E479" s="2">
        <v>16</v>
      </c>
      <c r="F479" s="2">
        <v>12</v>
      </c>
      <c r="G479" s="2" t="s">
        <v>43</v>
      </c>
      <c r="H479" s="2" t="s">
        <v>40</v>
      </c>
      <c r="I479" s="2" t="s">
        <v>556</v>
      </c>
      <c r="J479" s="2">
        <v>81</v>
      </c>
      <c r="AS479" s="2" t="s">
        <v>901</v>
      </c>
      <c r="AT479" s="2" t="s">
        <v>68</v>
      </c>
      <c r="AU479" s="2" t="s">
        <v>19</v>
      </c>
      <c r="AV479" s="2" t="s">
        <v>31</v>
      </c>
      <c r="AW479" s="61">
        <v>18</v>
      </c>
      <c r="AX479" s="2">
        <v>11</v>
      </c>
      <c r="AY479" s="2" t="s">
        <v>14</v>
      </c>
      <c r="AZ479" s="2" t="s">
        <v>40</v>
      </c>
      <c r="BA479" s="2" t="s">
        <v>139</v>
      </c>
      <c r="BB479" s="2">
        <v>75</v>
      </c>
    </row>
    <row r="480" spans="1:54" x14ac:dyDescent="0.3">
      <c r="A480" s="2" t="s">
        <v>906</v>
      </c>
      <c r="B480" s="2" t="s">
        <v>73</v>
      </c>
      <c r="C480" s="2" t="s">
        <v>36</v>
      </c>
      <c r="D480" s="2" t="s">
        <v>13</v>
      </c>
      <c r="E480" s="2">
        <v>17</v>
      </c>
      <c r="F480" s="2">
        <v>12</v>
      </c>
      <c r="G480" s="2" t="s">
        <v>25</v>
      </c>
      <c r="H480" s="2" t="s">
        <v>76</v>
      </c>
      <c r="I480" s="2" t="s">
        <v>907</v>
      </c>
      <c r="J480" s="2">
        <v>75</v>
      </c>
      <c r="AS480" s="2" t="s">
        <v>902</v>
      </c>
      <c r="AT480" s="2" t="s">
        <v>35</v>
      </c>
      <c r="AU480" s="2" t="s">
        <v>12</v>
      </c>
      <c r="AV480" s="2" t="s">
        <v>31</v>
      </c>
      <c r="AW480" s="61">
        <v>14</v>
      </c>
      <c r="AX480" s="2">
        <v>11</v>
      </c>
      <c r="AY480" s="2" t="s">
        <v>14</v>
      </c>
      <c r="AZ480" s="2" t="s">
        <v>37</v>
      </c>
      <c r="BA480" s="2" t="s">
        <v>271</v>
      </c>
      <c r="BB480" s="2">
        <v>59</v>
      </c>
    </row>
    <row r="481" spans="1:54" x14ac:dyDescent="0.3">
      <c r="A481" s="2" t="s">
        <v>908</v>
      </c>
      <c r="B481" s="2" t="s">
        <v>11</v>
      </c>
      <c r="C481" s="2" t="s">
        <v>79</v>
      </c>
      <c r="D481" s="2" t="s">
        <v>31</v>
      </c>
      <c r="E481" s="2">
        <v>14</v>
      </c>
      <c r="F481" s="2">
        <v>10</v>
      </c>
      <c r="G481" s="2" t="s">
        <v>14</v>
      </c>
      <c r="H481" s="2" t="s">
        <v>46</v>
      </c>
      <c r="I481" s="2" t="s">
        <v>909</v>
      </c>
      <c r="J481" s="2">
        <v>55</v>
      </c>
      <c r="AS481" s="2" t="s">
        <v>903</v>
      </c>
      <c r="AT481" s="2" t="s">
        <v>54</v>
      </c>
      <c r="AU481" s="2" t="s">
        <v>30</v>
      </c>
      <c r="AV481" s="2" t="s">
        <v>31</v>
      </c>
      <c r="AW481" s="61">
        <v>20</v>
      </c>
      <c r="AX481" s="2">
        <v>12</v>
      </c>
      <c r="AY481" s="2" t="s">
        <v>43</v>
      </c>
      <c r="AZ481" s="2" t="s">
        <v>40</v>
      </c>
      <c r="BA481" s="2" t="s">
        <v>904</v>
      </c>
      <c r="BB481" s="2">
        <v>55</v>
      </c>
    </row>
    <row r="482" spans="1:54" x14ac:dyDescent="0.3">
      <c r="A482" s="2" t="s">
        <v>910</v>
      </c>
      <c r="B482" s="2" t="s">
        <v>84</v>
      </c>
      <c r="C482" s="2" t="s">
        <v>12</v>
      </c>
      <c r="D482" s="2" t="s">
        <v>31</v>
      </c>
      <c r="E482" s="2">
        <v>18</v>
      </c>
      <c r="F482" s="2">
        <v>11</v>
      </c>
      <c r="G482" s="2" t="s">
        <v>25</v>
      </c>
      <c r="H482" s="2" t="s">
        <v>15</v>
      </c>
      <c r="I482" s="2" t="s">
        <v>911</v>
      </c>
      <c r="J482" s="2">
        <v>87</v>
      </c>
      <c r="AS482" s="2" t="s">
        <v>905</v>
      </c>
      <c r="AT482" s="2" t="s">
        <v>54</v>
      </c>
      <c r="AU482" s="2" t="s">
        <v>30</v>
      </c>
      <c r="AV482" s="2" t="s">
        <v>13</v>
      </c>
      <c r="AW482" s="61">
        <v>16</v>
      </c>
      <c r="AX482" s="2">
        <v>12</v>
      </c>
      <c r="AY482" s="2" t="s">
        <v>43</v>
      </c>
      <c r="AZ482" s="2" t="s">
        <v>40</v>
      </c>
      <c r="BA482" s="2" t="s">
        <v>556</v>
      </c>
      <c r="BB482" s="2">
        <v>81</v>
      </c>
    </row>
    <row r="483" spans="1:54" x14ac:dyDescent="0.3">
      <c r="A483" s="2" t="s">
        <v>912</v>
      </c>
      <c r="B483" s="2" t="s">
        <v>23</v>
      </c>
      <c r="C483" s="2" t="s">
        <v>79</v>
      </c>
      <c r="D483" s="2" t="s">
        <v>31</v>
      </c>
      <c r="E483" s="2">
        <v>17</v>
      </c>
      <c r="F483" s="2">
        <v>12</v>
      </c>
      <c r="G483" s="2" t="s">
        <v>32</v>
      </c>
      <c r="H483" s="2" t="s">
        <v>46</v>
      </c>
      <c r="I483" s="2" t="s">
        <v>400</v>
      </c>
      <c r="J483" s="2">
        <v>70</v>
      </c>
      <c r="AS483" s="2" t="s">
        <v>906</v>
      </c>
      <c r="AT483" s="2" t="s">
        <v>73</v>
      </c>
      <c r="AU483" s="2" t="s">
        <v>36</v>
      </c>
      <c r="AV483" s="2" t="s">
        <v>13</v>
      </c>
      <c r="AW483" s="61">
        <v>17</v>
      </c>
      <c r="AX483" s="2">
        <v>12</v>
      </c>
      <c r="AY483" s="2" t="s">
        <v>25</v>
      </c>
      <c r="AZ483" s="2" t="s">
        <v>76</v>
      </c>
      <c r="BA483" s="2" t="s">
        <v>907</v>
      </c>
      <c r="BB483" s="2">
        <v>75</v>
      </c>
    </row>
    <row r="484" spans="1:54" x14ac:dyDescent="0.3">
      <c r="A484" s="2" t="s">
        <v>913</v>
      </c>
      <c r="B484" s="2" t="s">
        <v>68</v>
      </c>
      <c r="C484" s="2" t="s">
        <v>58</v>
      </c>
      <c r="D484" s="2" t="s">
        <v>13</v>
      </c>
      <c r="E484" s="2">
        <v>14</v>
      </c>
      <c r="F484" s="2">
        <v>10</v>
      </c>
      <c r="G484" s="2" t="s">
        <v>14</v>
      </c>
      <c r="H484" s="2" t="s">
        <v>15</v>
      </c>
      <c r="I484" s="2" t="s">
        <v>914</v>
      </c>
      <c r="J484" s="2">
        <v>69</v>
      </c>
      <c r="AS484" s="2" t="s">
        <v>908</v>
      </c>
      <c r="AT484" s="2" t="s">
        <v>11</v>
      </c>
      <c r="AU484" s="2" t="s">
        <v>79</v>
      </c>
      <c r="AV484" s="2" t="s">
        <v>31</v>
      </c>
      <c r="AW484" s="61">
        <v>14</v>
      </c>
      <c r="AX484" s="2">
        <v>10</v>
      </c>
      <c r="AY484" s="2" t="s">
        <v>14</v>
      </c>
      <c r="AZ484" s="2" t="s">
        <v>46</v>
      </c>
      <c r="BA484" s="2" t="s">
        <v>909</v>
      </c>
      <c r="BB484" s="2">
        <v>55</v>
      </c>
    </row>
    <row r="485" spans="1:54" x14ac:dyDescent="0.3">
      <c r="A485" s="2" t="s">
        <v>915</v>
      </c>
      <c r="B485" s="2" t="s">
        <v>23</v>
      </c>
      <c r="C485" s="2" t="s">
        <v>58</v>
      </c>
      <c r="D485" s="2" t="s">
        <v>31</v>
      </c>
      <c r="E485" s="2">
        <v>17</v>
      </c>
      <c r="F485" s="2">
        <v>9</v>
      </c>
      <c r="G485" s="2" t="s">
        <v>25</v>
      </c>
      <c r="H485" s="2" t="s">
        <v>46</v>
      </c>
      <c r="I485" s="2" t="s">
        <v>916</v>
      </c>
      <c r="J485" s="2">
        <v>85</v>
      </c>
      <c r="AS485" s="2" t="s">
        <v>910</v>
      </c>
      <c r="AT485" s="2" t="s">
        <v>84</v>
      </c>
      <c r="AU485" s="2" t="s">
        <v>12</v>
      </c>
      <c r="AV485" s="2" t="s">
        <v>31</v>
      </c>
      <c r="AW485" s="61">
        <v>18</v>
      </c>
      <c r="AX485" s="2">
        <v>11</v>
      </c>
      <c r="AY485" s="2" t="s">
        <v>25</v>
      </c>
      <c r="AZ485" s="2" t="s">
        <v>15</v>
      </c>
      <c r="BA485" s="2" t="s">
        <v>911</v>
      </c>
      <c r="BB485" s="2">
        <v>87</v>
      </c>
    </row>
    <row r="486" spans="1:54" x14ac:dyDescent="0.3">
      <c r="A486" s="2" t="s">
        <v>917</v>
      </c>
      <c r="B486" s="2" t="s">
        <v>11</v>
      </c>
      <c r="C486" s="2" t="s">
        <v>96</v>
      </c>
      <c r="D486" s="2" t="s">
        <v>31</v>
      </c>
      <c r="E486" s="2">
        <v>19</v>
      </c>
      <c r="F486" s="2">
        <v>11</v>
      </c>
      <c r="G486" s="2" t="s">
        <v>43</v>
      </c>
      <c r="H486" s="2" t="s">
        <v>26</v>
      </c>
      <c r="I486" s="2" t="s">
        <v>918</v>
      </c>
      <c r="J486" s="2">
        <v>87</v>
      </c>
      <c r="AS486" s="2" t="s">
        <v>912</v>
      </c>
      <c r="AT486" s="2" t="s">
        <v>23</v>
      </c>
      <c r="AU486" s="2" t="s">
        <v>79</v>
      </c>
      <c r="AV486" s="2" t="s">
        <v>31</v>
      </c>
      <c r="AW486" s="61">
        <v>17</v>
      </c>
      <c r="AX486" s="2">
        <v>12</v>
      </c>
      <c r="AY486" s="2" t="s">
        <v>32</v>
      </c>
      <c r="AZ486" s="2" t="s">
        <v>46</v>
      </c>
      <c r="BA486" s="2" t="s">
        <v>400</v>
      </c>
      <c r="BB486" s="2">
        <v>70</v>
      </c>
    </row>
    <row r="487" spans="1:54" x14ac:dyDescent="0.3">
      <c r="A487" s="2" t="s">
        <v>919</v>
      </c>
      <c r="B487" s="2" t="s">
        <v>23</v>
      </c>
      <c r="C487" s="2" t="s">
        <v>19</v>
      </c>
      <c r="D487" s="2" t="s">
        <v>13</v>
      </c>
      <c r="E487" s="2">
        <v>14</v>
      </c>
      <c r="F487" s="2">
        <v>12</v>
      </c>
      <c r="G487" s="2" t="s">
        <v>14</v>
      </c>
      <c r="H487" s="2" t="s">
        <v>15</v>
      </c>
      <c r="I487" s="2" t="s">
        <v>920</v>
      </c>
      <c r="J487" s="2">
        <v>92</v>
      </c>
      <c r="AS487" s="2" t="s">
        <v>913</v>
      </c>
      <c r="AT487" s="2" t="s">
        <v>68</v>
      </c>
      <c r="AU487" s="2" t="s">
        <v>58</v>
      </c>
      <c r="AV487" s="2" t="s">
        <v>13</v>
      </c>
      <c r="AW487" s="61">
        <v>14</v>
      </c>
      <c r="AX487" s="2">
        <v>10</v>
      </c>
      <c r="AY487" s="2" t="s">
        <v>14</v>
      </c>
      <c r="AZ487" s="2" t="s">
        <v>15</v>
      </c>
      <c r="BA487" s="2" t="s">
        <v>914</v>
      </c>
      <c r="BB487" s="2">
        <v>69</v>
      </c>
    </row>
    <row r="488" spans="1:54" x14ac:dyDescent="0.3">
      <c r="A488" s="2" t="s">
        <v>921</v>
      </c>
      <c r="B488" s="2" t="s">
        <v>18</v>
      </c>
      <c r="C488" s="2" t="s">
        <v>24</v>
      </c>
      <c r="D488" s="2" t="s">
        <v>13</v>
      </c>
      <c r="E488" s="2">
        <v>19</v>
      </c>
      <c r="F488" s="2">
        <v>10</v>
      </c>
      <c r="G488" s="2" t="s">
        <v>14</v>
      </c>
      <c r="H488" s="2" t="s">
        <v>20</v>
      </c>
      <c r="I488" s="2" t="s">
        <v>922</v>
      </c>
      <c r="J488" s="2">
        <v>58</v>
      </c>
      <c r="AS488" s="2" t="s">
        <v>915</v>
      </c>
      <c r="AT488" s="2" t="s">
        <v>23</v>
      </c>
      <c r="AU488" s="2" t="s">
        <v>58</v>
      </c>
      <c r="AV488" s="2" t="s">
        <v>31</v>
      </c>
      <c r="AW488" s="61">
        <v>17</v>
      </c>
      <c r="AX488" s="2">
        <v>9</v>
      </c>
      <c r="AY488" s="2" t="s">
        <v>25</v>
      </c>
      <c r="AZ488" s="2" t="s">
        <v>46</v>
      </c>
      <c r="BA488" s="2" t="s">
        <v>916</v>
      </c>
      <c r="BB488" s="2">
        <v>85</v>
      </c>
    </row>
    <row r="489" spans="1:54" x14ac:dyDescent="0.3">
      <c r="A489" s="2" t="s">
        <v>923</v>
      </c>
      <c r="B489" s="2" t="s">
        <v>68</v>
      </c>
      <c r="C489" s="2" t="s">
        <v>55</v>
      </c>
      <c r="D489" s="2" t="s">
        <v>31</v>
      </c>
      <c r="E489" s="2">
        <v>16</v>
      </c>
      <c r="F489" s="2">
        <v>12</v>
      </c>
      <c r="G489" s="2" t="s">
        <v>43</v>
      </c>
      <c r="H489" s="2" t="s">
        <v>37</v>
      </c>
      <c r="I489" s="2" t="s">
        <v>924</v>
      </c>
      <c r="J489" s="2">
        <v>77</v>
      </c>
      <c r="AS489" s="2" t="s">
        <v>917</v>
      </c>
      <c r="AT489" s="2" t="s">
        <v>11</v>
      </c>
      <c r="AU489" s="2" t="s">
        <v>96</v>
      </c>
      <c r="AV489" s="2" t="s">
        <v>31</v>
      </c>
      <c r="AW489" s="61">
        <v>19</v>
      </c>
      <c r="AX489" s="2">
        <v>11</v>
      </c>
      <c r="AY489" s="2" t="s">
        <v>43</v>
      </c>
      <c r="AZ489" s="2" t="s">
        <v>26</v>
      </c>
      <c r="BA489" s="2" t="s">
        <v>918</v>
      </c>
      <c r="BB489" s="2">
        <v>87</v>
      </c>
    </row>
    <row r="490" spans="1:54" x14ac:dyDescent="0.3">
      <c r="A490" s="2" t="s">
        <v>925</v>
      </c>
      <c r="B490" s="2" t="s">
        <v>68</v>
      </c>
      <c r="C490" s="2" t="s">
        <v>30</v>
      </c>
      <c r="D490" s="2" t="s">
        <v>31</v>
      </c>
      <c r="E490" s="2">
        <v>18</v>
      </c>
      <c r="F490" s="2">
        <v>9</v>
      </c>
      <c r="G490" s="2" t="s">
        <v>32</v>
      </c>
      <c r="H490" s="2" t="s">
        <v>20</v>
      </c>
      <c r="I490" s="2" t="s">
        <v>732</v>
      </c>
      <c r="J490" s="2">
        <v>86</v>
      </c>
      <c r="AS490" s="2" t="s">
        <v>919</v>
      </c>
      <c r="AT490" s="2" t="s">
        <v>23</v>
      </c>
      <c r="AU490" s="2" t="s">
        <v>19</v>
      </c>
      <c r="AV490" s="2" t="s">
        <v>13</v>
      </c>
      <c r="AW490" s="61">
        <v>14</v>
      </c>
      <c r="AX490" s="2">
        <v>12</v>
      </c>
      <c r="AY490" s="2" t="s">
        <v>14</v>
      </c>
      <c r="AZ490" s="2" t="s">
        <v>15</v>
      </c>
      <c r="BA490" s="2" t="s">
        <v>920</v>
      </c>
      <c r="BB490" s="2">
        <v>92</v>
      </c>
    </row>
    <row r="491" spans="1:54" x14ac:dyDescent="0.3">
      <c r="A491" s="2" t="s">
        <v>926</v>
      </c>
      <c r="B491" s="2" t="s">
        <v>73</v>
      </c>
      <c r="C491" s="2" t="s">
        <v>85</v>
      </c>
      <c r="D491" s="2" t="s">
        <v>13</v>
      </c>
      <c r="E491" s="2">
        <v>14</v>
      </c>
      <c r="F491" s="2">
        <v>9</v>
      </c>
      <c r="G491" s="2" t="s">
        <v>32</v>
      </c>
      <c r="H491" s="2" t="s">
        <v>20</v>
      </c>
      <c r="I491" s="2" t="s">
        <v>927</v>
      </c>
      <c r="J491" s="2">
        <v>94</v>
      </c>
      <c r="AS491" s="2" t="s">
        <v>921</v>
      </c>
      <c r="AT491" s="2" t="s">
        <v>18</v>
      </c>
      <c r="AU491" s="2" t="s">
        <v>24</v>
      </c>
      <c r="AV491" s="2" t="s">
        <v>13</v>
      </c>
      <c r="AW491" s="61">
        <v>19</v>
      </c>
      <c r="AX491" s="2">
        <v>10</v>
      </c>
      <c r="AY491" s="2" t="s">
        <v>14</v>
      </c>
      <c r="AZ491" s="2" t="s">
        <v>20</v>
      </c>
      <c r="BA491" s="2" t="s">
        <v>922</v>
      </c>
      <c r="BB491" s="2">
        <v>58</v>
      </c>
    </row>
    <row r="492" spans="1:54" x14ac:dyDescent="0.3">
      <c r="A492" s="2" t="s">
        <v>928</v>
      </c>
      <c r="B492" s="2" t="s">
        <v>23</v>
      </c>
      <c r="C492" s="2" t="s">
        <v>55</v>
      </c>
      <c r="D492" s="2" t="s">
        <v>13</v>
      </c>
      <c r="E492" s="2">
        <v>20</v>
      </c>
      <c r="F492" s="2">
        <v>11</v>
      </c>
      <c r="G492" s="2" t="s">
        <v>14</v>
      </c>
      <c r="H492" s="2" t="s">
        <v>15</v>
      </c>
      <c r="I492" s="2" t="s">
        <v>608</v>
      </c>
      <c r="J492" s="2">
        <v>49</v>
      </c>
      <c r="AS492" s="2" t="s">
        <v>923</v>
      </c>
      <c r="AT492" s="2" t="s">
        <v>68</v>
      </c>
      <c r="AU492" s="2" t="s">
        <v>55</v>
      </c>
      <c r="AV492" s="2" t="s">
        <v>31</v>
      </c>
      <c r="AW492" s="61">
        <v>16</v>
      </c>
      <c r="AX492" s="2">
        <v>12</v>
      </c>
      <c r="AY492" s="2" t="s">
        <v>43</v>
      </c>
      <c r="AZ492" s="2" t="s">
        <v>37</v>
      </c>
      <c r="BA492" s="2" t="s">
        <v>924</v>
      </c>
      <c r="BB492" s="2">
        <v>77</v>
      </c>
    </row>
    <row r="493" spans="1:54" x14ac:dyDescent="0.3">
      <c r="A493" s="2" t="s">
        <v>929</v>
      </c>
      <c r="B493" s="2" t="s">
        <v>35</v>
      </c>
      <c r="C493" s="2" t="s">
        <v>30</v>
      </c>
      <c r="D493" s="2" t="s">
        <v>13</v>
      </c>
      <c r="E493" s="2">
        <v>15</v>
      </c>
      <c r="F493" s="2">
        <v>12</v>
      </c>
      <c r="G493" s="2" t="s">
        <v>32</v>
      </c>
      <c r="H493" s="2" t="s">
        <v>26</v>
      </c>
      <c r="I493" s="2" t="s">
        <v>262</v>
      </c>
      <c r="J493" s="2">
        <v>55</v>
      </c>
      <c r="AS493" s="2" t="s">
        <v>925</v>
      </c>
      <c r="AT493" s="2" t="s">
        <v>68</v>
      </c>
      <c r="AU493" s="2" t="s">
        <v>30</v>
      </c>
      <c r="AV493" s="2" t="s">
        <v>31</v>
      </c>
      <c r="AW493" s="61">
        <v>18</v>
      </c>
      <c r="AX493" s="2">
        <v>9</v>
      </c>
      <c r="AY493" s="2" t="s">
        <v>32</v>
      </c>
      <c r="AZ493" s="2" t="s">
        <v>20</v>
      </c>
      <c r="BA493" s="2" t="s">
        <v>732</v>
      </c>
      <c r="BB493" s="2">
        <v>86</v>
      </c>
    </row>
    <row r="494" spans="1:54" x14ac:dyDescent="0.3">
      <c r="A494" s="2" t="s">
        <v>930</v>
      </c>
      <c r="B494" s="2" t="s">
        <v>35</v>
      </c>
      <c r="C494" s="2" t="s">
        <v>96</v>
      </c>
      <c r="D494" s="2" t="s">
        <v>31</v>
      </c>
      <c r="E494" s="2">
        <v>20</v>
      </c>
      <c r="F494" s="2">
        <v>9</v>
      </c>
      <c r="G494" s="2" t="s">
        <v>25</v>
      </c>
      <c r="H494" s="2" t="s">
        <v>61</v>
      </c>
      <c r="I494" s="2" t="s">
        <v>342</v>
      </c>
      <c r="J494" s="2">
        <v>62</v>
      </c>
      <c r="AS494" s="2" t="s">
        <v>926</v>
      </c>
      <c r="AT494" s="2" t="s">
        <v>73</v>
      </c>
      <c r="AU494" s="2" t="s">
        <v>85</v>
      </c>
      <c r="AV494" s="2" t="s">
        <v>13</v>
      </c>
      <c r="AW494" s="61">
        <v>14</v>
      </c>
      <c r="AX494" s="2">
        <v>9</v>
      </c>
      <c r="AY494" s="2" t="s">
        <v>32</v>
      </c>
      <c r="AZ494" s="2" t="s">
        <v>20</v>
      </c>
      <c r="BA494" s="2" t="s">
        <v>927</v>
      </c>
      <c r="BB494" s="2">
        <v>94</v>
      </c>
    </row>
    <row r="495" spans="1:54" x14ac:dyDescent="0.3">
      <c r="A495" s="2" t="s">
        <v>931</v>
      </c>
      <c r="B495" s="2" t="s">
        <v>23</v>
      </c>
      <c r="C495" s="2" t="s">
        <v>36</v>
      </c>
      <c r="D495" s="2" t="s">
        <v>13</v>
      </c>
      <c r="E495" s="2">
        <v>20</v>
      </c>
      <c r="F495" s="2">
        <v>9</v>
      </c>
      <c r="G495" s="2" t="s">
        <v>43</v>
      </c>
      <c r="H495" s="2" t="s">
        <v>40</v>
      </c>
      <c r="I495" s="2" t="s">
        <v>932</v>
      </c>
      <c r="J495" s="2">
        <v>85</v>
      </c>
      <c r="AS495" s="2" t="s">
        <v>928</v>
      </c>
      <c r="AT495" s="2" t="s">
        <v>23</v>
      </c>
      <c r="AU495" s="2" t="s">
        <v>55</v>
      </c>
      <c r="AV495" s="2" t="s">
        <v>13</v>
      </c>
      <c r="AW495" s="61">
        <v>20</v>
      </c>
      <c r="AX495" s="2">
        <v>11</v>
      </c>
      <c r="AY495" s="2" t="s">
        <v>14</v>
      </c>
      <c r="AZ495" s="2" t="s">
        <v>15</v>
      </c>
      <c r="BA495" s="2" t="s">
        <v>608</v>
      </c>
      <c r="BB495" s="2">
        <v>49</v>
      </c>
    </row>
    <row r="496" spans="1:54" x14ac:dyDescent="0.3">
      <c r="A496" s="2" t="s">
        <v>933</v>
      </c>
      <c r="B496" s="2" t="s">
        <v>51</v>
      </c>
      <c r="C496" s="2" t="s">
        <v>96</v>
      </c>
      <c r="D496" s="2" t="s">
        <v>13</v>
      </c>
      <c r="E496" s="2">
        <v>20</v>
      </c>
      <c r="F496" s="2">
        <v>11</v>
      </c>
      <c r="G496" s="2" t="s">
        <v>25</v>
      </c>
      <c r="H496" s="2" t="s">
        <v>15</v>
      </c>
      <c r="I496" s="2" t="s">
        <v>494</v>
      </c>
      <c r="J496" s="2">
        <v>42</v>
      </c>
      <c r="AS496" s="2" t="s">
        <v>929</v>
      </c>
      <c r="AT496" s="2" t="s">
        <v>35</v>
      </c>
      <c r="AU496" s="2" t="s">
        <v>30</v>
      </c>
      <c r="AV496" s="2" t="s">
        <v>13</v>
      </c>
      <c r="AW496" s="61">
        <v>15</v>
      </c>
      <c r="AX496" s="2">
        <v>12</v>
      </c>
      <c r="AY496" s="2" t="s">
        <v>32</v>
      </c>
      <c r="AZ496" s="2" t="s">
        <v>26</v>
      </c>
      <c r="BA496" s="2" t="s">
        <v>262</v>
      </c>
      <c r="BB496" s="2">
        <v>55</v>
      </c>
    </row>
    <row r="497" spans="1:54" x14ac:dyDescent="0.3">
      <c r="A497" s="2" t="s">
        <v>934</v>
      </c>
      <c r="B497" s="2" t="s">
        <v>51</v>
      </c>
      <c r="C497" s="2" t="s">
        <v>58</v>
      </c>
      <c r="D497" s="2" t="s">
        <v>31</v>
      </c>
      <c r="E497" s="2">
        <v>18</v>
      </c>
      <c r="F497" s="2">
        <v>11</v>
      </c>
      <c r="G497" s="2" t="s">
        <v>14</v>
      </c>
      <c r="H497" s="2" t="s">
        <v>37</v>
      </c>
      <c r="I497" s="2" t="s">
        <v>806</v>
      </c>
      <c r="J497" s="2">
        <v>88</v>
      </c>
      <c r="AS497" s="2" t="s">
        <v>930</v>
      </c>
      <c r="AT497" s="2" t="s">
        <v>35</v>
      </c>
      <c r="AU497" s="2" t="s">
        <v>96</v>
      </c>
      <c r="AV497" s="2" t="s">
        <v>31</v>
      </c>
      <c r="AW497" s="61">
        <v>20</v>
      </c>
      <c r="AX497" s="2">
        <v>9</v>
      </c>
      <c r="AY497" s="2" t="s">
        <v>25</v>
      </c>
      <c r="AZ497" s="2" t="s">
        <v>61</v>
      </c>
      <c r="BA497" s="2" t="s">
        <v>342</v>
      </c>
      <c r="BB497" s="2">
        <v>62</v>
      </c>
    </row>
    <row r="498" spans="1:54" x14ac:dyDescent="0.3">
      <c r="A498" s="2" t="s">
        <v>935</v>
      </c>
      <c r="B498" s="2" t="s">
        <v>18</v>
      </c>
      <c r="C498" s="2" t="s">
        <v>12</v>
      </c>
      <c r="D498" s="2" t="s">
        <v>13</v>
      </c>
      <c r="E498" s="2">
        <v>20</v>
      </c>
      <c r="F498" s="2">
        <v>11</v>
      </c>
      <c r="G498" s="2" t="s">
        <v>43</v>
      </c>
      <c r="H498" s="2" t="s">
        <v>46</v>
      </c>
      <c r="I498" s="2" t="s">
        <v>936</v>
      </c>
      <c r="J498" s="2">
        <v>94</v>
      </c>
      <c r="AS498" s="2" t="s">
        <v>931</v>
      </c>
      <c r="AT498" s="2" t="s">
        <v>23</v>
      </c>
      <c r="AU498" s="2" t="s">
        <v>36</v>
      </c>
      <c r="AV498" s="2" t="s">
        <v>13</v>
      </c>
      <c r="AW498" s="61">
        <v>20</v>
      </c>
      <c r="AX498" s="2">
        <v>9</v>
      </c>
      <c r="AY498" s="2" t="s">
        <v>43</v>
      </c>
      <c r="AZ498" s="2" t="s">
        <v>40</v>
      </c>
      <c r="BA498" s="2" t="s">
        <v>932</v>
      </c>
      <c r="BB498" s="2">
        <v>85</v>
      </c>
    </row>
    <row r="499" spans="1:54" x14ac:dyDescent="0.3">
      <c r="A499" s="2" t="s">
        <v>937</v>
      </c>
      <c r="B499" s="2" t="s">
        <v>73</v>
      </c>
      <c r="C499" s="2" t="s">
        <v>85</v>
      </c>
      <c r="D499" s="2" t="s">
        <v>31</v>
      </c>
      <c r="E499" s="2">
        <v>16</v>
      </c>
      <c r="F499" s="2">
        <v>10</v>
      </c>
      <c r="G499" s="2" t="s">
        <v>25</v>
      </c>
      <c r="H499" s="2" t="s">
        <v>76</v>
      </c>
      <c r="I499" s="2" t="s">
        <v>305</v>
      </c>
      <c r="J499" s="2">
        <v>90</v>
      </c>
      <c r="AS499" s="2" t="s">
        <v>933</v>
      </c>
      <c r="AT499" s="2" t="s">
        <v>51</v>
      </c>
      <c r="AU499" s="2" t="s">
        <v>96</v>
      </c>
      <c r="AV499" s="2" t="s">
        <v>13</v>
      </c>
      <c r="AW499" s="61">
        <v>20</v>
      </c>
      <c r="AX499" s="2">
        <v>11</v>
      </c>
      <c r="AY499" s="2" t="s">
        <v>25</v>
      </c>
      <c r="AZ499" s="2" t="s">
        <v>15</v>
      </c>
      <c r="BA499" s="2" t="s">
        <v>494</v>
      </c>
      <c r="BB499" s="2">
        <v>42</v>
      </c>
    </row>
    <row r="500" spans="1:54" x14ac:dyDescent="0.3">
      <c r="A500" s="2" t="s">
        <v>938</v>
      </c>
      <c r="B500" s="2" t="s">
        <v>18</v>
      </c>
      <c r="C500" s="2" t="s">
        <v>58</v>
      </c>
      <c r="D500" s="2" t="s">
        <v>13</v>
      </c>
      <c r="E500" s="2">
        <v>16</v>
      </c>
      <c r="F500" s="2">
        <v>12</v>
      </c>
      <c r="G500" s="2" t="s">
        <v>25</v>
      </c>
      <c r="H500" s="2" t="s">
        <v>26</v>
      </c>
      <c r="I500" s="2" t="s">
        <v>939</v>
      </c>
      <c r="J500" s="2">
        <v>41</v>
      </c>
      <c r="AS500" s="2" t="s">
        <v>934</v>
      </c>
      <c r="AT500" s="2" t="s">
        <v>51</v>
      </c>
      <c r="AU500" s="2" t="s">
        <v>58</v>
      </c>
      <c r="AV500" s="2" t="s">
        <v>31</v>
      </c>
      <c r="AW500" s="61">
        <v>18</v>
      </c>
      <c r="AX500" s="2">
        <v>11</v>
      </c>
      <c r="AY500" s="2" t="s">
        <v>14</v>
      </c>
      <c r="AZ500" s="2" t="s">
        <v>37</v>
      </c>
      <c r="BA500" s="2" t="s">
        <v>806</v>
      </c>
      <c r="BB500" s="2">
        <v>88</v>
      </c>
    </row>
    <row r="501" spans="1:54" x14ac:dyDescent="0.3">
      <c r="A501" s="2" t="s">
        <v>940</v>
      </c>
      <c r="B501" s="2" t="s">
        <v>51</v>
      </c>
      <c r="C501" s="2" t="s">
        <v>96</v>
      </c>
      <c r="D501" s="2" t="s">
        <v>31</v>
      </c>
      <c r="E501" s="2">
        <v>18</v>
      </c>
      <c r="F501" s="2">
        <v>9</v>
      </c>
      <c r="G501" s="2" t="s">
        <v>43</v>
      </c>
      <c r="H501" s="2" t="s">
        <v>76</v>
      </c>
      <c r="I501" s="2" t="s">
        <v>506</v>
      </c>
      <c r="J501" s="2">
        <v>36</v>
      </c>
      <c r="AS501" s="2" t="s">
        <v>935</v>
      </c>
      <c r="AT501" s="2" t="s">
        <v>18</v>
      </c>
      <c r="AU501" s="2" t="s">
        <v>12</v>
      </c>
      <c r="AV501" s="2" t="s">
        <v>13</v>
      </c>
      <c r="AW501" s="61">
        <v>20</v>
      </c>
      <c r="AX501" s="2">
        <v>11</v>
      </c>
      <c r="AY501" s="2" t="s">
        <v>43</v>
      </c>
      <c r="AZ501" s="2" t="s">
        <v>46</v>
      </c>
      <c r="BA501" s="2" t="s">
        <v>936</v>
      </c>
      <c r="BB501" s="2">
        <v>94</v>
      </c>
    </row>
    <row r="502" spans="1:54" x14ac:dyDescent="0.3">
      <c r="AS502" s="2" t="s">
        <v>937</v>
      </c>
      <c r="AT502" s="2" t="s">
        <v>73</v>
      </c>
      <c r="AU502" s="2" t="s">
        <v>85</v>
      </c>
      <c r="AV502" s="2" t="s">
        <v>31</v>
      </c>
      <c r="AW502" s="61">
        <v>16</v>
      </c>
      <c r="AX502" s="2">
        <v>10</v>
      </c>
      <c r="AY502" s="2" t="s">
        <v>25</v>
      </c>
      <c r="AZ502" s="2" t="s">
        <v>76</v>
      </c>
      <c r="BA502" s="2" t="s">
        <v>305</v>
      </c>
      <c r="BB502" s="2">
        <v>90</v>
      </c>
    </row>
    <row r="503" spans="1:54" x14ac:dyDescent="0.3">
      <c r="AS503" s="2" t="s">
        <v>938</v>
      </c>
      <c r="AT503" s="2" t="s">
        <v>18</v>
      </c>
      <c r="AU503" s="2" t="s">
        <v>58</v>
      </c>
      <c r="AV503" s="2" t="s">
        <v>13</v>
      </c>
      <c r="AW503" s="61">
        <v>16</v>
      </c>
      <c r="AX503" s="2">
        <v>12</v>
      </c>
      <c r="AY503" s="2" t="s">
        <v>25</v>
      </c>
      <c r="AZ503" s="2" t="s">
        <v>26</v>
      </c>
      <c r="BA503" s="2" t="s">
        <v>939</v>
      </c>
      <c r="BB503" s="2">
        <v>41</v>
      </c>
    </row>
    <row r="504" spans="1:54" x14ac:dyDescent="0.3">
      <c r="AS504" s="2" t="s">
        <v>940</v>
      </c>
      <c r="AT504" s="2" t="s">
        <v>51</v>
      </c>
      <c r="AU504" s="2" t="s">
        <v>96</v>
      </c>
      <c r="AV504" s="2" t="s">
        <v>31</v>
      </c>
      <c r="AW504" s="61">
        <v>18</v>
      </c>
      <c r="AX504" s="2">
        <v>9</v>
      </c>
      <c r="AY504" s="2" t="s">
        <v>43</v>
      </c>
      <c r="AZ504" s="2" t="s">
        <v>76</v>
      </c>
      <c r="BA504" s="2" t="s">
        <v>506</v>
      </c>
      <c r="BB504" s="2">
        <v>36</v>
      </c>
    </row>
  </sheetData>
  <mergeCells count="5">
    <mergeCell ref="M1:S1"/>
    <mergeCell ref="X1:AD1"/>
    <mergeCell ref="AI1:AN1"/>
    <mergeCell ref="AT1:AZ1"/>
    <mergeCell ref="BE1:BK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7C0D-CD2D-4728-BA48-49D50D2AA966}">
  <dimension ref="A1:R501"/>
  <sheetViews>
    <sheetView topLeftCell="D1" workbookViewId="0">
      <selection activeCell="R12" sqref="R12"/>
    </sheetView>
  </sheetViews>
  <sheetFormatPr defaultRowHeight="14.4" x14ac:dyDescent="0.3"/>
  <cols>
    <col min="1" max="2" width="10.44140625" bestFit="1" customWidth="1"/>
    <col min="3" max="3" width="10.33203125" bestFit="1" customWidth="1"/>
    <col min="4" max="4" width="7.109375" bestFit="1" customWidth="1"/>
    <col min="5" max="5" width="4.21875" bestFit="1" customWidth="1"/>
    <col min="6" max="6" width="5.109375" bestFit="1" customWidth="1"/>
    <col min="7" max="7" width="7.21875" bestFit="1" customWidth="1"/>
    <col min="8" max="8" width="9.77734375" bestFit="1" customWidth="1"/>
    <col min="9" max="9" width="14.6640625" bestFit="1" customWidth="1"/>
    <col min="10" max="10" width="6.21875" bestFit="1" customWidth="1"/>
    <col min="11" max="11" width="5" bestFit="1" customWidth="1"/>
    <col min="13" max="13" width="13.5546875" customWidth="1"/>
    <col min="18" max="18" width="5.109375" bestFit="1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995</v>
      </c>
    </row>
    <row r="2" spans="1:18" ht="18" x14ac:dyDescent="0.35">
      <c r="A2" s="2" t="s">
        <v>10</v>
      </c>
      <c r="B2" s="2" t="s">
        <v>11</v>
      </c>
      <c r="C2" s="2" t="s">
        <v>12</v>
      </c>
      <c r="D2" s="2" t="s">
        <v>13</v>
      </c>
      <c r="E2" s="2">
        <v>16</v>
      </c>
      <c r="F2" s="2">
        <v>10</v>
      </c>
      <c r="G2" s="2" t="s">
        <v>14</v>
      </c>
      <c r="H2" s="2" t="s">
        <v>15</v>
      </c>
      <c r="I2" s="2" t="s">
        <v>16</v>
      </c>
      <c r="J2" s="2">
        <v>37</v>
      </c>
      <c r="K2" s="2" t="str">
        <f>_xlfn.IFS(F2=9,"1000",F2=10,"1200",F2=11,"1500",F2=12,"1800")</f>
        <v>1200</v>
      </c>
      <c r="M2" s="32" t="s">
        <v>996</v>
      </c>
      <c r="N2" s="32"/>
      <c r="O2" s="32"/>
      <c r="P2" s="32"/>
      <c r="R2" s="2" t="s">
        <v>5</v>
      </c>
    </row>
    <row r="3" spans="1:18" ht="18" x14ac:dyDescent="0.35">
      <c r="A3" s="2" t="s">
        <v>17</v>
      </c>
      <c r="B3" s="2" t="s">
        <v>18</v>
      </c>
      <c r="C3" s="2" t="s">
        <v>19</v>
      </c>
      <c r="D3" s="2" t="s">
        <v>13</v>
      </c>
      <c r="E3" s="2">
        <v>15</v>
      </c>
      <c r="F3" s="2">
        <v>12</v>
      </c>
      <c r="G3" s="2" t="s">
        <v>14</v>
      </c>
      <c r="H3" s="2" t="s">
        <v>20</v>
      </c>
      <c r="I3" s="2" t="s">
        <v>21</v>
      </c>
      <c r="J3" s="2">
        <v>98</v>
      </c>
      <c r="K3" s="2" t="str">
        <f t="shared" ref="K3:K66" si="0">_xlfn.IFS(F3=9,"1000",F3=10,"1200",F3=11,"1500",F3=12,"1800")</f>
        <v>1800</v>
      </c>
      <c r="M3" s="27">
        <v>12</v>
      </c>
      <c r="N3" s="33" t="str">
        <f>VLOOKUP(M3,F2:K501,6,0)</f>
        <v>1800</v>
      </c>
      <c r="O3" s="33"/>
      <c r="P3" s="33"/>
      <c r="R3" s="2">
        <v>9</v>
      </c>
    </row>
    <row r="4" spans="1:18" x14ac:dyDescent="0.3">
      <c r="A4" s="2" t="s">
        <v>22</v>
      </c>
      <c r="B4" s="2" t="s">
        <v>23</v>
      </c>
      <c r="C4" s="2" t="s">
        <v>24</v>
      </c>
      <c r="D4" s="2" t="s">
        <v>13</v>
      </c>
      <c r="E4" s="2">
        <v>14</v>
      </c>
      <c r="F4" s="2">
        <v>12</v>
      </c>
      <c r="G4" s="2" t="s">
        <v>25</v>
      </c>
      <c r="H4" s="2" t="s">
        <v>26</v>
      </c>
      <c r="I4" s="2" t="s">
        <v>27</v>
      </c>
      <c r="J4" s="2">
        <v>38</v>
      </c>
      <c r="K4" s="2" t="str">
        <f t="shared" si="0"/>
        <v>1800</v>
      </c>
      <c r="R4" s="2">
        <v>10</v>
      </c>
    </row>
    <row r="5" spans="1:18" ht="18" x14ac:dyDescent="0.35">
      <c r="A5" s="2" t="s">
        <v>28</v>
      </c>
      <c r="B5" s="2" t="s">
        <v>29</v>
      </c>
      <c r="C5" s="2" t="s">
        <v>30</v>
      </c>
      <c r="D5" s="2" t="s">
        <v>31</v>
      </c>
      <c r="E5" s="2">
        <v>20</v>
      </c>
      <c r="F5" s="2">
        <v>9</v>
      </c>
      <c r="G5" s="2" t="s">
        <v>32</v>
      </c>
      <c r="H5" s="2" t="s">
        <v>26</v>
      </c>
      <c r="I5" s="2" t="s">
        <v>33</v>
      </c>
      <c r="J5" s="2">
        <v>84</v>
      </c>
      <c r="K5" s="2" t="str">
        <f t="shared" si="0"/>
        <v>1000</v>
      </c>
      <c r="M5" s="32" t="s">
        <v>997</v>
      </c>
      <c r="N5" s="32"/>
      <c r="O5" s="32"/>
      <c r="P5" s="32"/>
      <c r="R5" s="2">
        <v>11</v>
      </c>
    </row>
    <row r="6" spans="1:18" ht="18" x14ac:dyDescent="0.35">
      <c r="A6" s="2" t="s">
        <v>34</v>
      </c>
      <c r="B6" s="2" t="s">
        <v>35</v>
      </c>
      <c r="C6" s="2" t="s">
        <v>36</v>
      </c>
      <c r="D6" s="2" t="s">
        <v>31</v>
      </c>
      <c r="E6" s="2">
        <v>17</v>
      </c>
      <c r="F6" s="2">
        <v>10</v>
      </c>
      <c r="G6" s="2" t="s">
        <v>32</v>
      </c>
      <c r="H6" s="2" t="s">
        <v>37</v>
      </c>
      <c r="I6" s="2" t="s">
        <v>38</v>
      </c>
      <c r="J6" s="2">
        <v>45</v>
      </c>
      <c r="K6" s="2" t="str">
        <f t="shared" si="0"/>
        <v>1200</v>
      </c>
      <c r="M6" s="27">
        <v>10</v>
      </c>
      <c r="N6" s="33" t="str">
        <f>INDEX(K2:K501,MATCH(M6,F2:F501,0))</f>
        <v>1200</v>
      </c>
      <c r="O6" s="33"/>
      <c r="P6" s="33"/>
      <c r="R6" s="2">
        <v>12</v>
      </c>
    </row>
    <row r="7" spans="1:18" x14ac:dyDescent="0.3">
      <c r="A7" s="2" t="s">
        <v>39</v>
      </c>
      <c r="B7" s="2" t="s">
        <v>11</v>
      </c>
      <c r="C7" s="2" t="s">
        <v>12</v>
      </c>
      <c r="D7" s="2" t="s">
        <v>31</v>
      </c>
      <c r="E7" s="2">
        <v>19</v>
      </c>
      <c r="F7" s="2">
        <v>10</v>
      </c>
      <c r="G7" s="2" t="s">
        <v>14</v>
      </c>
      <c r="H7" s="2" t="s">
        <v>40</v>
      </c>
      <c r="I7" s="2" t="s">
        <v>41</v>
      </c>
      <c r="J7" s="2">
        <v>36</v>
      </c>
      <c r="K7" s="2" t="str">
        <f t="shared" si="0"/>
        <v>1200</v>
      </c>
    </row>
    <row r="8" spans="1:18" ht="18" x14ac:dyDescent="0.35">
      <c r="A8" s="2" t="s">
        <v>42</v>
      </c>
      <c r="B8" s="2" t="s">
        <v>29</v>
      </c>
      <c r="C8" s="2" t="s">
        <v>24</v>
      </c>
      <c r="D8" s="2" t="s">
        <v>31</v>
      </c>
      <c r="E8" s="2">
        <v>20</v>
      </c>
      <c r="F8" s="2">
        <v>9</v>
      </c>
      <c r="G8" s="2" t="s">
        <v>43</v>
      </c>
      <c r="H8" s="2" t="s">
        <v>40</v>
      </c>
      <c r="I8" s="2" t="s">
        <v>44</v>
      </c>
      <c r="J8" s="2">
        <v>88</v>
      </c>
      <c r="K8" s="2" t="str">
        <f t="shared" si="0"/>
        <v>1000</v>
      </c>
      <c r="M8" s="32" t="s">
        <v>998</v>
      </c>
      <c r="N8" s="32"/>
      <c r="O8" s="32"/>
      <c r="P8" s="32"/>
    </row>
    <row r="9" spans="1:18" ht="18" x14ac:dyDescent="0.35">
      <c r="A9" s="2" t="s">
        <v>45</v>
      </c>
      <c r="B9" s="2" t="s">
        <v>35</v>
      </c>
      <c r="C9" s="2" t="s">
        <v>12</v>
      </c>
      <c r="D9" s="2" t="s">
        <v>13</v>
      </c>
      <c r="E9" s="2">
        <v>19</v>
      </c>
      <c r="F9" s="2">
        <v>12</v>
      </c>
      <c r="G9" s="2" t="s">
        <v>32</v>
      </c>
      <c r="H9" s="2" t="s">
        <v>46</v>
      </c>
      <c r="I9" s="2" t="s">
        <v>47</v>
      </c>
      <c r="J9" s="2">
        <v>60</v>
      </c>
      <c r="K9" s="2" t="str">
        <f t="shared" si="0"/>
        <v>1800</v>
      </c>
      <c r="M9" s="27">
        <v>9</v>
      </c>
      <c r="N9" s="33"/>
      <c r="O9" s="33"/>
      <c r="P9" s="33"/>
    </row>
    <row r="10" spans="1:18" x14ac:dyDescent="0.3">
      <c r="A10" s="2" t="s">
        <v>48</v>
      </c>
      <c r="B10" s="2" t="s">
        <v>18</v>
      </c>
      <c r="C10" s="2" t="s">
        <v>30</v>
      </c>
      <c r="D10" s="2" t="s">
        <v>31</v>
      </c>
      <c r="E10" s="2">
        <v>19</v>
      </c>
      <c r="F10" s="2">
        <v>12</v>
      </c>
      <c r="G10" s="2" t="s">
        <v>14</v>
      </c>
      <c r="H10" s="2" t="s">
        <v>46</v>
      </c>
      <c r="I10" s="2" t="s">
        <v>49</v>
      </c>
      <c r="J10" s="2">
        <v>92</v>
      </c>
      <c r="K10" s="2" t="str">
        <f t="shared" si="0"/>
        <v>1800</v>
      </c>
    </row>
    <row r="11" spans="1:18" x14ac:dyDescent="0.3">
      <c r="A11" s="2" t="s">
        <v>50</v>
      </c>
      <c r="B11" s="2" t="s">
        <v>51</v>
      </c>
      <c r="C11" s="2" t="s">
        <v>24</v>
      </c>
      <c r="D11" s="2" t="s">
        <v>31</v>
      </c>
      <c r="E11" s="2">
        <v>15</v>
      </c>
      <c r="F11" s="2">
        <v>9</v>
      </c>
      <c r="G11" s="2" t="s">
        <v>43</v>
      </c>
      <c r="H11" s="2" t="s">
        <v>15</v>
      </c>
      <c r="I11" s="2" t="s">
        <v>52</v>
      </c>
      <c r="J11" s="2">
        <v>90</v>
      </c>
      <c r="K11" s="2" t="str">
        <f t="shared" si="0"/>
        <v>1000</v>
      </c>
    </row>
    <row r="12" spans="1:18" x14ac:dyDescent="0.3">
      <c r="A12" s="2" t="s">
        <v>53</v>
      </c>
      <c r="B12" s="2" t="s">
        <v>54</v>
      </c>
      <c r="C12" s="2" t="s">
        <v>55</v>
      </c>
      <c r="D12" s="2" t="s">
        <v>31</v>
      </c>
      <c r="E12" s="2">
        <v>20</v>
      </c>
      <c r="F12" s="2">
        <v>10</v>
      </c>
      <c r="G12" s="2" t="s">
        <v>25</v>
      </c>
      <c r="H12" s="2" t="s">
        <v>40</v>
      </c>
      <c r="I12" s="2" t="s">
        <v>56</v>
      </c>
      <c r="J12" s="2">
        <v>59</v>
      </c>
      <c r="K12" s="2" t="str">
        <f t="shared" si="0"/>
        <v>1200</v>
      </c>
    </row>
    <row r="13" spans="1:18" x14ac:dyDescent="0.3">
      <c r="A13" s="2" t="s">
        <v>57</v>
      </c>
      <c r="B13" s="2" t="s">
        <v>51</v>
      </c>
      <c r="C13" s="2" t="s">
        <v>58</v>
      </c>
      <c r="D13" s="2" t="s">
        <v>13</v>
      </c>
      <c r="E13" s="2">
        <v>14</v>
      </c>
      <c r="F13" s="2">
        <v>12</v>
      </c>
      <c r="G13" s="2" t="s">
        <v>32</v>
      </c>
      <c r="H13" s="2" t="s">
        <v>40</v>
      </c>
      <c r="I13" s="2" t="s">
        <v>59</v>
      </c>
      <c r="J13" s="2">
        <v>43</v>
      </c>
      <c r="K13" s="2" t="str">
        <f t="shared" si="0"/>
        <v>1800</v>
      </c>
    </row>
    <row r="14" spans="1:18" x14ac:dyDescent="0.3">
      <c r="A14" s="2" t="s">
        <v>60</v>
      </c>
      <c r="B14" s="2" t="s">
        <v>35</v>
      </c>
      <c r="C14" s="2" t="s">
        <v>55</v>
      </c>
      <c r="D14" s="2" t="s">
        <v>13</v>
      </c>
      <c r="E14" s="2">
        <v>15</v>
      </c>
      <c r="F14" s="2">
        <v>12</v>
      </c>
      <c r="G14" s="2" t="s">
        <v>14</v>
      </c>
      <c r="H14" s="2" t="s">
        <v>61</v>
      </c>
      <c r="I14" s="2" t="s">
        <v>62</v>
      </c>
      <c r="J14" s="2">
        <v>51</v>
      </c>
      <c r="K14" s="2" t="str">
        <f t="shared" si="0"/>
        <v>1800</v>
      </c>
    </row>
    <row r="15" spans="1:18" x14ac:dyDescent="0.3">
      <c r="A15" s="2" t="s">
        <v>63</v>
      </c>
      <c r="B15" s="2" t="s">
        <v>11</v>
      </c>
      <c r="C15" s="2" t="s">
        <v>55</v>
      </c>
      <c r="D15" s="2" t="s">
        <v>13</v>
      </c>
      <c r="E15" s="2">
        <v>16</v>
      </c>
      <c r="F15" s="2">
        <v>10</v>
      </c>
      <c r="G15" s="2" t="s">
        <v>25</v>
      </c>
      <c r="H15" s="2" t="s">
        <v>26</v>
      </c>
      <c r="I15" s="2" t="s">
        <v>64</v>
      </c>
      <c r="J15" s="2">
        <v>42</v>
      </c>
      <c r="K15" s="2" t="str">
        <f t="shared" si="0"/>
        <v>1200</v>
      </c>
    </row>
    <row r="16" spans="1:18" x14ac:dyDescent="0.3">
      <c r="A16" s="2" t="s">
        <v>65</v>
      </c>
      <c r="B16" s="2" t="s">
        <v>23</v>
      </c>
      <c r="C16" s="2" t="s">
        <v>30</v>
      </c>
      <c r="D16" s="2" t="s">
        <v>13</v>
      </c>
      <c r="E16" s="2">
        <v>20</v>
      </c>
      <c r="F16" s="2">
        <v>12</v>
      </c>
      <c r="G16" s="2" t="s">
        <v>14</v>
      </c>
      <c r="H16" s="2" t="s">
        <v>40</v>
      </c>
      <c r="I16" s="2" t="s">
        <v>66</v>
      </c>
      <c r="J16" s="2">
        <v>62</v>
      </c>
      <c r="K16" s="2" t="str">
        <f t="shared" si="0"/>
        <v>1800</v>
      </c>
    </row>
    <row r="17" spans="1:11" x14ac:dyDescent="0.3">
      <c r="A17" s="2" t="s">
        <v>67</v>
      </c>
      <c r="B17" s="2" t="s">
        <v>68</v>
      </c>
      <c r="C17" s="2" t="s">
        <v>19</v>
      </c>
      <c r="D17" s="2" t="s">
        <v>13</v>
      </c>
      <c r="E17" s="2">
        <v>20</v>
      </c>
      <c r="F17" s="2">
        <v>9</v>
      </c>
      <c r="G17" s="2" t="s">
        <v>14</v>
      </c>
      <c r="H17" s="2" t="s">
        <v>20</v>
      </c>
      <c r="I17" s="2" t="s">
        <v>69</v>
      </c>
      <c r="J17" s="2">
        <v>55</v>
      </c>
      <c r="K17" s="2" t="str">
        <f t="shared" si="0"/>
        <v>1000</v>
      </c>
    </row>
    <row r="18" spans="1:11" x14ac:dyDescent="0.3">
      <c r="A18" s="2" t="s">
        <v>70</v>
      </c>
      <c r="B18" s="2" t="s">
        <v>51</v>
      </c>
      <c r="C18" s="2" t="s">
        <v>36</v>
      </c>
      <c r="D18" s="2" t="s">
        <v>13</v>
      </c>
      <c r="E18" s="2">
        <v>14</v>
      </c>
      <c r="F18" s="2">
        <v>12</v>
      </c>
      <c r="G18" s="2" t="s">
        <v>25</v>
      </c>
      <c r="H18" s="2" t="s">
        <v>37</v>
      </c>
      <c r="I18" s="2" t="s">
        <v>71</v>
      </c>
      <c r="J18" s="2">
        <v>42</v>
      </c>
      <c r="K18" s="2" t="str">
        <f t="shared" si="0"/>
        <v>1800</v>
      </c>
    </row>
    <row r="19" spans="1:11" x14ac:dyDescent="0.3">
      <c r="A19" s="2" t="s">
        <v>72</v>
      </c>
      <c r="B19" s="2" t="s">
        <v>73</v>
      </c>
      <c r="C19" s="2" t="s">
        <v>58</v>
      </c>
      <c r="D19" s="2" t="s">
        <v>31</v>
      </c>
      <c r="E19" s="2">
        <v>19</v>
      </c>
      <c r="F19" s="2">
        <v>9</v>
      </c>
      <c r="G19" s="2" t="s">
        <v>32</v>
      </c>
      <c r="H19" s="2" t="s">
        <v>46</v>
      </c>
      <c r="I19" s="2" t="s">
        <v>74</v>
      </c>
      <c r="J19" s="2">
        <v>76</v>
      </c>
      <c r="K19" s="2" t="str">
        <f t="shared" si="0"/>
        <v>1000</v>
      </c>
    </row>
    <row r="20" spans="1:11" x14ac:dyDescent="0.3">
      <c r="A20" s="2" t="s">
        <v>75</v>
      </c>
      <c r="B20" s="2" t="s">
        <v>29</v>
      </c>
      <c r="C20" s="2" t="s">
        <v>58</v>
      </c>
      <c r="D20" s="2" t="s">
        <v>31</v>
      </c>
      <c r="E20" s="2">
        <v>17</v>
      </c>
      <c r="F20" s="2">
        <v>12</v>
      </c>
      <c r="G20" s="2" t="s">
        <v>32</v>
      </c>
      <c r="H20" s="2" t="s">
        <v>76</v>
      </c>
      <c r="I20" s="2" t="s">
        <v>77</v>
      </c>
      <c r="J20" s="2">
        <v>66</v>
      </c>
      <c r="K20" s="2" t="str">
        <f t="shared" si="0"/>
        <v>1800</v>
      </c>
    </row>
    <row r="21" spans="1:11" x14ac:dyDescent="0.3">
      <c r="A21" s="2" t="s">
        <v>78</v>
      </c>
      <c r="B21" s="2" t="s">
        <v>68</v>
      </c>
      <c r="C21" s="2" t="s">
        <v>79</v>
      </c>
      <c r="D21" s="2" t="s">
        <v>31</v>
      </c>
      <c r="E21" s="2">
        <v>15</v>
      </c>
      <c r="F21" s="2">
        <v>10</v>
      </c>
      <c r="G21" s="2" t="s">
        <v>14</v>
      </c>
      <c r="H21" s="2" t="s">
        <v>20</v>
      </c>
      <c r="I21" s="2" t="s">
        <v>80</v>
      </c>
      <c r="J21" s="2">
        <v>59</v>
      </c>
      <c r="K21" s="2" t="str">
        <f t="shared" si="0"/>
        <v>1200</v>
      </c>
    </row>
    <row r="22" spans="1:11" x14ac:dyDescent="0.3">
      <c r="A22" s="2" t="s">
        <v>81</v>
      </c>
      <c r="B22" s="2" t="s">
        <v>29</v>
      </c>
      <c r="C22" s="2" t="s">
        <v>58</v>
      </c>
      <c r="D22" s="2" t="s">
        <v>31</v>
      </c>
      <c r="E22" s="2">
        <v>19</v>
      </c>
      <c r="F22" s="2">
        <v>9</v>
      </c>
      <c r="G22" s="2" t="s">
        <v>14</v>
      </c>
      <c r="H22" s="2" t="s">
        <v>61</v>
      </c>
      <c r="I22" s="2" t="s">
        <v>82</v>
      </c>
      <c r="J22" s="2">
        <v>50</v>
      </c>
      <c r="K22" s="2" t="str">
        <f t="shared" si="0"/>
        <v>1000</v>
      </c>
    </row>
    <row r="23" spans="1:11" x14ac:dyDescent="0.3">
      <c r="A23" s="2" t="s">
        <v>83</v>
      </c>
      <c r="B23" s="2" t="s">
        <v>84</v>
      </c>
      <c r="C23" s="2" t="s">
        <v>85</v>
      </c>
      <c r="D23" s="2" t="s">
        <v>31</v>
      </c>
      <c r="E23" s="2">
        <v>16</v>
      </c>
      <c r="F23" s="2">
        <v>9</v>
      </c>
      <c r="G23" s="2" t="s">
        <v>43</v>
      </c>
      <c r="H23" s="2" t="s">
        <v>37</v>
      </c>
      <c r="I23" s="2" t="s">
        <v>86</v>
      </c>
      <c r="J23" s="2">
        <v>52</v>
      </c>
      <c r="K23" s="2" t="str">
        <f t="shared" si="0"/>
        <v>1000</v>
      </c>
    </row>
    <row r="24" spans="1:11" x14ac:dyDescent="0.3">
      <c r="A24" s="2" t="s">
        <v>87</v>
      </c>
      <c r="B24" s="2" t="s">
        <v>18</v>
      </c>
      <c r="C24" s="2" t="s">
        <v>12</v>
      </c>
      <c r="D24" s="2" t="s">
        <v>13</v>
      </c>
      <c r="E24" s="2">
        <v>20</v>
      </c>
      <c r="F24" s="2">
        <v>12</v>
      </c>
      <c r="G24" s="2" t="s">
        <v>32</v>
      </c>
      <c r="H24" s="2" t="s">
        <v>26</v>
      </c>
      <c r="I24" s="2" t="s">
        <v>88</v>
      </c>
      <c r="J24" s="2">
        <v>86</v>
      </c>
      <c r="K24" s="2" t="str">
        <f t="shared" si="0"/>
        <v>1800</v>
      </c>
    </row>
    <row r="25" spans="1:11" x14ac:dyDescent="0.3">
      <c r="A25" s="2" t="s">
        <v>89</v>
      </c>
      <c r="B25" s="2" t="s">
        <v>68</v>
      </c>
      <c r="C25" s="2" t="s">
        <v>85</v>
      </c>
      <c r="D25" s="2" t="s">
        <v>31</v>
      </c>
      <c r="E25" s="2">
        <v>16</v>
      </c>
      <c r="F25" s="2">
        <v>9</v>
      </c>
      <c r="G25" s="2" t="s">
        <v>43</v>
      </c>
      <c r="H25" s="2" t="s">
        <v>20</v>
      </c>
      <c r="I25" s="2" t="s">
        <v>90</v>
      </c>
      <c r="J25" s="2">
        <v>52</v>
      </c>
      <c r="K25" s="2" t="str">
        <f t="shared" si="0"/>
        <v>1000</v>
      </c>
    </row>
    <row r="26" spans="1:11" x14ac:dyDescent="0.3">
      <c r="A26" s="2" t="s">
        <v>91</v>
      </c>
      <c r="B26" s="2" t="s">
        <v>73</v>
      </c>
      <c r="C26" s="2" t="s">
        <v>12</v>
      </c>
      <c r="D26" s="2" t="s">
        <v>13</v>
      </c>
      <c r="E26" s="2">
        <v>20</v>
      </c>
      <c r="F26" s="2">
        <v>10</v>
      </c>
      <c r="G26" s="2" t="s">
        <v>43</v>
      </c>
      <c r="H26" s="2" t="s">
        <v>46</v>
      </c>
      <c r="I26" s="2" t="s">
        <v>92</v>
      </c>
      <c r="J26" s="2">
        <v>82</v>
      </c>
      <c r="K26" s="2" t="str">
        <f t="shared" si="0"/>
        <v>1200</v>
      </c>
    </row>
    <row r="27" spans="1:11" x14ac:dyDescent="0.3">
      <c r="A27" s="2" t="s">
        <v>93</v>
      </c>
      <c r="B27" s="2" t="s">
        <v>29</v>
      </c>
      <c r="C27" s="2" t="s">
        <v>24</v>
      </c>
      <c r="D27" s="2" t="s">
        <v>31</v>
      </c>
      <c r="E27" s="2">
        <v>14</v>
      </c>
      <c r="F27" s="2">
        <v>12</v>
      </c>
      <c r="G27" s="2" t="s">
        <v>32</v>
      </c>
      <c r="H27" s="2" t="s">
        <v>61</v>
      </c>
      <c r="I27" s="2" t="s">
        <v>94</v>
      </c>
      <c r="J27" s="2">
        <v>72</v>
      </c>
      <c r="K27" s="2" t="str">
        <f t="shared" si="0"/>
        <v>1800</v>
      </c>
    </row>
    <row r="28" spans="1:11" x14ac:dyDescent="0.3">
      <c r="A28" s="2" t="s">
        <v>95</v>
      </c>
      <c r="B28" s="2" t="s">
        <v>18</v>
      </c>
      <c r="C28" s="2" t="s">
        <v>96</v>
      </c>
      <c r="D28" s="2" t="s">
        <v>13</v>
      </c>
      <c r="E28" s="2">
        <v>19</v>
      </c>
      <c r="F28" s="2">
        <v>12</v>
      </c>
      <c r="G28" s="2" t="s">
        <v>14</v>
      </c>
      <c r="H28" s="2" t="s">
        <v>15</v>
      </c>
      <c r="I28" s="2" t="s">
        <v>97</v>
      </c>
      <c r="J28" s="2">
        <v>56</v>
      </c>
      <c r="K28" s="2" t="str">
        <f t="shared" si="0"/>
        <v>1800</v>
      </c>
    </row>
    <row r="29" spans="1:11" x14ac:dyDescent="0.3">
      <c r="A29" s="2" t="s">
        <v>98</v>
      </c>
      <c r="B29" s="2" t="s">
        <v>68</v>
      </c>
      <c r="C29" s="2" t="s">
        <v>55</v>
      </c>
      <c r="D29" s="2" t="s">
        <v>13</v>
      </c>
      <c r="E29" s="2">
        <v>19</v>
      </c>
      <c r="F29" s="2">
        <v>11</v>
      </c>
      <c r="G29" s="2" t="s">
        <v>43</v>
      </c>
      <c r="H29" s="2" t="s">
        <v>15</v>
      </c>
      <c r="I29" s="2" t="s">
        <v>99</v>
      </c>
      <c r="J29" s="2">
        <v>56</v>
      </c>
      <c r="K29" s="2" t="str">
        <f t="shared" si="0"/>
        <v>1500</v>
      </c>
    </row>
    <row r="30" spans="1:11" x14ac:dyDescent="0.3">
      <c r="A30" s="2" t="s">
        <v>100</v>
      </c>
      <c r="B30" s="2" t="s">
        <v>35</v>
      </c>
      <c r="C30" s="2" t="s">
        <v>12</v>
      </c>
      <c r="D30" s="2" t="s">
        <v>31</v>
      </c>
      <c r="E30" s="2">
        <v>19</v>
      </c>
      <c r="F30" s="2">
        <v>12</v>
      </c>
      <c r="G30" s="2" t="s">
        <v>25</v>
      </c>
      <c r="H30" s="2" t="s">
        <v>76</v>
      </c>
      <c r="I30" s="2" t="s">
        <v>101</v>
      </c>
      <c r="J30" s="2">
        <v>54</v>
      </c>
      <c r="K30" s="2" t="str">
        <f t="shared" si="0"/>
        <v>1800</v>
      </c>
    </row>
    <row r="31" spans="1:11" x14ac:dyDescent="0.3">
      <c r="A31" s="2" t="s">
        <v>102</v>
      </c>
      <c r="B31" s="2" t="s">
        <v>35</v>
      </c>
      <c r="C31" s="2" t="s">
        <v>12</v>
      </c>
      <c r="D31" s="2" t="s">
        <v>13</v>
      </c>
      <c r="E31" s="2">
        <v>20</v>
      </c>
      <c r="F31" s="2">
        <v>11</v>
      </c>
      <c r="G31" s="2" t="s">
        <v>14</v>
      </c>
      <c r="H31" s="2" t="s">
        <v>26</v>
      </c>
      <c r="I31" s="2" t="s">
        <v>103</v>
      </c>
      <c r="J31" s="2">
        <v>70</v>
      </c>
      <c r="K31" s="2" t="str">
        <f t="shared" si="0"/>
        <v>1500</v>
      </c>
    </row>
    <row r="32" spans="1:11" x14ac:dyDescent="0.3">
      <c r="A32" s="2" t="s">
        <v>104</v>
      </c>
      <c r="B32" s="2" t="s">
        <v>29</v>
      </c>
      <c r="C32" s="2" t="s">
        <v>79</v>
      </c>
      <c r="D32" s="2" t="s">
        <v>31</v>
      </c>
      <c r="E32" s="2">
        <v>18</v>
      </c>
      <c r="F32" s="2">
        <v>10</v>
      </c>
      <c r="G32" s="2" t="s">
        <v>25</v>
      </c>
      <c r="H32" s="2" t="s">
        <v>61</v>
      </c>
      <c r="I32" s="2" t="s">
        <v>105</v>
      </c>
      <c r="J32" s="2">
        <v>57</v>
      </c>
      <c r="K32" s="2" t="str">
        <f t="shared" si="0"/>
        <v>1200</v>
      </c>
    </row>
    <row r="33" spans="1:11" x14ac:dyDescent="0.3">
      <c r="A33" s="2" t="s">
        <v>106</v>
      </c>
      <c r="B33" s="2" t="s">
        <v>51</v>
      </c>
      <c r="C33" s="2" t="s">
        <v>55</v>
      </c>
      <c r="D33" s="2" t="s">
        <v>13</v>
      </c>
      <c r="E33" s="2">
        <v>20</v>
      </c>
      <c r="F33" s="2">
        <v>9</v>
      </c>
      <c r="G33" s="2" t="s">
        <v>32</v>
      </c>
      <c r="H33" s="2" t="s">
        <v>26</v>
      </c>
      <c r="I33" s="2" t="s">
        <v>107</v>
      </c>
      <c r="J33" s="2">
        <v>91</v>
      </c>
      <c r="K33" s="2" t="str">
        <f t="shared" si="0"/>
        <v>1000</v>
      </c>
    </row>
    <row r="34" spans="1:11" x14ac:dyDescent="0.3">
      <c r="A34" s="2" t="s">
        <v>108</v>
      </c>
      <c r="B34" s="2" t="s">
        <v>29</v>
      </c>
      <c r="C34" s="2" t="s">
        <v>96</v>
      </c>
      <c r="D34" s="2" t="s">
        <v>31</v>
      </c>
      <c r="E34" s="2">
        <v>15</v>
      </c>
      <c r="F34" s="2">
        <v>11</v>
      </c>
      <c r="G34" s="2" t="s">
        <v>43</v>
      </c>
      <c r="H34" s="2" t="s">
        <v>26</v>
      </c>
      <c r="I34" s="2" t="s">
        <v>109</v>
      </c>
      <c r="J34" s="2">
        <v>77</v>
      </c>
      <c r="K34" s="2" t="str">
        <f t="shared" si="0"/>
        <v>1500</v>
      </c>
    </row>
    <row r="35" spans="1:11" x14ac:dyDescent="0.3">
      <c r="A35" s="2" t="s">
        <v>110</v>
      </c>
      <c r="B35" s="2" t="s">
        <v>51</v>
      </c>
      <c r="C35" s="2" t="s">
        <v>58</v>
      </c>
      <c r="D35" s="2" t="s">
        <v>31</v>
      </c>
      <c r="E35" s="2">
        <v>14</v>
      </c>
      <c r="F35" s="2">
        <v>10</v>
      </c>
      <c r="G35" s="2" t="s">
        <v>32</v>
      </c>
      <c r="H35" s="2" t="s">
        <v>76</v>
      </c>
      <c r="I35" s="2" t="s">
        <v>111</v>
      </c>
      <c r="J35" s="2">
        <v>60</v>
      </c>
      <c r="K35" s="2" t="str">
        <f t="shared" si="0"/>
        <v>1200</v>
      </c>
    </row>
    <row r="36" spans="1:11" x14ac:dyDescent="0.3">
      <c r="A36" s="2" t="s">
        <v>112</v>
      </c>
      <c r="B36" s="2" t="s">
        <v>73</v>
      </c>
      <c r="C36" s="2" t="s">
        <v>30</v>
      </c>
      <c r="D36" s="2" t="s">
        <v>13</v>
      </c>
      <c r="E36" s="2">
        <v>15</v>
      </c>
      <c r="F36" s="2">
        <v>9</v>
      </c>
      <c r="G36" s="2" t="s">
        <v>14</v>
      </c>
      <c r="H36" s="2" t="s">
        <v>26</v>
      </c>
      <c r="I36" s="2" t="s">
        <v>113</v>
      </c>
      <c r="J36" s="2">
        <v>58</v>
      </c>
      <c r="K36" s="2" t="str">
        <f t="shared" si="0"/>
        <v>1000</v>
      </c>
    </row>
    <row r="37" spans="1:11" x14ac:dyDescent="0.3">
      <c r="A37" s="2" t="s">
        <v>114</v>
      </c>
      <c r="B37" s="2" t="s">
        <v>73</v>
      </c>
      <c r="C37" s="2" t="s">
        <v>58</v>
      </c>
      <c r="D37" s="2" t="s">
        <v>13</v>
      </c>
      <c r="E37" s="2">
        <v>20</v>
      </c>
      <c r="F37" s="2">
        <v>9</v>
      </c>
      <c r="G37" s="2" t="s">
        <v>25</v>
      </c>
      <c r="H37" s="2" t="s">
        <v>46</v>
      </c>
      <c r="I37" s="2" t="s">
        <v>115</v>
      </c>
      <c r="J37" s="2">
        <v>40</v>
      </c>
      <c r="K37" s="2" t="str">
        <f t="shared" si="0"/>
        <v>1000</v>
      </c>
    </row>
    <row r="38" spans="1:11" x14ac:dyDescent="0.3">
      <c r="A38" s="2" t="s">
        <v>116</v>
      </c>
      <c r="B38" s="2" t="s">
        <v>84</v>
      </c>
      <c r="C38" s="2" t="s">
        <v>19</v>
      </c>
      <c r="D38" s="2" t="s">
        <v>13</v>
      </c>
      <c r="E38" s="2">
        <v>19</v>
      </c>
      <c r="F38" s="2">
        <v>12</v>
      </c>
      <c r="G38" s="2" t="s">
        <v>14</v>
      </c>
      <c r="H38" s="2" t="s">
        <v>20</v>
      </c>
      <c r="I38" s="2" t="s">
        <v>117</v>
      </c>
      <c r="J38" s="2">
        <v>56</v>
      </c>
      <c r="K38" s="2" t="str">
        <f t="shared" si="0"/>
        <v>1800</v>
      </c>
    </row>
    <row r="39" spans="1:11" x14ac:dyDescent="0.3">
      <c r="A39" s="2" t="s">
        <v>118</v>
      </c>
      <c r="B39" s="2" t="s">
        <v>84</v>
      </c>
      <c r="C39" s="2" t="s">
        <v>58</v>
      </c>
      <c r="D39" s="2" t="s">
        <v>31</v>
      </c>
      <c r="E39" s="2">
        <v>20</v>
      </c>
      <c r="F39" s="2">
        <v>10</v>
      </c>
      <c r="G39" s="2" t="s">
        <v>32</v>
      </c>
      <c r="H39" s="2" t="s">
        <v>26</v>
      </c>
      <c r="I39" s="2" t="s">
        <v>119</v>
      </c>
      <c r="J39" s="2">
        <v>52</v>
      </c>
      <c r="K39" s="2" t="str">
        <f t="shared" si="0"/>
        <v>1200</v>
      </c>
    </row>
    <row r="40" spans="1:11" x14ac:dyDescent="0.3">
      <c r="A40" s="2" t="s">
        <v>120</v>
      </c>
      <c r="B40" s="2" t="s">
        <v>35</v>
      </c>
      <c r="C40" s="2" t="s">
        <v>36</v>
      </c>
      <c r="D40" s="2" t="s">
        <v>31</v>
      </c>
      <c r="E40" s="2">
        <v>20</v>
      </c>
      <c r="F40" s="2">
        <v>10</v>
      </c>
      <c r="G40" s="2" t="s">
        <v>43</v>
      </c>
      <c r="H40" s="2" t="s">
        <v>61</v>
      </c>
      <c r="I40" s="2" t="s">
        <v>121</v>
      </c>
      <c r="J40" s="2">
        <v>37</v>
      </c>
      <c r="K40" s="2" t="str">
        <f t="shared" si="0"/>
        <v>1200</v>
      </c>
    </row>
    <row r="41" spans="1:11" x14ac:dyDescent="0.3">
      <c r="A41" s="2" t="s">
        <v>122</v>
      </c>
      <c r="B41" s="2" t="s">
        <v>18</v>
      </c>
      <c r="C41" s="2" t="s">
        <v>19</v>
      </c>
      <c r="D41" s="2" t="s">
        <v>13</v>
      </c>
      <c r="E41" s="2">
        <v>15</v>
      </c>
      <c r="F41" s="2">
        <v>10</v>
      </c>
      <c r="G41" s="2" t="s">
        <v>32</v>
      </c>
      <c r="H41" s="2" t="s">
        <v>20</v>
      </c>
      <c r="I41" s="2" t="s">
        <v>123</v>
      </c>
      <c r="J41" s="2">
        <v>51</v>
      </c>
      <c r="K41" s="2" t="str">
        <f t="shared" si="0"/>
        <v>1200</v>
      </c>
    </row>
    <row r="42" spans="1:11" x14ac:dyDescent="0.3">
      <c r="A42" s="2" t="s">
        <v>124</v>
      </c>
      <c r="B42" s="2" t="s">
        <v>68</v>
      </c>
      <c r="C42" s="2" t="s">
        <v>36</v>
      </c>
      <c r="D42" s="2" t="s">
        <v>13</v>
      </c>
      <c r="E42" s="2">
        <v>18</v>
      </c>
      <c r="F42" s="2">
        <v>10</v>
      </c>
      <c r="G42" s="2" t="s">
        <v>43</v>
      </c>
      <c r="H42" s="2" t="s">
        <v>20</v>
      </c>
      <c r="I42" s="2" t="s">
        <v>125</v>
      </c>
      <c r="J42" s="2">
        <v>66</v>
      </c>
      <c r="K42" s="2" t="str">
        <f t="shared" si="0"/>
        <v>1200</v>
      </c>
    </row>
    <row r="43" spans="1:11" x14ac:dyDescent="0.3">
      <c r="A43" s="2" t="s">
        <v>126</v>
      </c>
      <c r="B43" s="2" t="s">
        <v>18</v>
      </c>
      <c r="C43" s="2" t="s">
        <v>24</v>
      </c>
      <c r="D43" s="2" t="s">
        <v>13</v>
      </c>
      <c r="E43" s="2">
        <v>15</v>
      </c>
      <c r="F43" s="2">
        <v>9</v>
      </c>
      <c r="G43" s="2" t="s">
        <v>25</v>
      </c>
      <c r="H43" s="2" t="s">
        <v>76</v>
      </c>
      <c r="I43" s="2" t="s">
        <v>127</v>
      </c>
      <c r="J43" s="2">
        <v>59</v>
      </c>
      <c r="K43" s="2" t="str">
        <f t="shared" si="0"/>
        <v>1000</v>
      </c>
    </row>
    <row r="44" spans="1:11" x14ac:dyDescent="0.3">
      <c r="A44" s="2" t="s">
        <v>128</v>
      </c>
      <c r="B44" s="2" t="s">
        <v>11</v>
      </c>
      <c r="C44" s="2" t="s">
        <v>24</v>
      </c>
      <c r="D44" s="2" t="s">
        <v>31</v>
      </c>
      <c r="E44" s="2">
        <v>17</v>
      </c>
      <c r="F44" s="2">
        <v>12</v>
      </c>
      <c r="G44" s="2" t="s">
        <v>32</v>
      </c>
      <c r="H44" s="2" t="s">
        <v>15</v>
      </c>
      <c r="I44" s="2" t="s">
        <v>129</v>
      </c>
      <c r="J44" s="2">
        <v>68</v>
      </c>
      <c r="K44" s="2" t="str">
        <f t="shared" si="0"/>
        <v>1800</v>
      </c>
    </row>
    <row r="45" spans="1:11" x14ac:dyDescent="0.3">
      <c r="A45" s="2" t="s">
        <v>130</v>
      </c>
      <c r="B45" s="2" t="s">
        <v>73</v>
      </c>
      <c r="C45" s="2" t="s">
        <v>30</v>
      </c>
      <c r="D45" s="2" t="s">
        <v>13</v>
      </c>
      <c r="E45" s="2">
        <v>17</v>
      </c>
      <c r="F45" s="2">
        <v>12</v>
      </c>
      <c r="G45" s="2" t="s">
        <v>25</v>
      </c>
      <c r="H45" s="2" t="s">
        <v>40</v>
      </c>
      <c r="I45" s="2" t="s">
        <v>131</v>
      </c>
      <c r="J45" s="2">
        <v>82</v>
      </c>
      <c r="K45" s="2" t="str">
        <f t="shared" si="0"/>
        <v>1800</v>
      </c>
    </row>
    <row r="46" spans="1:11" x14ac:dyDescent="0.3">
      <c r="A46" s="2" t="s">
        <v>132</v>
      </c>
      <c r="B46" s="2" t="s">
        <v>29</v>
      </c>
      <c r="C46" s="2" t="s">
        <v>12</v>
      </c>
      <c r="D46" s="2" t="s">
        <v>13</v>
      </c>
      <c r="E46" s="2">
        <v>17</v>
      </c>
      <c r="F46" s="2">
        <v>10</v>
      </c>
      <c r="G46" s="2" t="s">
        <v>25</v>
      </c>
      <c r="H46" s="2" t="s">
        <v>37</v>
      </c>
      <c r="I46" s="2" t="s">
        <v>133</v>
      </c>
      <c r="J46" s="2">
        <v>88</v>
      </c>
      <c r="K46" s="2" t="str">
        <f t="shared" si="0"/>
        <v>1200</v>
      </c>
    </row>
    <row r="47" spans="1:11" x14ac:dyDescent="0.3">
      <c r="A47" s="2" t="s">
        <v>134</v>
      </c>
      <c r="B47" s="2" t="s">
        <v>23</v>
      </c>
      <c r="C47" s="2" t="s">
        <v>30</v>
      </c>
      <c r="D47" s="2" t="s">
        <v>31</v>
      </c>
      <c r="E47" s="2">
        <v>20</v>
      </c>
      <c r="F47" s="2">
        <v>9</v>
      </c>
      <c r="G47" s="2" t="s">
        <v>14</v>
      </c>
      <c r="H47" s="2" t="s">
        <v>15</v>
      </c>
      <c r="I47" s="2" t="s">
        <v>135</v>
      </c>
      <c r="J47" s="2">
        <v>50</v>
      </c>
      <c r="K47" s="2" t="str">
        <f t="shared" si="0"/>
        <v>1000</v>
      </c>
    </row>
    <row r="48" spans="1:11" x14ac:dyDescent="0.3">
      <c r="A48" s="2" t="s">
        <v>136</v>
      </c>
      <c r="B48" s="2" t="s">
        <v>11</v>
      </c>
      <c r="C48" s="2" t="s">
        <v>79</v>
      </c>
      <c r="D48" s="2" t="s">
        <v>13</v>
      </c>
      <c r="E48" s="2">
        <v>14</v>
      </c>
      <c r="F48" s="2">
        <v>10</v>
      </c>
      <c r="G48" s="2" t="s">
        <v>43</v>
      </c>
      <c r="H48" s="2" t="s">
        <v>61</v>
      </c>
      <c r="I48" s="2" t="s">
        <v>137</v>
      </c>
      <c r="J48" s="2">
        <v>65</v>
      </c>
      <c r="K48" s="2" t="str">
        <f t="shared" si="0"/>
        <v>1200</v>
      </c>
    </row>
    <row r="49" spans="1:11" x14ac:dyDescent="0.3">
      <c r="A49" s="2" t="s">
        <v>138</v>
      </c>
      <c r="B49" s="2" t="s">
        <v>51</v>
      </c>
      <c r="C49" s="2" t="s">
        <v>85</v>
      </c>
      <c r="D49" s="2" t="s">
        <v>13</v>
      </c>
      <c r="E49" s="2">
        <v>18</v>
      </c>
      <c r="F49" s="2">
        <v>11</v>
      </c>
      <c r="G49" s="2" t="s">
        <v>43</v>
      </c>
      <c r="H49" s="2" t="s">
        <v>61</v>
      </c>
      <c r="I49" s="2" t="s">
        <v>139</v>
      </c>
      <c r="J49" s="2">
        <v>100</v>
      </c>
      <c r="K49" s="2" t="str">
        <f t="shared" si="0"/>
        <v>1500</v>
      </c>
    </row>
    <row r="50" spans="1:11" x14ac:dyDescent="0.3">
      <c r="A50" s="2" t="s">
        <v>140</v>
      </c>
      <c r="B50" s="2" t="s">
        <v>35</v>
      </c>
      <c r="C50" s="2" t="s">
        <v>30</v>
      </c>
      <c r="D50" s="2" t="s">
        <v>31</v>
      </c>
      <c r="E50" s="2">
        <v>19</v>
      </c>
      <c r="F50" s="2">
        <v>10</v>
      </c>
      <c r="G50" s="2" t="s">
        <v>32</v>
      </c>
      <c r="H50" s="2" t="s">
        <v>76</v>
      </c>
      <c r="I50" s="2" t="s">
        <v>141</v>
      </c>
      <c r="J50" s="2">
        <v>93</v>
      </c>
      <c r="K50" s="2" t="str">
        <f t="shared" si="0"/>
        <v>1200</v>
      </c>
    </row>
    <row r="51" spans="1:11" x14ac:dyDescent="0.3">
      <c r="A51" s="2" t="s">
        <v>142</v>
      </c>
      <c r="B51" s="2" t="s">
        <v>29</v>
      </c>
      <c r="C51" s="2" t="s">
        <v>96</v>
      </c>
      <c r="D51" s="2" t="s">
        <v>31</v>
      </c>
      <c r="E51" s="2">
        <v>16</v>
      </c>
      <c r="F51" s="2">
        <v>12</v>
      </c>
      <c r="G51" s="2" t="s">
        <v>14</v>
      </c>
      <c r="H51" s="2" t="s">
        <v>37</v>
      </c>
      <c r="I51" s="2" t="s">
        <v>143</v>
      </c>
      <c r="J51" s="2">
        <v>85</v>
      </c>
      <c r="K51" s="2" t="str">
        <f t="shared" si="0"/>
        <v>1800</v>
      </c>
    </row>
    <row r="52" spans="1:11" x14ac:dyDescent="0.3">
      <c r="A52" s="2" t="s">
        <v>144</v>
      </c>
      <c r="B52" s="2" t="s">
        <v>73</v>
      </c>
      <c r="C52" s="2" t="s">
        <v>12</v>
      </c>
      <c r="D52" s="2" t="s">
        <v>31</v>
      </c>
      <c r="E52" s="2">
        <v>20</v>
      </c>
      <c r="F52" s="2">
        <v>10</v>
      </c>
      <c r="G52" s="2" t="s">
        <v>14</v>
      </c>
      <c r="H52" s="2" t="s">
        <v>26</v>
      </c>
      <c r="I52" s="2" t="s">
        <v>145</v>
      </c>
      <c r="J52" s="2">
        <v>71</v>
      </c>
      <c r="K52" s="2" t="str">
        <f t="shared" si="0"/>
        <v>1200</v>
      </c>
    </row>
    <row r="53" spans="1:11" x14ac:dyDescent="0.3">
      <c r="A53" s="2" t="s">
        <v>146</v>
      </c>
      <c r="B53" s="2" t="s">
        <v>35</v>
      </c>
      <c r="C53" s="2" t="s">
        <v>30</v>
      </c>
      <c r="D53" s="2" t="s">
        <v>31</v>
      </c>
      <c r="E53" s="2">
        <v>20</v>
      </c>
      <c r="F53" s="2">
        <v>9</v>
      </c>
      <c r="G53" s="2" t="s">
        <v>43</v>
      </c>
      <c r="H53" s="2" t="s">
        <v>15</v>
      </c>
      <c r="I53" s="2" t="s">
        <v>147</v>
      </c>
      <c r="J53" s="2">
        <v>40</v>
      </c>
      <c r="K53" s="2" t="str">
        <f t="shared" si="0"/>
        <v>1000</v>
      </c>
    </row>
    <row r="54" spans="1:11" x14ac:dyDescent="0.3">
      <c r="A54" s="2" t="s">
        <v>148</v>
      </c>
      <c r="B54" s="2" t="s">
        <v>51</v>
      </c>
      <c r="C54" s="2" t="s">
        <v>96</v>
      </c>
      <c r="D54" s="2" t="s">
        <v>13</v>
      </c>
      <c r="E54" s="2">
        <v>19</v>
      </c>
      <c r="F54" s="2">
        <v>11</v>
      </c>
      <c r="G54" s="2" t="s">
        <v>14</v>
      </c>
      <c r="H54" s="2" t="s">
        <v>76</v>
      </c>
      <c r="I54" s="2" t="s">
        <v>149</v>
      </c>
      <c r="J54" s="2">
        <v>83</v>
      </c>
      <c r="K54" s="2" t="str">
        <f t="shared" si="0"/>
        <v>1500</v>
      </c>
    </row>
    <row r="55" spans="1:11" x14ac:dyDescent="0.3">
      <c r="A55" s="2" t="s">
        <v>150</v>
      </c>
      <c r="B55" s="2" t="s">
        <v>23</v>
      </c>
      <c r="C55" s="2" t="s">
        <v>55</v>
      </c>
      <c r="D55" s="2" t="s">
        <v>31</v>
      </c>
      <c r="E55" s="2">
        <v>17</v>
      </c>
      <c r="F55" s="2">
        <v>9</v>
      </c>
      <c r="G55" s="2" t="s">
        <v>25</v>
      </c>
      <c r="H55" s="2" t="s">
        <v>20</v>
      </c>
      <c r="I55" s="2" t="s">
        <v>151</v>
      </c>
      <c r="J55" s="2">
        <v>55</v>
      </c>
      <c r="K55" s="2" t="str">
        <f t="shared" si="0"/>
        <v>1000</v>
      </c>
    </row>
    <row r="56" spans="1:11" x14ac:dyDescent="0.3">
      <c r="A56" s="2" t="s">
        <v>152</v>
      </c>
      <c r="B56" s="2" t="s">
        <v>23</v>
      </c>
      <c r="C56" s="2" t="s">
        <v>55</v>
      </c>
      <c r="D56" s="2" t="s">
        <v>13</v>
      </c>
      <c r="E56" s="2">
        <v>17</v>
      </c>
      <c r="F56" s="2">
        <v>12</v>
      </c>
      <c r="G56" s="2" t="s">
        <v>32</v>
      </c>
      <c r="H56" s="2" t="s">
        <v>46</v>
      </c>
      <c r="I56" s="2" t="s">
        <v>153</v>
      </c>
      <c r="J56" s="2">
        <v>39</v>
      </c>
      <c r="K56" s="2" t="str">
        <f t="shared" si="0"/>
        <v>1800</v>
      </c>
    </row>
    <row r="57" spans="1:11" x14ac:dyDescent="0.3">
      <c r="A57" s="2" t="s">
        <v>154</v>
      </c>
      <c r="B57" s="2" t="s">
        <v>51</v>
      </c>
      <c r="C57" s="2" t="s">
        <v>36</v>
      </c>
      <c r="D57" s="2" t="s">
        <v>31</v>
      </c>
      <c r="E57" s="2">
        <v>18</v>
      </c>
      <c r="F57" s="2">
        <v>12</v>
      </c>
      <c r="G57" s="2" t="s">
        <v>43</v>
      </c>
      <c r="H57" s="2" t="s">
        <v>76</v>
      </c>
      <c r="I57" s="2" t="s">
        <v>155</v>
      </c>
      <c r="J57" s="2">
        <v>77</v>
      </c>
      <c r="K57" s="2" t="str">
        <f t="shared" si="0"/>
        <v>1800</v>
      </c>
    </row>
    <row r="58" spans="1:11" x14ac:dyDescent="0.3">
      <c r="A58" s="2" t="s">
        <v>156</v>
      </c>
      <c r="B58" s="2" t="s">
        <v>35</v>
      </c>
      <c r="C58" s="2" t="s">
        <v>55</v>
      </c>
      <c r="D58" s="2" t="s">
        <v>13</v>
      </c>
      <c r="E58" s="2">
        <v>19</v>
      </c>
      <c r="F58" s="2">
        <v>11</v>
      </c>
      <c r="G58" s="2" t="s">
        <v>14</v>
      </c>
      <c r="H58" s="2" t="s">
        <v>40</v>
      </c>
      <c r="I58" s="2" t="s">
        <v>157</v>
      </c>
      <c r="J58" s="2">
        <v>63</v>
      </c>
      <c r="K58" s="2" t="str">
        <f t="shared" si="0"/>
        <v>1500</v>
      </c>
    </row>
    <row r="59" spans="1:11" x14ac:dyDescent="0.3">
      <c r="A59" s="2" t="s">
        <v>158</v>
      </c>
      <c r="B59" s="2" t="s">
        <v>18</v>
      </c>
      <c r="C59" s="2" t="s">
        <v>19</v>
      </c>
      <c r="D59" s="2" t="s">
        <v>13</v>
      </c>
      <c r="E59" s="2">
        <v>16</v>
      </c>
      <c r="F59" s="2">
        <v>12</v>
      </c>
      <c r="G59" s="2" t="s">
        <v>43</v>
      </c>
      <c r="H59" s="2" t="s">
        <v>40</v>
      </c>
      <c r="I59" s="2" t="s">
        <v>159</v>
      </c>
      <c r="J59" s="2">
        <v>36</v>
      </c>
      <c r="K59" s="2" t="str">
        <f t="shared" si="0"/>
        <v>1800</v>
      </c>
    </row>
    <row r="60" spans="1:11" x14ac:dyDescent="0.3">
      <c r="A60" s="2" t="s">
        <v>160</v>
      </c>
      <c r="B60" s="2" t="s">
        <v>51</v>
      </c>
      <c r="C60" s="2" t="s">
        <v>85</v>
      </c>
      <c r="D60" s="2" t="s">
        <v>31</v>
      </c>
      <c r="E60" s="2">
        <v>17</v>
      </c>
      <c r="F60" s="2">
        <v>11</v>
      </c>
      <c r="G60" s="2" t="s">
        <v>43</v>
      </c>
      <c r="H60" s="2" t="s">
        <v>37</v>
      </c>
      <c r="I60" s="2" t="s">
        <v>161</v>
      </c>
      <c r="J60" s="2">
        <v>99</v>
      </c>
      <c r="K60" s="2" t="str">
        <f t="shared" si="0"/>
        <v>1500</v>
      </c>
    </row>
    <row r="61" spans="1:11" x14ac:dyDescent="0.3">
      <c r="A61" s="2" t="s">
        <v>162</v>
      </c>
      <c r="B61" s="2" t="s">
        <v>73</v>
      </c>
      <c r="C61" s="2" t="s">
        <v>36</v>
      </c>
      <c r="D61" s="2" t="s">
        <v>31</v>
      </c>
      <c r="E61" s="2">
        <v>20</v>
      </c>
      <c r="F61" s="2">
        <v>9</v>
      </c>
      <c r="G61" s="2" t="s">
        <v>32</v>
      </c>
      <c r="H61" s="2" t="s">
        <v>20</v>
      </c>
      <c r="I61" s="2" t="s">
        <v>163</v>
      </c>
      <c r="J61" s="2">
        <v>49</v>
      </c>
      <c r="K61" s="2" t="str">
        <f t="shared" si="0"/>
        <v>1000</v>
      </c>
    </row>
    <row r="62" spans="1:11" x14ac:dyDescent="0.3">
      <c r="A62" s="2" t="s">
        <v>164</v>
      </c>
      <c r="B62" s="2" t="s">
        <v>23</v>
      </c>
      <c r="C62" s="2" t="s">
        <v>19</v>
      </c>
      <c r="D62" s="2" t="s">
        <v>31</v>
      </c>
      <c r="E62" s="2">
        <v>17</v>
      </c>
      <c r="F62" s="2">
        <v>9</v>
      </c>
      <c r="G62" s="2" t="s">
        <v>25</v>
      </c>
      <c r="H62" s="2" t="s">
        <v>15</v>
      </c>
      <c r="I62" s="2" t="s">
        <v>165</v>
      </c>
      <c r="J62" s="2">
        <v>64</v>
      </c>
      <c r="K62" s="2" t="str">
        <f t="shared" si="0"/>
        <v>1000</v>
      </c>
    </row>
    <row r="63" spans="1:11" x14ac:dyDescent="0.3">
      <c r="A63" s="2" t="s">
        <v>166</v>
      </c>
      <c r="B63" s="2" t="s">
        <v>84</v>
      </c>
      <c r="C63" s="2" t="s">
        <v>24</v>
      </c>
      <c r="D63" s="2" t="s">
        <v>13</v>
      </c>
      <c r="E63" s="2">
        <v>14</v>
      </c>
      <c r="F63" s="2">
        <v>10</v>
      </c>
      <c r="G63" s="2" t="s">
        <v>43</v>
      </c>
      <c r="H63" s="2" t="s">
        <v>15</v>
      </c>
      <c r="I63" s="2" t="s">
        <v>167</v>
      </c>
      <c r="J63" s="2">
        <v>45</v>
      </c>
      <c r="K63" s="2" t="str">
        <f t="shared" si="0"/>
        <v>1200</v>
      </c>
    </row>
    <row r="64" spans="1:11" x14ac:dyDescent="0.3">
      <c r="A64" s="2" t="s">
        <v>168</v>
      </c>
      <c r="B64" s="2" t="s">
        <v>18</v>
      </c>
      <c r="C64" s="2" t="s">
        <v>79</v>
      </c>
      <c r="D64" s="2" t="s">
        <v>13</v>
      </c>
      <c r="E64" s="2">
        <v>17</v>
      </c>
      <c r="F64" s="2">
        <v>12</v>
      </c>
      <c r="G64" s="2" t="s">
        <v>25</v>
      </c>
      <c r="H64" s="2" t="s">
        <v>26</v>
      </c>
      <c r="I64" s="2" t="s">
        <v>137</v>
      </c>
      <c r="J64" s="2">
        <v>82</v>
      </c>
      <c r="K64" s="2" t="str">
        <f t="shared" si="0"/>
        <v>1800</v>
      </c>
    </row>
    <row r="65" spans="1:11" x14ac:dyDescent="0.3">
      <c r="A65" s="2" t="s">
        <v>169</v>
      </c>
      <c r="B65" s="2" t="s">
        <v>11</v>
      </c>
      <c r="C65" s="2" t="s">
        <v>30</v>
      </c>
      <c r="D65" s="2" t="s">
        <v>31</v>
      </c>
      <c r="E65" s="2">
        <v>18</v>
      </c>
      <c r="F65" s="2">
        <v>9</v>
      </c>
      <c r="G65" s="2" t="s">
        <v>25</v>
      </c>
      <c r="H65" s="2" t="s">
        <v>46</v>
      </c>
      <c r="I65" s="2" t="s">
        <v>170</v>
      </c>
      <c r="J65" s="2">
        <v>60</v>
      </c>
      <c r="K65" s="2" t="str">
        <f t="shared" si="0"/>
        <v>1000</v>
      </c>
    </row>
    <row r="66" spans="1:11" x14ac:dyDescent="0.3">
      <c r="A66" s="2" t="s">
        <v>171</v>
      </c>
      <c r="B66" s="2" t="s">
        <v>29</v>
      </c>
      <c r="C66" s="2" t="s">
        <v>85</v>
      </c>
      <c r="D66" s="2" t="s">
        <v>13</v>
      </c>
      <c r="E66" s="2">
        <v>14</v>
      </c>
      <c r="F66" s="2">
        <v>10</v>
      </c>
      <c r="G66" s="2" t="s">
        <v>32</v>
      </c>
      <c r="H66" s="2" t="s">
        <v>61</v>
      </c>
      <c r="I66" s="2" t="s">
        <v>172</v>
      </c>
      <c r="J66" s="2">
        <v>51</v>
      </c>
      <c r="K66" s="2" t="str">
        <f t="shared" si="0"/>
        <v>1200</v>
      </c>
    </row>
    <row r="67" spans="1:11" x14ac:dyDescent="0.3">
      <c r="A67" s="2" t="s">
        <v>173</v>
      </c>
      <c r="B67" s="2" t="s">
        <v>54</v>
      </c>
      <c r="C67" s="2" t="s">
        <v>30</v>
      </c>
      <c r="D67" s="2" t="s">
        <v>31</v>
      </c>
      <c r="E67" s="2">
        <v>18</v>
      </c>
      <c r="F67" s="2">
        <v>9</v>
      </c>
      <c r="G67" s="2" t="s">
        <v>32</v>
      </c>
      <c r="H67" s="2" t="s">
        <v>40</v>
      </c>
      <c r="I67" s="2" t="s">
        <v>174</v>
      </c>
      <c r="J67" s="2">
        <v>54</v>
      </c>
      <c r="K67" s="2" t="str">
        <f t="shared" ref="K67:K130" si="1">_xlfn.IFS(F67=9,"1000",F67=10,"1200",F67=11,"1500",F67=12,"1800")</f>
        <v>1000</v>
      </c>
    </row>
    <row r="68" spans="1:11" x14ac:dyDescent="0.3">
      <c r="A68" s="2" t="s">
        <v>175</v>
      </c>
      <c r="B68" s="2" t="s">
        <v>35</v>
      </c>
      <c r="C68" s="2" t="s">
        <v>30</v>
      </c>
      <c r="D68" s="2" t="s">
        <v>31</v>
      </c>
      <c r="E68" s="2">
        <v>20</v>
      </c>
      <c r="F68" s="2">
        <v>9</v>
      </c>
      <c r="G68" s="2" t="s">
        <v>14</v>
      </c>
      <c r="H68" s="2" t="s">
        <v>61</v>
      </c>
      <c r="I68" s="2" t="s">
        <v>176</v>
      </c>
      <c r="J68" s="2">
        <v>76</v>
      </c>
      <c r="K68" s="2" t="str">
        <f t="shared" si="1"/>
        <v>1000</v>
      </c>
    </row>
    <row r="69" spans="1:11" x14ac:dyDescent="0.3">
      <c r="A69" s="2" t="s">
        <v>177</v>
      </c>
      <c r="B69" s="2" t="s">
        <v>29</v>
      </c>
      <c r="C69" s="2" t="s">
        <v>58</v>
      </c>
      <c r="D69" s="2" t="s">
        <v>31</v>
      </c>
      <c r="E69" s="2">
        <v>19</v>
      </c>
      <c r="F69" s="2">
        <v>12</v>
      </c>
      <c r="G69" s="2" t="s">
        <v>43</v>
      </c>
      <c r="H69" s="2" t="s">
        <v>61</v>
      </c>
      <c r="I69" s="2" t="s">
        <v>178</v>
      </c>
      <c r="J69" s="2">
        <v>99</v>
      </c>
      <c r="K69" s="2" t="str">
        <f t="shared" si="1"/>
        <v>1800</v>
      </c>
    </row>
    <row r="70" spans="1:11" x14ac:dyDescent="0.3">
      <c r="A70" s="2" t="s">
        <v>179</v>
      </c>
      <c r="B70" s="2" t="s">
        <v>29</v>
      </c>
      <c r="C70" s="2" t="s">
        <v>58</v>
      </c>
      <c r="D70" s="2" t="s">
        <v>31</v>
      </c>
      <c r="E70" s="2">
        <v>16</v>
      </c>
      <c r="F70" s="2">
        <v>11</v>
      </c>
      <c r="G70" s="2" t="s">
        <v>25</v>
      </c>
      <c r="H70" s="2" t="s">
        <v>26</v>
      </c>
      <c r="I70" s="2" t="s">
        <v>180</v>
      </c>
      <c r="J70" s="2">
        <v>75</v>
      </c>
      <c r="K70" s="2" t="str">
        <f t="shared" si="1"/>
        <v>1500</v>
      </c>
    </row>
    <row r="71" spans="1:11" x14ac:dyDescent="0.3">
      <c r="A71" s="2" t="s">
        <v>181</v>
      </c>
      <c r="B71" s="2" t="s">
        <v>11</v>
      </c>
      <c r="C71" s="2" t="s">
        <v>55</v>
      </c>
      <c r="D71" s="2" t="s">
        <v>31</v>
      </c>
      <c r="E71" s="2">
        <v>18</v>
      </c>
      <c r="F71" s="2">
        <v>10</v>
      </c>
      <c r="G71" s="2" t="s">
        <v>25</v>
      </c>
      <c r="H71" s="2" t="s">
        <v>46</v>
      </c>
      <c r="I71" s="2" t="s">
        <v>182</v>
      </c>
      <c r="J71" s="2">
        <v>98</v>
      </c>
      <c r="K71" s="2" t="str">
        <f t="shared" si="1"/>
        <v>1200</v>
      </c>
    </row>
    <row r="72" spans="1:11" x14ac:dyDescent="0.3">
      <c r="A72" s="2" t="s">
        <v>183</v>
      </c>
      <c r="B72" s="2" t="s">
        <v>11</v>
      </c>
      <c r="C72" s="2" t="s">
        <v>30</v>
      </c>
      <c r="D72" s="2" t="s">
        <v>31</v>
      </c>
      <c r="E72" s="2">
        <v>17</v>
      </c>
      <c r="F72" s="2">
        <v>12</v>
      </c>
      <c r="G72" s="2" t="s">
        <v>14</v>
      </c>
      <c r="H72" s="2" t="s">
        <v>37</v>
      </c>
      <c r="I72" s="2" t="s">
        <v>184</v>
      </c>
      <c r="J72" s="2">
        <v>49</v>
      </c>
      <c r="K72" s="2" t="str">
        <f t="shared" si="1"/>
        <v>1800</v>
      </c>
    </row>
    <row r="73" spans="1:11" x14ac:dyDescent="0.3">
      <c r="A73" s="2" t="s">
        <v>185</v>
      </c>
      <c r="B73" s="2" t="s">
        <v>35</v>
      </c>
      <c r="C73" s="2" t="s">
        <v>30</v>
      </c>
      <c r="D73" s="2" t="s">
        <v>31</v>
      </c>
      <c r="E73" s="2">
        <v>14</v>
      </c>
      <c r="F73" s="2">
        <v>12</v>
      </c>
      <c r="G73" s="2" t="s">
        <v>43</v>
      </c>
      <c r="H73" s="2" t="s">
        <v>61</v>
      </c>
      <c r="I73" s="2" t="s">
        <v>186</v>
      </c>
      <c r="J73" s="2">
        <v>45</v>
      </c>
      <c r="K73" s="2" t="str">
        <f t="shared" si="1"/>
        <v>1800</v>
      </c>
    </row>
    <row r="74" spans="1:11" x14ac:dyDescent="0.3">
      <c r="A74" s="2" t="s">
        <v>187</v>
      </c>
      <c r="B74" s="2" t="s">
        <v>51</v>
      </c>
      <c r="C74" s="2" t="s">
        <v>12</v>
      </c>
      <c r="D74" s="2" t="s">
        <v>31</v>
      </c>
      <c r="E74" s="2">
        <v>17</v>
      </c>
      <c r="F74" s="2">
        <v>10</v>
      </c>
      <c r="G74" s="2" t="s">
        <v>43</v>
      </c>
      <c r="H74" s="2" t="s">
        <v>46</v>
      </c>
      <c r="I74" s="2" t="s">
        <v>101</v>
      </c>
      <c r="J74" s="2">
        <v>66</v>
      </c>
      <c r="K74" s="2" t="str">
        <f t="shared" si="1"/>
        <v>1200</v>
      </c>
    </row>
    <row r="75" spans="1:11" x14ac:dyDescent="0.3">
      <c r="A75" s="2" t="s">
        <v>188</v>
      </c>
      <c r="B75" s="2" t="s">
        <v>23</v>
      </c>
      <c r="C75" s="2" t="s">
        <v>55</v>
      </c>
      <c r="D75" s="2" t="s">
        <v>31</v>
      </c>
      <c r="E75" s="2">
        <v>15</v>
      </c>
      <c r="F75" s="2">
        <v>9</v>
      </c>
      <c r="G75" s="2" t="s">
        <v>43</v>
      </c>
      <c r="H75" s="2" t="s">
        <v>20</v>
      </c>
      <c r="I75" s="2" t="s">
        <v>189</v>
      </c>
      <c r="J75" s="2">
        <v>88</v>
      </c>
      <c r="K75" s="2" t="str">
        <f t="shared" si="1"/>
        <v>1000</v>
      </c>
    </row>
    <row r="76" spans="1:11" x14ac:dyDescent="0.3">
      <c r="A76" s="2" t="s">
        <v>190</v>
      </c>
      <c r="B76" s="2" t="s">
        <v>18</v>
      </c>
      <c r="C76" s="2" t="s">
        <v>19</v>
      </c>
      <c r="D76" s="2" t="s">
        <v>31</v>
      </c>
      <c r="E76" s="2">
        <v>14</v>
      </c>
      <c r="F76" s="2">
        <v>12</v>
      </c>
      <c r="G76" s="2" t="s">
        <v>32</v>
      </c>
      <c r="H76" s="2" t="s">
        <v>37</v>
      </c>
      <c r="I76" s="2" t="s">
        <v>191</v>
      </c>
      <c r="J76" s="2">
        <v>63</v>
      </c>
      <c r="K76" s="2" t="str">
        <f t="shared" si="1"/>
        <v>1800</v>
      </c>
    </row>
    <row r="77" spans="1:11" x14ac:dyDescent="0.3">
      <c r="A77" s="2" t="s">
        <v>192</v>
      </c>
      <c r="B77" s="2" t="s">
        <v>68</v>
      </c>
      <c r="C77" s="2" t="s">
        <v>85</v>
      </c>
      <c r="D77" s="2" t="s">
        <v>13</v>
      </c>
      <c r="E77" s="2">
        <v>19</v>
      </c>
      <c r="F77" s="2">
        <v>11</v>
      </c>
      <c r="G77" s="2" t="s">
        <v>43</v>
      </c>
      <c r="H77" s="2" t="s">
        <v>61</v>
      </c>
      <c r="I77" s="2" t="s">
        <v>193</v>
      </c>
      <c r="J77" s="2">
        <v>78</v>
      </c>
      <c r="K77" s="2" t="str">
        <f t="shared" si="1"/>
        <v>1500</v>
      </c>
    </row>
    <row r="78" spans="1:11" x14ac:dyDescent="0.3">
      <c r="A78" s="2" t="s">
        <v>194</v>
      </c>
      <c r="B78" s="2" t="s">
        <v>23</v>
      </c>
      <c r="C78" s="2" t="s">
        <v>19</v>
      </c>
      <c r="D78" s="2" t="s">
        <v>31</v>
      </c>
      <c r="E78" s="2">
        <v>20</v>
      </c>
      <c r="F78" s="2">
        <v>9</v>
      </c>
      <c r="G78" s="2" t="s">
        <v>25</v>
      </c>
      <c r="H78" s="2" t="s">
        <v>76</v>
      </c>
      <c r="I78" s="2" t="s">
        <v>195</v>
      </c>
      <c r="J78" s="2">
        <v>76</v>
      </c>
      <c r="K78" s="2" t="str">
        <f t="shared" si="1"/>
        <v>1000</v>
      </c>
    </row>
    <row r="79" spans="1:11" x14ac:dyDescent="0.3">
      <c r="A79" s="2" t="s">
        <v>196</v>
      </c>
      <c r="B79" s="2" t="s">
        <v>23</v>
      </c>
      <c r="C79" s="2" t="s">
        <v>79</v>
      </c>
      <c r="D79" s="2" t="s">
        <v>13</v>
      </c>
      <c r="E79" s="2">
        <v>18</v>
      </c>
      <c r="F79" s="2">
        <v>12</v>
      </c>
      <c r="G79" s="2" t="s">
        <v>43</v>
      </c>
      <c r="H79" s="2" t="s">
        <v>76</v>
      </c>
      <c r="I79" s="2" t="s">
        <v>197</v>
      </c>
      <c r="J79" s="2">
        <v>67</v>
      </c>
      <c r="K79" s="2" t="str">
        <f t="shared" si="1"/>
        <v>1800</v>
      </c>
    </row>
    <row r="80" spans="1:11" x14ac:dyDescent="0.3">
      <c r="A80" s="2" t="s">
        <v>198</v>
      </c>
      <c r="B80" s="2" t="s">
        <v>11</v>
      </c>
      <c r="C80" s="2" t="s">
        <v>85</v>
      </c>
      <c r="D80" s="2" t="s">
        <v>31</v>
      </c>
      <c r="E80" s="2">
        <v>14</v>
      </c>
      <c r="F80" s="2">
        <v>10</v>
      </c>
      <c r="G80" s="2" t="s">
        <v>25</v>
      </c>
      <c r="H80" s="2" t="s">
        <v>61</v>
      </c>
      <c r="I80" s="2" t="s">
        <v>199</v>
      </c>
      <c r="J80" s="2">
        <v>97</v>
      </c>
      <c r="K80" s="2" t="str">
        <f t="shared" si="1"/>
        <v>1200</v>
      </c>
    </row>
    <row r="81" spans="1:11" x14ac:dyDescent="0.3">
      <c r="A81" s="2" t="s">
        <v>200</v>
      </c>
      <c r="B81" s="2" t="s">
        <v>29</v>
      </c>
      <c r="C81" s="2" t="s">
        <v>12</v>
      </c>
      <c r="D81" s="2" t="s">
        <v>13</v>
      </c>
      <c r="E81" s="2">
        <v>18</v>
      </c>
      <c r="F81" s="2">
        <v>12</v>
      </c>
      <c r="G81" s="2" t="s">
        <v>25</v>
      </c>
      <c r="H81" s="2" t="s">
        <v>26</v>
      </c>
      <c r="I81" s="2" t="s">
        <v>201</v>
      </c>
      <c r="J81" s="2">
        <v>89</v>
      </c>
      <c r="K81" s="2" t="str">
        <f t="shared" si="1"/>
        <v>1800</v>
      </c>
    </row>
    <row r="82" spans="1:11" x14ac:dyDescent="0.3">
      <c r="A82" s="2" t="s">
        <v>202</v>
      </c>
      <c r="B82" s="2" t="s">
        <v>51</v>
      </c>
      <c r="C82" s="2" t="s">
        <v>55</v>
      </c>
      <c r="D82" s="2" t="s">
        <v>31</v>
      </c>
      <c r="E82" s="2">
        <v>15</v>
      </c>
      <c r="F82" s="2">
        <v>9</v>
      </c>
      <c r="G82" s="2" t="s">
        <v>14</v>
      </c>
      <c r="H82" s="2" t="s">
        <v>40</v>
      </c>
      <c r="I82" s="2" t="s">
        <v>111</v>
      </c>
      <c r="J82" s="2">
        <v>70</v>
      </c>
      <c r="K82" s="2" t="str">
        <f t="shared" si="1"/>
        <v>1000</v>
      </c>
    </row>
    <row r="83" spans="1:11" x14ac:dyDescent="0.3">
      <c r="A83" s="2" t="s">
        <v>203</v>
      </c>
      <c r="B83" s="2" t="s">
        <v>35</v>
      </c>
      <c r="C83" s="2" t="s">
        <v>96</v>
      </c>
      <c r="D83" s="2" t="s">
        <v>13</v>
      </c>
      <c r="E83" s="2">
        <v>17</v>
      </c>
      <c r="F83" s="2">
        <v>12</v>
      </c>
      <c r="G83" s="2" t="s">
        <v>25</v>
      </c>
      <c r="H83" s="2" t="s">
        <v>20</v>
      </c>
      <c r="I83" s="2" t="s">
        <v>204</v>
      </c>
      <c r="J83" s="2">
        <v>90</v>
      </c>
      <c r="K83" s="2" t="str">
        <f t="shared" si="1"/>
        <v>1800</v>
      </c>
    </row>
    <row r="84" spans="1:11" x14ac:dyDescent="0.3">
      <c r="A84" s="2" t="s">
        <v>205</v>
      </c>
      <c r="B84" s="2" t="s">
        <v>73</v>
      </c>
      <c r="C84" s="2" t="s">
        <v>24</v>
      </c>
      <c r="D84" s="2" t="s">
        <v>13</v>
      </c>
      <c r="E84" s="2">
        <v>17</v>
      </c>
      <c r="F84" s="2">
        <v>9</v>
      </c>
      <c r="G84" s="2" t="s">
        <v>14</v>
      </c>
      <c r="H84" s="2" t="s">
        <v>46</v>
      </c>
      <c r="I84" s="2" t="s">
        <v>206</v>
      </c>
      <c r="J84" s="2">
        <v>59</v>
      </c>
      <c r="K84" s="2" t="str">
        <f t="shared" si="1"/>
        <v>1000</v>
      </c>
    </row>
    <row r="85" spans="1:11" x14ac:dyDescent="0.3">
      <c r="A85" s="2" t="s">
        <v>207</v>
      </c>
      <c r="B85" s="2" t="s">
        <v>54</v>
      </c>
      <c r="C85" s="2" t="s">
        <v>19</v>
      </c>
      <c r="D85" s="2" t="s">
        <v>31</v>
      </c>
      <c r="E85" s="2">
        <v>19</v>
      </c>
      <c r="F85" s="2">
        <v>9</v>
      </c>
      <c r="G85" s="2" t="s">
        <v>14</v>
      </c>
      <c r="H85" s="2" t="s">
        <v>61</v>
      </c>
      <c r="I85" s="2" t="s">
        <v>208</v>
      </c>
      <c r="J85" s="2">
        <v>76</v>
      </c>
      <c r="K85" s="2" t="str">
        <f t="shared" si="1"/>
        <v>1000</v>
      </c>
    </row>
    <row r="86" spans="1:11" x14ac:dyDescent="0.3">
      <c r="A86" s="2" t="s">
        <v>209</v>
      </c>
      <c r="B86" s="2" t="s">
        <v>29</v>
      </c>
      <c r="C86" s="2" t="s">
        <v>30</v>
      </c>
      <c r="D86" s="2" t="s">
        <v>31</v>
      </c>
      <c r="E86" s="2">
        <v>18</v>
      </c>
      <c r="F86" s="2">
        <v>11</v>
      </c>
      <c r="G86" s="2" t="s">
        <v>43</v>
      </c>
      <c r="H86" s="2" t="s">
        <v>20</v>
      </c>
      <c r="I86" s="2" t="s">
        <v>210</v>
      </c>
      <c r="J86" s="2">
        <v>78</v>
      </c>
      <c r="K86" s="2" t="str">
        <f t="shared" si="1"/>
        <v>1500</v>
      </c>
    </row>
    <row r="87" spans="1:11" x14ac:dyDescent="0.3">
      <c r="A87" s="2" t="s">
        <v>211</v>
      </c>
      <c r="B87" s="2" t="s">
        <v>35</v>
      </c>
      <c r="C87" s="2" t="s">
        <v>19</v>
      </c>
      <c r="D87" s="2" t="s">
        <v>31</v>
      </c>
      <c r="E87" s="2">
        <v>16</v>
      </c>
      <c r="F87" s="2">
        <v>9</v>
      </c>
      <c r="G87" s="2" t="s">
        <v>14</v>
      </c>
      <c r="H87" s="2" t="s">
        <v>37</v>
      </c>
      <c r="I87" s="2" t="s">
        <v>212</v>
      </c>
      <c r="J87" s="2">
        <v>57</v>
      </c>
      <c r="K87" s="2" t="str">
        <f t="shared" si="1"/>
        <v>1000</v>
      </c>
    </row>
    <row r="88" spans="1:11" x14ac:dyDescent="0.3">
      <c r="A88" s="2" t="s">
        <v>213</v>
      </c>
      <c r="B88" s="2" t="s">
        <v>29</v>
      </c>
      <c r="C88" s="2" t="s">
        <v>24</v>
      </c>
      <c r="D88" s="2" t="s">
        <v>31</v>
      </c>
      <c r="E88" s="2">
        <v>17</v>
      </c>
      <c r="F88" s="2">
        <v>11</v>
      </c>
      <c r="G88" s="2" t="s">
        <v>14</v>
      </c>
      <c r="H88" s="2" t="s">
        <v>76</v>
      </c>
      <c r="I88" s="2" t="s">
        <v>214</v>
      </c>
      <c r="J88" s="2">
        <v>74</v>
      </c>
      <c r="K88" s="2" t="str">
        <f t="shared" si="1"/>
        <v>1500</v>
      </c>
    </row>
    <row r="89" spans="1:11" x14ac:dyDescent="0.3">
      <c r="A89" s="2" t="s">
        <v>215</v>
      </c>
      <c r="B89" s="2" t="s">
        <v>84</v>
      </c>
      <c r="C89" s="2" t="s">
        <v>36</v>
      </c>
      <c r="D89" s="2" t="s">
        <v>31</v>
      </c>
      <c r="E89" s="2">
        <v>19</v>
      </c>
      <c r="F89" s="2">
        <v>12</v>
      </c>
      <c r="G89" s="2" t="s">
        <v>14</v>
      </c>
      <c r="H89" s="2" t="s">
        <v>37</v>
      </c>
      <c r="I89" s="2" t="s">
        <v>216</v>
      </c>
      <c r="J89" s="2">
        <v>84</v>
      </c>
      <c r="K89" s="2" t="str">
        <f t="shared" si="1"/>
        <v>1800</v>
      </c>
    </row>
    <row r="90" spans="1:11" x14ac:dyDescent="0.3">
      <c r="A90" s="2" t="s">
        <v>217</v>
      </c>
      <c r="B90" s="2" t="s">
        <v>84</v>
      </c>
      <c r="C90" s="2" t="s">
        <v>96</v>
      </c>
      <c r="D90" s="2" t="s">
        <v>31</v>
      </c>
      <c r="E90" s="2">
        <v>17</v>
      </c>
      <c r="F90" s="2">
        <v>10</v>
      </c>
      <c r="G90" s="2" t="s">
        <v>43</v>
      </c>
      <c r="H90" s="2" t="s">
        <v>46</v>
      </c>
      <c r="I90" s="2" t="s">
        <v>218</v>
      </c>
      <c r="J90" s="2">
        <v>46</v>
      </c>
      <c r="K90" s="2" t="str">
        <f t="shared" si="1"/>
        <v>1200</v>
      </c>
    </row>
    <row r="91" spans="1:11" x14ac:dyDescent="0.3">
      <c r="A91" s="2" t="s">
        <v>219</v>
      </c>
      <c r="B91" s="2" t="s">
        <v>68</v>
      </c>
      <c r="C91" s="2" t="s">
        <v>19</v>
      </c>
      <c r="D91" s="2" t="s">
        <v>13</v>
      </c>
      <c r="E91" s="2">
        <v>19</v>
      </c>
      <c r="F91" s="2">
        <v>9</v>
      </c>
      <c r="G91" s="2" t="s">
        <v>14</v>
      </c>
      <c r="H91" s="2" t="s">
        <v>40</v>
      </c>
      <c r="I91" s="2" t="s">
        <v>220</v>
      </c>
      <c r="J91" s="2">
        <v>63</v>
      </c>
      <c r="K91" s="2" t="str">
        <f t="shared" si="1"/>
        <v>1000</v>
      </c>
    </row>
    <row r="92" spans="1:11" x14ac:dyDescent="0.3">
      <c r="A92" s="2" t="s">
        <v>221</v>
      </c>
      <c r="B92" s="2" t="s">
        <v>51</v>
      </c>
      <c r="C92" s="2" t="s">
        <v>55</v>
      </c>
      <c r="D92" s="2" t="s">
        <v>13</v>
      </c>
      <c r="E92" s="2">
        <v>14</v>
      </c>
      <c r="F92" s="2">
        <v>10</v>
      </c>
      <c r="G92" s="2" t="s">
        <v>43</v>
      </c>
      <c r="H92" s="2" t="s">
        <v>61</v>
      </c>
      <c r="I92" s="2" t="s">
        <v>222</v>
      </c>
      <c r="J92" s="2">
        <v>72</v>
      </c>
      <c r="K92" s="2" t="str">
        <f t="shared" si="1"/>
        <v>1200</v>
      </c>
    </row>
    <row r="93" spans="1:11" x14ac:dyDescent="0.3">
      <c r="A93" s="2" t="s">
        <v>223</v>
      </c>
      <c r="B93" s="2" t="s">
        <v>68</v>
      </c>
      <c r="C93" s="2" t="s">
        <v>24</v>
      </c>
      <c r="D93" s="2" t="s">
        <v>13</v>
      </c>
      <c r="E93" s="2">
        <v>18</v>
      </c>
      <c r="F93" s="2">
        <v>11</v>
      </c>
      <c r="G93" s="2" t="s">
        <v>32</v>
      </c>
      <c r="H93" s="2" t="s">
        <v>40</v>
      </c>
      <c r="I93" s="2" t="s">
        <v>224</v>
      </c>
      <c r="J93" s="2">
        <v>87</v>
      </c>
      <c r="K93" s="2" t="str">
        <f t="shared" si="1"/>
        <v>1500</v>
      </c>
    </row>
    <row r="94" spans="1:11" x14ac:dyDescent="0.3">
      <c r="A94" s="2" t="s">
        <v>225</v>
      </c>
      <c r="B94" s="2" t="s">
        <v>35</v>
      </c>
      <c r="C94" s="2" t="s">
        <v>85</v>
      </c>
      <c r="D94" s="2" t="s">
        <v>13</v>
      </c>
      <c r="E94" s="2">
        <v>20</v>
      </c>
      <c r="F94" s="2">
        <v>9</v>
      </c>
      <c r="G94" s="2" t="s">
        <v>14</v>
      </c>
      <c r="H94" s="2" t="s">
        <v>40</v>
      </c>
      <c r="I94" s="2" t="s">
        <v>226</v>
      </c>
      <c r="J94" s="2">
        <v>55</v>
      </c>
      <c r="K94" s="2" t="str">
        <f t="shared" si="1"/>
        <v>1000</v>
      </c>
    </row>
    <row r="95" spans="1:11" x14ac:dyDescent="0.3">
      <c r="A95" s="2" t="s">
        <v>227</v>
      </c>
      <c r="B95" s="2" t="s">
        <v>68</v>
      </c>
      <c r="C95" s="2" t="s">
        <v>58</v>
      </c>
      <c r="D95" s="2" t="s">
        <v>13</v>
      </c>
      <c r="E95" s="2">
        <v>17</v>
      </c>
      <c r="F95" s="2">
        <v>12</v>
      </c>
      <c r="G95" s="2" t="s">
        <v>32</v>
      </c>
      <c r="H95" s="2" t="s">
        <v>26</v>
      </c>
      <c r="I95" s="2" t="s">
        <v>228</v>
      </c>
      <c r="J95" s="2">
        <v>37</v>
      </c>
      <c r="K95" s="2" t="str">
        <f t="shared" si="1"/>
        <v>1800</v>
      </c>
    </row>
    <row r="96" spans="1:11" x14ac:dyDescent="0.3">
      <c r="A96" s="2" t="s">
        <v>229</v>
      </c>
      <c r="B96" s="2" t="s">
        <v>68</v>
      </c>
      <c r="C96" s="2" t="s">
        <v>24</v>
      </c>
      <c r="D96" s="2" t="s">
        <v>13</v>
      </c>
      <c r="E96" s="2">
        <v>17</v>
      </c>
      <c r="F96" s="2">
        <v>11</v>
      </c>
      <c r="G96" s="2" t="s">
        <v>43</v>
      </c>
      <c r="H96" s="2" t="s">
        <v>26</v>
      </c>
      <c r="I96" s="2" t="s">
        <v>230</v>
      </c>
      <c r="J96" s="2">
        <v>53</v>
      </c>
      <c r="K96" s="2" t="str">
        <f t="shared" si="1"/>
        <v>1500</v>
      </c>
    </row>
    <row r="97" spans="1:11" x14ac:dyDescent="0.3">
      <c r="A97" s="2" t="s">
        <v>231</v>
      </c>
      <c r="B97" s="2" t="s">
        <v>23</v>
      </c>
      <c r="C97" s="2" t="s">
        <v>24</v>
      </c>
      <c r="D97" s="2" t="s">
        <v>31</v>
      </c>
      <c r="E97" s="2">
        <v>18</v>
      </c>
      <c r="F97" s="2">
        <v>9</v>
      </c>
      <c r="G97" s="2" t="s">
        <v>25</v>
      </c>
      <c r="H97" s="2" t="s">
        <v>61</v>
      </c>
      <c r="I97" s="2" t="s">
        <v>232</v>
      </c>
      <c r="J97" s="2">
        <v>88</v>
      </c>
      <c r="K97" s="2" t="str">
        <f t="shared" si="1"/>
        <v>1000</v>
      </c>
    </row>
    <row r="98" spans="1:11" x14ac:dyDescent="0.3">
      <c r="A98" s="2" t="s">
        <v>233</v>
      </c>
      <c r="B98" s="2" t="s">
        <v>11</v>
      </c>
      <c r="C98" s="2" t="s">
        <v>55</v>
      </c>
      <c r="D98" s="2" t="s">
        <v>13</v>
      </c>
      <c r="E98" s="2">
        <v>14</v>
      </c>
      <c r="F98" s="2">
        <v>9</v>
      </c>
      <c r="G98" s="2" t="s">
        <v>25</v>
      </c>
      <c r="H98" s="2" t="s">
        <v>37</v>
      </c>
      <c r="I98" s="2" t="s">
        <v>234</v>
      </c>
      <c r="J98" s="2">
        <v>66</v>
      </c>
      <c r="K98" s="2" t="str">
        <f t="shared" si="1"/>
        <v>1000</v>
      </c>
    </row>
    <row r="99" spans="1:11" x14ac:dyDescent="0.3">
      <c r="A99" s="2" t="s">
        <v>235</v>
      </c>
      <c r="B99" s="2" t="s">
        <v>11</v>
      </c>
      <c r="C99" s="2" t="s">
        <v>36</v>
      </c>
      <c r="D99" s="2" t="s">
        <v>31</v>
      </c>
      <c r="E99" s="2">
        <v>14</v>
      </c>
      <c r="F99" s="2">
        <v>12</v>
      </c>
      <c r="G99" s="2" t="s">
        <v>43</v>
      </c>
      <c r="H99" s="2" t="s">
        <v>40</v>
      </c>
      <c r="I99" s="2" t="s">
        <v>236</v>
      </c>
      <c r="J99" s="2">
        <v>65</v>
      </c>
      <c r="K99" s="2" t="str">
        <f t="shared" si="1"/>
        <v>1800</v>
      </c>
    </row>
    <row r="100" spans="1:11" x14ac:dyDescent="0.3">
      <c r="A100" s="2" t="s">
        <v>237</v>
      </c>
      <c r="B100" s="2" t="s">
        <v>23</v>
      </c>
      <c r="C100" s="2" t="s">
        <v>24</v>
      </c>
      <c r="D100" s="2" t="s">
        <v>31</v>
      </c>
      <c r="E100" s="2">
        <v>16</v>
      </c>
      <c r="F100" s="2">
        <v>10</v>
      </c>
      <c r="G100" s="2" t="s">
        <v>43</v>
      </c>
      <c r="H100" s="2" t="s">
        <v>20</v>
      </c>
      <c r="I100" s="2" t="s">
        <v>238</v>
      </c>
      <c r="J100" s="2">
        <v>71</v>
      </c>
      <c r="K100" s="2" t="str">
        <f t="shared" si="1"/>
        <v>1200</v>
      </c>
    </row>
    <row r="101" spans="1:11" x14ac:dyDescent="0.3">
      <c r="A101" s="2" t="s">
        <v>239</v>
      </c>
      <c r="B101" s="2" t="s">
        <v>68</v>
      </c>
      <c r="C101" s="2" t="s">
        <v>58</v>
      </c>
      <c r="D101" s="2" t="s">
        <v>13</v>
      </c>
      <c r="E101" s="2">
        <v>18</v>
      </c>
      <c r="F101" s="2">
        <v>11</v>
      </c>
      <c r="G101" s="2" t="s">
        <v>25</v>
      </c>
      <c r="H101" s="2" t="s">
        <v>15</v>
      </c>
      <c r="I101" s="2" t="s">
        <v>240</v>
      </c>
      <c r="J101" s="2">
        <v>48</v>
      </c>
      <c r="K101" s="2" t="str">
        <f t="shared" si="1"/>
        <v>1500</v>
      </c>
    </row>
    <row r="102" spans="1:11" x14ac:dyDescent="0.3">
      <c r="A102" s="2" t="s">
        <v>241</v>
      </c>
      <c r="B102" s="2" t="s">
        <v>54</v>
      </c>
      <c r="C102" s="2" t="s">
        <v>85</v>
      </c>
      <c r="D102" s="2" t="s">
        <v>31</v>
      </c>
      <c r="E102" s="2">
        <v>15</v>
      </c>
      <c r="F102" s="2">
        <v>12</v>
      </c>
      <c r="G102" s="2" t="s">
        <v>14</v>
      </c>
      <c r="H102" s="2" t="s">
        <v>40</v>
      </c>
      <c r="I102" s="2" t="s">
        <v>242</v>
      </c>
      <c r="J102" s="2">
        <v>100</v>
      </c>
      <c r="K102" s="2" t="str">
        <f t="shared" si="1"/>
        <v>1800</v>
      </c>
    </row>
    <row r="103" spans="1:11" x14ac:dyDescent="0.3">
      <c r="A103" s="2" t="s">
        <v>243</v>
      </c>
      <c r="B103" s="2" t="s">
        <v>23</v>
      </c>
      <c r="C103" s="2" t="s">
        <v>96</v>
      </c>
      <c r="D103" s="2" t="s">
        <v>31</v>
      </c>
      <c r="E103" s="2">
        <v>15</v>
      </c>
      <c r="F103" s="2">
        <v>11</v>
      </c>
      <c r="G103" s="2" t="s">
        <v>25</v>
      </c>
      <c r="H103" s="2" t="s">
        <v>61</v>
      </c>
      <c r="I103" s="2" t="s">
        <v>244</v>
      </c>
      <c r="J103" s="2">
        <v>72</v>
      </c>
      <c r="K103" s="2" t="str">
        <f t="shared" si="1"/>
        <v>1500</v>
      </c>
    </row>
    <row r="104" spans="1:11" x14ac:dyDescent="0.3">
      <c r="A104" s="2" t="s">
        <v>245</v>
      </c>
      <c r="B104" s="2" t="s">
        <v>54</v>
      </c>
      <c r="C104" s="2" t="s">
        <v>19</v>
      </c>
      <c r="D104" s="2" t="s">
        <v>31</v>
      </c>
      <c r="E104" s="2">
        <v>18</v>
      </c>
      <c r="F104" s="2">
        <v>12</v>
      </c>
      <c r="G104" s="2" t="s">
        <v>32</v>
      </c>
      <c r="H104" s="2" t="s">
        <v>26</v>
      </c>
      <c r="I104" s="2" t="s">
        <v>246</v>
      </c>
      <c r="J104" s="2">
        <v>74</v>
      </c>
      <c r="K104" s="2" t="str">
        <f t="shared" si="1"/>
        <v>1800</v>
      </c>
    </row>
    <row r="105" spans="1:11" x14ac:dyDescent="0.3">
      <c r="A105" s="2" t="s">
        <v>247</v>
      </c>
      <c r="B105" s="2" t="s">
        <v>29</v>
      </c>
      <c r="C105" s="2" t="s">
        <v>58</v>
      </c>
      <c r="D105" s="2" t="s">
        <v>31</v>
      </c>
      <c r="E105" s="2">
        <v>14</v>
      </c>
      <c r="F105" s="2">
        <v>12</v>
      </c>
      <c r="G105" s="2" t="s">
        <v>14</v>
      </c>
      <c r="H105" s="2" t="s">
        <v>40</v>
      </c>
      <c r="I105" s="2" t="s">
        <v>248</v>
      </c>
      <c r="J105" s="2">
        <v>66</v>
      </c>
      <c r="K105" s="2" t="str">
        <f t="shared" si="1"/>
        <v>1800</v>
      </c>
    </row>
    <row r="106" spans="1:11" x14ac:dyDescent="0.3">
      <c r="A106" s="2" t="s">
        <v>249</v>
      </c>
      <c r="B106" s="2" t="s">
        <v>68</v>
      </c>
      <c r="C106" s="2" t="s">
        <v>30</v>
      </c>
      <c r="D106" s="2" t="s">
        <v>31</v>
      </c>
      <c r="E106" s="2">
        <v>16</v>
      </c>
      <c r="F106" s="2">
        <v>11</v>
      </c>
      <c r="G106" s="2" t="s">
        <v>32</v>
      </c>
      <c r="H106" s="2" t="s">
        <v>20</v>
      </c>
      <c r="I106" s="2" t="s">
        <v>250</v>
      </c>
      <c r="J106" s="2">
        <v>90</v>
      </c>
      <c r="K106" s="2" t="str">
        <f t="shared" si="1"/>
        <v>1500</v>
      </c>
    </row>
    <row r="107" spans="1:11" x14ac:dyDescent="0.3">
      <c r="A107" s="2" t="s">
        <v>251</v>
      </c>
      <c r="B107" s="2" t="s">
        <v>23</v>
      </c>
      <c r="C107" s="2" t="s">
        <v>24</v>
      </c>
      <c r="D107" s="2" t="s">
        <v>13</v>
      </c>
      <c r="E107" s="2">
        <v>16</v>
      </c>
      <c r="F107" s="2">
        <v>12</v>
      </c>
      <c r="G107" s="2" t="s">
        <v>43</v>
      </c>
      <c r="H107" s="2" t="s">
        <v>40</v>
      </c>
      <c r="I107" s="2" t="s">
        <v>252</v>
      </c>
      <c r="J107" s="2">
        <v>50</v>
      </c>
      <c r="K107" s="2" t="str">
        <f t="shared" si="1"/>
        <v>1800</v>
      </c>
    </row>
    <row r="108" spans="1:11" x14ac:dyDescent="0.3">
      <c r="A108" s="2" t="s">
        <v>253</v>
      </c>
      <c r="B108" s="2" t="s">
        <v>18</v>
      </c>
      <c r="C108" s="2" t="s">
        <v>24</v>
      </c>
      <c r="D108" s="2" t="s">
        <v>13</v>
      </c>
      <c r="E108" s="2">
        <v>15</v>
      </c>
      <c r="F108" s="2">
        <v>9</v>
      </c>
      <c r="G108" s="2" t="s">
        <v>25</v>
      </c>
      <c r="H108" s="2" t="s">
        <v>20</v>
      </c>
      <c r="I108" s="2" t="s">
        <v>254</v>
      </c>
      <c r="J108" s="2">
        <v>36</v>
      </c>
      <c r="K108" s="2" t="str">
        <f t="shared" si="1"/>
        <v>1000</v>
      </c>
    </row>
    <row r="109" spans="1:11" x14ac:dyDescent="0.3">
      <c r="A109" s="2" t="s">
        <v>255</v>
      </c>
      <c r="B109" s="2" t="s">
        <v>51</v>
      </c>
      <c r="C109" s="2" t="s">
        <v>79</v>
      </c>
      <c r="D109" s="2" t="s">
        <v>31</v>
      </c>
      <c r="E109" s="2">
        <v>20</v>
      </c>
      <c r="F109" s="2">
        <v>12</v>
      </c>
      <c r="G109" s="2" t="s">
        <v>43</v>
      </c>
      <c r="H109" s="2" t="s">
        <v>40</v>
      </c>
      <c r="I109" s="2" t="s">
        <v>256</v>
      </c>
      <c r="J109" s="2">
        <v>48</v>
      </c>
      <c r="K109" s="2" t="str">
        <f t="shared" si="1"/>
        <v>1800</v>
      </c>
    </row>
    <row r="110" spans="1:11" x14ac:dyDescent="0.3">
      <c r="A110" s="2" t="s">
        <v>257</v>
      </c>
      <c r="B110" s="2" t="s">
        <v>68</v>
      </c>
      <c r="C110" s="2" t="s">
        <v>79</v>
      </c>
      <c r="D110" s="2" t="s">
        <v>31</v>
      </c>
      <c r="E110" s="2">
        <v>20</v>
      </c>
      <c r="F110" s="2">
        <v>11</v>
      </c>
      <c r="G110" s="2" t="s">
        <v>43</v>
      </c>
      <c r="H110" s="2" t="s">
        <v>46</v>
      </c>
      <c r="I110" s="2" t="s">
        <v>258</v>
      </c>
      <c r="J110" s="2">
        <v>52</v>
      </c>
      <c r="K110" s="2" t="str">
        <f t="shared" si="1"/>
        <v>1500</v>
      </c>
    </row>
    <row r="111" spans="1:11" x14ac:dyDescent="0.3">
      <c r="A111" s="2" t="s">
        <v>259</v>
      </c>
      <c r="B111" s="2" t="s">
        <v>54</v>
      </c>
      <c r="C111" s="2" t="s">
        <v>85</v>
      </c>
      <c r="D111" s="2" t="s">
        <v>13</v>
      </c>
      <c r="E111" s="2">
        <v>14</v>
      </c>
      <c r="F111" s="2">
        <v>11</v>
      </c>
      <c r="G111" s="2" t="s">
        <v>43</v>
      </c>
      <c r="H111" s="2" t="s">
        <v>46</v>
      </c>
      <c r="I111" s="2" t="s">
        <v>260</v>
      </c>
      <c r="J111" s="2">
        <v>62</v>
      </c>
      <c r="K111" s="2" t="str">
        <f t="shared" si="1"/>
        <v>1500</v>
      </c>
    </row>
    <row r="112" spans="1:11" x14ac:dyDescent="0.3">
      <c r="A112" s="2" t="s">
        <v>261</v>
      </c>
      <c r="B112" s="2" t="s">
        <v>23</v>
      </c>
      <c r="C112" s="2" t="s">
        <v>36</v>
      </c>
      <c r="D112" s="2" t="s">
        <v>13</v>
      </c>
      <c r="E112" s="2">
        <v>15</v>
      </c>
      <c r="F112" s="2">
        <v>11</v>
      </c>
      <c r="G112" s="2" t="s">
        <v>25</v>
      </c>
      <c r="H112" s="2" t="s">
        <v>26</v>
      </c>
      <c r="I112" s="2" t="s">
        <v>262</v>
      </c>
      <c r="J112" s="2">
        <v>63</v>
      </c>
      <c r="K112" s="2" t="str">
        <f t="shared" si="1"/>
        <v>1500</v>
      </c>
    </row>
    <row r="113" spans="1:11" x14ac:dyDescent="0.3">
      <c r="A113" s="2" t="s">
        <v>263</v>
      </c>
      <c r="B113" s="2" t="s">
        <v>29</v>
      </c>
      <c r="C113" s="2" t="s">
        <v>19</v>
      </c>
      <c r="D113" s="2" t="s">
        <v>13</v>
      </c>
      <c r="E113" s="2">
        <v>15</v>
      </c>
      <c r="F113" s="2">
        <v>11</v>
      </c>
      <c r="G113" s="2" t="s">
        <v>25</v>
      </c>
      <c r="H113" s="2" t="s">
        <v>46</v>
      </c>
      <c r="I113" s="2" t="s">
        <v>264</v>
      </c>
      <c r="J113" s="2">
        <v>58</v>
      </c>
      <c r="K113" s="2" t="str">
        <f t="shared" si="1"/>
        <v>1500</v>
      </c>
    </row>
    <row r="114" spans="1:11" x14ac:dyDescent="0.3">
      <c r="A114" s="2" t="s">
        <v>265</v>
      </c>
      <c r="B114" s="2" t="s">
        <v>11</v>
      </c>
      <c r="C114" s="2" t="s">
        <v>85</v>
      </c>
      <c r="D114" s="2" t="s">
        <v>31</v>
      </c>
      <c r="E114" s="2">
        <v>14</v>
      </c>
      <c r="F114" s="2">
        <v>9</v>
      </c>
      <c r="G114" s="2" t="s">
        <v>43</v>
      </c>
      <c r="H114" s="2" t="s">
        <v>61</v>
      </c>
      <c r="I114" s="2" t="s">
        <v>56</v>
      </c>
      <c r="J114" s="2">
        <v>41</v>
      </c>
      <c r="K114" s="2" t="str">
        <f t="shared" si="1"/>
        <v>1000</v>
      </c>
    </row>
    <row r="115" spans="1:11" x14ac:dyDescent="0.3">
      <c r="A115" s="2" t="s">
        <v>266</v>
      </c>
      <c r="B115" s="2" t="s">
        <v>54</v>
      </c>
      <c r="C115" s="2" t="s">
        <v>58</v>
      </c>
      <c r="D115" s="2" t="s">
        <v>13</v>
      </c>
      <c r="E115" s="2">
        <v>19</v>
      </c>
      <c r="F115" s="2">
        <v>11</v>
      </c>
      <c r="G115" s="2" t="s">
        <v>14</v>
      </c>
      <c r="H115" s="2" t="s">
        <v>40</v>
      </c>
      <c r="I115" s="2" t="s">
        <v>267</v>
      </c>
      <c r="J115" s="2">
        <v>41</v>
      </c>
      <c r="K115" s="2" t="str">
        <f t="shared" si="1"/>
        <v>1500</v>
      </c>
    </row>
    <row r="116" spans="1:11" x14ac:dyDescent="0.3">
      <c r="A116" s="2" t="s">
        <v>268</v>
      </c>
      <c r="B116" s="2" t="s">
        <v>68</v>
      </c>
      <c r="C116" s="2" t="s">
        <v>24</v>
      </c>
      <c r="D116" s="2" t="s">
        <v>31</v>
      </c>
      <c r="E116" s="2">
        <v>16</v>
      </c>
      <c r="F116" s="2">
        <v>12</v>
      </c>
      <c r="G116" s="2" t="s">
        <v>43</v>
      </c>
      <c r="H116" s="2" t="s">
        <v>26</v>
      </c>
      <c r="I116" s="2" t="s">
        <v>269</v>
      </c>
      <c r="J116" s="2">
        <v>47</v>
      </c>
      <c r="K116" s="2" t="str">
        <f t="shared" si="1"/>
        <v>1800</v>
      </c>
    </row>
    <row r="117" spans="1:11" x14ac:dyDescent="0.3">
      <c r="A117" s="2" t="s">
        <v>270</v>
      </c>
      <c r="B117" s="2" t="s">
        <v>73</v>
      </c>
      <c r="C117" s="2" t="s">
        <v>30</v>
      </c>
      <c r="D117" s="2" t="s">
        <v>31</v>
      </c>
      <c r="E117" s="2">
        <v>15</v>
      </c>
      <c r="F117" s="2">
        <v>9</v>
      </c>
      <c r="G117" s="2" t="s">
        <v>43</v>
      </c>
      <c r="H117" s="2" t="s">
        <v>26</v>
      </c>
      <c r="I117" s="2" t="s">
        <v>271</v>
      </c>
      <c r="J117" s="2">
        <v>76</v>
      </c>
      <c r="K117" s="2" t="str">
        <f t="shared" si="1"/>
        <v>1000</v>
      </c>
    </row>
    <row r="118" spans="1:11" x14ac:dyDescent="0.3">
      <c r="A118" s="2" t="s">
        <v>272</v>
      </c>
      <c r="B118" s="2" t="s">
        <v>54</v>
      </c>
      <c r="C118" s="2" t="s">
        <v>24</v>
      </c>
      <c r="D118" s="2" t="s">
        <v>13</v>
      </c>
      <c r="E118" s="2">
        <v>15</v>
      </c>
      <c r="F118" s="2">
        <v>9</v>
      </c>
      <c r="G118" s="2" t="s">
        <v>43</v>
      </c>
      <c r="H118" s="2" t="s">
        <v>20</v>
      </c>
      <c r="I118" s="2" t="s">
        <v>273</v>
      </c>
      <c r="J118" s="2">
        <v>50</v>
      </c>
      <c r="K118" s="2" t="str">
        <f t="shared" si="1"/>
        <v>1000</v>
      </c>
    </row>
    <row r="119" spans="1:11" x14ac:dyDescent="0.3">
      <c r="A119" s="2" t="s">
        <v>274</v>
      </c>
      <c r="B119" s="2" t="s">
        <v>35</v>
      </c>
      <c r="C119" s="2" t="s">
        <v>36</v>
      </c>
      <c r="D119" s="2" t="s">
        <v>13</v>
      </c>
      <c r="E119" s="2">
        <v>19</v>
      </c>
      <c r="F119" s="2">
        <v>9</v>
      </c>
      <c r="G119" s="2" t="s">
        <v>32</v>
      </c>
      <c r="H119" s="2" t="s">
        <v>61</v>
      </c>
      <c r="I119" s="2" t="s">
        <v>275</v>
      </c>
      <c r="J119" s="2">
        <v>63</v>
      </c>
      <c r="K119" s="2" t="str">
        <f t="shared" si="1"/>
        <v>1000</v>
      </c>
    </row>
    <row r="120" spans="1:11" x14ac:dyDescent="0.3">
      <c r="A120" s="2" t="s">
        <v>276</v>
      </c>
      <c r="B120" s="2" t="s">
        <v>84</v>
      </c>
      <c r="C120" s="2" t="s">
        <v>30</v>
      </c>
      <c r="D120" s="2" t="s">
        <v>31</v>
      </c>
      <c r="E120" s="2">
        <v>14</v>
      </c>
      <c r="F120" s="2">
        <v>12</v>
      </c>
      <c r="G120" s="2" t="s">
        <v>14</v>
      </c>
      <c r="H120" s="2" t="s">
        <v>26</v>
      </c>
      <c r="I120" s="2" t="s">
        <v>277</v>
      </c>
      <c r="J120" s="2">
        <v>62</v>
      </c>
      <c r="K120" s="2" t="str">
        <f t="shared" si="1"/>
        <v>1800</v>
      </c>
    </row>
    <row r="121" spans="1:11" x14ac:dyDescent="0.3">
      <c r="A121" s="2" t="s">
        <v>278</v>
      </c>
      <c r="B121" s="2" t="s">
        <v>73</v>
      </c>
      <c r="C121" s="2" t="s">
        <v>36</v>
      </c>
      <c r="D121" s="2" t="s">
        <v>13</v>
      </c>
      <c r="E121" s="2">
        <v>14</v>
      </c>
      <c r="F121" s="2">
        <v>11</v>
      </c>
      <c r="G121" s="2" t="s">
        <v>32</v>
      </c>
      <c r="H121" s="2" t="s">
        <v>37</v>
      </c>
      <c r="I121" s="2" t="s">
        <v>279</v>
      </c>
      <c r="J121" s="2">
        <v>51</v>
      </c>
      <c r="K121" s="2" t="str">
        <f t="shared" si="1"/>
        <v>1500</v>
      </c>
    </row>
    <row r="122" spans="1:11" x14ac:dyDescent="0.3">
      <c r="A122" s="2" t="s">
        <v>280</v>
      </c>
      <c r="B122" s="2" t="s">
        <v>84</v>
      </c>
      <c r="C122" s="2" t="s">
        <v>58</v>
      </c>
      <c r="D122" s="2" t="s">
        <v>13</v>
      </c>
      <c r="E122" s="2">
        <v>18</v>
      </c>
      <c r="F122" s="2">
        <v>12</v>
      </c>
      <c r="G122" s="2" t="s">
        <v>32</v>
      </c>
      <c r="H122" s="2" t="s">
        <v>76</v>
      </c>
      <c r="I122" s="2" t="s">
        <v>159</v>
      </c>
      <c r="J122" s="2">
        <v>98</v>
      </c>
      <c r="K122" s="2" t="str">
        <f t="shared" si="1"/>
        <v>1800</v>
      </c>
    </row>
    <row r="123" spans="1:11" x14ac:dyDescent="0.3">
      <c r="A123" s="2" t="s">
        <v>281</v>
      </c>
      <c r="B123" s="2" t="s">
        <v>51</v>
      </c>
      <c r="C123" s="2" t="s">
        <v>36</v>
      </c>
      <c r="D123" s="2" t="s">
        <v>31</v>
      </c>
      <c r="E123" s="2">
        <v>15</v>
      </c>
      <c r="F123" s="2">
        <v>11</v>
      </c>
      <c r="G123" s="2" t="s">
        <v>43</v>
      </c>
      <c r="H123" s="2" t="s">
        <v>37</v>
      </c>
      <c r="I123" s="2" t="s">
        <v>282</v>
      </c>
      <c r="J123" s="2">
        <v>66</v>
      </c>
      <c r="K123" s="2" t="str">
        <f t="shared" si="1"/>
        <v>1500</v>
      </c>
    </row>
    <row r="124" spans="1:11" x14ac:dyDescent="0.3">
      <c r="A124" s="2" t="s">
        <v>283</v>
      </c>
      <c r="B124" s="2" t="s">
        <v>68</v>
      </c>
      <c r="C124" s="2" t="s">
        <v>79</v>
      </c>
      <c r="D124" s="2" t="s">
        <v>31</v>
      </c>
      <c r="E124" s="2">
        <v>16</v>
      </c>
      <c r="F124" s="2">
        <v>11</v>
      </c>
      <c r="G124" s="2" t="s">
        <v>32</v>
      </c>
      <c r="H124" s="2" t="s">
        <v>40</v>
      </c>
      <c r="I124" s="2" t="s">
        <v>284</v>
      </c>
      <c r="J124" s="2">
        <v>95</v>
      </c>
      <c r="K124" s="2" t="str">
        <f t="shared" si="1"/>
        <v>1500</v>
      </c>
    </row>
    <row r="125" spans="1:11" x14ac:dyDescent="0.3">
      <c r="A125" s="2" t="s">
        <v>285</v>
      </c>
      <c r="B125" s="2" t="s">
        <v>18</v>
      </c>
      <c r="C125" s="2" t="s">
        <v>36</v>
      </c>
      <c r="D125" s="2" t="s">
        <v>31</v>
      </c>
      <c r="E125" s="2">
        <v>14</v>
      </c>
      <c r="F125" s="2">
        <v>11</v>
      </c>
      <c r="G125" s="2" t="s">
        <v>25</v>
      </c>
      <c r="H125" s="2" t="s">
        <v>46</v>
      </c>
      <c r="I125" s="2" t="s">
        <v>286</v>
      </c>
      <c r="J125" s="2">
        <v>64</v>
      </c>
      <c r="K125" s="2" t="str">
        <f t="shared" si="1"/>
        <v>1500</v>
      </c>
    </row>
    <row r="126" spans="1:11" x14ac:dyDescent="0.3">
      <c r="A126" s="2" t="s">
        <v>287</v>
      </c>
      <c r="B126" s="2" t="s">
        <v>54</v>
      </c>
      <c r="C126" s="2" t="s">
        <v>24</v>
      </c>
      <c r="D126" s="2" t="s">
        <v>31</v>
      </c>
      <c r="E126" s="2">
        <v>14</v>
      </c>
      <c r="F126" s="2">
        <v>12</v>
      </c>
      <c r="G126" s="2" t="s">
        <v>32</v>
      </c>
      <c r="H126" s="2" t="s">
        <v>76</v>
      </c>
      <c r="I126" s="2" t="s">
        <v>288</v>
      </c>
      <c r="J126" s="2">
        <v>48</v>
      </c>
      <c r="K126" s="2" t="str">
        <f t="shared" si="1"/>
        <v>1800</v>
      </c>
    </row>
    <row r="127" spans="1:11" x14ac:dyDescent="0.3">
      <c r="A127" s="2" t="s">
        <v>289</v>
      </c>
      <c r="B127" s="2" t="s">
        <v>23</v>
      </c>
      <c r="C127" s="2" t="s">
        <v>79</v>
      </c>
      <c r="D127" s="2" t="s">
        <v>31</v>
      </c>
      <c r="E127" s="2">
        <v>17</v>
      </c>
      <c r="F127" s="2">
        <v>9</v>
      </c>
      <c r="G127" s="2" t="s">
        <v>25</v>
      </c>
      <c r="H127" s="2" t="s">
        <v>37</v>
      </c>
      <c r="I127" s="2" t="s">
        <v>290</v>
      </c>
      <c r="J127" s="2">
        <v>62</v>
      </c>
      <c r="K127" s="2" t="str">
        <f t="shared" si="1"/>
        <v>1000</v>
      </c>
    </row>
    <row r="128" spans="1:11" x14ac:dyDescent="0.3">
      <c r="A128" s="2" t="s">
        <v>291</v>
      </c>
      <c r="B128" s="2" t="s">
        <v>11</v>
      </c>
      <c r="C128" s="2" t="s">
        <v>30</v>
      </c>
      <c r="D128" s="2" t="s">
        <v>31</v>
      </c>
      <c r="E128" s="2">
        <v>16</v>
      </c>
      <c r="F128" s="2">
        <v>9</v>
      </c>
      <c r="G128" s="2" t="s">
        <v>25</v>
      </c>
      <c r="H128" s="2" t="s">
        <v>61</v>
      </c>
      <c r="I128" s="2" t="s">
        <v>292</v>
      </c>
      <c r="J128" s="2">
        <v>97</v>
      </c>
      <c r="K128" s="2" t="str">
        <f t="shared" si="1"/>
        <v>1000</v>
      </c>
    </row>
    <row r="129" spans="1:11" x14ac:dyDescent="0.3">
      <c r="A129" s="2" t="s">
        <v>293</v>
      </c>
      <c r="B129" s="2" t="s">
        <v>73</v>
      </c>
      <c r="C129" s="2" t="s">
        <v>96</v>
      </c>
      <c r="D129" s="2" t="s">
        <v>31</v>
      </c>
      <c r="E129" s="2">
        <v>20</v>
      </c>
      <c r="F129" s="2">
        <v>9</v>
      </c>
      <c r="G129" s="2" t="s">
        <v>43</v>
      </c>
      <c r="H129" s="2" t="s">
        <v>26</v>
      </c>
      <c r="I129" s="2" t="s">
        <v>74</v>
      </c>
      <c r="J129" s="2">
        <v>100</v>
      </c>
      <c r="K129" s="2" t="str">
        <f t="shared" si="1"/>
        <v>1000</v>
      </c>
    </row>
    <row r="130" spans="1:11" x14ac:dyDescent="0.3">
      <c r="A130" s="2" t="s">
        <v>294</v>
      </c>
      <c r="B130" s="2" t="s">
        <v>35</v>
      </c>
      <c r="C130" s="2" t="s">
        <v>55</v>
      </c>
      <c r="D130" s="2" t="s">
        <v>13</v>
      </c>
      <c r="E130" s="2">
        <v>20</v>
      </c>
      <c r="F130" s="2">
        <v>9</v>
      </c>
      <c r="G130" s="2" t="s">
        <v>25</v>
      </c>
      <c r="H130" s="2" t="s">
        <v>46</v>
      </c>
      <c r="I130" s="2" t="s">
        <v>295</v>
      </c>
      <c r="J130" s="2">
        <v>99</v>
      </c>
      <c r="K130" s="2" t="str">
        <f t="shared" si="1"/>
        <v>1000</v>
      </c>
    </row>
    <row r="131" spans="1:11" x14ac:dyDescent="0.3">
      <c r="A131" s="2" t="s">
        <v>296</v>
      </c>
      <c r="B131" s="2" t="s">
        <v>84</v>
      </c>
      <c r="C131" s="2" t="s">
        <v>19</v>
      </c>
      <c r="D131" s="2" t="s">
        <v>31</v>
      </c>
      <c r="E131" s="2">
        <v>20</v>
      </c>
      <c r="F131" s="2">
        <v>10</v>
      </c>
      <c r="G131" s="2" t="s">
        <v>43</v>
      </c>
      <c r="H131" s="2" t="s">
        <v>20</v>
      </c>
      <c r="I131" s="2" t="s">
        <v>297</v>
      </c>
      <c r="J131" s="2">
        <v>100</v>
      </c>
      <c r="K131" s="2" t="str">
        <f t="shared" ref="K131:K194" si="2">_xlfn.IFS(F131=9,"1000",F131=10,"1200",F131=11,"1500",F131=12,"1800")</f>
        <v>1200</v>
      </c>
    </row>
    <row r="132" spans="1:11" x14ac:dyDescent="0.3">
      <c r="A132" s="2" t="s">
        <v>298</v>
      </c>
      <c r="B132" s="2" t="s">
        <v>29</v>
      </c>
      <c r="C132" s="2" t="s">
        <v>96</v>
      </c>
      <c r="D132" s="2" t="s">
        <v>31</v>
      </c>
      <c r="E132" s="2">
        <v>20</v>
      </c>
      <c r="F132" s="2">
        <v>10</v>
      </c>
      <c r="G132" s="2" t="s">
        <v>32</v>
      </c>
      <c r="H132" s="2" t="s">
        <v>26</v>
      </c>
      <c r="I132" s="2" t="s">
        <v>299</v>
      </c>
      <c r="J132" s="2">
        <v>56</v>
      </c>
      <c r="K132" s="2" t="str">
        <f t="shared" si="2"/>
        <v>1200</v>
      </c>
    </row>
    <row r="133" spans="1:11" x14ac:dyDescent="0.3">
      <c r="A133" s="2" t="s">
        <v>300</v>
      </c>
      <c r="B133" s="2" t="s">
        <v>11</v>
      </c>
      <c r="C133" s="2" t="s">
        <v>79</v>
      </c>
      <c r="D133" s="2" t="s">
        <v>31</v>
      </c>
      <c r="E133" s="2">
        <v>18</v>
      </c>
      <c r="F133" s="2">
        <v>9</v>
      </c>
      <c r="G133" s="2" t="s">
        <v>14</v>
      </c>
      <c r="H133" s="2" t="s">
        <v>20</v>
      </c>
      <c r="I133" s="2" t="s">
        <v>301</v>
      </c>
      <c r="J133" s="2">
        <v>66</v>
      </c>
      <c r="K133" s="2" t="str">
        <f t="shared" si="2"/>
        <v>1000</v>
      </c>
    </row>
    <row r="134" spans="1:11" x14ac:dyDescent="0.3">
      <c r="A134" s="2" t="s">
        <v>302</v>
      </c>
      <c r="B134" s="2" t="s">
        <v>29</v>
      </c>
      <c r="C134" s="2" t="s">
        <v>79</v>
      </c>
      <c r="D134" s="2" t="s">
        <v>13</v>
      </c>
      <c r="E134" s="2">
        <v>14</v>
      </c>
      <c r="F134" s="2">
        <v>12</v>
      </c>
      <c r="G134" s="2" t="s">
        <v>14</v>
      </c>
      <c r="H134" s="2" t="s">
        <v>20</v>
      </c>
      <c r="I134" s="2" t="s">
        <v>303</v>
      </c>
      <c r="J134" s="2">
        <v>66</v>
      </c>
      <c r="K134" s="2" t="str">
        <f t="shared" si="2"/>
        <v>1800</v>
      </c>
    </row>
    <row r="135" spans="1:11" x14ac:dyDescent="0.3">
      <c r="A135" s="2" t="s">
        <v>304</v>
      </c>
      <c r="B135" s="2" t="s">
        <v>51</v>
      </c>
      <c r="C135" s="2" t="s">
        <v>36</v>
      </c>
      <c r="D135" s="2" t="s">
        <v>31</v>
      </c>
      <c r="E135" s="2">
        <v>15</v>
      </c>
      <c r="F135" s="2">
        <v>12</v>
      </c>
      <c r="G135" s="2" t="s">
        <v>32</v>
      </c>
      <c r="H135" s="2" t="s">
        <v>46</v>
      </c>
      <c r="I135" s="2" t="s">
        <v>305</v>
      </c>
      <c r="J135" s="2">
        <v>77</v>
      </c>
      <c r="K135" s="2" t="str">
        <f t="shared" si="2"/>
        <v>1800</v>
      </c>
    </row>
    <row r="136" spans="1:11" x14ac:dyDescent="0.3">
      <c r="A136" s="2" t="s">
        <v>306</v>
      </c>
      <c r="B136" s="2" t="s">
        <v>23</v>
      </c>
      <c r="C136" s="2" t="s">
        <v>19</v>
      </c>
      <c r="D136" s="2" t="s">
        <v>31</v>
      </c>
      <c r="E136" s="2">
        <v>16</v>
      </c>
      <c r="F136" s="2">
        <v>10</v>
      </c>
      <c r="G136" s="2" t="s">
        <v>43</v>
      </c>
      <c r="H136" s="2" t="s">
        <v>61</v>
      </c>
      <c r="I136" s="2" t="s">
        <v>307</v>
      </c>
      <c r="J136" s="2">
        <v>47</v>
      </c>
      <c r="K136" s="2" t="str">
        <f t="shared" si="2"/>
        <v>1200</v>
      </c>
    </row>
    <row r="137" spans="1:11" x14ac:dyDescent="0.3">
      <c r="A137" s="2" t="s">
        <v>308</v>
      </c>
      <c r="B137" s="2" t="s">
        <v>23</v>
      </c>
      <c r="C137" s="2" t="s">
        <v>36</v>
      </c>
      <c r="D137" s="2" t="s">
        <v>13</v>
      </c>
      <c r="E137" s="2">
        <v>18</v>
      </c>
      <c r="F137" s="2">
        <v>10</v>
      </c>
      <c r="G137" s="2" t="s">
        <v>43</v>
      </c>
      <c r="H137" s="2" t="s">
        <v>40</v>
      </c>
      <c r="I137" s="2" t="s">
        <v>309</v>
      </c>
      <c r="J137" s="2">
        <v>57</v>
      </c>
      <c r="K137" s="2" t="str">
        <f t="shared" si="2"/>
        <v>1200</v>
      </c>
    </row>
    <row r="138" spans="1:11" x14ac:dyDescent="0.3">
      <c r="A138" s="2" t="s">
        <v>310</v>
      </c>
      <c r="B138" s="2" t="s">
        <v>29</v>
      </c>
      <c r="C138" s="2" t="s">
        <v>96</v>
      </c>
      <c r="D138" s="2" t="s">
        <v>31</v>
      </c>
      <c r="E138" s="2">
        <v>16</v>
      </c>
      <c r="F138" s="2">
        <v>9</v>
      </c>
      <c r="G138" s="2" t="s">
        <v>32</v>
      </c>
      <c r="H138" s="2" t="s">
        <v>46</v>
      </c>
      <c r="I138" s="2" t="s">
        <v>311</v>
      </c>
      <c r="J138" s="2">
        <v>67</v>
      </c>
      <c r="K138" s="2" t="str">
        <f t="shared" si="2"/>
        <v>1000</v>
      </c>
    </row>
    <row r="139" spans="1:11" x14ac:dyDescent="0.3">
      <c r="A139" s="2" t="s">
        <v>312</v>
      </c>
      <c r="B139" s="2" t="s">
        <v>29</v>
      </c>
      <c r="C139" s="2" t="s">
        <v>12</v>
      </c>
      <c r="D139" s="2" t="s">
        <v>31</v>
      </c>
      <c r="E139" s="2">
        <v>14</v>
      </c>
      <c r="F139" s="2">
        <v>12</v>
      </c>
      <c r="G139" s="2" t="s">
        <v>43</v>
      </c>
      <c r="H139" s="2" t="s">
        <v>61</v>
      </c>
      <c r="I139" s="2" t="s">
        <v>313</v>
      </c>
      <c r="J139" s="2">
        <v>44</v>
      </c>
      <c r="K139" s="2" t="str">
        <f t="shared" si="2"/>
        <v>1800</v>
      </c>
    </row>
    <row r="140" spans="1:11" x14ac:dyDescent="0.3">
      <c r="A140" s="2" t="s">
        <v>314</v>
      </c>
      <c r="B140" s="2" t="s">
        <v>68</v>
      </c>
      <c r="C140" s="2" t="s">
        <v>79</v>
      </c>
      <c r="D140" s="2" t="s">
        <v>13</v>
      </c>
      <c r="E140" s="2">
        <v>15</v>
      </c>
      <c r="F140" s="2">
        <v>11</v>
      </c>
      <c r="G140" s="2" t="s">
        <v>14</v>
      </c>
      <c r="H140" s="2" t="s">
        <v>46</v>
      </c>
      <c r="I140" s="2" t="s">
        <v>315</v>
      </c>
      <c r="J140" s="2">
        <v>35</v>
      </c>
      <c r="K140" s="2" t="str">
        <f t="shared" si="2"/>
        <v>1500</v>
      </c>
    </row>
    <row r="141" spans="1:11" x14ac:dyDescent="0.3">
      <c r="A141" s="2" t="s">
        <v>316</v>
      </c>
      <c r="B141" s="2" t="s">
        <v>23</v>
      </c>
      <c r="C141" s="2" t="s">
        <v>36</v>
      </c>
      <c r="D141" s="2" t="s">
        <v>31</v>
      </c>
      <c r="E141" s="2">
        <v>20</v>
      </c>
      <c r="F141" s="2">
        <v>11</v>
      </c>
      <c r="G141" s="2" t="s">
        <v>14</v>
      </c>
      <c r="H141" s="2" t="s">
        <v>37</v>
      </c>
      <c r="I141" s="2" t="s">
        <v>317</v>
      </c>
      <c r="J141" s="2">
        <v>52</v>
      </c>
      <c r="K141" s="2" t="str">
        <f t="shared" si="2"/>
        <v>1500</v>
      </c>
    </row>
    <row r="142" spans="1:11" x14ac:dyDescent="0.3">
      <c r="A142" s="2" t="s">
        <v>318</v>
      </c>
      <c r="B142" s="2" t="s">
        <v>54</v>
      </c>
      <c r="C142" s="2" t="s">
        <v>96</v>
      </c>
      <c r="D142" s="2" t="s">
        <v>13</v>
      </c>
      <c r="E142" s="2">
        <v>18</v>
      </c>
      <c r="F142" s="2">
        <v>9</v>
      </c>
      <c r="G142" s="2" t="s">
        <v>32</v>
      </c>
      <c r="H142" s="2" t="s">
        <v>76</v>
      </c>
      <c r="I142" s="2" t="s">
        <v>319</v>
      </c>
      <c r="J142" s="2">
        <v>86</v>
      </c>
      <c r="K142" s="2" t="str">
        <f t="shared" si="2"/>
        <v>1000</v>
      </c>
    </row>
    <row r="143" spans="1:11" x14ac:dyDescent="0.3">
      <c r="A143" s="2" t="s">
        <v>320</v>
      </c>
      <c r="B143" s="2" t="s">
        <v>84</v>
      </c>
      <c r="C143" s="2" t="s">
        <v>55</v>
      </c>
      <c r="D143" s="2" t="s">
        <v>31</v>
      </c>
      <c r="E143" s="2">
        <v>16</v>
      </c>
      <c r="F143" s="2">
        <v>12</v>
      </c>
      <c r="G143" s="2" t="s">
        <v>32</v>
      </c>
      <c r="H143" s="2" t="s">
        <v>76</v>
      </c>
      <c r="I143" s="2" t="s">
        <v>321</v>
      </c>
      <c r="J143" s="2">
        <v>66</v>
      </c>
      <c r="K143" s="2" t="str">
        <f t="shared" si="2"/>
        <v>1800</v>
      </c>
    </row>
    <row r="144" spans="1:11" x14ac:dyDescent="0.3">
      <c r="A144" s="2" t="s">
        <v>322</v>
      </c>
      <c r="B144" s="2" t="s">
        <v>35</v>
      </c>
      <c r="C144" s="2" t="s">
        <v>12</v>
      </c>
      <c r="D144" s="2" t="s">
        <v>13</v>
      </c>
      <c r="E144" s="2">
        <v>14</v>
      </c>
      <c r="F144" s="2">
        <v>11</v>
      </c>
      <c r="G144" s="2" t="s">
        <v>14</v>
      </c>
      <c r="H144" s="2" t="s">
        <v>26</v>
      </c>
      <c r="I144" s="2" t="s">
        <v>323</v>
      </c>
      <c r="J144" s="2">
        <v>93</v>
      </c>
      <c r="K144" s="2" t="str">
        <f t="shared" si="2"/>
        <v>1500</v>
      </c>
    </row>
    <row r="145" spans="1:11" x14ac:dyDescent="0.3">
      <c r="A145" s="2" t="s">
        <v>324</v>
      </c>
      <c r="B145" s="2" t="s">
        <v>23</v>
      </c>
      <c r="C145" s="2" t="s">
        <v>85</v>
      </c>
      <c r="D145" s="2" t="s">
        <v>31</v>
      </c>
      <c r="E145" s="2">
        <v>16</v>
      </c>
      <c r="F145" s="2">
        <v>9</v>
      </c>
      <c r="G145" s="2" t="s">
        <v>32</v>
      </c>
      <c r="H145" s="2" t="s">
        <v>61</v>
      </c>
      <c r="I145" s="2" t="s">
        <v>325</v>
      </c>
      <c r="J145" s="2">
        <v>54</v>
      </c>
      <c r="K145" s="2" t="str">
        <f t="shared" si="2"/>
        <v>1000</v>
      </c>
    </row>
    <row r="146" spans="1:11" x14ac:dyDescent="0.3">
      <c r="A146" s="2" t="s">
        <v>326</v>
      </c>
      <c r="B146" s="2" t="s">
        <v>54</v>
      </c>
      <c r="C146" s="2" t="s">
        <v>55</v>
      </c>
      <c r="D146" s="2" t="s">
        <v>13</v>
      </c>
      <c r="E146" s="2">
        <v>20</v>
      </c>
      <c r="F146" s="2">
        <v>9</v>
      </c>
      <c r="G146" s="2" t="s">
        <v>32</v>
      </c>
      <c r="H146" s="2" t="s">
        <v>15</v>
      </c>
      <c r="I146" s="2" t="s">
        <v>77</v>
      </c>
      <c r="J146" s="2">
        <v>75</v>
      </c>
      <c r="K146" s="2" t="str">
        <f t="shared" si="2"/>
        <v>1000</v>
      </c>
    </row>
    <row r="147" spans="1:11" x14ac:dyDescent="0.3">
      <c r="A147" s="2" t="s">
        <v>327</v>
      </c>
      <c r="B147" s="2" t="s">
        <v>73</v>
      </c>
      <c r="C147" s="2" t="s">
        <v>96</v>
      </c>
      <c r="D147" s="2" t="s">
        <v>13</v>
      </c>
      <c r="E147" s="2">
        <v>20</v>
      </c>
      <c r="F147" s="2">
        <v>9</v>
      </c>
      <c r="G147" s="2" t="s">
        <v>32</v>
      </c>
      <c r="H147" s="2" t="s">
        <v>61</v>
      </c>
      <c r="I147" s="2" t="s">
        <v>328</v>
      </c>
      <c r="J147" s="2">
        <v>40</v>
      </c>
      <c r="K147" s="2" t="str">
        <f t="shared" si="2"/>
        <v>1000</v>
      </c>
    </row>
    <row r="148" spans="1:11" x14ac:dyDescent="0.3">
      <c r="A148" s="2" t="s">
        <v>329</v>
      </c>
      <c r="B148" s="2" t="s">
        <v>11</v>
      </c>
      <c r="C148" s="2" t="s">
        <v>24</v>
      </c>
      <c r="D148" s="2" t="s">
        <v>31</v>
      </c>
      <c r="E148" s="2">
        <v>15</v>
      </c>
      <c r="F148" s="2">
        <v>9</v>
      </c>
      <c r="G148" s="2" t="s">
        <v>43</v>
      </c>
      <c r="H148" s="2" t="s">
        <v>61</v>
      </c>
      <c r="I148" s="2" t="s">
        <v>330</v>
      </c>
      <c r="J148" s="2">
        <v>83</v>
      </c>
      <c r="K148" s="2" t="str">
        <f t="shared" si="2"/>
        <v>1000</v>
      </c>
    </row>
    <row r="149" spans="1:11" x14ac:dyDescent="0.3">
      <c r="A149" s="2" t="s">
        <v>331</v>
      </c>
      <c r="B149" s="2" t="s">
        <v>73</v>
      </c>
      <c r="C149" s="2" t="s">
        <v>30</v>
      </c>
      <c r="D149" s="2" t="s">
        <v>31</v>
      </c>
      <c r="E149" s="2">
        <v>19</v>
      </c>
      <c r="F149" s="2">
        <v>10</v>
      </c>
      <c r="G149" s="2" t="s">
        <v>43</v>
      </c>
      <c r="H149" s="2" t="s">
        <v>20</v>
      </c>
      <c r="I149" s="2" t="s">
        <v>191</v>
      </c>
      <c r="J149" s="2">
        <v>93</v>
      </c>
      <c r="K149" s="2" t="str">
        <f t="shared" si="2"/>
        <v>1200</v>
      </c>
    </row>
    <row r="150" spans="1:11" x14ac:dyDescent="0.3">
      <c r="A150" s="2" t="s">
        <v>332</v>
      </c>
      <c r="B150" s="2" t="s">
        <v>29</v>
      </c>
      <c r="C150" s="2" t="s">
        <v>12</v>
      </c>
      <c r="D150" s="2" t="s">
        <v>31</v>
      </c>
      <c r="E150" s="2">
        <v>16</v>
      </c>
      <c r="F150" s="2">
        <v>11</v>
      </c>
      <c r="G150" s="2" t="s">
        <v>32</v>
      </c>
      <c r="H150" s="2" t="s">
        <v>76</v>
      </c>
      <c r="I150" s="2" t="s">
        <v>333</v>
      </c>
      <c r="J150" s="2">
        <v>42</v>
      </c>
      <c r="K150" s="2" t="str">
        <f t="shared" si="2"/>
        <v>1500</v>
      </c>
    </row>
    <row r="151" spans="1:11" x14ac:dyDescent="0.3">
      <c r="A151" s="2" t="s">
        <v>334</v>
      </c>
      <c r="B151" s="2" t="s">
        <v>73</v>
      </c>
      <c r="C151" s="2" t="s">
        <v>12</v>
      </c>
      <c r="D151" s="2" t="s">
        <v>31</v>
      </c>
      <c r="E151" s="2">
        <v>18</v>
      </c>
      <c r="F151" s="2">
        <v>11</v>
      </c>
      <c r="G151" s="2" t="s">
        <v>32</v>
      </c>
      <c r="H151" s="2" t="s">
        <v>76</v>
      </c>
      <c r="I151" s="2" t="s">
        <v>335</v>
      </c>
      <c r="J151" s="2">
        <v>97</v>
      </c>
      <c r="K151" s="2" t="str">
        <f t="shared" si="2"/>
        <v>1500</v>
      </c>
    </row>
    <row r="152" spans="1:11" x14ac:dyDescent="0.3">
      <c r="A152" s="2" t="s">
        <v>336</v>
      </c>
      <c r="B152" s="2" t="s">
        <v>11</v>
      </c>
      <c r="C152" s="2" t="s">
        <v>58</v>
      </c>
      <c r="D152" s="2" t="s">
        <v>31</v>
      </c>
      <c r="E152" s="2">
        <v>19</v>
      </c>
      <c r="F152" s="2">
        <v>12</v>
      </c>
      <c r="G152" s="2" t="s">
        <v>25</v>
      </c>
      <c r="H152" s="2" t="s">
        <v>61</v>
      </c>
      <c r="I152" s="2" t="s">
        <v>218</v>
      </c>
      <c r="J152" s="2">
        <v>68</v>
      </c>
      <c r="K152" s="2" t="str">
        <f t="shared" si="2"/>
        <v>1800</v>
      </c>
    </row>
    <row r="153" spans="1:11" x14ac:dyDescent="0.3">
      <c r="A153" s="2" t="s">
        <v>337</v>
      </c>
      <c r="B153" s="2" t="s">
        <v>23</v>
      </c>
      <c r="C153" s="2" t="s">
        <v>30</v>
      </c>
      <c r="D153" s="2" t="s">
        <v>31</v>
      </c>
      <c r="E153" s="2">
        <v>19</v>
      </c>
      <c r="F153" s="2">
        <v>9</v>
      </c>
      <c r="G153" s="2" t="s">
        <v>32</v>
      </c>
      <c r="H153" s="2" t="s">
        <v>61</v>
      </c>
      <c r="I153" s="2" t="s">
        <v>338</v>
      </c>
      <c r="J153" s="2">
        <v>51</v>
      </c>
      <c r="K153" s="2" t="str">
        <f t="shared" si="2"/>
        <v>1000</v>
      </c>
    </row>
    <row r="154" spans="1:11" x14ac:dyDescent="0.3">
      <c r="A154" s="2" t="s">
        <v>339</v>
      </c>
      <c r="B154" s="2" t="s">
        <v>23</v>
      </c>
      <c r="C154" s="2" t="s">
        <v>36</v>
      </c>
      <c r="D154" s="2" t="s">
        <v>13</v>
      </c>
      <c r="E154" s="2">
        <v>18</v>
      </c>
      <c r="F154" s="2">
        <v>9</v>
      </c>
      <c r="G154" s="2" t="s">
        <v>32</v>
      </c>
      <c r="H154" s="2" t="s">
        <v>37</v>
      </c>
      <c r="I154" s="2" t="s">
        <v>340</v>
      </c>
      <c r="J154" s="2">
        <v>64</v>
      </c>
      <c r="K154" s="2" t="str">
        <f t="shared" si="2"/>
        <v>1000</v>
      </c>
    </row>
    <row r="155" spans="1:11" x14ac:dyDescent="0.3">
      <c r="A155" s="2" t="s">
        <v>341</v>
      </c>
      <c r="B155" s="2" t="s">
        <v>54</v>
      </c>
      <c r="C155" s="2" t="s">
        <v>55</v>
      </c>
      <c r="D155" s="2" t="s">
        <v>13</v>
      </c>
      <c r="E155" s="2">
        <v>14</v>
      </c>
      <c r="F155" s="2">
        <v>9</v>
      </c>
      <c r="G155" s="2" t="s">
        <v>25</v>
      </c>
      <c r="H155" s="2" t="s">
        <v>37</v>
      </c>
      <c r="I155" s="2" t="s">
        <v>342</v>
      </c>
      <c r="J155" s="2">
        <v>82</v>
      </c>
      <c r="K155" s="2" t="str">
        <f t="shared" si="2"/>
        <v>1000</v>
      </c>
    </row>
    <row r="156" spans="1:11" x14ac:dyDescent="0.3">
      <c r="A156" s="2" t="s">
        <v>343</v>
      </c>
      <c r="B156" s="2" t="s">
        <v>68</v>
      </c>
      <c r="C156" s="2" t="s">
        <v>79</v>
      </c>
      <c r="D156" s="2" t="s">
        <v>13</v>
      </c>
      <c r="E156" s="2">
        <v>19</v>
      </c>
      <c r="F156" s="2">
        <v>11</v>
      </c>
      <c r="G156" s="2" t="s">
        <v>14</v>
      </c>
      <c r="H156" s="2" t="s">
        <v>40</v>
      </c>
      <c r="I156" s="2" t="s">
        <v>344</v>
      </c>
      <c r="J156" s="2">
        <v>35</v>
      </c>
      <c r="K156" s="2" t="str">
        <f t="shared" si="2"/>
        <v>1500</v>
      </c>
    </row>
    <row r="157" spans="1:11" x14ac:dyDescent="0.3">
      <c r="A157" s="2" t="s">
        <v>345</v>
      </c>
      <c r="B157" s="2" t="s">
        <v>29</v>
      </c>
      <c r="C157" s="2" t="s">
        <v>24</v>
      </c>
      <c r="D157" s="2" t="s">
        <v>31</v>
      </c>
      <c r="E157" s="2">
        <v>15</v>
      </c>
      <c r="F157" s="2">
        <v>9</v>
      </c>
      <c r="G157" s="2" t="s">
        <v>14</v>
      </c>
      <c r="H157" s="2" t="s">
        <v>26</v>
      </c>
      <c r="I157" s="2" t="s">
        <v>346</v>
      </c>
      <c r="J157" s="2">
        <v>49</v>
      </c>
      <c r="K157" s="2" t="str">
        <f t="shared" si="2"/>
        <v>1000</v>
      </c>
    </row>
    <row r="158" spans="1:11" x14ac:dyDescent="0.3">
      <c r="A158" s="2" t="s">
        <v>347</v>
      </c>
      <c r="B158" s="2" t="s">
        <v>23</v>
      </c>
      <c r="C158" s="2" t="s">
        <v>85</v>
      </c>
      <c r="D158" s="2" t="s">
        <v>31</v>
      </c>
      <c r="E158" s="2">
        <v>15</v>
      </c>
      <c r="F158" s="2">
        <v>11</v>
      </c>
      <c r="G158" s="2" t="s">
        <v>32</v>
      </c>
      <c r="H158" s="2" t="s">
        <v>26</v>
      </c>
      <c r="I158" s="2" t="s">
        <v>348</v>
      </c>
      <c r="J158" s="2">
        <v>37</v>
      </c>
      <c r="K158" s="2" t="str">
        <f t="shared" si="2"/>
        <v>1500</v>
      </c>
    </row>
    <row r="159" spans="1:11" x14ac:dyDescent="0.3">
      <c r="A159" s="2" t="s">
        <v>349</v>
      </c>
      <c r="B159" s="2" t="s">
        <v>35</v>
      </c>
      <c r="C159" s="2" t="s">
        <v>30</v>
      </c>
      <c r="D159" s="2" t="s">
        <v>31</v>
      </c>
      <c r="E159" s="2">
        <v>18</v>
      </c>
      <c r="F159" s="2">
        <v>12</v>
      </c>
      <c r="G159" s="2" t="s">
        <v>43</v>
      </c>
      <c r="H159" s="2" t="s">
        <v>37</v>
      </c>
      <c r="I159" s="2" t="s">
        <v>350</v>
      </c>
      <c r="J159" s="2">
        <v>53</v>
      </c>
      <c r="K159" s="2" t="str">
        <f t="shared" si="2"/>
        <v>1800</v>
      </c>
    </row>
    <row r="160" spans="1:11" x14ac:dyDescent="0.3">
      <c r="A160" s="2" t="s">
        <v>351</v>
      </c>
      <c r="B160" s="2" t="s">
        <v>68</v>
      </c>
      <c r="C160" s="2" t="s">
        <v>96</v>
      </c>
      <c r="D160" s="2" t="s">
        <v>13</v>
      </c>
      <c r="E160" s="2">
        <v>15</v>
      </c>
      <c r="F160" s="2">
        <v>10</v>
      </c>
      <c r="G160" s="2" t="s">
        <v>25</v>
      </c>
      <c r="H160" s="2" t="s">
        <v>20</v>
      </c>
      <c r="I160" s="2" t="s">
        <v>352</v>
      </c>
      <c r="J160" s="2">
        <v>50</v>
      </c>
      <c r="K160" s="2" t="str">
        <f t="shared" si="2"/>
        <v>1200</v>
      </c>
    </row>
    <row r="161" spans="1:11" x14ac:dyDescent="0.3">
      <c r="A161" s="2" t="s">
        <v>353</v>
      </c>
      <c r="B161" s="2" t="s">
        <v>51</v>
      </c>
      <c r="C161" s="2" t="s">
        <v>55</v>
      </c>
      <c r="D161" s="2" t="s">
        <v>31</v>
      </c>
      <c r="E161" s="2">
        <v>20</v>
      </c>
      <c r="F161" s="2">
        <v>9</v>
      </c>
      <c r="G161" s="2" t="s">
        <v>25</v>
      </c>
      <c r="H161" s="2" t="s">
        <v>46</v>
      </c>
      <c r="I161" s="2" t="s">
        <v>354</v>
      </c>
      <c r="J161" s="2">
        <v>53</v>
      </c>
      <c r="K161" s="2" t="str">
        <f t="shared" si="2"/>
        <v>1000</v>
      </c>
    </row>
    <row r="162" spans="1:11" x14ac:dyDescent="0.3">
      <c r="A162" s="2" t="s">
        <v>355</v>
      </c>
      <c r="B162" s="2" t="s">
        <v>68</v>
      </c>
      <c r="C162" s="2" t="s">
        <v>79</v>
      </c>
      <c r="D162" s="2" t="s">
        <v>13</v>
      </c>
      <c r="E162" s="2">
        <v>15</v>
      </c>
      <c r="F162" s="2">
        <v>12</v>
      </c>
      <c r="G162" s="2" t="s">
        <v>14</v>
      </c>
      <c r="H162" s="2" t="s">
        <v>20</v>
      </c>
      <c r="I162" s="2" t="s">
        <v>356</v>
      </c>
      <c r="J162" s="2">
        <v>37</v>
      </c>
      <c r="K162" s="2" t="str">
        <f t="shared" si="2"/>
        <v>1800</v>
      </c>
    </row>
    <row r="163" spans="1:11" x14ac:dyDescent="0.3">
      <c r="A163" s="2" t="s">
        <v>357</v>
      </c>
      <c r="B163" s="2" t="s">
        <v>23</v>
      </c>
      <c r="C163" s="2" t="s">
        <v>24</v>
      </c>
      <c r="D163" s="2" t="s">
        <v>13</v>
      </c>
      <c r="E163" s="2">
        <v>16</v>
      </c>
      <c r="F163" s="2">
        <v>9</v>
      </c>
      <c r="G163" s="2" t="s">
        <v>25</v>
      </c>
      <c r="H163" s="2" t="s">
        <v>20</v>
      </c>
      <c r="I163" s="2" t="s">
        <v>358</v>
      </c>
      <c r="J163" s="2">
        <v>66</v>
      </c>
      <c r="K163" s="2" t="str">
        <f t="shared" si="2"/>
        <v>1000</v>
      </c>
    </row>
    <row r="164" spans="1:11" x14ac:dyDescent="0.3">
      <c r="A164" s="2" t="s">
        <v>359</v>
      </c>
      <c r="B164" s="2" t="s">
        <v>68</v>
      </c>
      <c r="C164" s="2" t="s">
        <v>85</v>
      </c>
      <c r="D164" s="2" t="s">
        <v>13</v>
      </c>
      <c r="E164" s="2">
        <v>19</v>
      </c>
      <c r="F164" s="2">
        <v>11</v>
      </c>
      <c r="G164" s="2" t="s">
        <v>43</v>
      </c>
      <c r="H164" s="2" t="s">
        <v>76</v>
      </c>
      <c r="I164" s="2" t="s">
        <v>360</v>
      </c>
      <c r="J164" s="2">
        <v>64</v>
      </c>
      <c r="K164" s="2" t="str">
        <f t="shared" si="2"/>
        <v>1500</v>
      </c>
    </row>
    <row r="165" spans="1:11" x14ac:dyDescent="0.3">
      <c r="A165" s="2" t="s">
        <v>361</v>
      </c>
      <c r="B165" s="2" t="s">
        <v>11</v>
      </c>
      <c r="C165" s="2" t="s">
        <v>30</v>
      </c>
      <c r="D165" s="2" t="s">
        <v>13</v>
      </c>
      <c r="E165" s="2">
        <v>20</v>
      </c>
      <c r="F165" s="2">
        <v>10</v>
      </c>
      <c r="G165" s="2" t="s">
        <v>32</v>
      </c>
      <c r="H165" s="2" t="s">
        <v>15</v>
      </c>
      <c r="I165" s="2" t="s">
        <v>362</v>
      </c>
      <c r="J165" s="2">
        <v>49</v>
      </c>
      <c r="K165" s="2" t="str">
        <f t="shared" si="2"/>
        <v>1200</v>
      </c>
    </row>
    <row r="166" spans="1:11" x14ac:dyDescent="0.3">
      <c r="A166" s="2" t="s">
        <v>363</v>
      </c>
      <c r="B166" s="2" t="s">
        <v>11</v>
      </c>
      <c r="C166" s="2" t="s">
        <v>85</v>
      </c>
      <c r="D166" s="2" t="s">
        <v>31</v>
      </c>
      <c r="E166" s="2">
        <v>15</v>
      </c>
      <c r="F166" s="2">
        <v>10</v>
      </c>
      <c r="G166" s="2" t="s">
        <v>14</v>
      </c>
      <c r="H166" s="2" t="s">
        <v>37</v>
      </c>
      <c r="I166" s="2" t="s">
        <v>364</v>
      </c>
      <c r="J166" s="2">
        <v>71</v>
      </c>
      <c r="K166" s="2" t="str">
        <f t="shared" si="2"/>
        <v>1200</v>
      </c>
    </row>
    <row r="167" spans="1:11" x14ac:dyDescent="0.3">
      <c r="A167" s="2" t="s">
        <v>365</v>
      </c>
      <c r="B167" s="2" t="s">
        <v>11</v>
      </c>
      <c r="C167" s="2" t="s">
        <v>55</v>
      </c>
      <c r="D167" s="2" t="s">
        <v>13</v>
      </c>
      <c r="E167" s="2">
        <v>16</v>
      </c>
      <c r="F167" s="2">
        <v>10</v>
      </c>
      <c r="G167" s="2" t="s">
        <v>32</v>
      </c>
      <c r="H167" s="2" t="s">
        <v>15</v>
      </c>
      <c r="I167" s="2" t="s">
        <v>366</v>
      </c>
      <c r="J167" s="2">
        <v>72</v>
      </c>
      <c r="K167" s="2" t="str">
        <f t="shared" si="2"/>
        <v>1200</v>
      </c>
    </row>
    <row r="168" spans="1:11" x14ac:dyDescent="0.3">
      <c r="A168" s="2" t="s">
        <v>367</v>
      </c>
      <c r="B168" s="2" t="s">
        <v>35</v>
      </c>
      <c r="C168" s="2" t="s">
        <v>12</v>
      </c>
      <c r="D168" s="2" t="s">
        <v>31</v>
      </c>
      <c r="E168" s="2">
        <v>15</v>
      </c>
      <c r="F168" s="2">
        <v>10</v>
      </c>
      <c r="G168" s="2" t="s">
        <v>32</v>
      </c>
      <c r="H168" s="2" t="s">
        <v>20</v>
      </c>
      <c r="I168" s="2" t="s">
        <v>368</v>
      </c>
      <c r="J168" s="2">
        <v>99</v>
      </c>
      <c r="K168" s="2" t="str">
        <f t="shared" si="2"/>
        <v>1200</v>
      </c>
    </row>
    <row r="169" spans="1:11" x14ac:dyDescent="0.3">
      <c r="A169" s="2" t="s">
        <v>369</v>
      </c>
      <c r="B169" s="2" t="s">
        <v>23</v>
      </c>
      <c r="C169" s="2" t="s">
        <v>24</v>
      </c>
      <c r="D169" s="2" t="s">
        <v>31</v>
      </c>
      <c r="E169" s="2">
        <v>17</v>
      </c>
      <c r="F169" s="2">
        <v>12</v>
      </c>
      <c r="G169" s="2" t="s">
        <v>43</v>
      </c>
      <c r="H169" s="2" t="s">
        <v>61</v>
      </c>
      <c r="I169" s="2" t="s">
        <v>370</v>
      </c>
      <c r="J169" s="2">
        <v>96</v>
      </c>
      <c r="K169" s="2" t="str">
        <f t="shared" si="2"/>
        <v>1800</v>
      </c>
    </row>
    <row r="170" spans="1:11" x14ac:dyDescent="0.3">
      <c r="A170" s="2" t="s">
        <v>371</v>
      </c>
      <c r="B170" s="2" t="s">
        <v>35</v>
      </c>
      <c r="C170" s="2" t="s">
        <v>58</v>
      </c>
      <c r="D170" s="2" t="s">
        <v>31</v>
      </c>
      <c r="E170" s="2">
        <v>19</v>
      </c>
      <c r="F170" s="2">
        <v>9</v>
      </c>
      <c r="G170" s="2" t="s">
        <v>14</v>
      </c>
      <c r="H170" s="2" t="s">
        <v>20</v>
      </c>
      <c r="I170" s="2" t="s">
        <v>372</v>
      </c>
      <c r="J170" s="2">
        <v>87</v>
      </c>
      <c r="K170" s="2" t="str">
        <f t="shared" si="2"/>
        <v>1000</v>
      </c>
    </row>
    <row r="171" spans="1:11" x14ac:dyDescent="0.3">
      <c r="A171" s="2" t="s">
        <v>373</v>
      </c>
      <c r="B171" s="2" t="s">
        <v>51</v>
      </c>
      <c r="C171" s="2" t="s">
        <v>19</v>
      </c>
      <c r="D171" s="2" t="s">
        <v>13</v>
      </c>
      <c r="E171" s="2">
        <v>15</v>
      </c>
      <c r="F171" s="2">
        <v>11</v>
      </c>
      <c r="G171" s="2" t="s">
        <v>14</v>
      </c>
      <c r="H171" s="2" t="s">
        <v>61</v>
      </c>
      <c r="I171" s="2" t="s">
        <v>374</v>
      </c>
      <c r="J171" s="2">
        <v>78</v>
      </c>
      <c r="K171" s="2" t="str">
        <f t="shared" si="2"/>
        <v>1500</v>
      </c>
    </row>
    <row r="172" spans="1:11" x14ac:dyDescent="0.3">
      <c r="A172" s="2" t="s">
        <v>375</v>
      </c>
      <c r="B172" s="2" t="s">
        <v>35</v>
      </c>
      <c r="C172" s="2" t="s">
        <v>36</v>
      </c>
      <c r="D172" s="2" t="s">
        <v>13</v>
      </c>
      <c r="E172" s="2">
        <v>18</v>
      </c>
      <c r="F172" s="2">
        <v>11</v>
      </c>
      <c r="G172" s="2" t="s">
        <v>25</v>
      </c>
      <c r="H172" s="2" t="s">
        <v>40</v>
      </c>
      <c r="I172" s="2" t="s">
        <v>376</v>
      </c>
      <c r="J172" s="2">
        <v>62</v>
      </c>
      <c r="K172" s="2" t="str">
        <f t="shared" si="2"/>
        <v>1500</v>
      </c>
    </row>
    <row r="173" spans="1:11" x14ac:dyDescent="0.3">
      <c r="A173" s="2" t="s">
        <v>377</v>
      </c>
      <c r="B173" s="2" t="s">
        <v>35</v>
      </c>
      <c r="C173" s="2" t="s">
        <v>30</v>
      </c>
      <c r="D173" s="2" t="s">
        <v>13</v>
      </c>
      <c r="E173" s="2">
        <v>20</v>
      </c>
      <c r="F173" s="2">
        <v>11</v>
      </c>
      <c r="G173" s="2" t="s">
        <v>32</v>
      </c>
      <c r="H173" s="2" t="s">
        <v>37</v>
      </c>
      <c r="I173" s="2" t="s">
        <v>189</v>
      </c>
      <c r="J173" s="2">
        <v>79</v>
      </c>
      <c r="K173" s="2" t="str">
        <f t="shared" si="2"/>
        <v>1500</v>
      </c>
    </row>
    <row r="174" spans="1:11" x14ac:dyDescent="0.3">
      <c r="A174" s="2" t="s">
        <v>378</v>
      </c>
      <c r="B174" s="2" t="s">
        <v>18</v>
      </c>
      <c r="C174" s="2" t="s">
        <v>55</v>
      </c>
      <c r="D174" s="2" t="s">
        <v>31</v>
      </c>
      <c r="E174" s="2">
        <v>17</v>
      </c>
      <c r="F174" s="2">
        <v>9</v>
      </c>
      <c r="G174" s="2" t="s">
        <v>32</v>
      </c>
      <c r="H174" s="2" t="s">
        <v>26</v>
      </c>
      <c r="I174" s="2" t="s">
        <v>379</v>
      </c>
      <c r="J174" s="2">
        <v>66</v>
      </c>
      <c r="K174" s="2" t="str">
        <f t="shared" si="2"/>
        <v>1000</v>
      </c>
    </row>
    <row r="175" spans="1:11" x14ac:dyDescent="0.3">
      <c r="A175" s="2" t="s">
        <v>380</v>
      </c>
      <c r="B175" s="2" t="s">
        <v>11</v>
      </c>
      <c r="C175" s="2" t="s">
        <v>24</v>
      </c>
      <c r="D175" s="2" t="s">
        <v>31</v>
      </c>
      <c r="E175" s="2">
        <v>18</v>
      </c>
      <c r="F175" s="2">
        <v>11</v>
      </c>
      <c r="G175" s="2" t="s">
        <v>32</v>
      </c>
      <c r="H175" s="2" t="s">
        <v>61</v>
      </c>
      <c r="I175" s="2" t="s">
        <v>381</v>
      </c>
      <c r="J175" s="2">
        <v>67</v>
      </c>
      <c r="K175" s="2" t="str">
        <f t="shared" si="2"/>
        <v>1500</v>
      </c>
    </row>
    <row r="176" spans="1:11" x14ac:dyDescent="0.3">
      <c r="A176" s="2" t="s">
        <v>382</v>
      </c>
      <c r="B176" s="2" t="s">
        <v>51</v>
      </c>
      <c r="C176" s="2" t="s">
        <v>85</v>
      </c>
      <c r="D176" s="2" t="s">
        <v>13</v>
      </c>
      <c r="E176" s="2">
        <v>16</v>
      </c>
      <c r="F176" s="2">
        <v>10</v>
      </c>
      <c r="G176" s="2" t="s">
        <v>43</v>
      </c>
      <c r="H176" s="2" t="s">
        <v>61</v>
      </c>
      <c r="I176" s="2" t="s">
        <v>383</v>
      </c>
      <c r="J176" s="2">
        <v>72</v>
      </c>
      <c r="K176" s="2" t="str">
        <f t="shared" si="2"/>
        <v>1200</v>
      </c>
    </row>
    <row r="177" spans="1:11" x14ac:dyDescent="0.3">
      <c r="A177" s="2" t="s">
        <v>384</v>
      </c>
      <c r="B177" s="2" t="s">
        <v>54</v>
      </c>
      <c r="C177" s="2" t="s">
        <v>19</v>
      </c>
      <c r="D177" s="2" t="s">
        <v>31</v>
      </c>
      <c r="E177" s="2">
        <v>16</v>
      </c>
      <c r="F177" s="2">
        <v>12</v>
      </c>
      <c r="G177" s="2" t="s">
        <v>25</v>
      </c>
      <c r="H177" s="2" t="s">
        <v>20</v>
      </c>
      <c r="I177" s="2" t="s">
        <v>385</v>
      </c>
      <c r="J177" s="2">
        <v>39</v>
      </c>
      <c r="K177" s="2" t="str">
        <f t="shared" si="2"/>
        <v>1800</v>
      </c>
    </row>
    <row r="178" spans="1:11" x14ac:dyDescent="0.3">
      <c r="A178" s="2" t="s">
        <v>386</v>
      </c>
      <c r="B178" s="2" t="s">
        <v>68</v>
      </c>
      <c r="C178" s="2" t="s">
        <v>96</v>
      </c>
      <c r="D178" s="2" t="s">
        <v>13</v>
      </c>
      <c r="E178" s="2">
        <v>18</v>
      </c>
      <c r="F178" s="2">
        <v>9</v>
      </c>
      <c r="G178" s="2" t="s">
        <v>25</v>
      </c>
      <c r="H178" s="2" t="s">
        <v>46</v>
      </c>
      <c r="I178" s="2" t="s">
        <v>387</v>
      </c>
      <c r="J178" s="2">
        <v>74</v>
      </c>
      <c r="K178" s="2" t="str">
        <f t="shared" si="2"/>
        <v>1000</v>
      </c>
    </row>
    <row r="179" spans="1:11" x14ac:dyDescent="0.3">
      <c r="A179" s="2" t="s">
        <v>388</v>
      </c>
      <c r="B179" s="2" t="s">
        <v>73</v>
      </c>
      <c r="C179" s="2" t="s">
        <v>12</v>
      </c>
      <c r="D179" s="2" t="s">
        <v>31</v>
      </c>
      <c r="E179" s="2">
        <v>19</v>
      </c>
      <c r="F179" s="2">
        <v>11</v>
      </c>
      <c r="G179" s="2" t="s">
        <v>43</v>
      </c>
      <c r="H179" s="2" t="s">
        <v>61</v>
      </c>
      <c r="I179" s="2" t="s">
        <v>214</v>
      </c>
      <c r="J179" s="2">
        <v>88</v>
      </c>
      <c r="K179" s="2" t="str">
        <f t="shared" si="2"/>
        <v>1500</v>
      </c>
    </row>
    <row r="180" spans="1:11" x14ac:dyDescent="0.3">
      <c r="A180" s="2" t="s">
        <v>389</v>
      </c>
      <c r="B180" s="2" t="s">
        <v>54</v>
      </c>
      <c r="C180" s="2" t="s">
        <v>58</v>
      </c>
      <c r="D180" s="2" t="s">
        <v>31</v>
      </c>
      <c r="E180" s="2">
        <v>14</v>
      </c>
      <c r="F180" s="2">
        <v>11</v>
      </c>
      <c r="G180" s="2" t="s">
        <v>32</v>
      </c>
      <c r="H180" s="2" t="s">
        <v>76</v>
      </c>
      <c r="I180" s="2" t="s">
        <v>390</v>
      </c>
      <c r="J180" s="2">
        <v>54</v>
      </c>
      <c r="K180" s="2" t="str">
        <f t="shared" si="2"/>
        <v>1500</v>
      </c>
    </row>
    <row r="181" spans="1:11" x14ac:dyDescent="0.3">
      <c r="A181" s="2" t="s">
        <v>391</v>
      </c>
      <c r="B181" s="2" t="s">
        <v>68</v>
      </c>
      <c r="C181" s="2" t="s">
        <v>19</v>
      </c>
      <c r="D181" s="2" t="s">
        <v>13</v>
      </c>
      <c r="E181" s="2">
        <v>19</v>
      </c>
      <c r="F181" s="2">
        <v>12</v>
      </c>
      <c r="G181" s="2" t="s">
        <v>25</v>
      </c>
      <c r="H181" s="2" t="s">
        <v>46</v>
      </c>
      <c r="I181" s="2" t="s">
        <v>392</v>
      </c>
      <c r="J181" s="2">
        <v>46</v>
      </c>
      <c r="K181" s="2" t="str">
        <f t="shared" si="2"/>
        <v>1800</v>
      </c>
    </row>
    <row r="182" spans="1:11" x14ac:dyDescent="0.3">
      <c r="A182" s="2" t="s">
        <v>393</v>
      </c>
      <c r="B182" s="2" t="s">
        <v>68</v>
      </c>
      <c r="C182" s="2" t="s">
        <v>85</v>
      </c>
      <c r="D182" s="2" t="s">
        <v>13</v>
      </c>
      <c r="E182" s="2">
        <v>15</v>
      </c>
      <c r="F182" s="2">
        <v>10</v>
      </c>
      <c r="G182" s="2" t="s">
        <v>32</v>
      </c>
      <c r="H182" s="2" t="s">
        <v>37</v>
      </c>
      <c r="I182" s="2" t="s">
        <v>394</v>
      </c>
      <c r="J182" s="2">
        <v>89</v>
      </c>
      <c r="K182" s="2" t="str">
        <f t="shared" si="2"/>
        <v>1200</v>
      </c>
    </row>
    <row r="183" spans="1:11" x14ac:dyDescent="0.3">
      <c r="A183" s="2" t="s">
        <v>395</v>
      </c>
      <c r="B183" s="2" t="s">
        <v>11</v>
      </c>
      <c r="C183" s="2" t="s">
        <v>96</v>
      </c>
      <c r="D183" s="2" t="s">
        <v>13</v>
      </c>
      <c r="E183" s="2">
        <v>18</v>
      </c>
      <c r="F183" s="2">
        <v>11</v>
      </c>
      <c r="G183" s="2" t="s">
        <v>25</v>
      </c>
      <c r="H183" s="2" t="s">
        <v>37</v>
      </c>
      <c r="I183" s="2" t="s">
        <v>396</v>
      </c>
      <c r="J183" s="2">
        <v>65</v>
      </c>
      <c r="K183" s="2" t="str">
        <f t="shared" si="2"/>
        <v>1500</v>
      </c>
    </row>
    <row r="184" spans="1:11" x14ac:dyDescent="0.3">
      <c r="A184" s="2" t="s">
        <v>397</v>
      </c>
      <c r="B184" s="2" t="s">
        <v>23</v>
      </c>
      <c r="C184" s="2" t="s">
        <v>12</v>
      </c>
      <c r="D184" s="2" t="s">
        <v>13</v>
      </c>
      <c r="E184" s="2">
        <v>20</v>
      </c>
      <c r="F184" s="2">
        <v>9</v>
      </c>
      <c r="G184" s="2" t="s">
        <v>25</v>
      </c>
      <c r="H184" s="2" t="s">
        <v>46</v>
      </c>
      <c r="I184" s="2" t="s">
        <v>398</v>
      </c>
      <c r="J184" s="2">
        <v>91</v>
      </c>
      <c r="K184" s="2" t="str">
        <f t="shared" si="2"/>
        <v>1000</v>
      </c>
    </row>
    <row r="185" spans="1:11" x14ac:dyDescent="0.3">
      <c r="A185" s="2" t="s">
        <v>399</v>
      </c>
      <c r="B185" s="2" t="s">
        <v>35</v>
      </c>
      <c r="C185" s="2" t="s">
        <v>79</v>
      </c>
      <c r="D185" s="2" t="s">
        <v>13</v>
      </c>
      <c r="E185" s="2">
        <v>17</v>
      </c>
      <c r="F185" s="2">
        <v>10</v>
      </c>
      <c r="G185" s="2" t="s">
        <v>43</v>
      </c>
      <c r="H185" s="2" t="s">
        <v>37</v>
      </c>
      <c r="I185" s="2" t="s">
        <v>400</v>
      </c>
      <c r="J185" s="2">
        <v>78</v>
      </c>
      <c r="K185" s="2" t="str">
        <f t="shared" si="2"/>
        <v>1200</v>
      </c>
    </row>
    <row r="186" spans="1:11" x14ac:dyDescent="0.3">
      <c r="A186" s="2" t="s">
        <v>401</v>
      </c>
      <c r="B186" s="2" t="s">
        <v>11</v>
      </c>
      <c r="C186" s="2" t="s">
        <v>79</v>
      </c>
      <c r="D186" s="2" t="s">
        <v>31</v>
      </c>
      <c r="E186" s="2">
        <v>15</v>
      </c>
      <c r="F186" s="2">
        <v>11</v>
      </c>
      <c r="G186" s="2" t="s">
        <v>43</v>
      </c>
      <c r="H186" s="2" t="s">
        <v>40</v>
      </c>
      <c r="I186" s="2" t="s">
        <v>402</v>
      </c>
      <c r="J186" s="2">
        <v>84</v>
      </c>
      <c r="K186" s="2" t="str">
        <f t="shared" si="2"/>
        <v>1500</v>
      </c>
    </row>
    <row r="187" spans="1:11" x14ac:dyDescent="0.3">
      <c r="A187" s="2" t="s">
        <v>403</v>
      </c>
      <c r="B187" s="2" t="s">
        <v>11</v>
      </c>
      <c r="C187" s="2" t="s">
        <v>12</v>
      </c>
      <c r="D187" s="2" t="s">
        <v>31</v>
      </c>
      <c r="E187" s="2">
        <v>19</v>
      </c>
      <c r="F187" s="2">
        <v>9</v>
      </c>
      <c r="G187" s="2" t="s">
        <v>43</v>
      </c>
      <c r="H187" s="2" t="s">
        <v>46</v>
      </c>
      <c r="I187" s="2" t="s">
        <v>404</v>
      </c>
      <c r="J187" s="2">
        <v>37</v>
      </c>
      <c r="K187" s="2" t="str">
        <f t="shared" si="2"/>
        <v>1000</v>
      </c>
    </row>
    <row r="188" spans="1:11" x14ac:dyDescent="0.3">
      <c r="A188" s="2" t="s">
        <v>405</v>
      </c>
      <c r="B188" s="2" t="s">
        <v>18</v>
      </c>
      <c r="C188" s="2" t="s">
        <v>19</v>
      </c>
      <c r="D188" s="2" t="s">
        <v>31</v>
      </c>
      <c r="E188" s="2">
        <v>18</v>
      </c>
      <c r="F188" s="2">
        <v>12</v>
      </c>
      <c r="G188" s="2" t="s">
        <v>25</v>
      </c>
      <c r="H188" s="2" t="s">
        <v>37</v>
      </c>
      <c r="I188" s="2" t="s">
        <v>406</v>
      </c>
      <c r="J188" s="2">
        <v>70</v>
      </c>
      <c r="K188" s="2" t="str">
        <f t="shared" si="2"/>
        <v>1800</v>
      </c>
    </row>
    <row r="189" spans="1:11" x14ac:dyDescent="0.3">
      <c r="A189" s="2" t="s">
        <v>407</v>
      </c>
      <c r="B189" s="2" t="s">
        <v>29</v>
      </c>
      <c r="C189" s="2" t="s">
        <v>12</v>
      </c>
      <c r="D189" s="2" t="s">
        <v>31</v>
      </c>
      <c r="E189" s="2">
        <v>16</v>
      </c>
      <c r="F189" s="2">
        <v>10</v>
      </c>
      <c r="G189" s="2" t="s">
        <v>14</v>
      </c>
      <c r="H189" s="2" t="s">
        <v>40</v>
      </c>
      <c r="I189" s="2" t="s">
        <v>71</v>
      </c>
      <c r="J189" s="2">
        <v>100</v>
      </c>
      <c r="K189" s="2" t="str">
        <f t="shared" si="2"/>
        <v>1200</v>
      </c>
    </row>
    <row r="190" spans="1:11" x14ac:dyDescent="0.3">
      <c r="A190" s="2" t="s">
        <v>408</v>
      </c>
      <c r="B190" s="2" t="s">
        <v>51</v>
      </c>
      <c r="C190" s="2" t="s">
        <v>85</v>
      </c>
      <c r="D190" s="2" t="s">
        <v>13</v>
      </c>
      <c r="E190" s="2">
        <v>17</v>
      </c>
      <c r="F190" s="2">
        <v>11</v>
      </c>
      <c r="G190" s="2" t="s">
        <v>25</v>
      </c>
      <c r="H190" s="2" t="s">
        <v>46</v>
      </c>
      <c r="I190" s="2" t="s">
        <v>52</v>
      </c>
      <c r="J190" s="2">
        <v>42</v>
      </c>
      <c r="K190" s="2" t="str">
        <f t="shared" si="2"/>
        <v>1500</v>
      </c>
    </row>
    <row r="191" spans="1:11" x14ac:dyDescent="0.3">
      <c r="A191" s="2" t="s">
        <v>409</v>
      </c>
      <c r="B191" s="2" t="s">
        <v>84</v>
      </c>
      <c r="C191" s="2" t="s">
        <v>24</v>
      </c>
      <c r="D191" s="2" t="s">
        <v>13</v>
      </c>
      <c r="E191" s="2">
        <v>20</v>
      </c>
      <c r="F191" s="2">
        <v>9</v>
      </c>
      <c r="G191" s="2" t="s">
        <v>25</v>
      </c>
      <c r="H191" s="2" t="s">
        <v>46</v>
      </c>
      <c r="I191" s="2" t="s">
        <v>290</v>
      </c>
      <c r="J191" s="2">
        <v>68</v>
      </c>
      <c r="K191" s="2" t="str">
        <f t="shared" si="2"/>
        <v>1000</v>
      </c>
    </row>
    <row r="192" spans="1:11" x14ac:dyDescent="0.3">
      <c r="A192" s="2" t="s">
        <v>410</v>
      </c>
      <c r="B192" s="2" t="s">
        <v>18</v>
      </c>
      <c r="C192" s="2" t="s">
        <v>55</v>
      </c>
      <c r="D192" s="2" t="s">
        <v>31</v>
      </c>
      <c r="E192" s="2">
        <v>20</v>
      </c>
      <c r="F192" s="2">
        <v>10</v>
      </c>
      <c r="G192" s="2" t="s">
        <v>43</v>
      </c>
      <c r="H192" s="2" t="s">
        <v>40</v>
      </c>
      <c r="I192" s="2" t="s">
        <v>411</v>
      </c>
      <c r="J192" s="2">
        <v>59</v>
      </c>
      <c r="K192" s="2" t="str">
        <f t="shared" si="2"/>
        <v>1200</v>
      </c>
    </row>
    <row r="193" spans="1:11" x14ac:dyDescent="0.3">
      <c r="A193" s="2" t="s">
        <v>412</v>
      </c>
      <c r="B193" s="2" t="s">
        <v>73</v>
      </c>
      <c r="C193" s="2" t="s">
        <v>55</v>
      </c>
      <c r="D193" s="2" t="s">
        <v>13</v>
      </c>
      <c r="E193" s="2">
        <v>16</v>
      </c>
      <c r="F193" s="2">
        <v>12</v>
      </c>
      <c r="G193" s="2" t="s">
        <v>32</v>
      </c>
      <c r="H193" s="2" t="s">
        <v>46</v>
      </c>
      <c r="I193" s="2" t="s">
        <v>413</v>
      </c>
      <c r="J193" s="2">
        <v>85</v>
      </c>
      <c r="K193" s="2" t="str">
        <f t="shared" si="2"/>
        <v>1800</v>
      </c>
    </row>
    <row r="194" spans="1:11" x14ac:dyDescent="0.3">
      <c r="A194" s="2" t="s">
        <v>414</v>
      </c>
      <c r="B194" s="2" t="s">
        <v>11</v>
      </c>
      <c r="C194" s="2" t="s">
        <v>55</v>
      </c>
      <c r="D194" s="2" t="s">
        <v>13</v>
      </c>
      <c r="E194" s="2">
        <v>16</v>
      </c>
      <c r="F194" s="2">
        <v>12</v>
      </c>
      <c r="G194" s="2" t="s">
        <v>32</v>
      </c>
      <c r="H194" s="2" t="s">
        <v>37</v>
      </c>
      <c r="I194" s="2" t="s">
        <v>415</v>
      </c>
      <c r="J194" s="2">
        <v>47</v>
      </c>
      <c r="K194" s="2" t="str">
        <f t="shared" si="2"/>
        <v>1800</v>
      </c>
    </row>
    <row r="195" spans="1:11" x14ac:dyDescent="0.3">
      <c r="A195" s="2" t="s">
        <v>416</v>
      </c>
      <c r="B195" s="2" t="s">
        <v>18</v>
      </c>
      <c r="C195" s="2" t="s">
        <v>79</v>
      </c>
      <c r="D195" s="2" t="s">
        <v>31</v>
      </c>
      <c r="E195" s="2">
        <v>20</v>
      </c>
      <c r="F195" s="2">
        <v>9</v>
      </c>
      <c r="G195" s="2" t="s">
        <v>25</v>
      </c>
      <c r="H195" s="2" t="s">
        <v>37</v>
      </c>
      <c r="I195" s="2" t="s">
        <v>417</v>
      </c>
      <c r="J195" s="2">
        <v>53</v>
      </c>
      <c r="K195" s="2" t="str">
        <f t="shared" ref="K195:K258" si="3">_xlfn.IFS(F195=9,"1000",F195=10,"1200",F195=11,"1500",F195=12,"1800")</f>
        <v>1000</v>
      </c>
    </row>
    <row r="196" spans="1:11" x14ac:dyDescent="0.3">
      <c r="A196" s="2" t="s">
        <v>418</v>
      </c>
      <c r="B196" s="2" t="s">
        <v>84</v>
      </c>
      <c r="C196" s="2" t="s">
        <v>24</v>
      </c>
      <c r="D196" s="2" t="s">
        <v>13</v>
      </c>
      <c r="E196" s="2">
        <v>15</v>
      </c>
      <c r="F196" s="2">
        <v>9</v>
      </c>
      <c r="G196" s="2" t="s">
        <v>25</v>
      </c>
      <c r="H196" s="2" t="s">
        <v>20</v>
      </c>
      <c r="I196" s="2" t="s">
        <v>419</v>
      </c>
      <c r="J196" s="2">
        <v>63</v>
      </c>
      <c r="K196" s="2" t="str">
        <f t="shared" si="3"/>
        <v>1000</v>
      </c>
    </row>
    <row r="197" spans="1:11" x14ac:dyDescent="0.3">
      <c r="A197" s="2" t="s">
        <v>420</v>
      </c>
      <c r="B197" s="2" t="s">
        <v>73</v>
      </c>
      <c r="C197" s="2" t="s">
        <v>85</v>
      </c>
      <c r="D197" s="2" t="s">
        <v>13</v>
      </c>
      <c r="E197" s="2">
        <v>16</v>
      </c>
      <c r="F197" s="2">
        <v>11</v>
      </c>
      <c r="G197" s="2" t="s">
        <v>43</v>
      </c>
      <c r="H197" s="2" t="s">
        <v>46</v>
      </c>
      <c r="I197" s="2" t="s">
        <v>421</v>
      </c>
      <c r="J197" s="2">
        <v>55</v>
      </c>
      <c r="K197" s="2" t="str">
        <f t="shared" si="3"/>
        <v>1500</v>
      </c>
    </row>
    <row r="198" spans="1:11" x14ac:dyDescent="0.3">
      <c r="A198" s="2" t="s">
        <v>422</v>
      </c>
      <c r="B198" s="2" t="s">
        <v>73</v>
      </c>
      <c r="C198" s="2" t="s">
        <v>96</v>
      </c>
      <c r="D198" s="2" t="s">
        <v>13</v>
      </c>
      <c r="E198" s="2">
        <v>14</v>
      </c>
      <c r="F198" s="2">
        <v>10</v>
      </c>
      <c r="G198" s="2" t="s">
        <v>25</v>
      </c>
      <c r="H198" s="2" t="s">
        <v>15</v>
      </c>
      <c r="I198" s="2" t="s">
        <v>423</v>
      </c>
      <c r="J198" s="2">
        <v>99</v>
      </c>
      <c r="K198" s="2" t="str">
        <f t="shared" si="3"/>
        <v>1200</v>
      </c>
    </row>
    <row r="199" spans="1:11" x14ac:dyDescent="0.3">
      <c r="A199" s="2" t="s">
        <v>424</v>
      </c>
      <c r="B199" s="2" t="s">
        <v>29</v>
      </c>
      <c r="C199" s="2" t="s">
        <v>36</v>
      </c>
      <c r="D199" s="2" t="s">
        <v>31</v>
      </c>
      <c r="E199" s="2">
        <v>16</v>
      </c>
      <c r="F199" s="2">
        <v>12</v>
      </c>
      <c r="G199" s="2" t="s">
        <v>32</v>
      </c>
      <c r="H199" s="2" t="s">
        <v>37</v>
      </c>
      <c r="I199" s="2" t="s">
        <v>180</v>
      </c>
      <c r="J199" s="2">
        <v>89</v>
      </c>
      <c r="K199" s="2" t="str">
        <f t="shared" si="3"/>
        <v>1800</v>
      </c>
    </row>
    <row r="200" spans="1:11" x14ac:dyDescent="0.3">
      <c r="A200" s="2" t="s">
        <v>425</v>
      </c>
      <c r="B200" s="2" t="s">
        <v>73</v>
      </c>
      <c r="C200" s="2" t="s">
        <v>30</v>
      </c>
      <c r="D200" s="2" t="s">
        <v>31</v>
      </c>
      <c r="E200" s="2">
        <v>15</v>
      </c>
      <c r="F200" s="2">
        <v>9</v>
      </c>
      <c r="G200" s="2" t="s">
        <v>14</v>
      </c>
      <c r="H200" s="2" t="s">
        <v>76</v>
      </c>
      <c r="I200" s="2" t="s">
        <v>149</v>
      </c>
      <c r="J200" s="2">
        <v>54</v>
      </c>
      <c r="K200" s="2" t="str">
        <f t="shared" si="3"/>
        <v>1000</v>
      </c>
    </row>
    <row r="201" spans="1:11" x14ac:dyDescent="0.3">
      <c r="A201" s="2" t="s">
        <v>426</v>
      </c>
      <c r="B201" s="2" t="s">
        <v>54</v>
      </c>
      <c r="C201" s="2" t="s">
        <v>96</v>
      </c>
      <c r="D201" s="2" t="s">
        <v>31</v>
      </c>
      <c r="E201" s="2">
        <v>16</v>
      </c>
      <c r="F201" s="2">
        <v>12</v>
      </c>
      <c r="G201" s="2" t="s">
        <v>25</v>
      </c>
      <c r="H201" s="2" t="s">
        <v>20</v>
      </c>
      <c r="I201" s="2" t="s">
        <v>427</v>
      </c>
      <c r="J201" s="2">
        <v>82</v>
      </c>
      <c r="K201" s="2" t="str">
        <f t="shared" si="3"/>
        <v>1800</v>
      </c>
    </row>
    <row r="202" spans="1:11" x14ac:dyDescent="0.3">
      <c r="A202" s="2" t="s">
        <v>428</v>
      </c>
      <c r="B202" s="2" t="s">
        <v>54</v>
      </c>
      <c r="C202" s="2" t="s">
        <v>55</v>
      </c>
      <c r="D202" s="2" t="s">
        <v>13</v>
      </c>
      <c r="E202" s="2">
        <v>16</v>
      </c>
      <c r="F202" s="2">
        <v>11</v>
      </c>
      <c r="G202" s="2" t="s">
        <v>25</v>
      </c>
      <c r="H202" s="2" t="s">
        <v>15</v>
      </c>
      <c r="I202" s="2" t="s">
        <v>429</v>
      </c>
      <c r="J202" s="2">
        <v>86</v>
      </c>
      <c r="K202" s="2" t="str">
        <f t="shared" si="3"/>
        <v>1500</v>
      </c>
    </row>
    <row r="203" spans="1:11" x14ac:dyDescent="0.3">
      <c r="A203" s="2" t="s">
        <v>430</v>
      </c>
      <c r="B203" s="2" t="s">
        <v>54</v>
      </c>
      <c r="C203" s="2" t="s">
        <v>30</v>
      </c>
      <c r="D203" s="2" t="s">
        <v>13</v>
      </c>
      <c r="E203" s="2">
        <v>18</v>
      </c>
      <c r="F203" s="2">
        <v>11</v>
      </c>
      <c r="G203" s="2" t="s">
        <v>25</v>
      </c>
      <c r="H203" s="2" t="s">
        <v>26</v>
      </c>
      <c r="I203" s="2" t="s">
        <v>431</v>
      </c>
      <c r="J203" s="2">
        <v>91</v>
      </c>
      <c r="K203" s="2" t="str">
        <f t="shared" si="3"/>
        <v>1500</v>
      </c>
    </row>
    <row r="204" spans="1:11" x14ac:dyDescent="0.3">
      <c r="A204" s="2" t="s">
        <v>432</v>
      </c>
      <c r="B204" s="2" t="s">
        <v>51</v>
      </c>
      <c r="C204" s="2" t="s">
        <v>24</v>
      </c>
      <c r="D204" s="2" t="s">
        <v>31</v>
      </c>
      <c r="E204" s="2">
        <v>17</v>
      </c>
      <c r="F204" s="2">
        <v>11</v>
      </c>
      <c r="G204" s="2" t="s">
        <v>43</v>
      </c>
      <c r="H204" s="2" t="s">
        <v>15</v>
      </c>
      <c r="I204" s="2" t="s">
        <v>400</v>
      </c>
      <c r="J204" s="2">
        <v>53</v>
      </c>
      <c r="K204" s="2" t="str">
        <f t="shared" si="3"/>
        <v>1500</v>
      </c>
    </row>
    <row r="205" spans="1:11" x14ac:dyDescent="0.3">
      <c r="A205" s="2" t="s">
        <v>433</v>
      </c>
      <c r="B205" s="2" t="s">
        <v>84</v>
      </c>
      <c r="C205" s="2" t="s">
        <v>36</v>
      </c>
      <c r="D205" s="2" t="s">
        <v>13</v>
      </c>
      <c r="E205" s="2">
        <v>14</v>
      </c>
      <c r="F205" s="2">
        <v>9</v>
      </c>
      <c r="G205" s="2" t="s">
        <v>32</v>
      </c>
      <c r="H205" s="2" t="s">
        <v>15</v>
      </c>
      <c r="I205" s="2" t="s">
        <v>434</v>
      </c>
      <c r="J205" s="2">
        <v>47</v>
      </c>
      <c r="K205" s="2" t="str">
        <f t="shared" si="3"/>
        <v>1000</v>
      </c>
    </row>
    <row r="206" spans="1:11" x14ac:dyDescent="0.3">
      <c r="A206" s="2" t="s">
        <v>435</v>
      </c>
      <c r="B206" s="2" t="s">
        <v>29</v>
      </c>
      <c r="C206" s="2" t="s">
        <v>30</v>
      </c>
      <c r="D206" s="2" t="s">
        <v>31</v>
      </c>
      <c r="E206" s="2">
        <v>20</v>
      </c>
      <c r="F206" s="2">
        <v>12</v>
      </c>
      <c r="G206" s="2" t="s">
        <v>43</v>
      </c>
      <c r="H206" s="2" t="s">
        <v>26</v>
      </c>
      <c r="I206" s="2" t="s">
        <v>436</v>
      </c>
      <c r="J206" s="2">
        <v>36</v>
      </c>
      <c r="K206" s="2" t="str">
        <f t="shared" si="3"/>
        <v>1800</v>
      </c>
    </row>
    <row r="207" spans="1:11" x14ac:dyDescent="0.3">
      <c r="A207" s="2" t="s">
        <v>437</v>
      </c>
      <c r="B207" s="2" t="s">
        <v>73</v>
      </c>
      <c r="C207" s="2" t="s">
        <v>30</v>
      </c>
      <c r="D207" s="2" t="s">
        <v>13</v>
      </c>
      <c r="E207" s="2">
        <v>14</v>
      </c>
      <c r="F207" s="2">
        <v>11</v>
      </c>
      <c r="G207" s="2" t="s">
        <v>32</v>
      </c>
      <c r="H207" s="2" t="s">
        <v>76</v>
      </c>
      <c r="I207" s="2" t="s">
        <v>438</v>
      </c>
      <c r="J207" s="2">
        <v>62</v>
      </c>
      <c r="K207" s="2" t="str">
        <f t="shared" si="3"/>
        <v>1500</v>
      </c>
    </row>
    <row r="208" spans="1:11" x14ac:dyDescent="0.3">
      <c r="A208" s="2" t="s">
        <v>439</v>
      </c>
      <c r="B208" s="2" t="s">
        <v>11</v>
      </c>
      <c r="C208" s="2" t="s">
        <v>12</v>
      </c>
      <c r="D208" s="2" t="s">
        <v>13</v>
      </c>
      <c r="E208" s="2">
        <v>15</v>
      </c>
      <c r="F208" s="2">
        <v>9</v>
      </c>
      <c r="G208" s="2" t="s">
        <v>25</v>
      </c>
      <c r="H208" s="2" t="s">
        <v>15</v>
      </c>
      <c r="I208" s="2" t="s">
        <v>440</v>
      </c>
      <c r="J208" s="2">
        <v>90</v>
      </c>
      <c r="K208" s="2" t="str">
        <f t="shared" si="3"/>
        <v>1000</v>
      </c>
    </row>
    <row r="209" spans="1:11" x14ac:dyDescent="0.3">
      <c r="A209" s="2" t="s">
        <v>441</v>
      </c>
      <c r="B209" s="2" t="s">
        <v>35</v>
      </c>
      <c r="C209" s="2" t="s">
        <v>12</v>
      </c>
      <c r="D209" s="2" t="s">
        <v>13</v>
      </c>
      <c r="E209" s="2">
        <v>17</v>
      </c>
      <c r="F209" s="2">
        <v>10</v>
      </c>
      <c r="G209" s="2" t="s">
        <v>32</v>
      </c>
      <c r="H209" s="2" t="s">
        <v>15</v>
      </c>
      <c r="I209" s="2" t="s">
        <v>442</v>
      </c>
      <c r="J209" s="2">
        <v>91</v>
      </c>
      <c r="K209" s="2" t="str">
        <f t="shared" si="3"/>
        <v>1200</v>
      </c>
    </row>
    <row r="210" spans="1:11" x14ac:dyDescent="0.3">
      <c r="A210" s="2" t="s">
        <v>443</v>
      </c>
      <c r="B210" s="2" t="s">
        <v>18</v>
      </c>
      <c r="C210" s="2" t="s">
        <v>96</v>
      </c>
      <c r="D210" s="2" t="s">
        <v>13</v>
      </c>
      <c r="E210" s="2">
        <v>17</v>
      </c>
      <c r="F210" s="2">
        <v>9</v>
      </c>
      <c r="G210" s="2" t="s">
        <v>43</v>
      </c>
      <c r="H210" s="2" t="s">
        <v>37</v>
      </c>
      <c r="I210" s="2" t="s">
        <v>444</v>
      </c>
      <c r="J210" s="2">
        <v>60</v>
      </c>
      <c r="K210" s="2" t="str">
        <f t="shared" si="3"/>
        <v>1000</v>
      </c>
    </row>
    <row r="211" spans="1:11" x14ac:dyDescent="0.3">
      <c r="A211" s="2" t="s">
        <v>445</v>
      </c>
      <c r="B211" s="2" t="s">
        <v>54</v>
      </c>
      <c r="C211" s="2" t="s">
        <v>96</v>
      </c>
      <c r="D211" s="2" t="s">
        <v>13</v>
      </c>
      <c r="E211" s="2">
        <v>20</v>
      </c>
      <c r="F211" s="2">
        <v>10</v>
      </c>
      <c r="G211" s="2" t="s">
        <v>32</v>
      </c>
      <c r="H211" s="2" t="s">
        <v>46</v>
      </c>
      <c r="I211" s="2" t="s">
        <v>182</v>
      </c>
      <c r="J211" s="2">
        <v>85</v>
      </c>
      <c r="K211" s="2" t="str">
        <f t="shared" si="3"/>
        <v>1200</v>
      </c>
    </row>
    <row r="212" spans="1:11" x14ac:dyDescent="0.3">
      <c r="A212" s="2" t="s">
        <v>446</v>
      </c>
      <c r="B212" s="2" t="s">
        <v>73</v>
      </c>
      <c r="C212" s="2" t="s">
        <v>24</v>
      </c>
      <c r="D212" s="2" t="s">
        <v>13</v>
      </c>
      <c r="E212" s="2">
        <v>17</v>
      </c>
      <c r="F212" s="2">
        <v>10</v>
      </c>
      <c r="G212" s="2" t="s">
        <v>14</v>
      </c>
      <c r="H212" s="2" t="s">
        <v>20</v>
      </c>
      <c r="I212" s="2" t="s">
        <v>447</v>
      </c>
      <c r="J212" s="2">
        <v>58</v>
      </c>
      <c r="K212" s="2" t="str">
        <f t="shared" si="3"/>
        <v>1200</v>
      </c>
    </row>
    <row r="213" spans="1:11" x14ac:dyDescent="0.3">
      <c r="A213" s="2" t="s">
        <v>448</v>
      </c>
      <c r="B213" s="2" t="s">
        <v>73</v>
      </c>
      <c r="C213" s="2" t="s">
        <v>36</v>
      </c>
      <c r="D213" s="2" t="s">
        <v>31</v>
      </c>
      <c r="E213" s="2">
        <v>19</v>
      </c>
      <c r="F213" s="2">
        <v>12</v>
      </c>
      <c r="G213" s="2" t="s">
        <v>14</v>
      </c>
      <c r="H213" s="2" t="s">
        <v>37</v>
      </c>
      <c r="I213" s="2" t="s">
        <v>449</v>
      </c>
      <c r="J213" s="2">
        <v>65</v>
      </c>
      <c r="K213" s="2" t="str">
        <f t="shared" si="3"/>
        <v>1800</v>
      </c>
    </row>
    <row r="214" spans="1:11" x14ac:dyDescent="0.3">
      <c r="A214" s="2" t="s">
        <v>450</v>
      </c>
      <c r="B214" s="2" t="s">
        <v>54</v>
      </c>
      <c r="C214" s="2" t="s">
        <v>55</v>
      </c>
      <c r="D214" s="2" t="s">
        <v>31</v>
      </c>
      <c r="E214" s="2">
        <v>19</v>
      </c>
      <c r="F214" s="2">
        <v>12</v>
      </c>
      <c r="G214" s="2" t="s">
        <v>43</v>
      </c>
      <c r="H214" s="2" t="s">
        <v>20</v>
      </c>
      <c r="I214" s="2" t="s">
        <v>451</v>
      </c>
      <c r="J214" s="2">
        <v>58</v>
      </c>
      <c r="K214" s="2" t="str">
        <f t="shared" si="3"/>
        <v>1800</v>
      </c>
    </row>
    <row r="215" spans="1:11" x14ac:dyDescent="0.3">
      <c r="A215" s="2" t="s">
        <v>452</v>
      </c>
      <c r="B215" s="2" t="s">
        <v>51</v>
      </c>
      <c r="C215" s="2" t="s">
        <v>12</v>
      </c>
      <c r="D215" s="2" t="s">
        <v>13</v>
      </c>
      <c r="E215" s="2">
        <v>18</v>
      </c>
      <c r="F215" s="2">
        <v>9</v>
      </c>
      <c r="G215" s="2" t="s">
        <v>32</v>
      </c>
      <c r="H215" s="2" t="s">
        <v>76</v>
      </c>
      <c r="I215" s="2" t="s">
        <v>453</v>
      </c>
      <c r="J215" s="2">
        <v>35</v>
      </c>
      <c r="K215" s="2" t="str">
        <f t="shared" si="3"/>
        <v>1000</v>
      </c>
    </row>
    <row r="216" spans="1:11" x14ac:dyDescent="0.3">
      <c r="A216" s="2" t="s">
        <v>454</v>
      </c>
      <c r="B216" s="2" t="s">
        <v>29</v>
      </c>
      <c r="C216" s="2" t="s">
        <v>12</v>
      </c>
      <c r="D216" s="2" t="s">
        <v>31</v>
      </c>
      <c r="E216" s="2">
        <v>16</v>
      </c>
      <c r="F216" s="2">
        <v>11</v>
      </c>
      <c r="G216" s="2" t="s">
        <v>43</v>
      </c>
      <c r="H216" s="2" t="s">
        <v>61</v>
      </c>
      <c r="I216" s="2" t="s">
        <v>385</v>
      </c>
      <c r="J216" s="2">
        <v>40</v>
      </c>
      <c r="K216" s="2" t="str">
        <f t="shared" si="3"/>
        <v>1500</v>
      </c>
    </row>
    <row r="217" spans="1:11" x14ac:dyDescent="0.3">
      <c r="A217" s="2" t="s">
        <v>455</v>
      </c>
      <c r="B217" s="2" t="s">
        <v>29</v>
      </c>
      <c r="C217" s="2" t="s">
        <v>30</v>
      </c>
      <c r="D217" s="2" t="s">
        <v>13</v>
      </c>
      <c r="E217" s="2">
        <v>16</v>
      </c>
      <c r="F217" s="2">
        <v>9</v>
      </c>
      <c r="G217" s="2" t="s">
        <v>14</v>
      </c>
      <c r="H217" s="2" t="s">
        <v>61</v>
      </c>
      <c r="I217" s="2" t="s">
        <v>447</v>
      </c>
      <c r="J217" s="2">
        <v>60</v>
      </c>
      <c r="K217" s="2" t="str">
        <f t="shared" si="3"/>
        <v>1000</v>
      </c>
    </row>
    <row r="218" spans="1:11" x14ac:dyDescent="0.3">
      <c r="A218" s="2" t="s">
        <v>456</v>
      </c>
      <c r="B218" s="2" t="s">
        <v>11</v>
      </c>
      <c r="C218" s="2" t="s">
        <v>55</v>
      </c>
      <c r="D218" s="2" t="s">
        <v>13</v>
      </c>
      <c r="E218" s="2">
        <v>15</v>
      </c>
      <c r="F218" s="2">
        <v>9</v>
      </c>
      <c r="G218" s="2" t="s">
        <v>32</v>
      </c>
      <c r="H218" s="2" t="s">
        <v>61</v>
      </c>
      <c r="I218" s="2" t="s">
        <v>457</v>
      </c>
      <c r="J218" s="2">
        <v>97</v>
      </c>
      <c r="K218" s="2" t="str">
        <f t="shared" si="3"/>
        <v>1000</v>
      </c>
    </row>
    <row r="219" spans="1:11" x14ac:dyDescent="0.3">
      <c r="A219" s="2" t="s">
        <v>458</v>
      </c>
      <c r="B219" s="2" t="s">
        <v>11</v>
      </c>
      <c r="C219" s="2" t="s">
        <v>55</v>
      </c>
      <c r="D219" s="2" t="s">
        <v>13</v>
      </c>
      <c r="E219" s="2">
        <v>19</v>
      </c>
      <c r="F219" s="2">
        <v>11</v>
      </c>
      <c r="G219" s="2" t="s">
        <v>14</v>
      </c>
      <c r="H219" s="2" t="s">
        <v>46</v>
      </c>
      <c r="I219" s="2" t="s">
        <v>459</v>
      </c>
      <c r="J219" s="2">
        <v>81</v>
      </c>
      <c r="K219" s="2" t="str">
        <f t="shared" si="3"/>
        <v>1500</v>
      </c>
    </row>
    <row r="220" spans="1:11" x14ac:dyDescent="0.3">
      <c r="A220" s="2" t="s">
        <v>460</v>
      </c>
      <c r="B220" s="2" t="s">
        <v>51</v>
      </c>
      <c r="C220" s="2" t="s">
        <v>96</v>
      </c>
      <c r="D220" s="2" t="s">
        <v>31</v>
      </c>
      <c r="E220" s="2">
        <v>16</v>
      </c>
      <c r="F220" s="2">
        <v>12</v>
      </c>
      <c r="G220" s="2" t="s">
        <v>43</v>
      </c>
      <c r="H220" s="2" t="s">
        <v>15</v>
      </c>
      <c r="I220" s="2" t="s">
        <v>461</v>
      </c>
      <c r="J220" s="2">
        <v>65</v>
      </c>
      <c r="K220" s="2" t="str">
        <f t="shared" si="3"/>
        <v>1800</v>
      </c>
    </row>
    <row r="221" spans="1:11" x14ac:dyDescent="0.3">
      <c r="A221" s="2" t="s">
        <v>462</v>
      </c>
      <c r="B221" s="2" t="s">
        <v>11</v>
      </c>
      <c r="C221" s="2" t="s">
        <v>24</v>
      </c>
      <c r="D221" s="2" t="s">
        <v>31</v>
      </c>
      <c r="E221" s="2">
        <v>19</v>
      </c>
      <c r="F221" s="2">
        <v>12</v>
      </c>
      <c r="G221" s="2" t="s">
        <v>43</v>
      </c>
      <c r="H221" s="2" t="s">
        <v>37</v>
      </c>
      <c r="I221" s="2" t="s">
        <v>463</v>
      </c>
      <c r="J221" s="2">
        <v>45</v>
      </c>
      <c r="K221" s="2" t="str">
        <f t="shared" si="3"/>
        <v>1800</v>
      </c>
    </row>
    <row r="222" spans="1:11" x14ac:dyDescent="0.3">
      <c r="A222" s="2" t="s">
        <v>464</v>
      </c>
      <c r="B222" s="2" t="s">
        <v>11</v>
      </c>
      <c r="C222" s="2" t="s">
        <v>36</v>
      </c>
      <c r="D222" s="2" t="s">
        <v>13</v>
      </c>
      <c r="E222" s="2">
        <v>16</v>
      </c>
      <c r="F222" s="2">
        <v>11</v>
      </c>
      <c r="G222" s="2" t="s">
        <v>25</v>
      </c>
      <c r="H222" s="2" t="s">
        <v>40</v>
      </c>
      <c r="I222" s="2" t="s">
        <v>465</v>
      </c>
      <c r="J222" s="2">
        <v>79</v>
      </c>
      <c r="K222" s="2" t="str">
        <f t="shared" si="3"/>
        <v>1500</v>
      </c>
    </row>
    <row r="223" spans="1:11" x14ac:dyDescent="0.3">
      <c r="A223" s="2" t="s">
        <v>466</v>
      </c>
      <c r="B223" s="2" t="s">
        <v>11</v>
      </c>
      <c r="C223" s="2" t="s">
        <v>55</v>
      </c>
      <c r="D223" s="2" t="s">
        <v>31</v>
      </c>
      <c r="E223" s="2">
        <v>20</v>
      </c>
      <c r="F223" s="2">
        <v>11</v>
      </c>
      <c r="G223" s="2" t="s">
        <v>32</v>
      </c>
      <c r="H223" s="2" t="s">
        <v>40</v>
      </c>
      <c r="I223" s="2" t="s">
        <v>467</v>
      </c>
      <c r="J223" s="2">
        <v>46</v>
      </c>
      <c r="K223" s="2" t="str">
        <f t="shared" si="3"/>
        <v>1500</v>
      </c>
    </row>
    <row r="224" spans="1:11" x14ac:dyDescent="0.3">
      <c r="A224" s="2" t="s">
        <v>468</v>
      </c>
      <c r="B224" s="2" t="s">
        <v>73</v>
      </c>
      <c r="C224" s="2" t="s">
        <v>12</v>
      </c>
      <c r="D224" s="2" t="s">
        <v>13</v>
      </c>
      <c r="E224" s="2">
        <v>17</v>
      </c>
      <c r="F224" s="2">
        <v>10</v>
      </c>
      <c r="G224" s="2" t="s">
        <v>43</v>
      </c>
      <c r="H224" s="2" t="s">
        <v>15</v>
      </c>
      <c r="I224" s="2" t="s">
        <v>469</v>
      </c>
      <c r="J224" s="2">
        <v>75</v>
      </c>
      <c r="K224" s="2" t="str">
        <f t="shared" si="3"/>
        <v>1200</v>
      </c>
    </row>
    <row r="225" spans="1:11" x14ac:dyDescent="0.3">
      <c r="A225" s="2" t="s">
        <v>470</v>
      </c>
      <c r="B225" s="2" t="s">
        <v>35</v>
      </c>
      <c r="C225" s="2" t="s">
        <v>96</v>
      </c>
      <c r="D225" s="2" t="s">
        <v>31</v>
      </c>
      <c r="E225" s="2">
        <v>16</v>
      </c>
      <c r="F225" s="2">
        <v>11</v>
      </c>
      <c r="G225" s="2" t="s">
        <v>32</v>
      </c>
      <c r="H225" s="2" t="s">
        <v>61</v>
      </c>
      <c r="I225" s="2" t="s">
        <v>471</v>
      </c>
      <c r="J225" s="2">
        <v>65</v>
      </c>
      <c r="K225" s="2" t="str">
        <f t="shared" si="3"/>
        <v>1500</v>
      </c>
    </row>
    <row r="226" spans="1:11" x14ac:dyDescent="0.3">
      <c r="A226" s="2" t="s">
        <v>472</v>
      </c>
      <c r="B226" s="2" t="s">
        <v>84</v>
      </c>
      <c r="C226" s="2" t="s">
        <v>79</v>
      </c>
      <c r="D226" s="2" t="s">
        <v>31</v>
      </c>
      <c r="E226" s="2">
        <v>15</v>
      </c>
      <c r="F226" s="2">
        <v>11</v>
      </c>
      <c r="G226" s="2" t="s">
        <v>14</v>
      </c>
      <c r="H226" s="2" t="s">
        <v>40</v>
      </c>
      <c r="I226" s="2" t="s">
        <v>317</v>
      </c>
      <c r="J226" s="2">
        <v>72</v>
      </c>
      <c r="K226" s="2" t="str">
        <f t="shared" si="3"/>
        <v>1500</v>
      </c>
    </row>
    <row r="227" spans="1:11" x14ac:dyDescent="0.3">
      <c r="A227" s="2" t="s">
        <v>473</v>
      </c>
      <c r="B227" s="2" t="s">
        <v>18</v>
      </c>
      <c r="C227" s="2" t="s">
        <v>19</v>
      </c>
      <c r="D227" s="2" t="s">
        <v>31</v>
      </c>
      <c r="E227" s="2">
        <v>16</v>
      </c>
      <c r="F227" s="2">
        <v>11</v>
      </c>
      <c r="G227" s="2" t="s">
        <v>14</v>
      </c>
      <c r="H227" s="2" t="s">
        <v>61</v>
      </c>
      <c r="I227" s="2" t="s">
        <v>474</v>
      </c>
      <c r="J227" s="2">
        <v>75</v>
      </c>
      <c r="K227" s="2" t="str">
        <f t="shared" si="3"/>
        <v>1500</v>
      </c>
    </row>
    <row r="228" spans="1:11" x14ac:dyDescent="0.3">
      <c r="A228" s="2" t="s">
        <v>475</v>
      </c>
      <c r="B228" s="2" t="s">
        <v>35</v>
      </c>
      <c r="C228" s="2" t="s">
        <v>79</v>
      </c>
      <c r="D228" s="2" t="s">
        <v>13</v>
      </c>
      <c r="E228" s="2">
        <v>17</v>
      </c>
      <c r="F228" s="2">
        <v>9</v>
      </c>
      <c r="G228" s="2" t="s">
        <v>32</v>
      </c>
      <c r="H228" s="2" t="s">
        <v>15</v>
      </c>
      <c r="I228" s="2" t="s">
        <v>248</v>
      </c>
      <c r="J228" s="2">
        <v>50</v>
      </c>
      <c r="K228" s="2" t="str">
        <f t="shared" si="3"/>
        <v>1000</v>
      </c>
    </row>
    <row r="229" spans="1:11" x14ac:dyDescent="0.3">
      <c r="A229" s="2" t="s">
        <v>476</v>
      </c>
      <c r="B229" s="2" t="s">
        <v>29</v>
      </c>
      <c r="C229" s="2" t="s">
        <v>55</v>
      </c>
      <c r="D229" s="2" t="s">
        <v>13</v>
      </c>
      <c r="E229" s="2">
        <v>19</v>
      </c>
      <c r="F229" s="2">
        <v>10</v>
      </c>
      <c r="G229" s="2" t="s">
        <v>43</v>
      </c>
      <c r="H229" s="2" t="s">
        <v>26</v>
      </c>
      <c r="I229" s="2" t="s">
        <v>477</v>
      </c>
      <c r="J229" s="2">
        <v>88</v>
      </c>
      <c r="K229" s="2" t="str">
        <f t="shared" si="3"/>
        <v>1200</v>
      </c>
    </row>
    <row r="230" spans="1:11" x14ac:dyDescent="0.3">
      <c r="A230" s="2" t="s">
        <v>478</v>
      </c>
      <c r="B230" s="2" t="s">
        <v>11</v>
      </c>
      <c r="C230" s="2" t="s">
        <v>36</v>
      </c>
      <c r="D230" s="2" t="s">
        <v>13</v>
      </c>
      <c r="E230" s="2">
        <v>17</v>
      </c>
      <c r="F230" s="2">
        <v>12</v>
      </c>
      <c r="G230" s="2" t="s">
        <v>14</v>
      </c>
      <c r="H230" s="2" t="s">
        <v>37</v>
      </c>
      <c r="I230" s="2" t="s">
        <v>479</v>
      </c>
      <c r="J230" s="2">
        <v>63</v>
      </c>
      <c r="K230" s="2" t="str">
        <f t="shared" si="3"/>
        <v>1800</v>
      </c>
    </row>
    <row r="231" spans="1:11" x14ac:dyDescent="0.3">
      <c r="A231" s="2" t="s">
        <v>480</v>
      </c>
      <c r="B231" s="2" t="s">
        <v>35</v>
      </c>
      <c r="C231" s="2" t="s">
        <v>12</v>
      </c>
      <c r="D231" s="2" t="s">
        <v>31</v>
      </c>
      <c r="E231" s="2">
        <v>18</v>
      </c>
      <c r="F231" s="2">
        <v>10</v>
      </c>
      <c r="G231" s="2" t="s">
        <v>14</v>
      </c>
      <c r="H231" s="2" t="s">
        <v>37</v>
      </c>
      <c r="I231" s="2" t="s">
        <v>481</v>
      </c>
      <c r="J231" s="2">
        <v>36</v>
      </c>
      <c r="K231" s="2" t="str">
        <f t="shared" si="3"/>
        <v>1200</v>
      </c>
    </row>
    <row r="232" spans="1:11" x14ac:dyDescent="0.3">
      <c r="A232" s="2" t="s">
        <v>482</v>
      </c>
      <c r="B232" s="2" t="s">
        <v>35</v>
      </c>
      <c r="C232" s="2" t="s">
        <v>24</v>
      </c>
      <c r="D232" s="2" t="s">
        <v>13</v>
      </c>
      <c r="E232" s="2">
        <v>18</v>
      </c>
      <c r="F232" s="2">
        <v>11</v>
      </c>
      <c r="G232" s="2" t="s">
        <v>14</v>
      </c>
      <c r="H232" s="2" t="s">
        <v>61</v>
      </c>
      <c r="I232" s="2" t="s">
        <v>483</v>
      </c>
      <c r="J232" s="2">
        <v>86</v>
      </c>
      <c r="K232" s="2" t="str">
        <f t="shared" si="3"/>
        <v>1500</v>
      </c>
    </row>
    <row r="233" spans="1:11" x14ac:dyDescent="0.3">
      <c r="A233" s="2" t="s">
        <v>484</v>
      </c>
      <c r="B233" s="2" t="s">
        <v>29</v>
      </c>
      <c r="C233" s="2" t="s">
        <v>79</v>
      </c>
      <c r="D233" s="2" t="s">
        <v>31</v>
      </c>
      <c r="E233" s="2">
        <v>14</v>
      </c>
      <c r="F233" s="2">
        <v>11</v>
      </c>
      <c r="G233" s="2" t="s">
        <v>32</v>
      </c>
      <c r="H233" s="2" t="s">
        <v>40</v>
      </c>
      <c r="I233" s="2" t="s">
        <v>184</v>
      </c>
      <c r="J233" s="2">
        <v>42</v>
      </c>
      <c r="K233" s="2" t="str">
        <f t="shared" si="3"/>
        <v>1500</v>
      </c>
    </row>
    <row r="234" spans="1:11" x14ac:dyDescent="0.3">
      <c r="A234" s="2" t="s">
        <v>485</v>
      </c>
      <c r="B234" s="2" t="s">
        <v>18</v>
      </c>
      <c r="C234" s="2" t="s">
        <v>12</v>
      </c>
      <c r="D234" s="2" t="s">
        <v>31</v>
      </c>
      <c r="E234" s="2">
        <v>16</v>
      </c>
      <c r="F234" s="2">
        <v>12</v>
      </c>
      <c r="G234" s="2" t="s">
        <v>14</v>
      </c>
      <c r="H234" s="2" t="s">
        <v>76</v>
      </c>
      <c r="I234" s="2" t="s">
        <v>486</v>
      </c>
      <c r="J234" s="2">
        <v>70</v>
      </c>
      <c r="K234" s="2" t="str">
        <f t="shared" si="3"/>
        <v>1800</v>
      </c>
    </row>
    <row r="235" spans="1:11" x14ac:dyDescent="0.3">
      <c r="A235" s="2" t="s">
        <v>487</v>
      </c>
      <c r="B235" s="2" t="s">
        <v>18</v>
      </c>
      <c r="C235" s="2" t="s">
        <v>79</v>
      </c>
      <c r="D235" s="2" t="s">
        <v>13</v>
      </c>
      <c r="E235" s="2">
        <v>16</v>
      </c>
      <c r="F235" s="2">
        <v>11</v>
      </c>
      <c r="G235" s="2" t="s">
        <v>43</v>
      </c>
      <c r="H235" s="2" t="s">
        <v>61</v>
      </c>
      <c r="I235" s="2" t="s">
        <v>488</v>
      </c>
      <c r="J235" s="2">
        <v>86</v>
      </c>
      <c r="K235" s="2" t="str">
        <f t="shared" si="3"/>
        <v>1500</v>
      </c>
    </row>
    <row r="236" spans="1:11" x14ac:dyDescent="0.3">
      <c r="A236" s="2" t="s">
        <v>489</v>
      </c>
      <c r="B236" s="2" t="s">
        <v>68</v>
      </c>
      <c r="C236" s="2" t="s">
        <v>58</v>
      </c>
      <c r="D236" s="2" t="s">
        <v>31</v>
      </c>
      <c r="E236" s="2">
        <v>20</v>
      </c>
      <c r="F236" s="2">
        <v>10</v>
      </c>
      <c r="G236" s="2" t="s">
        <v>32</v>
      </c>
      <c r="H236" s="2" t="s">
        <v>20</v>
      </c>
      <c r="I236" s="2" t="s">
        <v>370</v>
      </c>
      <c r="J236" s="2">
        <v>93</v>
      </c>
      <c r="K236" s="2" t="str">
        <f t="shared" si="3"/>
        <v>1200</v>
      </c>
    </row>
    <row r="237" spans="1:11" x14ac:dyDescent="0.3">
      <c r="A237" s="2" t="s">
        <v>490</v>
      </c>
      <c r="B237" s="2" t="s">
        <v>73</v>
      </c>
      <c r="C237" s="2" t="s">
        <v>96</v>
      </c>
      <c r="D237" s="2" t="s">
        <v>13</v>
      </c>
      <c r="E237" s="2">
        <v>17</v>
      </c>
      <c r="F237" s="2">
        <v>10</v>
      </c>
      <c r="G237" s="2" t="s">
        <v>32</v>
      </c>
      <c r="H237" s="2" t="s">
        <v>61</v>
      </c>
      <c r="I237" s="2" t="s">
        <v>491</v>
      </c>
      <c r="J237" s="2">
        <v>60</v>
      </c>
      <c r="K237" s="2" t="str">
        <f t="shared" si="3"/>
        <v>1200</v>
      </c>
    </row>
    <row r="238" spans="1:11" x14ac:dyDescent="0.3">
      <c r="A238" s="2" t="s">
        <v>492</v>
      </c>
      <c r="B238" s="2" t="s">
        <v>18</v>
      </c>
      <c r="C238" s="2" t="s">
        <v>85</v>
      </c>
      <c r="D238" s="2" t="s">
        <v>31</v>
      </c>
      <c r="E238" s="2">
        <v>19</v>
      </c>
      <c r="F238" s="2">
        <v>11</v>
      </c>
      <c r="G238" s="2" t="s">
        <v>43</v>
      </c>
      <c r="H238" s="2" t="s">
        <v>15</v>
      </c>
      <c r="I238" s="2" t="s">
        <v>394</v>
      </c>
      <c r="J238" s="2">
        <v>50</v>
      </c>
      <c r="K238" s="2" t="str">
        <f t="shared" si="3"/>
        <v>1500</v>
      </c>
    </row>
    <row r="239" spans="1:11" x14ac:dyDescent="0.3">
      <c r="A239" s="2" t="s">
        <v>493</v>
      </c>
      <c r="B239" s="2" t="s">
        <v>51</v>
      </c>
      <c r="C239" s="2" t="s">
        <v>96</v>
      </c>
      <c r="D239" s="2" t="s">
        <v>31</v>
      </c>
      <c r="E239" s="2">
        <v>14</v>
      </c>
      <c r="F239" s="2">
        <v>12</v>
      </c>
      <c r="G239" s="2" t="s">
        <v>14</v>
      </c>
      <c r="H239" s="2" t="s">
        <v>26</v>
      </c>
      <c r="I239" s="2" t="s">
        <v>494</v>
      </c>
      <c r="J239" s="2">
        <v>47</v>
      </c>
      <c r="K239" s="2" t="str">
        <f t="shared" si="3"/>
        <v>1800</v>
      </c>
    </row>
    <row r="240" spans="1:11" x14ac:dyDescent="0.3">
      <c r="A240" s="2" t="s">
        <v>495</v>
      </c>
      <c r="B240" s="2" t="s">
        <v>35</v>
      </c>
      <c r="C240" s="2" t="s">
        <v>12</v>
      </c>
      <c r="D240" s="2" t="s">
        <v>13</v>
      </c>
      <c r="E240" s="2">
        <v>15</v>
      </c>
      <c r="F240" s="2">
        <v>12</v>
      </c>
      <c r="G240" s="2" t="s">
        <v>43</v>
      </c>
      <c r="H240" s="2" t="s">
        <v>20</v>
      </c>
      <c r="I240" s="2" t="s">
        <v>496</v>
      </c>
      <c r="J240" s="2">
        <v>49</v>
      </c>
      <c r="K240" s="2" t="str">
        <f t="shared" si="3"/>
        <v>1800</v>
      </c>
    </row>
    <row r="241" spans="1:11" x14ac:dyDescent="0.3">
      <c r="A241" s="2" t="s">
        <v>497</v>
      </c>
      <c r="B241" s="2" t="s">
        <v>51</v>
      </c>
      <c r="C241" s="2" t="s">
        <v>96</v>
      </c>
      <c r="D241" s="2" t="s">
        <v>13</v>
      </c>
      <c r="E241" s="2">
        <v>16</v>
      </c>
      <c r="F241" s="2">
        <v>9</v>
      </c>
      <c r="G241" s="2" t="s">
        <v>25</v>
      </c>
      <c r="H241" s="2" t="s">
        <v>26</v>
      </c>
      <c r="I241" s="2" t="s">
        <v>498</v>
      </c>
      <c r="J241" s="2">
        <v>42</v>
      </c>
      <c r="K241" s="2" t="str">
        <f t="shared" si="3"/>
        <v>1000</v>
      </c>
    </row>
    <row r="242" spans="1:11" x14ac:dyDescent="0.3">
      <c r="A242" s="2" t="s">
        <v>499</v>
      </c>
      <c r="B242" s="2" t="s">
        <v>54</v>
      </c>
      <c r="C242" s="2" t="s">
        <v>19</v>
      </c>
      <c r="D242" s="2" t="s">
        <v>31</v>
      </c>
      <c r="E242" s="2">
        <v>20</v>
      </c>
      <c r="F242" s="2">
        <v>9</v>
      </c>
      <c r="G242" s="2" t="s">
        <v>32</v>
      </c>
      <c r="H242" s="2" t="s">
        <v>46</v>
      </c>
      <c r="I242" s="2" t="s">
        <v>500</v>
      </c>
      <c r="J242" s="2">
        <v>42</v>
      </c>
      <c r="K242" s="2" t="str">
        <f t="shared" si="3"/>
        <v>1000</v>
      </c>
    </row>
    <row r="243" spans="1:11" x14ac:dyDescent="0.3">
      <c r="A243" s="2" t="s">
        <v>501</v>
      </c>
      <c r="B243" s="2" t="s">
        <v>84</v>
      </c>
      <c r="C243" s="2" t="s">
        <v>19</v>
      </c>
      <c r="D243" s="2" t="s">
        <v>13</v>
      </c>
      <c r="E243" s="2">
        <v>18</v>
      </c>
      <c r="F243" s="2">
        <v>10</v>
      </c>
      <c r="G243" s="2" t="s">
        <v>14</v>
      </c>
      <c r="H243" s="2" t="s">
        <v>61</v>
      </c>
      <c r="I243" s="2" t="s">
        <v>502</v>
      </c>
      <c r="J243" s="2">
        <v>76</v>
      </c>
      <c r="K243" s="2" t="str">
        <f t="shared" si="3"/>
        <v>1200</v>
      </c>
    </row>
    <row r="244" spans="1:11" x14ac:dyDescent="0.3">
      <c r="A244" s="2" t="s">
        <v>503</v>
      </c>
      <c r="B244" s="2" t="s">
        <v>84</v>
      </c>
      <c r="C244" s="2" t="s">
        <v>19</v>
      </c>
      <c r="D244" s="2" t="s">
        <v>31</v>
      </c>
      <c r="E244" s="2">
        <v>15</v>
      </c>
      <c r="F244" s="2">
        <v>10</v>
      </c>
      <c r="G244" s="2" t="s">
        <v>43</v>
      </c>
      <c r="H244" s="2" t="s">
        <v>61</v>
      </c>
      <c r="I244" s="2" t="s">
        <v>504</v>
      </c>
      <c r="J244" s="2">
        <v>44</v>
      </c>
      <c r="K244" s="2" t="str">
        <f t="shared" si="3"/>
        <v>1200</v>
      </c>
    </row>
    <row r="245" spans="1:11" x14ac:dyDescent="0.3">
      <c r="A245" s="2" t="s">
        <v>505</v>
      </c>
      <c r="B245" s="2" t="s">
        <v>11</v>
      </c>
      <c r="C245" s="2" t="s">
        <v>12</v>
      </c>
      <c r="D245" s="2" t="s">
        <v>31</v>
      </c>
      <c r="E245" s="2">
        <v>19</v>
      </c>
      <c r="F245" s="2">
        <v>10</v>
      </c>
      <c r="G245" s="2" t="s">
        <v>14</v>
      </c>
      <c r="H245" s="2" t="s">
        <v>40</v>
      </c>
      <c r="I245" s="2" t="s">
        <v>506</v>
      </c>
      <c r="J245" s="2">
        <v>77</v>
      </c>
      <c r="K245" s="2" t="str">
        <f t="shared" si="3"/>
        <v>1200</v>
      </c>
    </row>
    <row r="246" spans="1:11" x14ac:dyDescent="0.3">
      <c r="A246" s="2" t="s">
        <v>507</v>
      </c>
      <c r="B246" s="2" t="s">
        <v>54</v>
      </c>
      <c r="C246" s="2" t="s">
        <v>12</v>
      </c>
      <c r="D246" s="2" t="s">
        <v>31</v>
      </c>
      <c r="E246" s="2">
        <v>16</v>
      </c>
      <c r="F246" s="2">
        <v>12</v>
      </c>
      <c r="G246" s="2" t="s">
        <v>43</v>
      </c>
      <c r="H246" s="2" t="s">
        <v>61</v>
      </c>
      <c r="I246" s="2" t="s">
        <v>483</v>
      </c>
      <c r="J246" s="2">
        <v>45</v>
      </c>
      <c r="K246" s="2" t="str">
        <f t="shared" si="3"/>
        <v>1800</v>
      </c>
    </row>
    <row r="247" spans="1:11" x14ac:dyDescent="0.3">
      <c r="A247" s="2" t="s">
        <v>508</v>
      </c>
      <c r="B247" s="2" t="s">
        <v>73</v>
      </c>
      <c r="C247" s="2" t="s">
        <v>55</v>
      </c>
      <c r="D247" s="2" t="s">
        <v>13</v>
      </c>
      <c r="E247" s="2">
        <v>15</v>
      </c>
      <c r="F247" s="2">
        <v>11</v>
      </c>
      <c r="G247" s="2" t="s">
        <v>43</v>
      </c>
      <c r="H247" s="2" t="s">
        <v>46</v>
      </c>
      <c r="I247" s="2" t="s">
        <v>509</v>
      </c>
      <c r="J247" s="2">
        <v>54</v>
      </c>
      <c r="K247" s="2" t="str">
        <f t="shared" si="3"/>
        <v>1500</v>
      </c>
    </row>
    <row r="248" spans="1:11" x14ac:dyDescent="0.3">
      <c r="A248" s="2" t="s">
        <v>510</v>
      </c>
      <c r="B248" s="2" t="s">
        <v>54</v>
      </c>
      <c r="C248" s="2" t="s">
        <v>79</v>
      </c>
      <c r="D248" s="2" t="s">
        <v>31</v>
      </c>
      <c r="E248" s="2">
        <v>15</v>
      </c>
      <c r="F248" s="2">
        <v>9</v>
      </c>
      <c r="G248" s="2" t="s">
        <v>14</v>
      </c>
      <c r="H248" s="2" t="s">
        <v>40</v>
      </c>
      <c r="I248" s="2" t="s">
        <v>479</v>
      </c>
      <c r="J248" s="2">
        <v>66</v>
      </c>
      <c r="K248" s="2" t="str">
        <f t="shared" si="3"/>
        <v>1000</v>
      </c>
    </row>
    <row r="249" spans="1:11" x14ac:dyDescent="0.3">
      <c r="A249" s="2" t="s">
        <v>511</v>
      </c>
      <c r="B249" s="2" t="s">
        <v>35</v>
      </c>
      <c r="C249" s="2" t="s">
        <v>19</v>
      </c>
      <c r="D249" s="2" t="s">
        <v>31</v>
      </c>
      <c r="E249" s="2">
        <v>15</v>
      </c>
      <c r="F249" s="2">
        <v>9</v>
      </c>
      <c r="G249" s="2" t="s">
        <v>25</v>
      </c>
      <c r="H249" s="2" t="s">
        <v>15</v>
      </c>
      <c r="I249" s="2" t="s">
        <v>512</v>
      </c>
      <c r="J249" s="2">
        <v>95</v>
      </c>
      <c r="K249" s="2" t="str">
        <f t="shared" si="3"/>
        <v>1000</v>
      </c>
    </row>
    <row r="250" spans="1:11" x14ac:dyDescent="0.3">
      <c r="A250" s="2" t="s">
        <v>513</v>
      </c>
      <c r="B250" s="2" t="s">
        <v>11</v>
      </c>
      <c r="C250" s="2" t="s">
        <v>19</v>
      </c>
      <c r="D250" s="2" t="s">
        <v>31</v>
      </c>
      <c r="E250" s="2">
        <v>14</v>
      </c>
      <c r="F250" s="2">
        <v>12</v>
      </c>
      <c r="G250" s="2" t="s">
        <v>32</v>
      </c>
      <c r="H250" s="2" t="s">
        <v>15</v>
      </c>
      <c r="I250" s="2" t="s">
        <v>381</v>
      </c>
      <c r="J250" s="2">
        <v>65</v>
      </c>
      <c r="K250" s="2" t="str">
        <f t="shared" si="3"/>
        <v>1800</v>
      </c>
    </row>
    <row r="251" spans="1:11" x14ac:dyDescent="0.3">
      <c r="A251" s="2" t="s">
        <v>514</v>
      </c>
      <c r="B251" s="2" t="s">
        <v>11</v>
      </c>
      <c r="C251" s="2" t="s">
        <v>12</v>
      </c>
      <c r="D251" s="2" t="s">
        <v>31</v>
      </c>
      <c r="E251" s="2">
        <v>15</v>
      </c>
      <c r="F251" s="2">
        <v>11</v>
      </c>
      <c r="G251" s="2" t="s">
        <v>25</v>
      </c>
      <c r="H251" s="2" t="s">
        <v>20</v>
      </c>
      <c r="I251" s="2" t="s">
        <v>515</v>
      </c>
      <c r="J251" s="2">
        <v>61</v>
      </c>
      <c r="K251" s="2" t="str">
        <f t="shared" si="3"/>
        <v>1500</v>
      </c>
    </row>
    <row r="252" spans="1:11" x14ac:dyDescent="0.3">
      <c r="A252" s="2" t="s">
        <v>516</v>
      </c>
      <c r="B252" s="2" t="s">
        <v>18</v>
      </c>
      <c r="C252" s="2" t="s">
        <v>96</v>
      </c>
      <c r="D252" s="2" t="s">
        <v>31</v>
      </c>
      <c r="E252" s="2">
        <v>14</v>
      </c>
      <c r="F252" s="2">
        <v>11</v>
      </c>
      <c r="G252" s="2" t="s">
        <v>32</v>
      </c>
      <c r="H252" s="2" t="s">
        <v>46</v>
      </c>
      <c r="I252" s="2" t="s">
        <v>517</v>
      </c>
      <c r="J252" s="2">
        <v>86</v>
      </c>
      <c r="K252" s="2" t="str">
        <f t="shared" si="3"/>
        <v>1500</v>
      </c>
    </row>
    <row r="253" spans="1:11" x14ac:dyDescent="0.3">
      <c r="A253" s="2" t="s">
        <v>518</v>
      </c>
      <c r="B253" s="2" t="s">
        <v>51</v>
      </c>
      <c r="C253" s="2" t="s">
        <v>96</v>
      </c>
      <c r="D253" s="2" t="s">
        <v>31</v>
      </c>
      <c r="E253" s="2">
        <v>17</v>
      </c>
      <c r="F253" s="2">
        <v>11</v>
      </c>
      <c r="G253" s="2" t="s">
        <v>25</v>
      </c>
      <c r="H253" s="2" t="s">
        <v>61</v>
      </c>
      <c r="I253" s="2" t="s">
        <v>519</v>
      </c>
      <c r="J253" s="2">
        <v>52</v>
      </c>
      <c r="K253" s="2" t="str">
        <f t="shared" si="3"/>
        <v>1500</v>
      </c>
    </row>
    <row r="254" spans="1:11" x14ac:dyDescent="0.3">
      <c r="A254" s="2" t="s">
        <v>520</v>
      </c>
      <c r="B254" s="2" t="s">
        <v>68</v>
      </c>
      <c r="C254" s="2" t="s">
        <v>12</v>
      </c>
      <c r="D254" s="2" t="s">
        <v>31</v>
      </c>
      <c r="E254" s="2">
        <v>20</v>
      </c>
      <c r="F254" s="2">
        <v>10</v>
      </c>
      <c r="G254" s="2" t="s">
        <v>32</v>
      </c>
      <c r="H254" s="2" t="s">
        <v>26</v>
      </c>
      <c r="I254" s="2" t="s">
        <v>521</v>
      </c>
      <c r="J254" s="2">
        <v>42</v>
      </c>
      <c r="K254" s="2" t="str">
        <f t="shared" si="3"/>
        <v>1200</v>
      </c>
    </row>
    <row r="255" spans="1:11" x14ac:dyDescent="0.3">
      <c r="A255" s="2" t="s">
        <v>522</v>
      </c>
      <c r="B255" s="2" t="s">
        <v>54</v>
      </c>
      <c r="C255" s="2" t="s">
        <v>79</v>
      </c>
      <c r="D255" s="2" t="s">
        <v>31</v>
      </c>
      <c r="E255" s="2">
        <v>18</v>
      </c>
      <c r="F255" s="2">
        <v>10</v>
      </c>
      <c r="G255" s="2" t="s">
        <v>14</v>
      </c>
      <c r="H255" s="2" t="s">
        <v>61</v>
      </c>
      <c r="I255" s="2" t="s">
        <v>523</v>
      </c>
      <c r="J255" s="2">
        <v>82</v>
      </c>
      <c r="K255" s="2" t="str">
        <f t="shared" si="3"/>
        <v>1200</v>
      </c>
    </row>
    <row r="256" spans="1:11" x14ac:dyDescent="0.3">
      <c r="A256" s="2" t="s">
        <v>524</v>
      </c>
      <c r="B256" s="2" t="s">
        <v>35</v>
      </c>
      <c r="C256" s="2" t="s">
        <v>85</v>
      </c>
      <c r="D256" s="2" t="s">
        <v>13</v>
      </c>
      <c r="E256" s="2">
        <v>20</v>
      </c>
      <c r="F256" s="2">
        <v>10</v>
      </c>
      <c r="G256" s="2" t="s">
        <v>14</v>
      </c>
      <c r="H256" s="2" t="s">
        <v>40</v>
      </c>
      <c r="I256" s="2" t="s">
        <v>525</v>
      </c>
      <c r="J256" s="2">
        <v>92</v>
      </c>
      <c r="K256" s="2" t="str">
        <f t="shared" si="3"/>
        <v>1200</v>
      </c>
    </row>
    <row r="257" spans="1:11" x14ac:dyDescent="0.3">
      <c r="A257" s="2" t="s">
        <v>526</v>
      </c>
      <c r="B257" s="2" t="s">
        <v>18</v>
      </c>
      <c r="C257" s="2" t="s">
        <v>12</v>
      </c>
      <c r="D257" s="2" t="s">
        <v>31</v>
      </c>
      <c r="E257" s="2">
        <v>18</v>
      </c>
      <c r="F257" s="2">
        <v>9</v>
      </c>
      <c r="G257" s="2" t="s">
        <v>14</v>
      </c>
      <c r="H257" s="2" t="s">
        <v>15</v>
      </c>
      <c r="I257" s="2" t="s">
        <v>346</v>
      </c>
      <c r="J257" s="2">
        <v>59</v>
      </c>
      <c r="K257" s="2" t="str">
        <f t="shared" si="3"/>
        <v>1000</v>
      </c>
    </row>
    <row r="258" spans="1:11" x14ac:dyDescent="0.3">
      <c r="A258" s="2" t="s">
        <v>527</v>
      </c>
      <c r="B258" s="2" t="s">
        <v>11</v>
      </c>
      <c r="C258" s="2" t="s">
        <v>85</v>
      </c>
      <c r="D258" s="2" t="s">
        <v>13</v>
      </c>
      <c r="E258" s="2">
        <v>20</v>
      </c>
      <c r="F258" s="2">
        <v>12</v>
      </c>
      <c r="G258" s="2" t="s">
        <v>25</v>
      </c>
      <c r="H258" s="2" t="s">
        <v>46</v>
      </c>
      <c r="I258" s="2" t="s">
        <v>451</v>
      </c>
      <c r="J258" s="2">
        <v>86</v>
      </c>
      <c r="K258" s="2" t="str">
        <f t="shared" si="3"/>
        <v>1800</v>
      </c>
    </row>
    <row r="259" spans="1:11" x14ac:dyDescent="0.3">
      <c r="A259" s="2" t="s">
        <v>528</v>
      </c>
      <c r="B259" s="2" t="s">
        <v>51</v>
      </c>
      <c r="C259" s="2" t="s">
        <v>19</v>
      </c>
      <c r="D259" s="2" t="s">
        <v>13</v>
      </c>
      <c r="E259" s="2">
        <v>19</v>
      </c>
      <c r="F259" s="2">
        <v>9</v>
      </c>
      <c r="G259" s="2" t="s">
        <v>43</v>
      </c>
      <c r="H259" s="2" t="s">
        <v>46</v>
      </c>
      <c r="I259" s="2" t="s">
        <v>222</v>
      </c>
      <c r="J259" s="2">
        <v>46</v>
      </c>
      <c r="K259" s="2" t="str">
        <f t="shared" ref="K259:K322" si="4">_xlfn.IFS(F259=9,"1000",F259=10,"1200",F259=11,"1500",F259=12,"1800")</f>
        <v>1000</v>
      </c>
    </row>
    <row r="260" spans="1:11" x14ac:dyDescent="0.3">
      <c r="A260" s="2" t="s">
        <v>529</v>
      </c>
      <c r="B260" s="2" t="s">
        <v>84</v>
      </c>
      <c r="C260" s="2" t="s">
        <v>24</v>
      </c>
      <c r="D260" s="2" t="s">
        <v>31</v>
      </c>
      <c r="E260" s="2">
        <v>20</v>
      </c>
      <c r="F260" s="2">
        <v>12</v>
      </c>
      <c r="G260" s="2" t="s">
        <v>25</v>
      </c>
      <c r="H260" s="2" t="s">
        <v>76</v>
      </c>
      <c r="I260" s="2" t="s">
        <v>186</v>
      </c>
      <c r="J260" s="2">
        <v>51</v>
      </c>
      <c r="K260" s="2" t="str">
        <f t="shared" si="4"/>
        <v>1800</v>
      </c>
    </row>
    <row r="261" spans="1:11" x14ac:dyDescent="0.3">
      <c r="A261" s="2" t="s">
        <v>530</v>
      </c>
      <c r="B261" s="2" t="s">
        <v>54</v>
      </c>
      <c r="C261" s="2" t="s">
        <v>58</v>
      </c>
      <c r="D261" s="2" t="s">
        <v>13</v>
      </c>
      <c r="E261" s="2">
        <v>17</v>
      </c>
      <c r="F261" s="2">
        <v>10</v>
      </c>
      <c r="G261" s="2" t="s">
        <v>32</v>
      </c>
      <c r="H261" s="2" t="s">
        <v>15</v>
      </c>
      <c r="I261" s="2" t="s">
        <v>64</v>
      </c>
      <c r="J261" s="2">
        <v>46</v>
      </c>
      <c r="K261" s="2" t="str">
        <f t="shared" si="4"/>
        <v>1200</v>
      </c>
    </row>
    <row r="262" spans="1:11" x14ac:dyDescent="0.3">
      <c r="A262" s="2" t="s">
        <v>531</v>
      </c>
      <c r="B262" s="2" t="s">
        <v>23</v>
      </c>
      <c r="C262" s="2" t="s">
        <v>36</v>
      </c>
      <c r="D262" s="2" t="s">
        <v>13</v>
      </c>
      <c r="E262" s="2">
        <v>20</v>
      </c>
      <c r="F262" s="2">
        <v>11</v>
      </c>
      <c r="G262" s="2" t="s">
        <v>43</v>
      </c>
      <c r="H262" s="2" t="s">
        <v>20</v>
      </c>
      <c r="I262" s="2" t="s">
        <v>178</v>
      </c>
      <c r="J262" s="2">
        <v>44</v>
      </c>
      <c r="K262" s="2" t="str">
        <f t="shared" si="4"/>
        <v>1500</v>
      </c>
    </row>
    <row r="263" spans="1:11" x14ac:dyDescent="0.3">
      <c r="A263" s="2" t="s">
        <v>532</v>
      </c>
      <c r="B263" s="2" t="s">
        <v>51</v>
      </c>
      <c r="C263" s="2" t="s">
        <v>19</v>
      </c>
      <c r="D263" s="2" t="s">
        <v>31</v>
      </c>
      <c r="E263" s="2">
        <v>14</v>
      </c>
      <c r="F263" s="2">
        <v>11</v>
      </c>
      <c r="G263" s="2" t="s">
        <v>43</v>
      </c>
      <c r="H263" s="2" t="s">
        <v>20</v>
      </c>
      <c r="I263" s="2" t="s">
        <v>533</v>
      </c>
      <c r="J263" s="2">
        <v>93</v>
      </c>
      <c r="K263" s="2" t="str">
        <f t="shared" si="4"/>
        <v>1500</v>
      </c>
    </row>
    <row r="264" spans="1:11" x14ac:dyDescent="0.3">
      <c r="A264" s="2" t="s">
        <v>534</v>
      </c>
      <c r="B264" s="2" t="s">
        <v>23</v>
      </c>
      <c r="C264" s="2" t="s">
        <v>19</v>
      </c>
      <c r="D264" s="2" t="s">
        <v>13</v>
      </c>
      <c r="E264" s="2">
        <v>20</v>
      </c>
      <c r="F264" s="2">
        <v>11</v>
      </c>
      <c r="G264" s="2" t="s">
        <v>32</v>
      </c>
      <c r="H264" s="2" t="s">
        <v>76</v>
      </c>
      <c r="I264" s="2" t="s">
        <v>358</v>
      </c>
      <c r="J264" s="2">
        <v>41</v>
      </c>
      <c r="K264" s="2" t="str">
        <f t="shared" si="4"/>
        <v>1500</v>
      </c>
    </row>
    <row r="265" spans="1:11" x14ac:dyDescent="0.3">
      <c r="A265" s="2" t="s">
        <v>535</v>
      </c>
      <c r="B265" s="2" t="s">
        <v>84</v>
      </c>
      <c r="C265" s="2" t="s">
        <v>58</v>
      </c>
      <c r="D265" s="2" t="s">
        <v>13</v>
      </c>
      <c r="E265" s="2">
        <v>20</v>
      </c>
      <c r="F265" s="2">
        <v>9</v>
      </c>
      <c r="G265" s="2" t="s">
        <v>25</v>
      </c>
      <c r="H265" s="2" t="s">
        <v>46</v>
      </c>
      <c r="I265" s="2" t="s">
        <v>536</v>
      </c>
      <c r="J265" s="2">
        <v>58</v>
      </c>
      <c r="K265" s="2" t="str">
        <f t="shared" si="4"/>
        <v>1000</v>
      </c>
    </row>
    <row r="266" spans="1:11" x14ac:dyDescent="0.3">
      <c r="A266" s="2" t="s">
        <v>537</v>
      </c>
      <c r="B266" s="2" t="s">
        <v>68</v>
      </c>
      <c r="C266" s="2" t="s">
        <v>36</v>
      </c>
      <c r="D266" s="2" t="s">
        <v>31</v>
      </c>
      <c r="E266" s="2">
        <v>16</v>
      </c>
      <c r="F266" s="2">
        <v>12</v>
      </c>
      <c r="G266" s="2" t="s">
        <v>25</v>
      </c>
      <c r="H266" s="2" t="s">
        <v>26</v>
      </c>
      <c r="I266" s="2" t="s">
        <v>538</v>
      </c>
      <c r="J266" s="2">
        <v>42</v>
      </c>
      <c r="K266" s="2" t="str">
        <f t="shared" si="4"/>
        <v>1800</v>
      </c>
    </row>
    <row r="267" spans="1:11" x14ac:dyDescent="0.3">
      <c r="A267" s="2" t="s">
        <v>539</v>
      </c>
      <c r="B267" s="2" t="s">
        <v>73</v>
      </c>
      <c r="C267" s="2" t="s">
        <v>36</v>
      </c>
      <c r="D267" s="2" t="s">
        <v>31</v>
      </c>
      <c r="E267" s="2">
        <v>14</v>
      </c>
      <c r="F267" s="2">
        <v>12</v>
      </c>
      <c r="G267" s="2" t="s">
        <v>43</v>
      </c>
      <c r="H267" s="2" t="s">
        <v>61</v>
      </c>
      <c r="I267" s="2" t="s">
        <v>387</v>
      </c>
      <c r="J267" s="2">
        <v>37</v>
      </c>
      <c r="K267" s="2" t="str">
        <f t="shared" si="4"/>
        <v>1800</v>
      </c>
    </row>
    <row r="268" spans="1:11" x14ac:dyDescent="0.3">
      <c r="A268" s="2" t="s">
        <v>540</v>
      </c>
      <c r="B268" s="2" t="s">
        <v>51</v>
      </c>
      <c r="C268" s="2" t="s">
        <v>85</v>
      </c>
      <c r="D268" s="2" t="s">
        <v>13</v>
      </c>
      <c r="E268" s="2">
        <v>18</v>
      </c>
      <c r="F268" s="2">
        <v>10</v>
      </c>
      <c r="G268" s="2" t="s">
        <v>14</v>
      </c>
      <c r="H268" s="2" t="s">
        <v>46</v>
      </c>
      <c r="I268" s="2" t="s">
        <v>541</v>
      </c>
      <c r="J268" s="2">
        <v>63</v>
      </c>
      <c r="K268" s="2" t="str">
        <f t="shared" si="4"/>
        <v>1200</v>
      </c>
    </row>
    <row r="269" spans="1:11" x14ac:dyDescent="0.3">
      <c r="A269" s="2" t="s">
        <v>542</v>
      </c>
      <c r="B269" s="2" t="s">
        <v>84</v>
      </c>
      <c r="C269" s="2" t="s">
        <v>55</v>
      </c>
      <c r="D269" s="2" t="s">
        <v>31</v>
      </c>
      <c r="E269" s="2">
        <v>18</v>
      </c>
      <c r="F269" s="2">
        <v>12</v>
      </c>
      <c r="G269" s="2" t="s">
        <v>32</v>
      </c>
      <c r="H269" s="2" t="s">
        <v>40</v>
      </c>
      <c r="I269" s="2" t="s">
        <v>543</v>
      </c>
      <c r="J269" s="2">
        <v>51</v>
      </c>
      <c r="K269" s="2" t="str">
        <f t="shared" si="4"/>
        <v>1800</v>
      </c>
    </row>
    <row r="270" spans="1:11" x14ac:dyDescent="0.3">
      <c r="A270" s="2" t="s">
        <v>544</v>
      </c>
      <c r="B270" s="2" t="s">
        <v>68</v>
      </c>
      <c r="C270" s="2" t="s">
        <v>19</v>
      </c>
      <c r="D270" s="2" t="s">
        <v>31</v>
      </c>
      <c r="E270" s="2">
        <v>16</v>
      </c>
      <c r="F270" s="2">
        <v>9</v>
      </c>
      <c r="G270" s="2" t="s">
        <v>14</v>
      </c>
      <c r="H270" s="2" t="s">
        <v>40</v>
      </c>
      <c r="I270" s="2" t="s">
        <v>545</v>
      </c>
      <c r="J270" s="2">
        <v>37</v>
      </c>
      <c r="K270" s="2" t="str">
        <f t="shared" si="4"/>
        <v>1000</v>
      </c>
    </row>
    <row r="271" spans="1:11" x14ac:dyDescent="0.3">
      <c r="A271" s="2" t="s">
        <v>546</v>
      </c>
      <c r="B271" s="2" t="s">
        <v>51</v>
      </c>
      <c r="C271" s="2" t="s">
        <v>36</v>
      </c>
      <c r="D271" s="2" t="s">
        <v>31</v>
      </c>
      <c r="E271" s="2">
        <v>14</v>
      </c>
      <c r="F271" s="2">
        <v>9</v>
      </c>
      <c r="G271" s="2" t="s">
        <v>14</v>
      </c>
      <c r="H271" s="2" t="s">
        <v>46</v>
      </c>
      <c r="I271" s="2" t="s">
        <v>547</v>
      </c>
      <c r="J271" s="2">
        <v>81</v>
      </c>
      <c r="K271" s="2" t="str">
        <f t="shared" si="4"/>
        <v>1000</v>
      </c>
    </row>
    <row r="272" spans="1:11" x14ac:dyDescent="0.3">
      <c r="A272" s="2" t="s">
        <v>548</v>
      </c>
      <c r="B272" s="2" t="s">
        <v>51</v>
      </c>
      <c r="C272" s="2" t="s">
        <v>24</v>
      </c>
      <c r="D272" s="2" t="s">
        <v>31</v>
      </c>
      <c r="E272" s="2">
        <v>15</v>
      </c>
      <c r="F272" s="2">
        <v>11</v>
      </c>
      <c r="G272" s="2" t="s">
        <v>32</v>
      </c>
      <c r="H272" s="2" t="s">
        <v>40</v>
      </c>
      <c r="I272" s="2" t="s">
        <v>549</v>
      </c>
      <c r="J272" s="2">
        <v>90</v>
      </c>
      <c r="K272" s="2" t="str">
        <f t="shared" si="4"/>
        <v>1500</v>
      </c>
    </row>
    <row r="273" spans="1:11" x14ac:dyDescent="0.3">
      <c r="A273" s="2" t="s">
        <v>550</v>
      </c>
      <c r="B273" s="2" t="s">
        <v>73</v>
      </c>
      <c r="C273" s="2" t="s">
        <v>19</v>
      </c>
      <c r="D273" s="2" t="s">
        <v>13</v>
      </c>
      <c r="E273" s="2">
        <v>14</v>
      </c>
      <c r="F273" s="2">
        <v>11</v>
      </c>
      <c r="G273" s="2" t="s">
        <v>32</v>
      </c>
      <c r="H273" s="2" t="s">
        <v>26</v>
      </c>
      <c r="I273" s="2" t="s">
        <v>551</v>
      </c>
      <c r="J273" s="2">
        <v>90</v>
      </c>
      <c r="K273" s="2" t="str">
        <f t="shared" si="4"/>
        <v>1500</v>
      </c>
    </row>
    <row r="274" spans="1:11" x14ac:dyDescent="0.3">
      <c r="A274" s="2" t="s">
        <v>552</v>
      </c>
      <c r="B274" s="2" t="s">
        <v>35</v>
      </c>
      <c r="C274" s="2" t="s">
        <v>30</v>
      </c>
      <c r="D274" s="2" t="s">
        <v>13</v>
      </c>
      <c r="E274" s="2">
        <v>19</v>
      </c>
      <c r="F274" s="2">
        <v>11</v>
      </c>
      <c r="G274" s="2" t="s">
        <v>14</v>
      </c>
      <c r="H274" s="2" t="s">
        <v>76</v>
      </c>
      <c r="I274" s="2" t="s">
        <v>553</v>
      </c>
      <c r="J274" s="2">
        <v>81</v>
      </c>
      <c r="K274" s="2" t="str">
        <f t="shared" si="4"/>
        <v>1500</v>
      </c>
    </row>
    <row r="275" spans="1:11" x14ac:dyDescent="0.3">
      <c r="A275" s="2" t="s">
        <v>554</v>
      </c>
      <c r="B275" s="2" t="s">
        <v>29</v>
      </c>
      <c r="C275" s="2" t="s">
        <v>79</v>
      </c>
      <c r="D275" s="2" t="s">
        <v>13</v>
      </c>
      <c r="E275" s="2">
        <v>15</v>
      </c>
      <c r="F275" s="2">
        <v>9</v>
      </c>
      <c r="G275" s="2" t="s">
        <v>32</v>
      </c>
      <c r="H275" s="2" t="s">
        <v>76</v>
      </c>
      <c r="I275" s="2" t="s">
        <v>184</v>
      </c>
      <c r="J275" s="2">
        <v>53</v>
      </c>
      <c r="K275" s="2" t="str">
        <f t="shared" si="4"/>
        <v>1000</v>
      </c>
    </row>
    <row r="276" spans="1:11" x14ac:dyDescent="0.3">
      <c r="A276" s="2" t="s">
        <v>555</v>
      </c>
      <c r="B276" s="2" t="s">
        <v>73</v>
      </c>
      <c r="C276" s="2" t="s">
        <v>55</v>
      </c>
      <c r="D276" s="2" t="s">
        <v>31</v>
      </c>
      <c r="E276" s="2">
        <v>16</v>
      </c>
      <c r="F276" s="2">
        <v>9</v>
      </c>
      <c r="G276" s="2" t="s">
        <v>14</v>
      </c>
      <c r="H276" s="2" t="s">
        <v>76</v>
      </c>
      <c r="I276" s="2" t="s">
        <v>556</v>
      </c>
      <c r="J276" s="2">
        <v>93</v>
      </c>
      <c r="K276" s="2" t="str">
        <f t="shared" si="4"/>
        <v>1000</v>
      </c>
    </row>
    <row r="277" spans="1:11" x14ac:dyDescent="0.3">
      <c r="A277" s="2" t="s">
        <v>557</v>
      </c>
      <c r="B277" s="2" t="s">
        <v>23</v>
      </c>
      <c r="C277" s="2" t="s">
        <v>96</v>
      </c>
      <c r="D277" s="2" t="s">
        <v>13</v>
      </c>
      <c r="E277" s="2">
        <v>18</v>
      </c>
      <c r="F277" s="2">
        <v>11</v>
      </c>
      <c r="G277" s="2" t="s">
        <v>25</v>
      </c>
      <c r="H277" s="2" t="s">
        <v>76</v>
      </c>
      <c r="I277" s="2" t="s">
        <v>182</v>
      </c>
      <c r="J277" s="2">
        <v>77</v>
      </c>
      <c r="K277" s="2" t="str">
        <f t="shared" si="4"/>
        <v>1500</v>
      </c>
    </row>
    <row r="278" spans="1:11" x14ac:dyDescent="0.3">
      <c r="A278" s="2" t="s">
        <v>558</v>
      </c>
      <c r="B278" s="2" t="s">
        <v>54</v>
      </c>
      <c r="C278" s="2" t="s">
        <v>30</v>
      </c>
      <c r="D278" s="2" t="s">
        <v>31</v>
      </c>
      <c r="E278" s="2">
        <v>19</v>
      </c>
      <c r="F278" s="2">
        <v>10</v>
      </c>
      <c r="G278" s="2" t="s">
        <v>43</v>
      </c>
      <c r="H278" s="2" t="s">
        <v>76</v>
      </c>
      <c r="I278" s="2" t="s">
        <v>559</v>
      </c>
      <c r="J278" s="2">
        <v>40</v>
      </c>
      <c r="K278" s="2" t="str">
        <f t="shared" si="4"/>
        <v>1200</v>
      </c>
    </row>
    <row r="279" spans="1:11" x14ac:dyDescent="0.3">
      <c r="A279" s="2" t="s">
        <v>560</v>
      </c>
      <c r="B279" s="2" t="s">
        <v>68</v>
      </c>
      <c r="C279" s="2" t="s">
        <v>85</v>
      </c>
      <c r="D279" s="2" t="s">
        <v>31</v>
      </c>
      <c r="E279" s="2">
        <v>15</v>
      </c>
      <c r="F279" s="2">
        <v>10</v>
      </c>
      <c r="G279" s="2" t="s">
        <v>43</v>
      </c>
      <c r="H279" s="2" t="s">
        <v>26</v>
      </c>
      <c r="I279" s="2" t="s">
        <v>561</v>
      </c>
      <c r="J279" s="2">
        <v>63</v>
      </c>
      <c r="K279" s="2" t="str">
        <f t="shared" si="4"/>
        <v>1200</v>
      </c>
    </row>
    <row r="280" spans="1:11" x14ac:dyDescent="0.3">
      <c r="A280" s="2" t="s">
        <v>562</v>
      </c>
      <c r="B280" s="2" t="s">
        <v>29</v>
      </c>
      <c r="C280" s="2" t="s">
        <v>79</v>
      </c>
      <c r="D280" s="2" t="s">
        <v>31</v>
      </c>
      <c r="E280" s="2">
        <v>15</v>
      </c>
      <c r="F280" s="2">
        <v>12</v>
      </c>
      <c r="G280" s="2" t="s">
        <v>32</v>
      </c>
      <c r="H280" s="2" t="s">
        <v>46</v>
      </c>
      <c r="I280" s="2" t="s">
        <v>121</v>
      </c>
      <c r="J280" s="2">
        <v>53</v>
      </c>
      <c r="K280" s="2" t="str">
        <f t="shared" si="4"/>
        <v>1800</v>
      </c>
    </row>
    <row r="281" spans="1:11" x14ac:dyDescent="0.3">
      <c r="A281" s="2" t="s">
        <v>563</v>
      </c>
      <c r="B281" s="2" t="s">
        <v>35</v>
      </c>
      <c r="C281" s="2" t="s">
        <v>55</v>
      </c>
      <c r="D281" s="2" t="s">
        <v>31</v>
      </c>
      <c r="E281" s="2">
        <v>19</v>
      </c>
      <c r="F281" s="2">
        <v>10</v>
      </c>
      <c r="G281" s="2" t="s">
        <v>43</v>
      </c>
      <c r="H281" s="2" t="s">
        <v>46</v>
      </c>
      <c r="I281" s="2" t="s">
        <v>564</v>
      </c>
      <c r="J281" s="2">
        <v>72</v>
      </c>
      <c r="K281" s="2" t="str">
        <f t="shared" si="4"/>
        <v>1200</v>
      </c>
    </row>
    <row r="282" spans="1:11" x14ac:dyDescent="0.3">
      <c r="A282" s="2" t="s">
        <v>565</v>
      </c>
      <c r="B282" s="2" t="s">
        <v>54</v>
      </c>
      <c r="C282" s="2" t="s">
        <v>79</v>
      </c>
      <c r="D282" s="2" t="s">
        <v>31</v>
      </c>
      <c r="E282" s="2">
        <v>20</v>
      </c>
      <c r="F282" s="2">
        <v>9</v>
      </c>
      <c r="G282" s="2" t="s">
        <v>43</v>
      </c>
      <c r="H282" s="2" t="s">
        <v>20</v>
      </c>
      <c r="I282" s="2" t="s">
        <v>566</v>
      </c>
      <c r="J282" s="2">
        <v>67</v>
      </c>
      <c r="K282" s="2" t="str">
        <f t="shared" si="4"/>
        <v>1000</v>
      </c>
    </row>
    <row r="283" spans="1:11" x14ac:dyDescent="0.3">
      <c r="A283" s="2" t="s">
        <v>567</v>
      </c>
      <c r="B283" s="2" t="s">
        <v>54</v>
      </c>
      <c r="C283" s="2" t="s">
        <v>12</v>
      </c>
      <c r="D283" s="2" t="s">
        <v>31</v>
      </c>
      <c r="E283" s="2">
        <v>18</v>
      </c>
      <c r="F283" s="2">
        <v>12</v>
      </c>
      <c r="G283" s="2" t="s">
        <v>25</v>
      </c>
      <c r="H283" s="2" t="s">
        <v>26</v>
      </c>
      <c r="I283" s="2" t="s">
        <v>568</v>
      </c>
      <c r="J283" s="2">
        <v>96</v>
      </c>
      <c r="K283" s="2" t="str">
        <f t="shared" si="4"/>
        <v>1800</v>
      </c>
    </row>
    <row r="284" spans="1:11" x14ac:dyDescent="0.3">
      <c r="A284" s="2" t="s">
        <v>569</v>
      </c>
      <c r="B284" s="2" t="s">
        <v>54</v>
      </c>
      <c r="C284" s="2" t="s">
        <v>12</v>
      </c>
      <c r="D284" s="2" t="s">
        <v>31</v>
      </c>
      <c r="E284" s="2">
        <v>17</v>
      </c>
      <c r="F284" s="2">
        <v>9</v>
      </c>
      <c r="G284" s="2" t="s">
        <v>25</v>
      </c>
      <c r="H284" s="2" t="s">
        <v>37</v>
      </c>
      <c r="I284" s="2" t="s">
        <v>570</v>
      </c>
      <c r="J284" s="2">
        <v>100</v>
      </c>
      <c r="K284" s="2" t="str">
        <f t="shared" si="4"/>
        <v>1000</v>
      </c>
    </row>
    <row r="285" spans="1:11" x14ac:dyDescent="0.3">
      <c r="A285" s="2" t="s">
        <v>571</v>
      </c>
      <c r="B285" s="2" t="s">
        <v>68</v>
      </c>
      <c r="C285" s="2" t="s">
        <v>12</v>
      </c>
      <c r="D285" s="2" t="s">
        <v>13</v>
      </c>
      <c r="E285" s="2">
        <v>16</v>
      </c>
      <c r="F285" s="2">
        <v>10</v>
      </c>
      <c r="G285" s="2" t="s">
        <v>25</v>
      </c>
      <c r="H285" s="2" t="s">
        <v>26</v>
      </c>
      <c r="I285" s="2" t="s">
        <v>434</v>
      </c>
      <c r="J285" s="2">
        <v>63</v>
      </c>
      <c r="K285" s="2" t="str">
        <f t="shared" si="4"/>
        <v>1200</v>
      </c>
    </row>
    <row r="286" spans="1:11" x14ac:dyDescent="0.3">
      <c r="A286" s="2" t="s">
        <v>572</v>
      </c>
      <c r="B286" s="2" t="s">
        <v>23</v>
      </c>
      <c r="C286" s="2" t="s">
        <v>19</v>
      </c>
      <c r="D286" s="2" t="s">
        <v>31</v>
      </c>
      <c r="E286" s="2">
        <v>19</v>
      </c>
      <c r="F286" s="2">
        <v>10</v>
      </c>
      <c r="G286" s="2" t="s">
        <v>32</v>
      </c>
      <c r="H286" s="2" t="s">
        <v>20</v>
      </c>
      <c r="I286" s="2" t="s">
        <v>400</v>
      </c>
      <c r="J286" s="2">
        <v>53</v>
      </c>
      <c r="K286" s="2" t="str">
        <f t="shared" si="4"/>
        <v>1200</v>
      </c>
    </row>
    <row r="287" spans="1:11" x14ac:dyDescent="0.3">
      <c r="A287" s="2" t="s">
        <v>573</v>
      </c>
      <c r="B287" s="2" t="s">
        <v>54</v>
      </c>
      <c r="C287" s="2" t="s">
        <v>24</v>
      </c>
      <c r="D287" s="2" t="s">
        <v>13</v>
      </c>
      <c r="E287" s="2">
        <v>19</v>
      </c>
      <c r="F287" s="2">
        <v>9</v>
      </c>
      <c r="G287" s="2" t="s">
        <v>43</v>
      </c>
      <c r="H287" s="2" t="s">
        <v>46</v>
      </c>
      <c r="I287" s="2" t="s">
        <v>574</v>
      </c>
      <c r="J287" s="2">
        <v>94</v>
      </c>
      <c r="K287" s="2" t="str">
        <f t="shared" si="4"/>
        <v>1000</v>
      </c>
    </row>
    <row r="288" spans="1:11" x14ac:dyDescent="0.3">
      <c r="A288" s="2" t="s">
        <v>575</v>
      </c>
      <c r="B288" s="2" t="s">
        <v>35</v>
      </c>
      <c r="C288" s="2" t="s">
        <v>30</v>
      </c>
      <c r="D288" s="2" t="s">
        <v>31</v>
      </c>
      <c r="E288" s="2">
        <v>14</v>
      </c>
      <c r="F288" s="2">
        <v>10</v>
      </c>
      <c r="G288" s="2" t="s">
        <v>32</v>
      </c>
      <c r="H288" s="2" t="s">
        <v>40</v>
      </c>
      <c r="I288" s="2" t="s">
        <v>576</v>
      </c>
      <c r="J288" s="2">
        <v>50</v>
      </c>
      <c r="K288" s="2" t="str">
        <f t="shared" si="4"/>
        <v>1200</v>
      </c>
    </row>
    <row r="289" spans="1:11" x14ac:dyDescent="0.3">
      <c r="A289" s="2" t="s">
        <v>577</v>
      </c>
      <c r="B289" s="2" t="s">
        <v>84</v>
      </c>
      <c r="C289" s="2" t="s">
        <v>79</v>
      </c>
      <c r="D289" s="2" t="s">
        <v>31</v>
      </c>
      <c r="E289" s="2">
        <v>15</v>
      </c>
      <c r="F289" s="2">
        <v>11</v>
      </c>
      <c r="G289" s="2" t="s">
        <v>25</v>
      </c>
      <c r="H289" s="2" t="s">
        <v>40</v>
      </c>
      <c r="I289" s="2" t="s">
        <v>578</v>
      </c>
      <c r="J289" s="2">
        <v>72</v>
      </c>
      <c r="K289" s="2" t="str">
        <f t="shared" si="4"/>
        <v>1500</v>
      </c>
    </row>
    <row r="290" spans="1:11" x14ac:dyDescent="0.3">
      <c r="A290" s="2" t="s">
        <v>579</v>
      </c>
      <c r="B290" s="2" t="s">
        <v>51</v>
      </c>
      <c r="C290" s="2" t="s">
        <v>55</v>
      </c>
      <c r="D290" s="2" t="s">
        <v>31</v>
      </c>
      <c r="E290" s="2">
        <v>20</v>
      </c>
      <c r="F290" s="2">
        <v>9</v>
      </c>
      <c r="G290" s="2" t="s">
        <v>25</v>
      </c>
      <c r="H290" s="2" t="s">
        <v>26</v>
      </c>
      <c r="I290" s="2" t="s">
        <v>212</v>
      </c>
      <c r="J290" s="2">
        <v>35</v>
      </c>
      <c r="K290" s="2" t="str">
        <f t="shared" si="4"/>
        <v>1000</v>
      </c>
    </row>
    <row r="291" spans="1:11" x14ac:dyDescent="0.3">
      <c r="A291" s="2" t="s">
        <v>580</v>
      </c>
      <c r="B291" s="2" t="s">
        <v>29</v>
      </c>
      <c r="C291" s="2" t="s">
        <v>36</v>
      </c>
      <c r="D291" s="2" t="s">
        <v>13</v>
      </c>
      <c r="E291" s="2">
        <v>17</v>
      </c>
      <c r="F291" s="2">
        <v>10</v>
      </c>
      <c r="G291" s="2" t="s">
        <v>32</v>
      </c>
      <c r="H291" s="2" t="s">
        <v>15</v>
      </c>
      <c r="I291" s="2" t="s">
        <v>581</v>
      </c>
      <c r="J291" s="2">
        <v>37</v>
      </c>
      <c r="K291" s="2" t="str">
        <f t="shared" si="4"/>
        <v>1200</v>
      </c>
    </row>
    <row r="292" spans="1:11" x14ac:dyDescent="0.3">
      <c r="A292" s="2" t="s">
        <v>582</v>
      </c>
      <c r="B292" s="2" t="s">
        <v>51</v>
      </c>
      <c r="C292" s="2" t="s">
        <v>55</v>
      </c>
      <c r="D292" s="2" t="s">
        <v>31</v>
      </c>
      <c r="E292" s="2">
        <v>14</v>
      </c>
      <c r="F292" s="2">
        <v>11</v>
      </c>
      <c r="G292" s="2" t="s">
        <v>25</v>
      </c>
      <c r="H292" s="2" t="s">
        <v>37</v>
      </c>
      <c r="I292" s="2" t="s">
        <v>583</v>
      </c>
      <c r="J292" s="2">
        <v>47</v>
      </c>
      <c r="K292" s="2" t="str">
        <f t="shared" si="4"/>
        <v>1500</v>
      </c>
    </row>
    <row r="293" spans="1:11" x14ac:dyDescent="0.3">
      <c r="A293" s="2" t="s">
        <v>584</v>
      </c>
      <c r="B293" s="2" t="s">
        <v>68</v>
      </c>
      <c r="C293" s="2" t="s">
        <v>55</v>
      </c>
      <c r="D293" s="2" t="s">
        <v>31</v>
      </c>
      <c r="E293" s="2">
        <v>16</v>
      </c>
      <c r="F293" s="2">
        <v>9</v>
      </c>
      <c r="G293" s="2" t="s">
        <v>14</v>
      </c>
      <c r="H293" s="2" t="s">
        <v>61</v>
      </c>
      <c r="I293" s="2" t="s">
        <v>585</v>
      </c>
      <c r="J293" s="2">
        <v>59</v>
      </c>
      <c r="K293" s="2" t="str">
        <f t="shared" si="4"/>
        <v>1000</v>
      </c>
    </row>
    <row r="294" spans="1:11" x14ac:dyDescent="0.3">
      <c r="A294" s="2" t="s">
        <v>586</v>
      </c>
      <c r="B294" s="2" t="s">
        <v>11</v>
      </c>
      <c r="C294" s="2" t="s">
        <v>24</v>
      </c>
      <c r="D294" s="2" t="s">
        <v>31</v>
      </c>
      <c r="E294" s="2">
        <v>17</v>
      </c>
      <c r="F294" s="2">
        <v>11</v>
      </c>
      <c r="G294" s="2" t="s">
        <v>43</v>
      </c>
      <c r="H294" s="2" t="s">
        <v>61</v>
      </c>
      <c r="I294" s="2" t="s">
        <v>587</v>
      </c>
      <c r="J294" s="2">
        <v>73</v>
      </c>
      <c r="K294" s="2" t="str">
        <f t="shared" si="4"/>
        <v>1500</v>
      </c>
    </row>
    <row r="295" spans="1:11" x14ac:dyDescent="0.3">
      <c r="A295" s="2" t="s">
        <v>588</v>
      </c>
      <c r="B295" s="2" t="s">
        <v>68</v>
      </c>
      <c r="C295" s="2" t="s">
        <v>85</v>
      </c>
      <c r="D295" s="2" t="s">
        <v>31</v>
      </c>
      <c r="E295" s="2">
        <v>17</v>
      </c>
      <c r="F295" s="2">
        <v>9</v>
      </c>
      <c r="G295" s="2" t="s">
        <v>25</v>
      </c>
      <c r="H295" s="2" t="s">
        <v>61</v>
      </c>
      <c r="I295" s="2" t="s">
        <v>589</v>
      </c>
      <c r="J295" s="2">
        <v>45</v>
      </c>
      <c r="K295" s="2" t="str">
        <f t="shared" si="4"/>
        <v>1000</v>
      </c>
    </row>
    <row r="296" spans="1:11" x14ac:dyDescent="0.3">
      <c r="A296" s="2" t="s">
        <v>590</v>
      </c>
      <c r="B296" s="2" t="s">
        <v>35</v>
      </c>
      <c r="C296" s="2" t="s">
        <v>12</v>
      </c>
      <c r="D296" s="2" t="s">
        <v>13</v>
      </c>
      <c r="E296" s="2">
        <v>14</v>
      </c>
      <c r="F296" s="2">
        <v>11</v>
      </c>
      <c r="G296" s="2" t="s">
        <v>25</v>
      </c>
      <c r="H296" s="2" t="s">
        <v>20</v>
      </c>
      <c r="I296" s="2" t="s">
        <v>591</v>
      </c>
      <c r="J296" s="2">
        <v>64</v>
      </c>
      <c r="K296" s="2" t="str">
        <f t="shared" si="4"/>
        <v>1500</v>
      </c>
    </row>
    <row r="297" spans="1:11" x14ac:dyDescent="0.3">
      <c r="A297" s="2" t="s">
        <v>592</v>
      </c>
      <c r="B297" s="2" t="s">
        <v>51</v>
      </c>
      <c r="C297" s="2" t="s">
        <v>19</v>
      </c>
      <c r="D297" s="2" t="s">
        <v>31</v>
      </c>
      <c r="E297" s="2">
        <v>18</v>
      </c>
      <c r="F297" s="2">
        <v>10</v>
      </c>
      <c r="G297" s="2" t="s">
        <v>43</v>
      </c>
      <c r="H297" s="2" t="s">
        <v>76</v>
      </c>
      <c r="I297" s="2" t="s">
        <v>593</v>
      </c>
      <c r="J297" s="2">
        <v>98</v>
      </c>
      <c r="K297" s="2" t="str">
        <f t="shared" si="4"/>
        <v>1200</v>
      </c>
    </row>
    <row r="298" spans="1:11" x14ac:dyDescent="0.3">
      <c r="A298" s="2" t="s">
        <v>594</v>
      </c>
      <c r="B298" s="2" t="s">
        <v>54</v>
      </c>
      <c r="C298" s="2" t="s">
        <v>55</v>
      </c>
      <c r="D298" s="2" t="s">
        <v>13</v>
      </c>
      <c r="E298" s="2">
        <v>20</v>
      </c>
      <c r="F298" s="2">
        <v>11</v>
      </c>
      <c r="G298" s="2" t="s">
        <v>43</v>
      </c>
      <c r="H298" s="2" t="s">
        <v>40</v>
      </c>
      <c r="I298" s="2" t="s">
        <v>595</v>
      </c>
      <c r="J298" s="2">
        <v>84</v>
      </c>
      <c r="K298" s="2" t="str">
        <f t="shared" si="4"/>
        <v>1500</v>
      </c>
    </row>
    <row r="299" spans="1:11" x14ac:dyDescent="0.3">
      <c r="A299" s="2" t="s">
        <v>596</v>
      </c>
      <c r="B299" s="2" t="s">
        <v>11</v>
      </c>
      <c r="C299" s="2" t="s">
        <v>30</v>
      </c>
      <c r="D299" s="2" t="s">
        <v>13</v>
      </c>
      <c r="E299" s="2">
        <v>14</v>
      </c>
      <c r="F299" s="2">
        <v>9</v>
      </c>
      <c r="G299" s="2" t="s">
        <v>25</v>
      </c>
      <c r="H299" s="2" t="s">
        <v>76</v>
      </c>
      <c r="I299" s="2" t="s">
        <v>447</v>
      </c>
      <c r="J299" s="2">
        <v>62</v>
      </c>
      <c r="K299" s="2" t="str">
        <f t="shared" si="4"/>
        <v>1000</v>
      </c>
    </row>
    <row r="300" spans="1:11" x14ac:dyDescent="0.3">
      <c r="A300" s="2" t="s">
        <v>597</v>
      </c>
      <c r="B300" s="2" t="s">
        <v>18</v>
      </c>
      <c r="C300" s="2" t="s">
        <v>85</v>
      </c>
      <c r="D300" s="2" t="s">
        <v>31</v>
      </c>
      <c r="E300" s="2">
        <v>18</v>
      </c>
      <c r="F300" s="2">
        <v>11</v>
      </c>
      <c r="G300" s="2" t="s">
        <v>43</v>
      </c>
      <c r="H300" s="2" t="s">
        <v>40</v>
      </c>
      <c r="I300" s="2" t="s">
        <v>598</v>
      </c>
      <c r="J300" s="2">
        <v>55</v>
      </c>
      <c r="K300" s="2" t="str">
        <f t="shared" si="4"/>
        <v>1500</v>
      </c>
    </row>
    <row r="301" spans="1:11" x14ac:dyDescent="0.3">
      <c r="A301" s="2" t="s">
        <v>599</v>
      </c>
      <c r="B301" s="2" t="s">
        <v>84</v>
      </c>
      <c r="C301" s="2" t="s">
        <v>30</v>
      </c>
      <c r="D301" s="2" t="s">
        <v>13</v>
      </c>
      <c r="E301" s="2">
        <v>17</v>
      </c>
      <c r="F301" s="2">
        <v>11</v>
      </c>
      <c r="G301" s="2" t="s">
        <v>43</v>
      </c>
      <c r="H301" s="2" t="s">
        <v>15</v>
      </c>
      <c r="I301" s="2" t="s">
        <v>600</v>
      </c>
      <c r="J301" s="2">
        <v>73</v>
      </c>
      <c r="K301" s="2" t="str">
        <f t="shared" si="4"/>
        <v>1500</v>
      </c>
    </row>
    <row r="302" spans="1:11" x14ac:dyDescent="0.3">
      <c r="A302" s="2" t="s">
        <v>601</v>
      </c>
      <c r="B302" s="2" t="s">
        <v>73</v>
      </c>
      <c r="C302" s="2" t="s">
        <v>55</v>
      </c>
      <c r="D302" s="2" t="s">
        <v>31</v>
      </c>
      <c r="E302" s="2">
        <v>17</v>
      </c>
      <c r="F302" s="2">
        <v>11</v>
      </c>
      <c r="G302" s="2" t="s">
        <v>43</v>
      </c>
      <c r="H302" s="2" t="s">
        <v>61</v>
      </c>
      <c r="I302" s="2" t="s">
        <v>502</v>
      </c>
      <c r="J302" s="2">
        <v>76</v>
      </c>
      <c r="K302" s="2" t="str">
        <f t="shared" si="4"/>
        <v>1500</v>
      </c>
    </row>
    <row r="303" spans="1:11" x14ac:dyDescent="0.3">
      <c r="A303" s="2" t="s">
        <v>602</v>
      </c>
      <c r="B303" s="2" t="s">
        <v>23</v>
      </c>
      <c r="C303" s="2" t="s">
        <v>19</v>
      </c>
      <c r="D303" s="2" t="s">
        <v>13</v>
      </c>
      <c r="E303" s="2">
        <v>15</v>
      </c>
      <c r="F303" s="2">
        <v>12</v>
      </c>
      <c r="G303" s="2" t="s">
        <v>14</v>
      </c>
      <c r="H303" s="2" t="s">
        <v>61</v>
      </c>
      <c r="I303" s="2" t="s">
        <v>603</v>
      </c>
      <c r="J303" s="2">
        <v>54</v>
      </c>
      <c r="K303" s="2" t="str">
        <f t="shared" si="4"/>
        <v>1800</v>
      </c>
    </row>
    <row r="304" spans="1:11" x14ac:dyDescent="0.3">
      <c r="A304" s="2" t="s">
        <v>604</v>
      </c>
      <c r="B304" s="2" t="s">
        <v>51</v>
      </c>
      <c r="C304" s="2" t="s">
        <v>85</v>
      </c>
      <c r="D304" s="2" t="s">
        <v>31</v>
      </c>
      <c r="E304" s="2">
        <v>20</v>
      </c>
      <c r="F304" s="2">
        <v>12</v>
      </c>
      <c r="G304" s="2" t="s">
        <v>25</v>
      </c>
      <c r="H304" s="2" t="s">
        <v>26</v>
      </c>
      <c r="I304" s="2" t="s">
        <v>299</v>
      </c>
      <c r="J304" s="2">
        <v>69</v>
      </c>
      <c r="K304" s="2" t="str">
        <f t="shared" si="4"/>
        <v>1800</v>
      </c>
    </row>
    <row r="305" spans="1:11" x14ac:dyDescent="0.3">
      <c r="A305" s="2" t="s">
        <v>605</v>
      </c>
      <c r="B305" s="2" t="s">
        <v>54</v>
      </c>
      <c r="C305" s="2" t="s">
        <v>19</v>
      </c>
      <c r="D305" s="2" t="s">
        <v>31</v>
      </c>
      <c r="E305" s="2">
        <v>20</v>
      </c>
      <c r="F305" s="2">
        <v>10</v>
      </c>
      <c r="G305" s="2" t="s">
        <v>43</v>
      </c>
      <c r="H305" s="2" t="s">
        <v>37</v>
      </c>
      <c r="I305" s="2" t="s">
        <v>606</v>
      </c>
      <c r="J305" s="2">
        <v>99</v>
      </c>
      <c r="K305" s="2" t="str">
        <f t="shared" si="4"/>
        <v>1200</v>
      </c>
    </row>
    <row r="306" spans="1:11" x14ac:dyDescent="0.3">
      <c r="A306" s="2" t="s">
        <v>607</v>
      </c>
      <c r="B306" s="2" t="s">
        <v>68</v>
      </c>
      <c r="C306" s="2" t="s">
        <v>55</v>
      </c>
      <c r="D306" s="2" t="s">
        <v>13</v>
      </c>
      <c r="E306" s="2">
        <v>19</v>
      </c>
      <c r="F306" s="2">
        <v>11</v>
      </c>
      <c r="G306" s="2" t="s">
        <v>25</v>
      </c>
      <c r="H306" s="2" t="s">
        <v>20</v>
      </c>
      <c r="I306" s="2" t="s">
        <v>608</v>
      </c>
      <c r="J306" s="2">
        <v>43</v>
      </c>
      <c r="K306" s="2" t="str">
        <f t="shared" si="4"/>
        <v>1500</v>
      </c>
    </row>
    <row r="307" spans="1:11" x14ac:dyDescent="0.3">
      <c r="A307" s="2" t="s">
        <v>609</v>
      </c>
      <c r="B307" s="2" t="s">
        <v>68</v>
      </c>
      <c r="C307" s="2" t="s">
        <v>58</v>
      </c>
      <c r="D307" s="2" t="s">
        <v>13</v>
      </c>
      <c r="E307" s="2">
        <v>14</v>
      </c>
      <c r="F307" s="2">
        <v>10</v>
      </c>
      <c r="G307" s="2" t="s">
        <v>25</v>
      </c>
      <c r="H307" s="2" t="s">
        <v>37</v>
      </c>
      <c r="I307" s="2" t="s">
        <v>610</v>
      </c>
      <c r="J307" s="2">
        <v>90</v>
      </c>
      <c r="K307" s="2" t="str">
        <f t="shared" si="4"/>
        <v>1200</v>
      </c>
    </row>
    <row r="308" spans="1:11" x14ac:dyDescent="0.3">
      <c r="A308" s="2" t="s">
        <v>611</v>
      </c>
      <c r="B308" s="2" t="s">
        <v>18</v>
      </c>
      <c r="C308" s="2" t="s">
        <v>24</v>
      </c>
      <c r="D308" s="2" t="s">
        <v>31</v>
      </c>
      <c r="E308" s="2">
        <v>19</v>
      </c>
      <c r="F308" s="2">
        <v>12</v>
      </c>
      <c r="G308" s="2" t="s">
        <v>43</v>
      </c>
      <c r="H308" s="2" t="s">
        <v>26</v>
      </c>
      <c r="I308" s="2" t="s">
        <v>612</v>
      </c>
      <c r="J308" s="2">
        <v>82</v>
      </c>
      <c r="K308" s="2" t="str">
        <f t="shared" si="4"/>
        <v>1800</v>
      </c>
    </row>
    <row r="309" spans="1:11" x14ac:dyDescent="0.3">
      <c r="A309" s="2" t="s">
        <v>613</v>
      </c>
      <c r="B309" s="2" t="s">
        <v>68</v>
      </c>
      <c r="C309" s="2" t="s">
        <v>85</v>
      </c>
      <c r="D309" s="2" t="s">
        <v>31</v>
      </c>
      <c r="E309" s="2">
        <v>15</v>
      </c>
      <c r="F309" s="2">
        <v>9</v>
      </c>
      <c r="G309" s="2" t="s">
        <v>32</v>
      </c>
      <c r="H309" s="2" t="s">
        <v>37</v>
      </c>
      <c r="I309" s="2" t="s">
        <v>614</v>
      </c>
      <c r="J309" s="2">
        <v>39</v>
      </c>
      <c r="K309" s="2" t="str">
        <f t="shared" si="4"/>
        <v>1000</v>
      </c>
    </row>
    <row r="310" spans="1:11" x14ac:dyDescent="0.3">
      <c r="A310" s="2" t="s">
        <v>615</v>
      </c>
      <c r="B310" s="2" t="s">
        <v>18</v>
      </c>
      <c r="C310" s="2" t="s">
        <v>12</v>
      </c>
      <c r="D310" s="2" t="s">
        <v>13</v>
      </c>
      <c r="E310" s="2">
        <v>17</v>
      </c>
      <c r="F310" s="2">
        <v>12</v>
      </c>
      <c r="G310" s="2" t="s">
        <v>14</v>
      </c>
      <c r="H310" s="2" t="s">
        <v>61</v>
      </c>
      <c r="I310" s="2" t="s">
        <v>616</v>
      </c>
      <c r="J310" s="2">
        <v>99</v>
      </c>
      <c r="K310" s="2" t="str">
        <f t="shared" si="4"/>
        <v>1800</v>
      </c>
    </row>
    <row r="311" spans="1:11" x14ac:dyDescent="0.3">
      <c r="A311" s="2" t="s">
        <v>617</v>
      </c>
      <c r="B311" s="2" t="s">
        <v>35</v>
      </c>
      <c r="C311" s="2" t="s">
        <v>12</v>
      </c>
      <c r="D311" s="2" t="s">
        <v>13</v>
      </c>
      <c r="E311" s="2">
        <v>15</v>
      </c>
      <c r="F311" s="2">
        <v>9</v>
      </c>
      <c r="G311" s="2" t="s">
        <v>25</v>
      </c>
      <c r="H311" s="2" t="s">
        <v>46</v>
      </c>
      <c r="I311" s="2" t="s">
        <v>155</v>
      </c>
      <c r="J311" s="2">
        <v>85</v>
      </c>
      <c r="K311" s="2" t="str">
        <f t="shared" si="4"/>
        <v>1000</v>
      </c>
    </row>
    <row r="312" spans="1:11" x14ac:dyDescent="0.3">
      <c r="A312" s="2" t="s">
        <v>618</v>
      </c>
      <c r="B312" s="2" t="s">
        <v>73</v>
      </c>
      <c r="C312" s="2" t="s">
        <v>85</v>
      </c>
      <c r="D312" s="2" t="s">
        <v>31</v>
      </c>
      <c r="E312" s="2">
        <v>14</v>
      </c>
      <c r="F312" s="2">
        <v>11</v>
      </c>
      <c r="G312" s="2" t="s">
        <v>25</v>
      </c>
      <c r="H312" s="2" t="s">
        <v>20</v>
      </c>
      <c r="I312" s="2" t="s">
        <v>619</v>
      </c>
      <c r="J312" s="2">
        <v>67</v>
      </c>
      <c r="K312" s="2" t="str">
        <f t="shared" si="4"/>
        <v>1500</v>
      </c>
    </row>
    <row r="313" spans="1:11" x14ac:dyDescent="0.3">
      <c r="A313" s="2" t="s">
        <v>620</v>
      </c>
      <c r="B313" s="2" t="s">
        <v>84</v>
      </c>
      <c r="C313" s="2" t="s">
        <v>24</v>
      </c>
      <c r="D313" s="2" t="s">
        <v>31</v>
      </c>
      <c r="E313" s="2">
        <v>19</v>
      </c>
      <c r="F313" s="2">
        <v>12</v>
      </c>
      <c r="G313" s="2" t="s">
        <v>14</v>
      </c>
      <c r="H313" s="2" t="s">
        <v>61</v>
      </c>
      <c r="I313" s="2" t="s">
        <v>621</v>
      </c>
      <c r="J313" s="2">
        <v>77</v>
      </c>
      <c r="K313" s="2" t="str">
        <f t="shared" si="4"/>
        <v>1800</v>
      </c>
    </row>
    <row r="314" spans="1:11" x14ac:dyDescent="0.3">
      <c r="A314" s="2" t="s">
        <v>622</v>
      </c>
      <c r="B314" s="2" t="s">
        <v>23</v>
      </c>
      <c r="C314" s="2" t="s">
        <v>96</v>
      </c>
      <c r="D314" s="2" t="s">
        <v>31</v>
      </c>
      <c r="E314" s="2">
        <v>17</v>
      </c>
      <c r="F314" s="2">
        <v>12</v>
      </c>
      <c r="G314" s="2" t="s">
        <v>43</v>
      </c>
      <c r="H314" s="2" t="s">
        <v>46</v>
      </c>
      <c r="I314" s="2" t="s">
        <v>170</v>
      </c>
      <c r="J314" s="2">
        <v>62</v>
      </c>
      <c r="K314" s="2" t="str">
        <f t="shared" si="4"/>
        <v>1800</v>
      </c>
    </row>
    <row r="315" spans="1:11" x14ac:dyDescent="0.3">
      <c r="A315" s="2" t="s">
        <v>623</v>
      </c>
      <c r="B315" s="2" t="s">
        <v>29</v>
      </c>
      <c r="C315" s="2" t="s">
        <v>12</v>
      </c>
      <c r="D315" s="2" t="s">
        <v>31</v>
      </c>
      <c r="E315" s="2">
        <v>19</v>
      </c>
      <c r="F315" s="2">
        <v>11</v>
      </c>
      <c r="G315" s="2" t="s">
        <v>25</v>
      </c>
      <c r="H315" s="2" t="s">
        <v>76</v>
      </c>
      <c r="I315" s="2" t="s">
        <v>624</v>
      </c>
      <c r="J315" s="2">
        <v>49</v>
      </c>
      <c r="K315" s="2" t="str">
        <f t="shared" si="4"/>
        <v>1500</v>
      </c>
    </row>
    <row r="316" spans="1:11" x14ac:dyDescent="0.3">
      <c r="A316" s="2" t="s">
        <v>625</v>
      </c>
      <c r="B316" s="2" t="s">
        <v>68</v>
      </c>
      <c r="C316" s="2" t="s">
        <v>96</v>
      </c>
      <c r="D316" s="2" t="s">
        <v>31</v>
      </c>
      <c r="E316" s="2">
        <v>19</v>
      </c>
      <c r="F316" s="2">
        <v>12</v>
      </c>
      <c r="G316" s="2" t="s">
        <v>32</v>
      </c>
      <c r="H316" s="2" t="s">
        <v>15</v>
      </c>
      <c r="I316" s="2" t="s">
        <v>626</v>
      </c>
      <c r="J316" s="2">
        <v>86</v>
      </c>
      <c r="K316" s="2" t="str">
        <f t="shared" si="4"/>
        <v>1800</v>
      </c>
    </row>
    <row r="317" spans="1:11" x14ac:dyDescent="0.3">
      <c r="A317" s="2" t="s">
        <v>627</v>
      </c>
      <c r="B317" s="2" t="s">
        <v>35</v>
      </c>
      <c r="C317" s="2" t="s">
        <v>85</v>
      </c>
      <c r="D317" s="2" t="s">
        <v>31</v>
      </c>
      <c r="E317" s="2">
        <v>16</v>
      </c>
      <c r="F317" s="2">
        <v>9</v>
      </c>
      <c r="G317" s="2" t="s">
        <v>43</v>
      </c>
      <c r="H317" s="2" t="s">
        <v>20</v>
      </c>
      <c r="I317" s="2" t="s">
        <v>628</v>
      </c>
      <c r="J317" s="2">
        <v>84</v>
      </c>
      <c r="K317" s="2" t="str">
        <f t="shared" si="4"/>
        <v>1000</v>
      </c>
    </row>
    <row r="318" spans="1:11" x14ac:dyDescent="0.3">
      <c r="A318" s="2" t="s">
        <v>629</v>
      </c>
      <c r="B318" s="2" t="s">
        <v>35</v>
      </c>
      <c r="C318" s="2" t="s">
        <v>58</v>
      </c>
      <c r="D318" s="2" t="s">
        <v>13</v>
      </c>
      <c r="E318" s="2">
        <v>18</v>
      </c>
      <c r="F318" s="2">
        <v>9</v>
      </c>
      <c r="G318" s="2" t="s">
        <v>25</v>
      </c>
      <c r="H318" s="2" t="s">
        <v>76</v>
      </c>
      <c r="I318" s="2" t="s">
        <v>105</v>
      </c>
      <c r="J318" s="2">
        <v>82</v>
      </c>
      <c r="K318" s="2" t="str">
        <f t="shared" si="4"/>
        <v>1000</v>
      </c>
    </row>
    <row r="319" spans="1:11" x14ac:dyDescent="0.3">
      <c r="A319" s="2" t="s">
        <v>630</v>
      </c>
      <c r="B319" s="2" t="s">
        <v>84</v>
      </c>
      <c r="C319" s="2" t="s">
        <v>96</v>
      </c>
      <c r="D319" s="2" t="s">
        <v>31</v>
      </c>
      <c r="E319" s="2">
        <v>19</v>
      </c>
      <c r="F319" s="2">
        <v>10</v>
      </c>
      <c r="G319" s="2" t="s">
        <v>43</v>
      </c>
      <c r="H319" s="2" t="s">
        <v>20</v>
      </c>
      <c r="I319" s="2" t="s">
        <v>631</v>
      </c>
      <c r="J319" s="2">
        <v>63</v>
      </c>
      <c r="K319" s="2" t="str">
        <f t="shared" si="4"/>
        <v>1200</v>
      </c>
    </row>
    <row r="320" spans="1:11" x14ac:dyDescent="0.3">
      <c r="A320" s="2" t="s">
        <v>632</v>
      </c>
      <c r="B320" s="2" t="s">
        <v>54</v>
      </c>
      <c r="C320" s="2" t="s">
        <v>55</v>
      </c>
      <c r="D320" s="2" t="s">
        <v>31</v>
      </c>
      <c r="E320" s="2">
        <v>19</v>
      </c>
      <c r="F320" s="2">
        <v>11</v>
      </c>
      <c r="G320" s="2" t="s">
        <v>25</v>
      </c>
      <c r="H320" s="2" t="s">
        <v>61</v>
      </c>
      <c r="I320" s="2" t="s">
        <v>633</v>
      </c>
      <c r="J320" s="2">
        <v>82</v>
      </c>
      <c r="K320" s="2" t="str">
        <f t="shared" si="4"/>
        <v>1500</v>
      </c>
    </row>
    <row r="321" spans="1:11" x14ac:dyDescent="0.3">
      <c r="A321" s="2" t="s">
        <v>634</v>
      </c>
      <c r="B321" s="2" t="s">
        <v>54</v>
      </c>
      <c r="C321" s="2" t="s">
        <v>30</v>
      </c>
      <c r="D321" s="2" t="s">
        <v>31</v>
      </c>
      <c r="E321" s="2">
        <v>15</v>
      </c>
      <c r="F321" s="2">
        <v>9</v>
      </c>
      <c r="G321" s="2" t="s">
        <v>25</v>
      </c>
      <c r="H321" s="2" t="s">
        <v>40</v>
      </c>
      <c r="I321" s="2" t="s">
        <v>635</v>
      </c>
      <c r="J321" s="2">
        <v>53</v>
      </c>
      <c r="K321" s="2" t="str">
        <f t="shared" si="4"/>
        <v>1000</v>
      </c>
    </row>
    <row r="322" spans="1:11" x14ac:dyDescent="0.3">
      <c r="A322" s="2" t="s">
        <v>636</v>
      </c>
      <c r="B322" s="2" t="s">
        <v>11</v>
      </c>
      <c r="C322" s="2" t="s">
        <v>79</v>
      </c>
      <c r="D322" s="2" t="s">
        <v>13</v>
      </c>
      <c r="E322" s="2">
        <v>19</v>
      </c>
      <c r="F322" s="2">
        <v>9</v>
      </c>
      <c r="G322" s="2" t="s">
        <v>32</v>
      </c>
      <c r="H322" s="2" t="s">
        <v>76</v>
      </c>
      <c r="I322" s="2" t="s">
        <v>637</v>
      </c>
      <c r="J322" s="2">
        <v>97</v>
      </c>
      <c r="K322" s="2" t="str">
        <f t="shared" si="4"/>
        <v>1000</v>
      </c>
    </row>
    <row r="323" spans="1:11" x14ac:dyDescent="0.3">
      <c r="A323" s="2" t="s">
        <v>638</v>
      </c>
      <c r="B323" s="2" t="s">
        <v>54</v>
      </c>
      <c r="C323" s="2" t="s">
        <v>12</v>
      </c>
      <c r="D323" s="2" t="s">
        <v>31</v>
      </c>
      <c r="E323" s="2">
        <v>15</v>
      </c>
      <c r="F323" s="2">
        <v>12</v>
      </c>
      <c r="G323" s="2" t="s">
        <v>43</v>
      </c>
      <c r="H323" s="2" t="s">
        <v>76</v>
      </c>
      <c r="I323" s="2" t="s">
        <v>639</v>
      </c>
      <c r="J323" s="2">
        <v>51</v>
      </c>
      <c r="K323" s="2" t="str">
        <f t="shared" ref="K323:K386" si="5">_xlfn.IFS(F323=9,"1000",F323=10,"1200",F323=11,"1500",F323=12,"1800")</f>
        <v>1800</v>
      </c>
    </row>
    <row r="324" spans="1:11" x14ac:dyDescent="0.3">
      <c r="A324" s="2" t="s">
        <v>640</v>
      </c>
      <c r="B324" s="2" t="s">
        <v>84</v>
      </c>
      <c r="C324" s="2" t="s">
        <v>79</v>
      </c>
      <c r="D324" s="2" t="s">
        <v>31</v>
      </c>
      <c r="E324" s="2">
        <v>14</v>
      </c>
      <c r="F324" s="2">
        <v>9</v>
      </c>
      <c r="G324" s="2" t="s">
        <v>14</v>
      </c>
      <c r="H324" s="2" t="s">
        <v>37</v>
      </c>
      <c r="I324" s="2" t="s">
        <v>641</v>
      </c>
      <c r="J324" s="2">
        <v>43</v>
      </c>
      <c r="K324" s="2" t="str">
        <f t="shared" si="5"/>
        <v>1000</v>
      </c>
    </row>
    <row r="325" spans="1:11" x14ac:dyDescent="0.3">
      <c r="A325" s="2" t="s">
        <v>642</v>
      </c>
      <c r="B325" s="2" t="s">
        <v>18</v>
      </c>
      <c r="C325" s="2" t="s">
        <v>19</v>
      </c>
      <c r="D325" s="2" t="s">
        <v>13</v>
      </c>
      <c r="E325" s="2">
        <v>14</v>
      </c>
      <c r="F325" s="2">
        <v>9</v>
      </c>
      <c r="G325" s="2" t="s">
        <v>43</v>
      </c>
      <c r="H325" s="2" t="s">
        <v>20</v>
      </c>
      <c r="I325" s="2" t="s">
        <v>643</v>
      </c>
      <c r="J325" s="2">
        <v>57</v>
      </c>
      <c r="K325" s="2" t="str">
        <f t="shared" si="5"/>
        <v>1000</v>
      </c>
    </row>
    <row r="326" spans="1:11" x14ac:dyDescent="0.3">
      <c r="A326" s="2" t="s">
        <v>644</v>
      </c>
      <c r="B326" s="2" t="s">
        <v>51</v>
      </c>
      <c r="C326" s="2" t="s">
        <v>36</v>
      </c>
      <c r="D326" s="2" t="s">
        <v>31</v>
      </c>
      <c r="E326" s="2">
        <v>16</v>
      </c>
      <c r="F326" s="2">
        <v>11</v>
      </c>
      <c r="G326" s="2" t="s">
        <v>43</v>
      </c>
      <c r="H326" s="2" t="s">
        <v>20</v>
      </c>
      <c r="I326" s="2" t="s">
        <v>645</v>
      </c>
      <c r="J326" s="2">
        <v>81</v>
      </c>
      <c r="K326" s="2" t="str">
        <f t="shared" si="5"/>
        <v>1500</v>
      </c>
    </row>
    <row r="327" spans="1:11" x14ac:dyDescent="0.3">
      <c r="A327" s="2" t="s">
        <v>646</v>
      </c>
      <c r="B327" s="2" t="s">
        <v>84</v>
      </c>
      <c r="C327" s="2" t="s">
        <v>12</v>
      </c>
      <c r="D327" s="2" t="s">
        <v>31</v>
      </c>
      <c r="E327" s="2">
        <v>17</v>
      </c>
      <c r="F327" s="2">
        <v>12</v>
      </c>
      <c r="G327" s="2" t="s">
        <v>25</v>
      </c>
      <c r="H327" s="2" t="s">
        <v>76</v>
      </c>
      <c r="I327" s="2" t="s">
        <v>647</v>
      </c>
      <c r="J327" s="2">
        <v>83</v>
      </c>
      <c r="K327" s="2" t="str">
        <f t="shared" si="5"/>
        <v>1800</v>
      </c>
    </row>
    <row r="328" spans="1:11" x14ac:dyDescent="0.3">
      <c r="A328" s="2" t="s">
        <v>648</v>
      </c>
      <c r="B328" s="2" t="s">
        <v>51</v>
      </c>
      <c r="C328" s="2" t="s">
        <v>79</v>
      </c>
      <c r="D328" s="2" t="s">
        <v>13</v>
      </c>
      <c r="E328" s="2">
        <v>14</v>
      </c>
      <c r="F328" s="2">
        <v>9</v>
      </c>
      <c r="G328" s="2" t="s">
        <v>25</v>
      </c>
      <c r="H328" s="2" t="s">
        <v>15</v>
      </c>
      <c r="I328" s="2" t="s">
        <v>649</v>
      </c>
      <c r="J328" s="2">
        <v>77</v>
      </c>
      <c r="K328" s="2" t="str">
        <f t="shared" si="5"/>
        <v>1000</v>
      </c>
    </row>
    <row r="329" spans="1:11" x14ac:dyDescent="0.3">
      <c r="A329" s="2" t="s">
        <v>650</v>
      </c>
      <c r="B329" s="2" t="s">
        <v>23</v>
      </c>
      <c r="C329" s="2" t="s">
        <v>24</v>
      </c>
      <c r="D329" s="2" t="s">
        <v>13</v>
      </c>
      <c r="E329" s="2">
        <v>17</v>
      </c>
      <c r="F329" s="2">
        <v>12</v>
      </c>
      <c r="G329" s="2" t="s">
        <v>25</v>
      </c>
      <c r="H329" s="2" t="s">
        <v>46</v>
      </c>
      <c r="I329" s="2" t="s">
        <v>651</v>
      </c>
      <c r="J329" s="2">
        <v>45</v>
      </c>
      <c r="K329" s="2" t="str">
        <f t="shared" si="5"/>
        <v>1800</v>
      </c>
    </row>
    <row r="330" spans="1:11" x14ac:dyDescent="0.3">
      <c r="A330" s="2" t="s">
        <v>652</v>
      </c>
      <c r="B330" s="2" t="s">
        <v>51</v>
      </c>
      <c r="C330" s="2" t="s">
        <v>55</v>
      </c>
      <c r="D330" s="2" t="s">
        <v>13</v>
      </c>
      <c r="E330" s="2">
        <v>16</v>
      </c>
      <c r="F330" s="2">
        <v>12</v>
      </c>
      <c r="G330" s="2" t="s">
        <v>32</v>
      </c>
      <c r="H330" s="2" t="s">
        <v>61</v>
      </c>
      <c r="I330" s="2" t="s">
        <v>653</v>
      </c>
      <c r="J330" s="2">
        <v>45</v>
      </c>
      <c r="K330" s="2" t="str">
        <f t="shared" si="5"/>
        <v>1800</v>
      </c>
    </row>
    <row r="331" spans="1:11" x14ac:dyDescent="0.3">
      <c r="A331" s="2" t="s">
        <v>654</v>
      </c>
      <c r="B331" s="2" t="s">
        <v>18</v>
      </c>
      <c r="C331" s="2" t="s">
        <v>24</v>
      </c>
      <c r="D331" s="2" t="s">
        <v>31</v>
      </c>
      <c r="E331" s="2">
        <v>14</v>
      </c>
      <c r="F331" s="2">
        <v>12</v>
      </c>
      <c r="G331" s="2" t="s">
        <v>14</v>
      </c>
      <c r="H331" s="2" t="s">
        <v>46</v>
      </c>
      <c r="I331" s="2" t="s">
        <v>655</v>
      </c>
      <c r="J331" s="2">
        <v>42</v>
      </c>
      <c r="K331" s="2" t="str">
        <f t="shared" si="5"/>
        <v>1800</v>
      </c>
    </row>
    <row r="332" spans="1:11" x14ac:dyDescent="0.3">
      <c r="A332" s="2" t="s">
        <v>656</v>
      </c>
      <c r="B332" s="2" t="s">
        <v>29</v>
      </c>
      <c r="C332" s="2" t="s">
        <v>30</v>
      </c>
      <c r="D332" s="2" t="s">
        <v>13</v>
      </c>
      <c r="E332" s="2">
        <v>19</v>
      </c>
      <c r="F332" s="2">
        <v>10</v>
      </c>
      <c r="G332" s="2" t="s">
        <v>43</v>
      </c>
      <c r="H332" s="2" t="s">
        <v>15</v>
      </c>
      <c r="I332" s="2" t="s">
        <v>657</v>
      </c>
      <c r="J332" s="2">
        <v>85</v>
      </c>
      <c r="K332" s="2" t="str">
        <f t="shared" si="5"/>
        <v>1200</v>
      </c>
    </row>
    <row r="333" spans="1:11" x14ac:dyDescent="0.3">
      <c r="A333" s="2" t="s">
        <v>658</v>
      </c>
      <c r="B333" s="2" t="s">
        <v>11</v>
      </c>
      <c r="C333" s="2" t="s">
        <v>96</v>
      </c>
      <c r="D333" s="2" t="s">
        <v>31</v>
      </c>
      <c r="E333" s="2">
        <v>20</v>
      </c>
      <c r="F333" s="2">
        <v>10</v>
      </c>
      <c r="G333" s="2" t="s">
        <v>43</v>
      </c>
      <c r="H333" s="2" t="s">
        <v>37</v>
      </c>
      <c r="I333" s="2" t="s">
        <v>659</v>
      </c>
      <c r="J333" s="2">
        <v>62</v>
      </c>
      <c r="K333" s="2" t="str">
        <f t="shared" si="5"/>
        <v>1200</v>
      </c>
    </row>
    <row r="334" spans="1:11" x14ac:dyDescent="0.3">
      <c r="A334" s="2" t="s">
        <v>660</v>
      </c>
      <c r="B334" s="2" t="s">
        <v>23</v>
      </c>
      <c r="C334" s="2" t="s">
        <v>12</v>
      </c>
      <c r="D334" s="2" t="s">
        <v>13</v>
      </c>
      <c r="E334" s="2">
        <v>16</v>
      </c>
      <c r="F334" s="2">
        <v>11</v>
      </c>
      <c r="G334" s="2" t="s">
        <v>25</v>
      </c>
      <c r="H334" s="2" t="s">
        <v>40</v>
      </c>
      <c r="I334" s="2" t="s">
        <v>41</v>
      </c>
      <c r="J334" s="2">
        <v>86</v>
      </c>
      <c r="K334" s="2" t="str">
        <f t="shared" si="5"/>
        <v>1500</v>
      </c>
    </row>
    <row r="335" spans="1:11" x14ac:dyDescent="0.3">
      <c r="A335" s="2" t="s">
        <v>661</v>
      </c>
      <c r="B335" s="2" t="s">
        <v>54</v>
      </c>
      <c r="C335" s="2" t="s">
        <v>12</v>
      </c>
      <c r="D335" s="2" t="s">
        <v>31</v>
      </c>
      <c r="E335" s="2">
        <v>19</v>
      </c>
      <c r="F335" s="2">
        <v>10</v>
      </c>
      <c r="G335" s="2" t="s">
        <v>14</v>
      </c>
      <c r="H335" s="2" t="s">
        <v>76</v>
      </c>
      <c r="I335" s="2" t="s">
        <v>662</v>
      </c>
      <c r="J335" s="2">
        <v>54</v>
      </c>
      <c r="K335" s="2" t="str">
        <f t="shared" si="5"/>
        <v>1200</v>
      </c>
    </row>
    <row r="336" spans="1:11" x14ac:dyDescent="0.3">
      <c r="A336" s="2" t="s">
        <v>663</v>
      </c>
      <c r="B336" s="2" t="s">
        <v>73</v>
      </c>
      <c r="C336" s="2" t="s">
        <v>36</v>
      </c>
      <c r="D336" s="2" t="s">
        <v>13</v>
      </c>
      <c r="E336" s="2">
        <v>20</v>
      </c>
      <c r="F336" s="2">
        <v>12</v>
      </c>
      <c r="G336" s="2" t="s">
        <v>25</v>
      </c>
      <c r="H336" s="2" t="s">
        <v>40</v>
      </c>
      <c r="I336" s="2" t="s">
        <v>664</v>
      </c>
      <c r="J336" s="2">
        <v>50</v>
      </c>
      <c r="K336" s="2" t="str">
        <f t="shared" si="5"/>
        <v>1800</v>
      </c>
    </row>
    <row r="337" spans="1:11" x14ac:dyDescent="0.3">
      <c r="A337" s="2" t="s">
        <v>665</v>
      </c>
      <c r="B337" s="2" t="s">
        <v>51</v>
      </c>
      <c r="C337" s="2" t="s">
        <v>96</v>
      </c>
      <c r="D337" s="2" t="s">
        <v>13</v>
      </c>
      <c r="E337" s="2">
        <v>14</v>
      </c>
      <c r="F337" s="2">
        <v>10</v>
      </c>
      <c r="G337" s="2" t="s">
        <v>14</v>
      </c>
      <c r="H337" s="2" t="s">
        <v>37</v>
      </c>
      <c r="I337" s="2" t="s">
        <v>666</v>
      </c>
      <c r="J337" s="2">
        <v>68</v>
      </c>
      <c r="K337" s="2" t="str">
        <f t="shared" si="5"/>
        <v>1200</v>
      </c>
    </row>
    <row r="338" spans="1:11" x14ac:dyDescent="0.3">
      <c r="A338" s="2" t="s">
        <v>667</v>
      </c>
      <c r="B338" s="2" t="s">
        <v>35</v>
      </c>
      <c r="C338" s="2" t="s">
        <v>12</v>
      </c>
      <c r="D338" s="2" t="s">
        <v>31</v>
      </c>
      <c r="E338" s="2">
        <v>15</v>
      </c>
      <c r="F338" s="2">
        <v>12</v>
      </c>
      <c r="G338" s="2" t="s">
        <v>14</v>
      </c>
      <c r="H338" s="2" t="s">
        <v>46</v>
      </c>
      <c r="I338" s="2" t="s">
        <v>668</v>
      </c>
      <c r="J338" s="2">
        <v>82</v>
      </c>
      <c r="K338" s="2" t="str">
        <f t="shared" si="5"/>
        <v>1800</v>
      </c>
    </row>
    <row r="339" spans="1:11" x14ac:dyDescent="0.3">
      <c r="A339" s="2" t="s">
        <v>669</v>
      </c>
      <c r="B339" s="2" t="s">
        <v>11</v>
      </c>
      <c r="C339" s="2" t="s">
        <v>24</v>
      </c>
      <c r="D339" s="2" t="s">
        <v>13</v>
      </c>
      <c r="E339" s="2">
        <v>19</v>
      </c>
      <c r="F339" s="2">
        <v>9</v>
      </c>
      <c r="G339" s="2" t="s">
        <v>32</v>
      </c>
      <c r="H339" s="2" t="s">
        <v>40</v>
      </c>
      <c r="I339" s="2" t="s">
        <v>670</v>
      </c>
      <c r="J339" s="2">
        <v>51</v>
      </c>
      <c r="K339" s="2" t="str">
        <f t="shared" si="5"/>
        <v>1000</v>
      </c>
    </row>
    <row r="340" spans="1:11" x14ac:dyDescent="0.3">
      <c r="A340" s="2" t="s">
        <v>671</v>
      </c>
      <c r="B340" s="2" t="s">
        <v>11</v>
      </c>
      <c r="C340" s="2" t="s">
        <v>36</v>
      </c>
      <c r="D340" s="2" t="s">
        <v>13</v>
      </c>
      <c r="E340" s="2">
        <v>14</v>
      </c>
      <c r="F340" s="2">
        <v>10</v>
      </c>
      <c r="G340" s="2" t="s">
        <v>32</v>
      </c>
      <c r="H340" s="2" t="s">
        <v>40</v>
      </c>
      <c r="I340" s="2" t="s">
        <v>672</v>
      </c>
      <c r="J340" s="2">
        <v>64</v>
      </c>
      <c r="K340" s="2" t="str">
        <f t="shared" si="5"/>
        <v>1200</v>
      </c>
    </row>
    <row r="341" spans="1:11" x14ac:dyDescent="0.3">
      <c r="A341" s="2" t="s">
        <v>673</v>
      </c>
      <c r="B341" s="2" t="s">
        <v>11</v>
      </c>
      <c r="C341" s="2" t="s">
        <v>19</v>
      </c>
      <c r="D341" s="2" t="s">
        <v>31</v>
      </c>
      <c r="E341" s="2">
        <v>17</v>
      </c>
      <c r="F341" s="2">
        <v>10</v>
      </c>
      <c r="G341" s="2" t="s">
        <v>32</v>
      </c>
      <c r="H341" s="2" t="s">
        <v>46</v>
      </c>
      <c r="I341" s="2" t="s">
        <v>674</v>
      </c>
      <c r="J341" s="2">
        <v>85</v>
      </c>
      <c r="K341" s="2" t="str">
        <f t="shared" si="5"/>
        <v>1200</v>
      </c>
    </row>
    <row r="342" spans="1:11" x14ac:dyDescent="0.3">
      <c r="A342" s="2" t="s">
        <v>675</v>
      </c>
      <c r="B342" s="2" t="s">
        <v>73</v>
      </c>
      <c r="C342" s="2" t="s">
        <v>24</v>
      </c>
      <c r="D342" s="2" t="s">
        <v>13</v>
      </c>
      <c r="E342" s="2">
        <v>19</v>
      </c>
      <c r="F342" s="2">
        <v>11</v>
      </c>
      <c r="G342" s="2" t="s">
        <v>14</v>
      </c>
      <c r="H342" s="2" t="s">
        <v>37</v>
      </c>
      <c r="I342" s="2" t="s">
        <v>676</v>
      </c>
      <c r="J342" s="2">
        <v>51</v>
      </c>
      <c r="K342" s="2" t="str">
        <f t="shared" si="5"/>
        <v>1500</v>
      </c>
    </row>
    <row r="343" spans="1:11" x14ac:dyDescent="0.3">
      <c r="A343" s="2" t="s">
        <v>677</v>
      </c>
      <c r="B343" s="2" t="s">
        <v>23</v>
      </c>
      <c r="C343" s="2" t="s">
        <v>85</v>
      </c>
      <c r="D343" s="2" t="s">
        <v>13</v>
      </c>
      <c r="E343" s="2">
        <v>20</v>
      </c>
      <c r="F343" s="2">
        <v>10</v>
      </c>
      <c r="G343" s="2" t="s">
        <v>32</v>
      </c>
      <c r="H343" s="2" t="s">
        <v>40</v>
      </c>
      <c r="I343" s="2" t="s">
        <v>678</v>
      </c>
      <c r="J343" s="2">
        <v>56</v>
      </c>
      <c r="K343" s="2" t="str">
        <f t="shared" si="5"/>
        <v>1200</v>
      </c>
    </row>
    <row r="344" spans="1:11" x14ac:dyDescent="0.3">
      <c r="A344" s="2" t="s">
        <v>679</v>
      </c>
      <c r="B344" s="2" t="s">
        <v>18</v>
      </c>
      <c r="C344" s="2" t="s">
        <v>96</v>
      </c>
      <c r="D344" s="2" t="s">
        <v>13</v>
      </c>
      <c r="E344" s="2">
        <v>14</v>
      </c>
      <c r="F344" s="2">
        <v>12</v>
      </c>
      <c r="G344" s="2" t="s">
        <v>32</v>
      </c>
      <c r="H344" s="2" t="s">
        <v>46</v>
      </c>
      <c r="I344" s="2" t="s">
        <v>680</v>
      </c>
      <c r="J344" s="2">
        <v>44</v>
      </c>
      <c r="K344" s="2" t="str">
        <f t="shared" si="5"/>
        <v>1800</v>
      </c>
    </row>
    <row r="345" spans="1:11" x14ac:dyDescent="0.3">
      <c r="A345" s="2" t="s">
        <v>681</v>
      </c>
      <c r="B345" s="2" t="s">
        <v>35</v>
      </c>
      <c r="C345" s="2" t="s">
        <v>36</v>
      </c>
      <c r="D345" s="2" t="s">
        <v>13</v>
      </c>
      <c r="E345" s="2">
        <v>14</v>
      </c>
      <c r="F345" s="2">
        <v>9</v>
      </c>
      <c r="G345" s="2" t="s">
        <v>43</v>
      </c>
      <c r="H345" s="2" t="s">
        <v>46</v>
      </c>
      <c r="I345" s="2" t="s">
        <v>682</v>
      </c>
      <c r="J345" s="2">
        <v>67</v>
      </c>
      <c r="K345" s="2" t="str">
        <f t="shared" si="5"/>
        <v>1000</v>
      </c>
    </row>
    <row r="346" spans="1:11" x14ac:dyDescent="0.3">
      <c r="A346" s="2" t="s">
        <v>683</v>
      </c>
      <c r="B346" s="2" t="s">
        <v>84</v>
      </c>
      <c r="C346" s="2" t="s">
        <v>55</v>
      </c>
      <c r="D346" s="2" t="s">
        <v>31</v>
      </c>
      <c r="E346" s="2">
        <v>16</v>
      </c>
      <c r="F346" s="2">
        <v>12</v>
      </c>
      <c r="G346" s="2" t="s">
        <v>14</v>
      </c>
      <c r="H346" s="2" t="s">
        <v>76</v>
      </c>
      <c r="I346" s="2" t="s">
        <v>125</v>
      </c>
      <c r="J346" s="2">
        <v>60</v>
      </c>
      <c r="K346" s="2" t="str">
        <f t="shared" si="5"/>
        <v>1800</v>
      </c>
    </row>
    <row r="347" spans="1:11" x14ac:dyDescent="0.3">
      <c r="A347" s="2" t="s">
        <v>684</v>
      </c>
      <c r="B347" s="2" t="s">
        <v>54</v>
      </c>
      <c r="C347" s="2" t="s">
        <v>24</v>
      </c>
      <c r="D347" s="2" t="s">
        <v>31</v>
      </c>
      <c r="E347" s="2">
        <v>17</v>
      </c>
      <c r="F347" s="2">
        <v>10</v>
      </c>
      <c r="G347" s="2" t="s">
        <v>43</v>
      </c>
      <c r="H347" s="2" t="s">
        <v>46</v>
      </c>
      <c r="I347" s="2" t="s">
        <v>685</v>
      </c>
      <c r="J347" s="2">
        <v>74</v>
      </c>
      <c r="K347" s="2" t="str">
        <f t="shared" si="5"/>
        <v>1200</v>
      </c>
    </row>
    <row r="348" spans="1:11" x14ac:dyDescent="0.3">
      <c r="A348" s="2" t="s">
        <v>686</v>
      </c>
      <c r="B348" s="2" t="s">
        <v>23</v>
      </c>
      <c r="C348" s="2" t="s">
        <v>96</v>
      </c>
      <c r="D348" s="2" t="s">
        <v>31</v>
      </c>
      <c r="E348" s="2">
        <v>16</v>
      </c>
      <c r="F348" s="2">
        <v>9</v>
      </c>
      <c r="G348" s="2" t="s">
        <v>25</v>
      </c>
      <c r="H348" s="2" t="s">
        <v>20</v>
      </c>
      <c r="I348" s="2" t="s">
        <v>277</v>
      </c>
      <c r="J348" s="2">
        <v>71</v>
      </c>
      <c r="K348" s="2" t="str">
        <f t="shared" si="5"/>
        <v>1000</v>
      </c>
    </row>
    <row r="349" spans="1:11" x14ac:dyDescent="0.3">
      <c r="A349" s="2" t="s">
        <v>687</v>
      </c>
      <c r="B349" s="2" t="s">
        <v>84</v>
      </c>
      <c r="C349" s="2" t="s">
        <v>19</v>
      </c>
      <c r="D349" s="2" t="s">
        <v>13</v>
      </c>
      <c r="E349" s="2">
        <v>16</v>
      </c>
      <c r="F349" s="2">
        <v>10</v>
      </c>
      <c r="G349" s="2" t="s">
        <v>25</v>
      </c>
      <c r="H349" s="2" t="s">
        <v>46</v>
      </c>
      <c r="I349" s="2" t="s">
        <v>564</v>
      </c>
      <c r="J349" s="2">
        <v>52</v>
      </c>
      <c r="K349" s="2" t="str">
        <f t="shared" si="5"/>
        <v>1200</v>
      </c>
    </row>
    <row r="350" spans="1:11" x14ac:dyDescent="0.3">
      <c r="A350" s="2" t="s">
        <v>688</v>
      </c>
      <c r="B350" s="2" t="s">
        <v>23</v>
      </c>
      <c r="C350" s="2" t="s">
        <v>96</v>
      </c>
      <c r="D350" s="2" t="s">
        <v>31</v>
      </c>
      <c r="E350" s="2">
        <v>19</v>
      </c>
      <c r="F350" s="2">
        <v>10</v>
      </c>
      <c r="G350" s="2" t="s">
        <v>25</v>
      </c>
      <c r="H350" s="2" t="s">
        <v>40</v>
      </c>
      <c r="I350" s="2" t="s">
        <v>195</v>
      </c>
      <c r="J350" s="2">
        <v>55</v>
      </c>
      <c r="K350" s="2" t="str">
        <f t="shared" si="5"/>
        <v>1200</v>
      </c>
    </row>
    <row r="351" spans="1:11" x14ac:dyDescent="0.3">
      <c r="A351" s="2" t="s">
        <v>689</v>
      </c>
      <c r="B351" s="2" t="s">
        <v>68</v>
      </c>
      <c r="C351" s="2" t="s">
        <v>96</v>
      </c>
      <c r="D351" s="2" t="s">
        <v>13</v>
      </c>
      <c r="E351" s="2">
        <v>20</v>
      </c>
      <c r="F351" s="2">
        <v>12</v>
      </c>
      <c r="G351" s="2" t="s">
        <v>43</v>
      </c>
      <c r="H351" s="2" t="s">
        <v>20</v>
      </c>
      <c r="I351" s="2" t="s">
        <v>626</v>
      </c>
      <c r="J351" s="2">
        <v>48</v>
      </c>
      <c r="K351" s="2" t="str">
        <f t="shared" si="5"/>
        <v>1800</v>
      </c>
    </row>
    <row r="352" spans="1:11" x14ac:dyDescent="0.3">
      <c r="A352" s="2" t="s">
        <v>690</v>
      </c>
      <c r="B352" s="2" t="s">
        <v>23</v>
      </c>
      <c r="C352" s="2" t="s">
        <v>85</v>
      </c>
      <c r="D352" s="2" t="s">
        <v>13</v>
      </c>
      <c r="E352" s="2">
        <v>19</v>
      </c>
      <c r="F352" s="2">
        <v>9</v>
      </c>
      <c r="G352" s="2" t="s">
        <v>14</v>
      </c>
      <c r="H352" s="2" t="s">
        <v>76</v>
      </c>
      <c r="I352" s="2" t="s">
        <v>635</v>
      </c>
      <c r="J352" s="2">
        <v>91</v>
      </c>
      <c r="K352" s="2" t="str">
        <f t="shared" si="5"/>
        <v>1000</v>
      </c>
    </row>
    <row r="353" spans="1:11" x14ac:dyDescent="0.3">
      <c r="A353" s="2" t="s">
        <v>691</v>
      </c>
      <c r="B353" s="2" t="s">
        <v>84</v>
      </c>
      <c r="C353" s="2" t="s">
        <v>55</v>
      </c>
      <c r="D353" s="2" t="s">
        <v>13</v>
      </c>
      <c r="E353" s="2">
        <v>16</v>
      </c>
      <c r="F353" s="2">
        <v>10</v>
      </c>
      <c r="G353" s="2" t="s">
        <v>43</v>
      </c>
      <c r="H353" s="2" t="s">
        <v>46</v>
      </c>
      <c r="I353" s="2" t="s">
        <v>692</v>
      </c>
      <c r="J353" s="2">
        <v>91</v>
      </c>
      <c r="K353" s="2" t="str">
        <f t="shared" si="5"/>
        <v>1200</v>
      </c>
    </row>
    <row r="354" spans="1:11" x14ac:dyDescent="0.3">
      <c r="A354" s="2" t="s">
        <v>693</v>
      </c>
      <c r="B354" s="2" t="s">
        <v>73</v>
      </c>
      <c r="C354" s="2" t="s">
        <v>58</v>
      </c>
      <c r="D354" s="2" t="s">
        <v>31</v>
      </c>
      <c r="E354" s="2">
        <v>16</v>
      </c>
      <c r="F354" s="2">
        <v>11</v>
      </c>
      <c r="G354" s="2" t="s">
        <v>25</v>
      </c>
      <c r="H354" s="2" t="s">
        <v>37</v>
      </c>
      <c r="I354" s="2" t="s">
        <v>694</v>
      </c>
      <c r="J354" s="2">
        <v>65</v>
      </c>
      <c r="K354" s="2" t="str">
        <f t="shared" si="5"/>
        <v>1500</v>
      </c>
    </row>
    <row r="355" spans="1:11" x14ac:dyDescent="0.3">
      <c r="A355" s="2" t="s">
        <v>695</v>
      </c>
      <c r="B355" s="2" t="s">
        <v>51</v>
      </c>
      <c r="C355" s="2" t="s">
        <v>24</v>
      </c>
      <c r="D355" s="2" t="s">
        <v>13</v>
      </c>
      <c r="E355" s="2">
        <v>17</v>
      </c>
      <c r="F355" s="2">
        <v>9</v>
      </c>
      <c r="G355" s="2" t="s">
        <v>32</v>
      </c>
      <c r="H355" s="2" t="s">
        <v>15</v>
      </c>
      <c r="I355" s="2" t="s">
        <v>696</v>
      </c>
      <c r="J355" s="2">
        <v>69</v>
      </c>
      <c r="K355" s="2" t="str">
        <f t="shared" si="5"/>
        <v>1000</v>
      </c>
    </row>
    <row r="356" spans="1:11" x14ac:dyDescent="0.3">
      <c r="A356" s="2" t="s">
        <v>697</v>
      </c>
      <c r="B356" s="2" t="s">
        <v>29</v>
      </c>
      <c r="C356" s="2" t="s">
        <v>30</v>
      </c>
      <c r="D356" s="2" t="s">
        <v>31</v>
      </c>
      <c r="E356" s="2">
        <v>19</v>
      </c>
      <c r="F356" s="2">
        <v>10</v>
      </c>
      <c r="G356" s="2" t="s">
        <v>25</v>
      </c>
      <c r="H356" s="2" t="s">
        <v>61</v>
      </c>
      <c r="I356" s="2" t="s">
        <v>698</v>
      </c>
      <c r="J356" s="2">
        <v>75</v>
      </c>
      <c r="K356" s="2" t="str">
        <f t="shared" si="5"/>
        <v>1200</v>
      </c>
    </row>
    <row r="357" spans="1:11" x14ac:dyDescent="0.3">
      <c r="A357" s="2" t="s">
        <v>699</v>
      </c>
      <c r="B357" s="2" t="s">
        <v>11</v>
      </c>
      <c r="C357" s="2" t="s">
        <v>30</v>
      </c>
      <c r="D357" s="2" t="s">
        <v>31</v>
      </c>
      <c r="E357" s="2">
        <v>16</v>
      </c>
      <c r="F357" s="2">
        <v>11</v>
      </c>
      <c r="G357" s="2" t="s">
        <v>43</v>
      </c>
      <c r="H357" s="2" t="s">
        <v>40</v>
      </c>
      <c r="I357" s="2" t="s">
        <v>97</v>
      </c>
      <c r="J357" s="2">
        <v>72</v>
      </c>
      <c r="K357" s="2" t="str">
        <f t="shared" si="5"/>
        <v>1500</v>
      </c>
    </row>
    <row r="358" spans="1:11" x14ac:dyDescent="0.3">
      <c r="A358" s="2" t="s">
        <v>700</v>
      </c>
      <c r="B358" s="2" t="s">
        <v>23</v>
      </c>
      <c r="C358" s="2" t="s">
        <v>55</v>
      </c>
      <c r="D358" s="2" t="s">
        <v>31</v>
      </c>
      <c r="E358" s="2">
        <v>20</v>
      </c>
      <c r="F358" s="2">
        <v>10</v>
      </c>
      <c r="G358" s="2" t="s">
        <v>14</v>
      </c>
      <c r="H358" s="2" t="s">
        <v>15</v>
      </c>
      <c r="I358" s="2" t="s">
        <v>678</v>
      </c>
      <c r="J358" s="2">
        <v>59</v>
      </c>
      <c r="K358" s="2" t="str">
        <f t="shared" si="5"/>
        <v>1200</v>
      </c>
    </row>
    <row r="359" spans="1:11" x14ac:dyDescent="0.3">
      <c r="A359" s="2" t="s">
        <v>701</v>
      </c>
      <c r="B359" s="2" t="s">
        <v>54</v>
      </c>
      <c r="C359" s="2" t="s">
        <v>30</v>
      </c>
      <c r="D359" s="2" t="s">
        <v>31</v>
      </c>
      <c r="E359" s="2">
        <v>15</v>
      </c>
      <c r="F359" s="2">
        <v>11</v>
      </c>
      <c r="G359" s="2" t="s">
        <v>14</v>
      </c>
      <c r="H359" s="2" t="s">
        <v>76</v>
      </c>
      <c r="I359" s="2" t="s">
        <v>702</v>
      </c>
      <c r="J359" s="2">
        <v>42</v>
      </c>
      <c r="K359" s="2" t="str">
        <f t="shared" si="5"/>
        <v>1500</v>
      </c>
    </row>
    <row r="360" spans="1:11" x14ac:dyDescent="0.3">
      <c r="A360" s="2" t="s">
        <v>703</v>
      </c>
      <c r="B360" s="2" t="s">
        <v>73</v>
      </c>
      <c r="C360" s="2" t="s">
        <v>30</v>
      </c>
      <c r="D360" s="2" t="s">
        <v>31</v>
      </c>
      <c r="E360" s="2">
        <v>17</v>
      </c>
      <c r="F360" s="2">
        <v>12</v>
      </c>
      <c r="G360" s="2" t="s">
        <v>32</v>
      </c>
      <c r="H360" s="2" t="s">
        <v>40</v>
      </c>
      <c r="I360" s="2" t="s">
        <v>704</v>
      </c>
      <c r="J360" s="2">
        <v>93</v>
      </c>
      <c r="K360" s="2" t="str">
        <f t="shared" si="5"/>
        <v>1800</v>
      </c>
    </row>
    <row r="361" spans="1:11" x14ac:dyDescent="0.3">
      <c r="A361" s="2" t="s">
        <v>705</v>
      </c>
      <c r="B361" s="2" t="s">
        <v>84</v>
      </c>
      <c r="C361" s="2" t="s">
        <v>55</v>
      </c>
      <c r="D361" s="2" t="s">
        <v>31</v>
      </c>
      <c r="E361" s="2">
        <v>14</v>
      </c>
      <c r="F361" s="2">
        <v>12</v>
      </c>
      <c r="G361" s="2" t="s">
        <v>43</v>
      </c>
      <c r="H361" s="2" t="s">
        <v>76</v>
      </c>
      <c r="I361" s="2" t="s">
        <v>706</v>
      </c>
      <c r="J361" s="2">
        <v>63</v>
      </c>
      <c r="K361" s="2" t="str">
        <f t="shared" si="5"/>
        <v>1800</v>
      </c>
    </row>
    <row r="362" spans="1:11" x14ac:dyDescent="0.3">
      <c r="A362" s="2" t="s">
        <v>707</v>
      </c>
      <c r="B362" s="2" t="s">
        <v>68</v>
      </c>
      <c r="C362" s="2" t="s">
        <v>96</v>
      </c>
      <c r="D362" s="2" t="s">
        <v>31</v>
      </c>
      <c r="E362" s="2">
        <v>20</v>
      </c>
      <c r="F362" s="2">
        <v>12</v>
      </c>
      <c r="G362" s="2" t="s">
        <v>43</v>
      </c>
      <c r="H362" s="2" t="s">
        <v>37</v>
      </c>
      <c r="I362" s="2" t="s">
        <v>708</v>
      </c>
      <c r="J362" s="2">
        <v>35</v>
      </c>
      <c r="K362" s="2" t="str">
        <f t="shared" si="5"/>
        <v>1800</v>
      </c>
    </row>
    <row r="363" spans="1:11" x14ac:dyDescent="0.3">
      <c r="A363" s="2" t="s">
        <v>709</v>
      </c>
      <c r="B363" s="2" t="s">
        <v>54</v>
      </c>
      <c r="C363" s="2" t="s">
        <v>19</v>
      </c>
      <c r="D363" s="2" t="s">
        <v>31</v>
      </c>
      <c r="E363" s="2">
        <v>18</v>
      </c>
      <c r="F363" s="2">
        <v>10</v>
      </c>
      <c r="G363" s="2" t="s">
        <v>43</v>
      </c>
      <c r="H363" s="2" t="s">
        <v>37</v>
      </c>
      <c r="I363" s="2" t="s">
        <v>710</v>
      </c>
      <c r="J363" s="2">
        <v>89</v>
      </c>
      <c r="K363" s="2" t="str">
        <f t="shared" si="5"/>
        <v>1200</v>
      </c>
    </row>
    <row r="364" spans="1:11" x14ac:dyDescent="0.3">
      <c r="A364" s="2" t="s">
        <v>711</v>
      </c>
      <c r="B364" s="2" t="s">
        <v>29</v>
      </c>
      <c r="C364" s="2" t="s">
        <v>79</v>
      </c>
      <c r="D364" s="2" t="s">
        <v>13</v>
      </c>
      <c r="E364" s="2">
        <v>14</v>
      </c>
      <c r="F364" s="2">
        <v>9</v>
      </c>
      <c r="G364" s="2" t="s">
        <v>32</v>
      </c>
      <c r="H364" s="2" t="s">
        <v>15</v>
      </c>
      <c r="I364" s="2" t="s">
        <v>712</v>
      </c>
      <c r="J364" s="2">
        <v>72</v>
      </c>
      <c r="K364" s="2" t="str">
        <f t="shared" si="5"/>
        <v>1000</v>
      </c>
    </row>
    <row r="365" spans="1:11" x14ac:dyDescent="0.3">
      <c r="A365" s="2" t="s">
        <v>713</v>
      </c>
      <c r="B365" s="2" t="s">
        <v>29</v>
      </c>
      <c r="C365" s="2" t="s">
        <v>24</v>
      </c>
      <c r="D365" s="2" t="s">
        <v>31</v>
      </c>
      <c r="E365" s="2">
        <v>16</v>
      </c>
      <c r="F365" s="2">
        <v>12</v>
      </c>
      <c r="G365" s="2" t="s">
        <v>32</v>
      </c>
      <c r="H365" s="2" t="s">
        <v>26</v>
      </c>
      <c r="I365" s="2" t="s">
        <v>714</v>
      </c>
      <c r="J365" s="2">
        <v>57</v>
      </c>
      <c r="K365" s="2" t="str">
        <f t="shared" si="5"/>
        <v>1800</v>
      </c>
    </row>
    <row r="366" spans="1:11" x14ac:dyDescent="0.3">
      <c r="A366" s="2" t="s">
        <v>715</v>
      </c>
      <c r="B366" s="2" t="s">
        <v>51</v>
      </c>
      <c r="C366" s="2" t="s">
        <v>79</v>
      </c>
      <c r="D366" s="2" t="s">
        <v>13</v>
      </c>
      <c r="E366" s="2">
        <v>19</v>
      </c>
      <c r="F366" s="2">
        <v>10</v>
      </c>
      <c r="G366" s="2" t="s">
        <v>32</v>
      </c>
      <c r="H366" s="2" t="s">
        <v>40</v>
      </c>
      <c r="I366" s="2" t="s">
        <v>702</v>
      </c>
      <c r="J366" s="2">
        <v>84</v>
      </c>
      <c r="K366" s="2" t="str">
        <f t="shared" si="5"/>
        <v>1200</v>
      </c>
    </row>
    <row r="367" spans="1:11" x14ac:dyDescent="0.3">
      <c r="A367" s="2" t="s">
        <v>716</v>
      </c>
      <c r="B367" s="2" t="s">
        <v>23</v>
      </c>
      <c r="C367" s="2" t="s">
        <v>58</v>
      </c>
      <c r="D367" s="2" t="s">
        <v>31</v>
      </c>
      <c r="E367" s="2">
        <v>17</v>
      </c>
      <c r="F367" s="2">
        <v>9</v>
      </c>
      <c r="G367" s="2" t="s">
        <v>25</v>
      </c>
      <c r="H367" s="2" t="s">
        <v>15</v>
      </c>
      <c r="I367" s="2" t="s">
        <v>717</v>
      </c>
      <c r="J367" s="2">
        <v>51</v>
      </c>
      <c r="K367" s="2" t="str">
        <f t="shared" si="5"/>
        <v>1000</v>
      </c>
    </row>
    <row r="368" spans="1:11" x14ac:dyDescent="0.3">
      <c r="A368" s="2" t="s">
        <v>718</v>
      </c>
      <c r="B368" s="2" t="s">
        <v>84</v>
      </c>
      <c r="C368" s="2" t="s">
        <v>12</v>
      </c>
      <c r="D368" s="2" t="s">
        <v>31</v>
      </c>
      <c r="E368" s="2">
        <v>20</v>
      </c>
      <c r="F368" s="2">
        <v>10</v>
      </c>
      <c r="G368" s="2" t="s">
        <v>25</v>
      </c>
      <c r="H368" s="2" t="s">
        <v>61</v>
      </c>
      <c r="I368" s="2" t="s">
        <v>639</v>
      </c>
      <c r="J368" s="2">
        <v>35</v>
      </c>
      <c r="K368" s="2" t="str">
        <f t="shared" si="5"/>
        <v>1200</v>
      </c>
    </row>
    <row r="369" spans="1:11" x14ac:dyDescent="0.3">
      <c r="A369" s="2" t="s">
        <v>719</v>
      </c>
      <c r="B369" s="2" t="s">
        <v>18</v>
      </c>
      <c r="C369" s="2" t="s">
        <v>24</v>
      </c>
      <c r="D369" s="2" t="s">
        <v>31</v>
      </c>
      <c r="E369" s="2">
        <v>18</v>
      </c>
      <c r="F369" s="2">
        <v>11</v>
      </c>
      <c r="G369" s="2" t="s">
        <v>43</v>
      </c>
      <c r="H369" s="2" t="s">
        <v>40</v>
      </c>
      <c r="I369" s="2" t="s">
        <v>720</v>
      </c>
      <c r="J369" s="2">
        <v>83</v>
      </c>
      <c r="K369" s="2" t="str">
        <f t="shared" si="5"/>
        <v>1500</v>
      </c>
    </row>
    <row r="370" spans="1:11" x14ac:dyDescent="0.3">
      <c r="A370" s="2" t="s">
        <v>721</v>
      </c>
      <c r="B370" s="2" t="s">
        <v>23</v>
      </c>
      <c r="C370" s="2" t="s">
        <v>19</v>
      </c>
      <c r="D370" s="2" t="s">
        <v>31</v>
      </c>
      <c r="E370" s="2">
        <v>18</v>
      </c>
      <c r="F370" s="2">
        <v>10</v>
      </c>
      <c r="G370" s="2" t="s">
        <v>14</v>
      </c>
      <c r="H370" s="2" t="s">
        <v>26</v>
      </c>
      <c r="I370" s="2" t="s">
        <v>722</v>
      </c>
      <c r="J370" s="2">
        <v>43</v>
      </c>
      <c r="K370" s="2" t="str">
        <f t="shared" si="5"/>
        <v>1200</v>
      </c>
    </row>
    <row r="371" spans="1:11" x14ac:dyDescent="0.3">
      <c r="A371" s="2" t="s">
        <v>723</v>
      </c>
      <c r="B371" s="2" t="s">
        <v>68</v>
      </c>
      <c r="C371" s="2" t="s">
        <v>79</v>
      </c>
      <c r="D371" s="2" t="s">
        <v>31</v>
      </c>
      <c r="E371" s="2">
        <v>19</v>
      </c>
      <c r="F371" s="2">
        <v>12</v>
      </c>
      <c r="G371" s="2" t="s">
        <v>25</v>
      </c>
      <c r="H371" s="2" t="s">
        <v>40</v>
      </c>
      <c r="I371" s="2" t="s">
        <v>724</v>
      </c>
      <c r="J371" s="2">
        <v>65</v>
      </c>
      <c r="K371" s="2" t="str">
        <f t="shared" si="5"/>
        <v>1800</v>
      </c>
    </row>
    <row r="372" spans="1:11" x14ac:dyDescent="0.3">
      <c r="A372" s="2" t="s">
        <v>725</v>
      </c>
      <c r="B372" s="2" t="s">
        <v>11</v>
      </c>
      <c r="C372" s="2" t="s">
        <v>55</v>
      </c>
      <c r="D372" s="2" t="s">
        <v>31</v>
      </c>
      <c r="E372" s="2">
        <v>15</v>
      </c>
      <c r="F372" s="2">
        <v>9</v>
      </c>
      <c r="G372" s="2" t="s">
        <v>25</v>
      </c>
      <c r="H372" s="2" t="s">
        <v>37</v>
      </c>
      <c r="I372" s="2" t="s">
        <v>726</v>
      </c>
      <c r="J372" s="2">
        <v>72</v>
      </c>
      <c r="K372" s="2" t="str">
        <f t="shared" si="5"/>
        <v>1000</v>
      </c>
    </row>
    <row r="373" spans="1:11" x14ac:dyDescent="0.3">
      <c r="A373" s="2" t="s">
        <v>727</v>
      </c>
      <c r="B373" s="2" t="s">
        <v>68</v>
      </c>
      <c r="C373" s="2" t="s">
        <v>12</v>
      </c>
      <c r="D373" s="2" t="s">
        <v>13</v>
      </c>
      <c r="E373" s="2">
        <v>14</v>
      </c>
      <c r="F373" s="2">
        <v>9</v>
      </c>
      <c r="G373" s="2" t="s">
        <v>14</v>
      </c>
      <c r="H373" s="2" t="s">
        <v>20</v>
      </c>
      <c r="I373" s="2" t="s">
        <v>728</v>
      </c>
      <c r="J373" s="2">
        <v>68</v>
      </c>
      <c r="K373" s="2" t="str">
        <f t="shared" si="5"/>
        <v>1000</v>
      </c>
    </row>
    <row r="374" spans="1:11" x14ac:dyDescent="0.3">
      <c r="A374" s="2" t="s">
        <v>729</v>
      </c>
      <c r="B374" s="2" t="s">
        <v>35</v>
      </c>
      <c r="C374" s="2" t="s">
        <v>79</v>
      </c>
      <c r="D374" s="2" t="s">
        <v>13</v>
      </c>
      <c r="E374" s="2">
        <v>15</v>
      </c>
      <c r="F374" s="2">
        <v>9</v>
      </c>
      <c r="G374" s="2" t="s">
        <v>43</v>
      </c>
      <c r="H374" s="2" t="s">
        <v>76</v>
      </c>
      <c r="I374" s="2" t="s">
        <v>730</v>
      </c>
      <c r="J374" s="2">
        <v>39</v>
      </c>
      <c r="K374" s="2" t="str">
        <f t="shared" si="5"/>
        <v>1000</v>
      </c>
    </row>
    <row r="375" spans="1:11" x14ac:dyDescent="0.3">
      <c r="A375" s="2" t="s">
        <v>731</v>
      </c>
      <c r="B375" s="2" t="s">
        <v>84</v>
      </c>
      <c r="C375" s="2" t="s">
        <v>85</v>
      </c>
      <c r="D375" s="2" t="s">
        <v>31</v>
      </c>
      <c r="E375" s="2">
        <v>17</v>
      </c>
      <c r="F375" s="2">
        <v>9</v>
      </c>
      <c r="G375" s="2" t="s">
        <v>43</v>
      </c>
      <c r="H375" s="2" t="s">
        <v>76</v>
      </c>
      <c r="I375" s="2" t="s">
        <v>732</v>
      </c>
      <c r="J375" s="2">
        <v>97</v>
      </c>
      <c r="K375" s="2" t="str">
        <f t="shared" si="5"/>
        <v>1000</v>
      </c>
    </row>
    <row r="376" spans="1:11" x14ac:dyDescent="0.3">
      <c r="A376" s="2" t="s">
        <v>733</v>
      </c>
      <c r="B376" s="2" t="s">
        <v>84</v>
      </c>
      <c r="C376" s="2" t="s">
        <v>85</v>
      </c>
      <c r="D376" s="2" t="s">
        <v>31</v>
      </c>
      <c r="E376" s="2">
        <v>17</v>
      </c>
      <c r="F376" s="2">
        <v>12</v>
      </c>
      <c r="G376" s="2" t="s">
        <v>43</v>
      </c>
      <c r="H376" s="2" t="s">
        <v>15</v>
      </c>
      <c r="I376" s="2" t="s">
        <v>734</v>
      </c>
      <c r="J376" s="2">
        <v>77</v>
      </c>
      <c r="K376" s="2" t="str">
        <f t="shared" si="5"/>
        <v>1800</v>
      </c>
    </row>
    <row r="377" spans="1:11" x14ac:dyDescent="0.3">
      <c r="A377" s="2" t="s">
        <v>735</v>
      </c>
      <c r="B377" s="2" t="s">
        <v>68</v>
      </c>
      <c r="C377" s="2" t="s">
        <v>24</v>
      </c>
      <c r="D377" s="2" t="s">
        <v>31</v>
      </c>
      <c r="E377" s="2">
        <v>16</v>
      </c>
      <c r="F377" s="2">
        <v>12</v>
      </c>
      <c r="G377" s="2" t="s">
        <v>43</v>
      </c>
      <c r="H377" s="2" t="s">
        <v>26</v>
      </c>
      <c r="I377" s="2" t="s">
        <v>736</v>
      </c>
      <c r="J377" s="2">
        <v>85</v>
      </c>
      <c r="K377" s="2" t="str">
        <f t="shared" si="5"/>
        <v>1800</v>
      </c>
    </row>
    <row r="378" spans="1:11" x14ac:dyDescent="0.3">
      <c r="A378" s="2" t="s">
        <v>737</v>
      </c>
      <c r="B378" s="2" t="s">
        <v>54</v>
      </c>
      <c r="C378" s="2" t="s">
        <v>96</v>
      </c>
      <c r="D378" s="2" t="s">
        <v>13</v>
      </c>
      <c r="E378" s="2">
        <v>19</v>
      </c>
      <c r="F378" s="2">
        <v>12</v>
      </c>
      <c r="G378" s="2" t="s">
        <v>25</v>
      </c>
      <c r="H378" s="2" t="s">
        <v>20</v>
      </c>
      <c r="I378" s="2" t="s">
        <v>738</v>
      </c>
      <c r="J378" s="2">
        <v>85</v>
      </c>
      <c r="K378" s="2" t="str">
        <f t="shared" si="5"/>
        <v>1800</v>
      </c>
    </row>
    <row r="379" spans="1:11" x14ac:dyDescent="0.3">
      <c r="A379" s="2" t="s">
        <v>739</v>
      </c>
      <c r="B379" s="2" t="s">
        <v>18</v>
      </c>
      <c r="C379" s="2" t="s">
        <v>79</v>
      </c>
      <c r="D379" s="2" t="s">
        <v>31</v>
      </c>
      <c r="E379" s="2">
        <v>14</v>
      </c>
      <c r="F379" s="2">
        <v>10</v>
      </c>
      <c r="G379" s="2" t="s">
        <v>32</v>
      </c>
      <c r="H379" s="2" t="s">
        <v>20</v>
      </c>
      <c r="I379" s="2" t="s">
        <v>740</v>
      </c>
      <c r="J379" s="2">
        <v>99</v>
      </c>
      <c r="K379" s="2" t="str">
        <f t="shared" si="5"/>
        <v>1200</v>
      </c>
    </row>
    <row r="380" spans="1:11" x14ac:dyDescent="0.3">
      <c r="A380" s="2" t="s">
        <v>741</v>
      </c>
      <c r="B380" s="2" t="s">
        <v>54</v>
      </c>
      <c r="C380" s="2" t="s">
        <v>24</v>
      </c>
      <c r="D380" s="2" t="s">
        <v>13</v>
      </c>
      <c r="E380" s="2">
        <v>14</v>
      </c>
      <c r="F380" s="2">
        <v>9</v>
      </c>
      <c r="G380" s="2" t="s">
        <v>14</v>
      </c>
      <c r="H380" s="2" t="s">
        <v>76</v>
      </c>
      <c r="I380" s="2" t="s">
        <v>742</v>
      </c>
      <c r="J380" s="2">
        <v>55</v>
      </c>
      <c r="K380" s="2" t="str">
        <f t="shared" si="5"/>
        <v>1000</v>
      </c>
    </row>
    <row r="381" spans="1:11" x14ac:dyDescent="0.3">
      <c r="A381" s="2" t="s">
        <v>743</v>
      </c>
      <c r="B381" s="2" t="s">
        <v>84</v>
      </c>
      <c r="C381" s="2" t="s">
        <v>19</v>
      </c>
      <c r="D381" s="2" t="s">
        <v>13</v>
      </c>
      <c r="E381" s="2">
        <v>15</v>
      </c>
      <c r="F381" s="2">
        <v>10</v>
      </c>
      <c r="G381" s="2" t="s">
        <v>43</v>
      </c>
      <c r="H381" s="2" t="s">
        <v>26</v>
      </c>
      <c r="I381" s="2" t="s">
        <v>744</v>
      </c>
      <c r="J381" s="2">
        <v>60</v>
      </c>
      <c r="K381" s="2" t="str">
        <f t="shared" si="5"/>
        <v>1200</v>
      </c>
    </row>
    <row r="382" spans="1:11" x14ac:dyDescent="0.3">
      <c r="A382" s="2" t="s">
        <v>745</v>
      </c>
      <c r="B382" s="2" t="s">
        <v>73</v>
      </c>
      <c r="C382" s="2" t="s">
        <v>36</v>
      </c>
      <c r="D382" s="2" t="s">
        <v>13</v>
      </c>
      <c r="E382" s="2">
        <v>16</v>
      </c>
      <c r="F382" s="2">
        <v>9</v>
      </c>
      <c r="G382" s="2" t="s">
        <v>32</v>
      </c>
      <c r="H382" s="2" t="s">
        <v>76</v>
      </c>
      <c r="I382" s="2" t="s">
        <v>746</v>
      </c>
      <c r="J382" s="2">
        <v>38</v>
      </c>
      <c r="K382" s="2" t="str">
        <f t="shared" si="5"/>
        <v>1000</v>
      </c>
    </row>
    <row r="383" spans="1:11" x14ac:dyDescent="0.3">
      <c r="A383" s="2" t="s">
        <v>747</v>
      </c>
      <c r="B383" s="2" t="s">
        <v>51</v>
      </c>
      <c r="C383" s="2" t="s">
        <v>96</v>
      </c>
      <c r="D383" s="2" t="s">
        <v>13</v>
      </c>
      <c r="E383" s="2">
        <v>17</v>
      </c>
      <c r="F383" s="2">
        <v>12</v>
      </c>
      <c r="G383" s="2" t="s">
        <v>14</v>
      </c>
      <c r="H383" s="2" t="s">
        <v>26</v>
      </c>
      <c r="I383" s="2" t="s">
        <v>748</v>
      </c>
      <c r="J383" s="2">
        <v>67</v>
      </c>
      <c r="K383" s="2" t="str">
        <f t="shared" si="5"/>
        <v>1800</v>
      </c>
    </row>
    <row r="384" spans="1:11" x14ac:dyDescent="0.3">
      <c r="A384" s="2" t="s">
        <v>749</v>
      </c>
      <c r="B384" s="2" t="s">
        <v>84</v>
      </c>
      <c r="C384" s="2" t="s">
        <v>30</v>
      </c>
      <c r="D384" s="2" t="s">
        <v>13</v>
      </c>
      <c r="E384" s="2">
        <v>15</v>
      </c>
      <c r="F384" s="2">
        <v>12</v>
      </c>
      <c r="G384" s="2" t="s">
        <v>25</v>
      </c>
      <c r="H384" s="2" t="s">
        <v>61</v>
      </c>
      <c r="I384" s="2" t="s">
        <v>750</v>
      </c>
      <c r="J384" s="2">
        <v>95</v>
      </c>
      <c r="K384" s="2" t="str">
        <f t="shared" si="5"/>
        <v>1800</v>
      </c>
    </row>
    <row r="385" spans="1:11" x14ac:dyDescent="0.3">
      <c r="A385" s="2" t="s">
        <v>751</v>
      </c>
      <c r="B385" s="2" t="s">
        <v>73</v>
      </c>
      <c r="C385" s="2" t="s">
        <v>79</v>
      </c>
      <c r="D385" s="2" t="s">
        <v>31</v>
      </c>
      <c r="E385" s="2">
        <v>20</v>
      </c>
      <c r="F385" s="2">
        <v>12</v>
      </c>
      <c r="G385" s="2" t="s">
        <v>25</v>
      </c>
      <c r="H385" s="2" t="s">
        <v>76</v>
      </c>
      <c r="I385" s="2" t="s">
        <v>752</v>
      </c>
      <c r="J385" s="2">
        <v>91</v>
      </c>
      <c r="K385" s="2" t="str">
        <f t="shared" si="5"/>
        <v>1800</v>
      </c>
    </row>
    <row r="386" spans="1:11" x14ac:dyDescent="0.3">
      <c r="A386" s="2" t="s">
        <v>753</v>
      </c>
      <c r="B386" s="2" t="s">
        <v>73</v>
      </c>
      <c r="C386" s="2" t="s">
        <v>24</v>
      </c>
      <c r="D386" s="2" t="s">
        <v>13</v>
      </c>
      <c r="E386" s="2">
        <v>18</v>
      </c>
      <c r="F386" s="2">
        <v>11</v>
      </c>
      <c r="G386" s="2" t="s">
        <v>32</v>
      </c>
      <c r="H386" s="2" t="s">
        <v>40</v>
      </c>
      <c r="I386" s="2" t="s">
        <v>313</v>
      </c>
      <c r="J386" s="2">
        <v>58</v>
      </c>
      <c r="K386" s="2" t="str">
        <f t="shared" si="5"/>
        <v>1500</v>
      </c>
    </row>
    <row r="387" spans="1:11" x14ac:dyDescent="0.3">
      <c r="A387" s="2" t="s">
        <v>754</v>
      </c>
      <c r="B387" s="2" t="s">
        <v>54</v>
      </c>
      <c r="C387" s="2" t="s">
        <v>12</v>
      </c>
      <c r="D387" s="2" t="s">
        <v>13</v>
      </c>
      <c r="E387" s="2">
        <v>14</v>
      </c>
      <c r="F387" s="2">
        <v>12</v>
      </c>
      <c r="G387" s="2" t="s">
        <v>32</v>
      </c>
      <c r="H387" s="2" t="s">
        <v>20</v>
      </c>
      <c r="I387" s="2" t="s">
        <v>755</v>
      </c>
      <c r="J387" s="2">
        <v>98</v>
      </c>
      <c r="K387" s="2" t="str">
        <f t="shared" ref="K387:K450" si="6">_xlfn.IFS(F387=9,"1000",F387=10,"1200",F387=11,"1500",F387=12,"1800")</f>
        <v>1800</v>
      </c>
    </row>
    <row r="388" spans="1:11" x14ac:dyDescent="0.3">
      <c r="A388" s="2" t="s">
        <v>756</v>
      </c>
      <c r="B388" s="2" t="s">
        <v>11</v>
      </c>
      <c r="C388" s="2" t="s">
        <v>30</v>
      </c>
      <c r="D388" s="2" t="s">
        <v>13</v>
      </c>
      <c r="E388" s="2">
        <v>15</v>
      </c>
      <c r="F388" s="2">
        <v>11</v>
      </c>
      <c r="G388" s="2" t="s">
        <v>14</v>
      </c>
      <c r="H388" s="2" t="s">
        <v>76</v>
      </c>
      <c r="I388" s="2" t="s">
        <v>757</v>
      </c>
      <c r="J388" s="2">
        <v>39</v>
      </c>
      <c r="K388" s="2" t="str">
        <f t="shared" si="6"/>
        <v>1500</v>
      </c>
    </row>
    <row r="389" spans="1:11" x14ac:dyDescent="0.3">
      <c r="A389" s="2" t="s">
        <v>758</v>
      </c>
      <c r="B389" s="2" t="s">
        <v>73</v>
      </c>
      <c r="C389" s="2" t="s">
        <v>12</v>
      </c>
      <c r="D389" s="2" t="s">
        <v>31</v>
      </c>
      <c r="E389" s="2">
        <v>16</v>
      </c>
      <c r="F389" s="2">
        <v>11</v>
      </c>
      <c r="G389" s="2" t="s">
        <v>43</v>
      </c>
      <c r="H389" s="2" t="s">
        <v>40</v>
      </c>
      <c r="I389" s="2" t="s">
        <v>759</v>
      </c>
      <c r="J389" s="2">
        <v>70</v>
      </c>
      <c r="K389" s="2" t="str">
        <f t="shared" si="6"/>
        <v>1500</v>
      </c>
    </row>
    <row r="390" spans="1:11" x14ac:dyDescent="0.3">
      <c r="A390" s="2" t="s">
        <v>760</v>
      </c>
      <c r="B390" s="2" t="s">
        <v>84</v>
      </c>
      <c r="C390" s="2" t="s">
        <v>96</v>
      </c>
      <c r="D390" s="2" t="s">
        <v>31</v>
      </c>
      <c r="E390" s="2">
        <v>16</v>
      </c>
      <c r="F390" s="2">
        <v>11</v>
      </c>
      <c r="G390" s="2" t="s">
        <v>32</v>
      </c>
      <c r="H390" s="2" t="s">
        <v>76</v>
      </c>
      <c r="I390" s="2" t="s">
        <v>761</v>
      </c>
      <c r="J390" s="2">
        <v>83</v>
      </c>
      <c r="K390" s="2" t="str">
        <f t="shared" si="6"/>
        <v>1500</v>
      </c>
    </row>
    <row r="391" spans="1:11" x14ac:dyDescent="0.3">
      <c r="A391" s="2" t="s">
        <v>762</v>
      </c>
      <c r="B391" s="2" t="s">
        <v>68</v>
      </c>
      <c r="C391" s="2" t="s">
        <v>85</v>
      </c>
      <c r="D391" s="2" t="s">
        <v>31</v>
      </c>
      <c r="E391" s="2">
        <v>20</v>
      </c>
      <c r="F391" s="2">
        <v>12</v>
      </c>
      <c r="G391" s="2" t="s">
        <v>43</v>
      </c>
      <c r="H391" s="2" t="s">
        <v>20</v>
      </c>
      <c r="I391" s="2" t="s">
        <v>763</v>
      </c>
      <c r="J391" s="2">
        <v>82</v>
      </c>
      <c r="K391" s="2" t="str">
        <f t="shared" si="6"/>
        <v>1800</v>
      </c>
    </row>
    <row r="392" spans="1:11" x14ac:dyDescent="0.3">
      <c r="A392" s="2" t="s">
        <v>764</v>
      </c>
      <c r="B392" s="2" t="s">
        <v>18</v>
      </c>
      <c r="C392" s="2" t="s">
        <v>55</v>
      </c>
      <c r="D392" s="2" t="s">
        <v>13</v>
      </c>
      <c r="E392" s="2">
        <v>16</v>
      </c>
      <c r="F392" s="2">
        <v>12</v>
      </c>
      <c r="G392" s="2" t="s">
        <v>14</v>
      </c>
      <c r="H392" s="2" t="s">
        <v>40</v>
      </c>
      <c r="I392" s="2" t="s">
        <v>765</v>
      </c>
      <c r="J392" s="2">
        <v>61</v>
      </c>
      <c r="K392" s="2" t="str">
        <f t="shared" si="6"/>
        <v>1800</v>
      </c>
    </row>
    <row r="393" spans="1:11" x14ac:dyDescent="0.3">
      <c r="A393" s="2" t="s">
        <v>766</v>
      </c>
      <c r="B393" s="2" t="s">
        <v>35</v>
      </c>
      <c r="C393" s="2" t="s">
        <v>58</v>
      </c>
      <c r="D393" s="2" t="s">
        <v>13</v>
      </c>
      <c r="E393" s="2">
        <v>20</v>
      </c>
      <c r="F393" s="2">
        <v>11</v>
      </c>
      <c r="G393" s="2" t="s">
        <v>32</v>
      </c>
      <c r="H393" s="2" t="s">
        <v>46</v>
      </c>
      <c r="I393" s="2" t="s">
        <v>767</v>
      </c>
      <c r="J393" s="2">
        <v>54</v>
      </c>
      <c r="K393" s="2" t="str">
        <f t="shared" si="6"/>
        <v>1500</v>
      </c>
    </row>
    <row r="394" spans="1:11" x14ac:dyDescent="0.3">
      <c r="A394" s="2" t="s">
        <v>768</v>
      </c>
      <c r="B394" s="2" t="s">
        <v>23</v>
      </c>
      <c r="C394" s="2" t="s">
        <v>24</v>
      </c>
      <c r="D394" s="2" t="s">
        <v>13</v>
      </c>
      <c r="E394" s="2">
        <v>17</v>
      </c>
      <c r="F394" s="2">
        <v>11</v>
      </c>
      <c r="G394" s="2" t="s">
        <v>25</v>
      </c>
      <c r="H394" s="2" t="s">
        <v>40</v>
      </c>
      <c r="I394" s="2" t="s">
        <v>258</v>
      </c>
      <c r="J394" s="2">
        <v>61</v>
      </c>
      <c r="K394" s="2" t="str">
        <f t="shared" si="6"/>
        <v>1500</v>
      </c>
    </row>
    <row r="395" spans="1:11" x14ac:dyDescent="0.3">
      <c r="A395" s="2" t="s">
        <v>769</v>
      </c>
      <c r="B395" s="2" t="s">
        <v>35</v>
      </c>
      <c r="C395" s="2" t="s">
        <v>30</v>
      </c>
      <c r="D395" s="2" t="s">
        <v>13</v>
      </c>
      <c r="E395" s="2">
        <v>16</v>
      </c>
      <c r="F395" s="2">
        <v>11</v>
      </c>
      <c r="G395" s="2" t="s">
        <v>32</v>
      </c>
      <c r="H395" s="2" t="s">
        <v>46</v>
      </c>
      <c r="I395" s="2" t="s">
        <v>770</v>
      </c>
      <c r="J395" s="2">
        <v>85</v>
      </c>
      <c r="K395" s="2" t="str">
        <f t="shared" si="6"/>
        <v>1500</v>
      </c>
    </row>
    <row r="396" spans="1:11" x14ac:dyDescent="0.3">
      <c r="A396" s="2" t="s">
        <v>771</v>
      </c>
      <c r="B396" s="2" t="s">
        <v>23</v>
      </c>
      <c r="C396" s="2" t="s">
        <v>24</v>
      </c>
      <c r="D396" s="2" t="s">
        <v>31</v>
      </c>
      <c r="E396" s="2">
        <v>18</v>
      </c>
      <c r="F396" s="2">
        <v>11</v>
      </c>
      <c r="G396" s="2" t="s">
        <v>25</v>
      </c>
      <c r="H396" s="2" t="s">
        <v>46</v>
      </c>
      <c r="I396" s="2" t="s">
        <v>772</v>
      </c>
      <c r="J396" s="2">
        <v>89</v>
      </c>
      <c r="K396" s="2" t="str">
        <f t="shared" si="6"/>
        <v>1500</v>
      </c>
    </row>
    <row r="397" spans="1:11" x14ac:dyDescent="0.3">
      <c r="A397" s="2" t="s">
        <v>773</v>
      </c>
      <c r="B397" s="2" t="s">
        <v>68</v>
      </c>
      <c r="C397" s="2" t="s">
        <v>19</v>
      </c>
      <c r="D397" s="2" t="s">
        <v>13</v>
      </c>
      <c r="E397" s="2">
        <v>14</v>
      </c>
      <c r="F397" s="2">
        <v>11</v>
      </c>
      <c r="G397" s="2" t="s">
        <v>14</v>
      </c>
      <c r="H397" s="2" t="s">
        <v>20</v>
      </c>
      <c r="I397" s="2" t="s">
        <v>774</v>
      </c>
      <c r="J397" s="2">
        <v>72</v>
      </c>
      <c r="K397" s="2" t="str">
        <f t="shared" si="6"/>
        <v>1500</v>
      </c>
    </row>
    <row r="398" spans="1:11" x14ac:dyDescent="0.3">
      <c r="A398" s="2" t="s">
        <v>775</v>
      </c>
      <c r="B398" s="2" t="s">
        <v>29</v>
      </c>
      <c r="C398" s="2" t="s">
        <v>85</v>
      </c>
      <c r="D398" s="2" t="s">
        <v>31</v>
      </c>
      <c r="E398" s="2">
        <v>20</v>
      </c>
      <c r="F398" s="2">
        <v>10</v>
      </c>
      <c r="G398" s="2" t="s">
        <v>14</v>
      </c>
      <c r="H398" s="2" t="s">
        <v>46</v>
      </c>
      <c r="I398" s="2" t="s">
        <v>366</v>
      </c>
      <c r="J398" s="2">
        <v>100</v>
      </c>
      <c r="K398" s="2" t="str">
        <f t="shared" si="6"/>
        <v>1200</v>
      </c>
    </row>
    <row r="399" spans="1:11" x14ac:dyDescent="0.3">
      <c r="A399" s="2" t="s">
        <v>776</v>
      </c>
      <c r="B399" s="2" t="s">
        <v>11</v>
      </c>
      <c r="C399" s="2" t="s">
        <v>12</v>
      </c>
      <c r="D399" s="2" t="s">
        <v>31</v>
      </c>
      <c r="E399" s="2">
        <v>20</v>
      </c>
      <c r="F399" s="2">
        <v>9</v>
      </c>
      <c r="G399" s="2" t="s">
        <v>14</v>
      </c>
      <c r="H399" s="2" t="s">
        <v>76</v>
      </c>
      <c r="I399" s="2" t="s">
        <v>777</v>
      </c>
      <c r="J399" s="2">
        <v>84</v>
      </c>
      <c r="K399" s="2" t="str">
        <f t="shared" si="6"/>
        <v>1000</v>
      </c>
    </row>
    <row r="400" spans="1:11" x14ac:dyDescent="0.3">
      <c r="A400" s="2" t="s">
        <v>778</v>
      </c>
      <c r="B400" s="2" t="s">
        <v>73</v>
      </c>
      <c r="C400" s="2" t="s">
        <v>19</v>
      </c>
      <c r="D400" s="2" t="s">
        <v>13</v>
      </c>
      <c r="E400" s="2">
        <v>17</v>
      </c>
      <c r="F400" s="2">
        <v>12</v>
      </c>
      <c r="G400" s="2" t="s">
        <v>14</v>
      </c>
      <c r="H400" s="2" t="s">
        <v>37</v>
      </c>
      <c r="I400" s="2" t="s">
        <v>779</v>
      </c>
      <c r="J400" s="2">
        <v>76</v>
      </c>
      <c r="K400" s="2" t="str">
        <f t="shared" si="6"/>
        <v>1800</v>
      </c>
    </row>
    <row r="401" spans="1:11" x14ac:dyDescent="0.3">
      <c r="A401" s="2" t="s">
        <v>780</v>
      </c>
      <c r="B401" s="2" t="s">
        <v>35</v>
      </c>
      <c r="C401" s="2" t="s">
        <v>36</v>
      </c>
      <c r="D401" s="2" t="s">
        <v>31</v>
      </c>
      <c r="E401" s="2">
        <v>14</v>
      </c>
      <c r="F401" s="2">
        <v>9</v>
      </c>
      <c r="G401" s="2" t="s">
        <v>25</v>
      </c>
      <c r="H401" s="2" t="s">
        <v>40</v>
      </c>
      <c r="I401" s="2" t="s">
        <v>781</v>
      </c>
      <c r="J401" s="2">
        <v>36</v>
      </c>
      <c r="K401" s="2" t="str">
        <f t="shared" si="6"/>
        <v>1000</v>
      </c>
    </row>
    <row r="402" spans="1:11" x14ac:dyDescent="0.3">
      <c r="A402" s="2" t="s">
        <v>782</v>
      </c>
      <c r="B402" s="2" t="s">
        <v>84</v>
      </c>
      <c r="C402" s="2" t="s">
        <v>12</v>
      </c>
      <c r="D402" s="2" t="s">
        <v>31</v>
      </c>
      <c r="E402" s="2">
        <v>14</v>
      </c>
      <c r="F402" s="2">
        <v>11</v>
      </c>
      <c r="G402" s="2" t="s">
        <v>14</v>
      </c>
      <c r="H402" s="2" t="s">
        <v>37</v>
      </c>
      <c r="I402" s="2" t="s">
        <v>252</v>
      </c>
      <c r="J402" s="2">
        <v>95</v>
      </c>
      <c r="K402" s="2" t="str">
        <f t="shared" si="6"/>
        <v>1500</v>
      </c>
    </row>
    <row r="403" spans="1:11" x14ac:dyDescent="0.3">
      <c r="A403" s="2" t="s">
        <v>783</v>
      </c>
      <c r="B403" s="2" t="s">
        <v>54</v>
      </c>
      <c r="C403" s="2" t="s">
        <v>79</v>
      </c>
      <c r="D403" s="2" t="s">
        <v>31</v>
      </c>
      <c r="E403" s="2">
        <v>15</v>
      </c>
      <c r="F403" s="2">
        <v>11</v>
      </c>
      <c r="G403" s="2" t="s">
        <v>25</v>
      </c>
      <c r="H403" s="2" t="s">
        <v>61</v>
      </c>
      <c r="I403" s="2" t="s">
        <v>628</v>
      </c>
      <c r="J403" s="2">
        <v>39</v>
      </c>
      <c r="K403" s="2" t="str">
        <f t="shared" si="6"/>
        <v>1500</v>
      </c>
    </row>
    <row r="404" spans="1:11" x14ac:dyDescent="0.3">
      <c r="A404" s="2" t="s">
        <v>784</v>
      </c>
      <c r="B404" s="2" t="s">
        <v>84</v>
      </c>
      <c r="C404" s="2" t="s">
        <v>12</v>
      </c>
      <c r="D404" s="2" t="s">
        <v>13</v>
      </c>
      <c r="E404" s="2">
        <v>17</v>
      </c>
      <c r="F404" s="2">
        <v>9</v>
      </c>
      <c r="G404" s="2" t="s">
        <v>43</v>
      </c>
      <c r="H404" s="2" t="s">
        <v>76</v>
      </c>
      <c r="I404" s="2" t="s">
        <v>685</v>
      </c>
      <c r="J404" s="2">
        <v>89</v>
      </c>
      <c r="K404" s="2" t="str">
        <f t="shared" si="6"/>
        <v>1000</v>
      </c>
    </row>
    <row r="405" spans="1:11" x14ac:dyDescent="0.3">
      <c r="A405" s="2" t="s">
        <v>785</v>
      </c>
      <c r="B405" s="2" t="s">
        <v>35</v>
      </c>
      <c r="C405" s="2" t="s">
        <v>58</v>
      </c>
      <c r="D405" s="2" t="s">
        <v>13</v>
      </c>
      <c r="E405" s="2">
        <v>18</v>
      </c>
      <c r="F405" s="2">
        <v>12</v>
      </c>
      <c r="G405" s="2" t="s">
        <v>43</v>
      </c>
      <c r="H405" s="2" t="s">
        <v>20</v>
      </c>
      <c r="I405" s="2" t="s">
        <v>786</v>
      </c>
      <c r="J405" s="2">
        <v>93</v>
      </c>
      <c r="K405" s="2" t="str">
        <f t="shared" si="6"/>
        <v>1800</v>
      </c>
    </row>
    <row r="406" spans="1:11" x14ac:dyDescent="0.3">
      <c r="A406" s="2" t="s">
        <v>787</v>
      </c>
      <c r="B406" s="2" t="s">
        <v>18</v>
      </c>
      <c r="C406" s="2" t="s">
        <v>36</v>
      </c>
      <c r="D406" s="2" t="s">
        <v>31</v>
      </c>
      <c r="E406" s="2">
        <v>16</v>
      </c>
      <c r="F406" s="2">
        <v>9</v>
      </c>
      <c r="G406" s="2" t="s">
        <v>14</v>
      </c>
      <c r="H406" s="2" t="s">
        <v>76</v>
      </c>
      <c r="I406" s="2" t="s">
        <v>788</v>
      </c>
      <c r="J406" s="2">
        <v>88</v>
      </c>
      <c r="K406" s="2" t="str">
        <f t="shared" si="6"/>
        <v>1000</v>
      </c>
    </row>
    <row r="407" spans="1:11" x14ac:dyDescent="0.3">
      <c r="A407" s="2" t="s">
        <v>789</v>
      </c>
      <c r="B407" s="2" t="s">
        <v>54</v>
      </c>
      <c r="C407" s="2" t="s">
        <v>12</v>
      </c>
      <c r="D407" s="2" t="s">
        <v>31</v>
      </c>
      <c r="E407" s="2">
        <v>18</v>
      </c>
      <c r="F407" s="2">
        <v>10</v>
      </c>
      <c r="G407" s="2" t="s">
        <v>25</v>
      </c>
      <c r="H407" s="2" t="s">
        <v>15</v>
      </c>
      <c r="I407" s="2" t="s">
        <v>790</v>
      </c>
      <c r="J407" s="2">
        <v>95</v>
      </c>
      <c r="K407" s="2" t="str">
        <f t="shared" si="6"/>
        <v>1200</v>
      </c>
    </row>
    <row r="408" spans="1:11" x14ac:dyDescent="0.3">
      <c r="A408" s="2" t="s">
        <v>791</v>
      </c>
      <c r="B408" s="2" t="s">
        <v>51</v>
      </c>
      <c r="C408" s="2" t="s">
        <v>85</v>
      </c>
      <c r="D408" s="2" t="s">
        <v>13</v>
      </c>
      <c r="E408" s="2">
        <v>14</v>
      </c>
      <c r="F408" s="2">
        <v>9</v>
      </c>
      <c r="G408" s="2" t="s">
        <v>43</v>
      </c>
      <c r="H408" s="2" t="s">
        <v>61</v>
      </c>
      <c r="I408" s="2" t="s">
        <v>792</v>
      </c>
      <c r="J408" s="2">
        <v>96</v>
      </c>
      <c r="K408" s="2" t="str">
        <f t="shared" si="6"/>
        <v>1000</v>
      </c>
    </row>
    <row r="409" spans="1:11" x14ac:dyDescent="0.3">
      <c r="A409" s="2" t="s">
        <v>793</v>
      </c>
      <c r="B409" s="2" t="s">
        <v>35</v>
      </c>
      <c r="C409" s="2" t="s">
        <v>19</v>
      </c>
      <c r="D409" s="2" t="s">
        <v>31</v>
      </c>
      <c r="E409" s="2">
        <v>20</v>
      </c>
      <c r="F409" s="2">
        <v>11</v>
      </c>
      <c r="G409" s="2" t="s">
        <v>32</v>
      </c>
      <c r="H409" s="2" t="s">
        <v>20</v>
      </c>
      <c r="I409" s="2" t="s">
        <v>794</v>
      </c>
      <c r="J409" s="2">
        <v>74</v>
      </c>
      <c r="K409" s="2" t="str">
        <f t="shared" si="6"/>
        <v>1500</v>
      </c>
    </row>
    <row r="410" spans="1:11" x14ac:dyDescent="0.3">
      <c r="A410" s="2" t="s">
        <v>795</v>
      </c>
      <c r="B410" s="2" t="s">
        <v>54</v>
      </c>
      <c r="C410" s="2" t="s">
        <v>30</v>
      </c>
      <c r="D410" s="2" t="s">
        <v>13</v>
      </c>
      <c r="E410" s="2">
        <v>18</v>
      </c>
      <c r="F410" s="2">
        <v>12</v>
      </c>
      <c r="G410" s="2" t="s">
        <v>32</v>
      </c>
      <c r="H410" s="2" t="s">
        <v>20</v>
      </c>
      <c r="I410" s="2" t="s">
        <v>796</v>
      </c>
      <c r="J410" s="2">
        <v>55</v>
      </c>
      <c r="K410" s="2" t="str">
        <f t="shared" si="6"/>
        <v>1800</v>
      </c>
    </row>
    <row r="411" spans="1:11" x14ac:dyDescent="0.3">
      <c r="A411" s="2" t="s">
        <v>797</v>
      </c>
      <c r="B411" s="2" t="s">
        <v>23</v>
      </c>
      <c r="C411" s="2" t="s">
        <v>85</v>
      </c>
      <c r="D411" s="2" t="s">
        <v>13</v>
      </c>
      <c r="E411" s="2">
        <v>17</v>
      </c>
      <c r="F411" s="2">
        <v>12</v>
      </c>
      <c r="G411" s="2" t="s">
        <v>14</v>
      </c>
      <c r="H411" s="2" t="s">
        <v>76</v>
      </c>
      <c r="I411" s="2" t="s">
        <v>71</v>
      </c>
      <c r="J411" s="2">
        <v>77</v>
      </c>
      <c r="K411" s="2" t="str">
        <f t="shared" si="6"/>
        <v>1800</v>
      </c>
    </row>
    <row r="412" spans="1:11" x14ac:dyDescent="0.3">
      <c r="A412" s="2" t="s">
        <v>798</v>
      </c>
      <c r="B412" s="2" t="s">
        <v>23</v>
      </c>
      <c r="C412" s="2" t="s">
        <v>19</v>
      </c>
      <c r="D412" s="2" t="s">
        <v>13</v>
      </c>
      <c r="E412" s="2">
        <v>17</v>
      </c>
      <c r="F412" s="2">
        <v>12</v>
      </c>
      <c r="G412" s="2" t="s">
        <v>14</v>
      </c>
      <c r="H412" s="2" t="s">
        <v>40</v>
      </c>
      <c r="I412" s="2" t="s">
        <v>159</v>
      </c>
      <c r="J412" s="2">
        <v>95</v>
      </c>
      <c r="K412" s="2" t="str">
        <f t="shared" si="6"/>
        <v>1800</v>
      </c>
    </row>
    <row r="413" spans="1:11" x14ac:dyDescent="0.3">
      <c r="A413" s="2" t="s">
        <v>799</v>
      </c>
      <c r="B413" s="2" t="s">
        <v>54</v>
      </c>
      <c r="C413" s="2" t="s">
        <v>36</v>
      </c>
      <c r="D413" s="2" t="s">
        <v>31</v>
      </c>
      <c r="E413" s="2">
        <v>17</v>
      </c>
      <c r="F413" s="2">
        <v>12</v>
      </c>
      <c r="G413" s="2" t="s">
        <v>14</v>
      </c>
      <c r="H413" s="2" t="s">
        <v>46</v>
      </c>
      <c r="I413" s="2" t="s">
        <v>533</v>
      </c>
      <c r="J413" s="2">
        <v>59</v>
      </c>
      <c r="K413" s="2" t="str">
        <f t="shared" si="6"/>
        <v>1800</v>
      </c>
    </row>
    <row r="414" spans="1:11" x14ac:dyDescent="0.3">
      <c r="A414" s="2" t="s">
        <v>800</v>
      </c>
      <c r="B414" s="2" t="s">
        <v>23</v>
      </c>
      <c r="C414" s="2" t="s">
        <v>79</v>
      </c>
      <c r="D414" s="2" t="s">
        <v>31</v>
      </c>
      <c r="E414" s="2">
        <v>18</v>
      </c>
      <c r="F414" s="2">
        <v>11</v>
      </c>
      <c r="G414" s="2" t="s">
        <v>32</v>
      </c>
      <c r="H414" s="2" t="s">
        <v>76</v>
      </c>
      <c r="I414" s="2" t="s">
        <v>801</v>
      </c>
      <c r="J414" s="2">
        <v>97</v>
      </c>
      <c r="K414" s="2" t="str">
        <f t="shared" si="6"/>
        <v>1500</v>
      </c>
    </row>
    <row r="415" spans="1:11" x14ac:dyDescent="0.3">
      <c r="A415" s="2" t="s">
        <v>802</v>
      </c>
      <c r="B415" s="2" t="s">
        <v>29</v>
      </c>
      <c r="C415" s="2" t="s">
        <v>96</v>
      </c>
      <c r="D415" s="2" t="s">
        <v>13</v>
      </c>
      <c r="E415" s="2">
        <v>14</v>
      </c>
      <c r="F415" s="2">
        <v>10</v>
      </c>
      <c r="G415" s="2" t="s">
        <v>25</v>
      </c>
      <c r="H415" s="2" t="s">
        <v>61</v>
      </c>
      <c r="I415" s="2" t="s">
        <v>803</v>
      </c>
      <c r="J415" s="2">
        <v>89</v>
      </c>
      <c r="K415" s="2" t="str">
        <f t="shared" si="6"/>
        <v>1200</v>
      </c>
    </row>
    <row r="416" spans="1:11" x14ac:dyDescent="0.3">
      <c r="A416" s="2" t="s">
        <v>804</v>
      </c>
      <c r="B416" s="2" t="s">
        <v>54</v>
      </c>
      <c r="C416" s="2" t="s">
        <v>79</v>
      </c>
      <c r="D416" s="2" t="s">
        <v>13</v>
      </c>
      <c r="E416" s="2">
        <v>19</v>
      </c>
      <c r="F416" s="2">
        <v>9</v>
      </c>
      <c r="G416" s="2" t="s">
        <v>25</v>
      </c>
      <c r="H416" s="2" t="s">
        <v>61</v>
      </c>
      <c r="I416" s="2" t="s">
        <v>56</v>
      </c>
      <c r="J416" s="2">
        <v>43</v>
      </c>
      <c r="K416" s="2" t="str">
        <f t="shared" si="6"/>
        <v>1000</v>
      </c>
    </row>
    <row r="417" spans="1:11" x14ac:dyDescent="0.3">
      <c r="A417" s="2" t="s">
        <v>805</v>
      </c>
      <c r="B417" s="2" t="s">
        <v>29</v>
      </c>
      <c r="C417" s="2" t="s">
        <v>36</v>
      </c>
      <c r="D417" s="2" t="s">
        <v>31</v>
      </c>
      <c r="E417" s="2">
        <v>17</v>
      </c>
      <c r="F417" s="2">
        <v>10</v>
      </c>
      <c r="G417" s="2" t="s">
        <v>25</v>
      </c>
      <c r="H417" s="2" t="s">
        <v>15</v>
      </c>
      <c r="I417" s="2" t="s">
        <v>806</v>
      </c>
      <c r="J417" s="2">
        <v>59</v>
      </c>
      <c r="K417" s="2" t="str">
        <f t="shared" si="6"/>
        <v>1200</v>
      </c>
    </row>
    <row r="418" spans="1:11" x14ac:dyDescent="0.3">
      <c r="A418" s="2" t="s">
        <v>807</v>
      </c>
      <c r="B418" s="2" t="s">
        <v>68</v>
      </c>
      <c r="C418" s="2" t="s">
        <v>79</v>
      </c>
      <c r="D418" s="2" t="s">
        <v>31</v>
      </c>
      <c r="E418" s="2">
        <v>16</v>
      </c>
      <c r="F418" s="2">
        <v>10</v>
      </c>
      <c r="G418" s="2" t="s">
        <v>43</v>
      </c>
      <c r="H418" s="2" t="s">
        <v>76</v>
      </c>
      <c r="I418" s="2" t="s">
        <v>305</v>
      </c>
      <c r="J418" s="2">
        <v>40</v>
      </c>
      <c r="K418" s="2" t="str">
        <f t="shared" si="6"/>
        <v>1200</v>
      </c>
    </row>
    <row r="419" spans="1:11" x14ac:dyDescent="0.3">
      <c r="A419" s="2" t="s">
        <v>808</v>
      </c>
      <c r="B419" s="2" t="s">
        <v>54</v>
      </c>
      <c r="C419" s="2" t="s">
        <v>24</v>
      </c>
      <c r="D419" s="2" t="s">
        <v>13</v>
      </c>
      <c r="E419" s="2">
        <v>14</v>
      </c>
      <c r="F419" s="2">
        <v>9</v>
      </c>
      <c r="G419" s="2" t="s">
        <v>25</v>
      </c>
      <c r="H419" s="2" t="s">
        <v>46</v>
      </c>
      <c r="I419" s="2" t="s">
        <v>809</v>
      </c>
      <c r="J419" s="2">
        <v>92</v>
      </c>
      <c r="K419" s="2" t="str">
        <f t="shared" si="6"/>
        <v>1000</v>
      </c>
    </row>
    <row r="420" spans="1:11" x14ac:dyDescent="0.3">
      <c r="A420" s="2" t="s">
        <v>810</v>
      </c>
      <c r="B420" s="2" t="s">
        <v>73</v>
      </c>
      <c r="C420" s="2" t="s">
        <v>12</v>
      </c>
      <c r="D420" s="2" t="s">
        <v>13</v>
      </c>
      <c r="E420" s="2">
        <v>14</v>
      </c>
      <c r="F420" s="2">
        <v>10</v>
      </c>
      <c r="G420" s="2" t="s">
        <v>14</v>
      </c>
      <c r="H420" s="2" t="s">
        <v>46</v>
      </c>
      <c r="I420" s="2" t="s">
        <v>385</v>
      </c>
      <c r="J420" s="2">
        <v>49</v>
      </c>
      <c r="K420" s="2" t="str">
        <f t="shared" si="6"/>
        <v>1200</v>
      </c>
    </row>
    <row r="421" spans="1:11" x14ac:dyDescent="0.3">
      <c r="A421" s="2" t="s">
        <v>811</v>
      </c>
      <c r="B421" s="2" t="s">
        <v>29</v>
      </c>
      <c r="C421" s="2" t="s">
        <v>58</v>
      </c>
      <c r="D421" s="2" t="s">
        <v>13</v>
      </c>
      <c r="E421" s="2">
        <v>20</v>
      </c>
      <c r="F421" s="2">
        <v>11</v>
      </c>
      <c r="G421" s="2" t="s">
        <v>14</v>
      </c>
      <c r="H421" s="2" t="s">
        <v>61</v>
      </c>
      <c r="I421" s="2" t="s">
        <v>358</v>
      </c>
      <c r="J421" s="2">
        <v>44</v>
      </c>
      <c r="K421" s="2" t="str">
        <f t="shared" si="6"/>
        <v>1500</v>
      </c>
    </row>
    <row r="422" spans="1:11" x14ac:dyDescent="0.3">
      <c r="A422" s="2" t="s">
        <v>812</v>
      </c>
      <c r="B422" s="2" t="s">
        <v>51</v>
      </c>
      <c r="C422" s="2" t="s">
        <v>55</v>
      </c>
      <c r="D422" s="2" t="s">
        <v>13</v>
      </c>
      <c r="E422" s="2">
        <v>15</v>
      </c>
      <c r="F422" s="2">
        <v>10</v>
      </c>
      <c r="G422" s="2" t="s">
        <v>43</v>
      </c>
      <c r="H422" s="2" t="s">
        <v>46</v>
      </c>
      <c r="I422" s="2" t="s">
        <v>82</v>
      </c>
      <c r="J422" s="2">
        <v>62</v>
      </c>
      <c r="K422" s="2" t="str">
        <f t="shared" si="6"/>
        <v>1200</v>
      </c>
    </row>
    <row r="423" spans="1:11" x14ac:dyDescent="0.3">
      <c r="A423" s="2" t="s">
        <v>813</v>
      </c>
      <c r="B423" s="2" t="s">
        <v>73</v>
      </c>
      <c r="C423" s="2" t="s">
        <v>58</v>
      </c>
      <c r="D423" s="2" t="s">
        <v>13</v>
      </c>
      <c r="E423" s="2">
        <v>17</v>
      </c>
      <c r="F423" s="2">
        <v>12</v>
      </c>
      <c r="G423" s="2" t="s">
        <v>32</v>
      </c>
      <c r="H423" s="2" t="s">
        <v>46</v>
      </c>
      <c r="I423" s="2" t="s">
        <v>346</v>
      </c>
      <c r="J423" s="2">
        <v>60</v>
      </c>
      <c r="K423" s="2" t="str">
        <f t="shared" si="6"/>
        <v>1800</v>
      </c>
    </row>
    <row r="424" spans="1:11" x14ac:dyDescent="0.3">
      <c r="A424" s="2" t="s">
        <v>814</v>
      </c>
      <c r="B424" s="2" t="s">
        <v>18</v>
      </c>
      <c r="C424" s="2" t="s">
        <v>24</v>
      </c>
      <c r="D424" s="2" t="s">
        <v>31</v>
      </c>
      <c r="E424" s="2">
        <v>17</v>
      </c>
      <c r="F424" s="2">
        <v>10</v>
      </c>
      <c r="G424" s="2" t="s">
        <v>14</v>
      </c>
      <c r="H424" s="2" t="s">
        <v>76</v>
      </c>
      <c r="I424" s="2" t="s">
        <v>815</v>
      </c>
      <c r="J424" s="2">
        <v>47</v>
      </c>
      <c r="K424" s="2" t="str">
        <f t="shared" si="6"/>
        <v>1200</v>
      </c>
    </row>
    <row r="425" spans="1:11" x14ac:dyDescent="0.3">
      <c r="A425" s="2" t="s">
        <v>816</v>
      </c>
      <c r="B425" s="2" t="s">
        <v>23</v>
      </c>
      <c r="C425" s="2" t="s">
        <v>79</v>
      </c>
      <c r="D425" s="2" t="s">
        <v>31</v>
      </c>
      <c r="E425" s="2">
        <v>15</v>
      </c>
      <c r="F425" s="2">
        <v>9</v>
      </c>
      <c r="G425" s="2" t="s">
        <v>25</v>
      </c>
      <c r="H425" s="2" t="s">
        <v>76</v>
      </c>
      <c r="I425" s="2" t="s">
        <v>149</v>
      </c>
      <c r="J425" s="2">
        <v>79</v>
      </c>
      <c r="K425" s="2" t="str">
        <f t="shared" si="6"/>
        <v>1000</v>
      </c>
    </row>
    <row r="426" spans="1:11" x14ac:dyDescent="0.3">
      <c r="A426" s="2" t="s">
        <v>817</v>
      </c>
      <c r="B426" s="2" t="s">
        <v>51</v>
      </c>
      <c r="C426" s="2" t="s">
        <v>55</v>
      </c>
      <c r="D426" s="2" t="s">
        <v>31</v>
      </c>
      <c r="E426" s="2">
        <v>19</v>
      </c>
      <c r="F426" s="2">
        <v>11</v>
      </c>
      <c r="G426" s="2" t="s">
        <v>14</v>
      </c>
      <c r="H426" s="2" t="s">
        <v>26</v>
      </c>
      <c r="I426" s="2" t="s">
        <v>818</v>
      </c>
      <c r="J426" s="2">
        <v>56</v>
      </c>
      <c r="K426" s="2" t="str">
        <f t="shared" si="6"/>
        <v>1500</v>
      </c>
    </row>
    <row r="427" spans="1:11" x14ac:dyDescent="0.3">
      <c r="A427" s="2" t="s">
        <v>819</v>
      </c>
      <c r="B427" s="2" t="s">
        <v>18</v>
      </c>
      <c r="C427" s="2" t="s">
        <v>36</v>
      </c>
      <c r="D427" s="2" t="s">
        <v>31</v>
      </c>
      <c r="E427" s="2">
        <v>14</v>
      </c>
      <c r="F427" s="2">
        <v>10</v>
      </c>
      <c r="G427" s="2" t="s">
        <v>43</v>
      </c>
      <c r="H427" s="2" t="s">
        <v>76</v>
      </c>
      <c r="I427" s="2" t="s">
        <v>820</v>
      </c>
      <c r="J427" s="2">
        <v>56</v>
      </c>
      <c r="K427" s="2" t="str">
        <f t="shared" si="6"/>
        <v>1200</v>
      </c>
    </row>
    <row r="428" spans="1:11" x14ac:dyDescent="0.3">
      <c r="A428" s="2" t="s">
        <v>821</v>
      </c>
      <c r="B428" s="2" t="s">
        <v>18</v>
      </c>
      <c r="C428" s="2" t="s">
        <v>79</v>
      </c>
      <c r="D428" s="2" t="s">
        <v>13</v>
      </c>
      <c r="E428" s="2">
        <v>20</v>
      </c>
      <c r="F428" s="2">
        <v>12</v>
      </c>
      <c r="G428" s="2" t="s">
        <v>32</v>
      </c>
      <c r="H428" s="2" t="s">
        <v>26</v>
      </c>
      <c r="I428" s="2" t="s">
        <v>822</v>
      </c>
      <c r="J428" s="2">
        <v>52</v>
      </c>
      <c r="K428" s="2" t="str">
        <f t="shared" si="6"/>
        <v>1800</v>
      </c>
    </row>
    <row r="429" spans="1:11" x14ac:dyDescent="0.3">
      <c r="A429" s="2" t="s">
        <v>823</v>
      </c>
      <c r="B429" s="2" t="s">
        <v>11</v>
      </c>
      <c r="C429" s="2" t="s">
        <v>79</v>
      </c>
      <c r="D429" s="2" t="s">
        <v>31</v>
      </c>
      <c r="E429" s="2">
        <v>18</v>
      </c>
      <c r="F429" s="2">
        <v>12</v>
      </c>
      <c r="G429" s="2" t="s">
        <v>43</v>
      </c>
      <c r="H429" s="2" t="s">
        <v>37</v>
      </c>
      <c r="I429" s="2" t="s">
        <v>292</v>
      </c>
      <c r="J429" s="2">
        <v>94</v>
      </c>
      <c r="K429" s="2" t="str">
        <f t="shared" si="6"/>
        <v>1800</v>
      </c>
    </row>
    <row r="430" spans="1:11" x14ac:dyDescent="0.3">
      <c r="A430" s="2" t="s">
        <v>824</v>
      </c>
      <c r="B430" s="2" t="s">
        <v>54</v>
      </c>
      <c r="C430" s="2" t="s">
        <v>19</v>
      </c>
      <c r="D430" s="2" t="s">
        <v>31</v>
      </c>
      <c r="E430" s="2">
        <v>20</v>
      </c>
      <c r="F430" s="2">
        <v>9</v>
      </c>
      <c r="G430" s="2" t="s">
        <v>14</v>
      </c>
      <c r="H430" s="2" t="s">
        <v>37</v>
      </c>
      <c r="I430" s="2" t="s">
        <v>825</v>
      </c>
      <c r="J430" s="2">
        <v>43</v>
      </c>
      <c r="K430" s="2" t="str">
        <f t="shared" si="6"/>
        <v>1000</v>
      </c>
    </row>
    <row r="431" spans="1:11" x14ac:dyDescent="0.3">
      <c r="A431" s="2" t="s">
        <v>826</v>
      </c>
      <c r="B431" s="2" t="s">
        <v>51</v>
      </c>
      <c r="C431" s="2" t="s">
        <v>55</v>
      </c>
      <c r="D431" s="2" t="s">
        <v>31</v>
      </c>
      <c r="E431" s="2">
        <v>15</v>
      </c>
      <c r="F431" s="2">
        <v>10</v>
      </c>
      <c r="G431" s="2" t="s">
        <v>43</v>
      </c>
      <c r="H431" s="2" t="s">
        <v>37</v>
      </c>
      <c r="I431" s="2" t="s">
        <v>174</v>
      </c>
      <c r="J431" s="2">
        <v>42</v>
      </c>
      <c r="K431" s="2" t="str">
        <f t="shared" si="6"/>
        <v>1200</v>
      </c>
    </row>
    <row r="432" spans="1:11" x14ac:dyDescent="0.3">
      <c r="A432" s="2" t="s">
        <v>827</v>
      </c>
      <c r="B432" s="2" t="s">
        <v>35</v>
      </c>
      <c r="C432" s="2" t="s">
        <v>12</v>
      </c>
      <c r="D432" s="2" t="s">
        <v>13</v>
      </c>
      <c r="E432" s="2">
        <v>14</v>
      </c>
      <c r="F432" s="2">
        <v>12</v>
      </c>
      <c r="G432" s="2" t="s">
        <v>25</v>
      </c>
      <c r="H432" s="2" t="s">
        <v>61</v>
      </c>
      <c r="I432" s="2" t="s">
        <v>570</v>
      </c>
      <c r="J432" s="2">
        <v>65</v>
      </c>
      <c r="K432" s="2" t="str">
        <f t="shared" si="6"/>
        <v>1800</v>
      </c>
    </row>
    <row r="433" spans="1:11" x14ac:dyDescent="0.3">
      <c r="A433" s="2" t="s">
        <v>828</v>
      </c>
      <c r="B433" s="2" t="s">
        <v>29</v>
      </c>
      <c r="C433" s="2" t="s">
        <v>55</v>
      </c>
      <c r="D433" s="2" t="s">
        <v>13</v>
      </c>
      <c r="E433" s="2">
        <v>15</v>
      </c>
      <c r="F433" s="2">
        <v>9</v>
      </c>
      <c r="G433" s="2" t="s">
        <v>32</v>
      </c>
      <c r="H433" s="2" t="s">
        <v>40</v>
      </c>
      <c r="I433" s="2" t="s">
        <v>829</v>
      </c>
      <c r="J433" s="2">
        <v>64</v>
      </c>
      <c r="K433" s="2" t="str">
        <f t="shared" si="6"/>
        <v>1000</v>
      </c>
    </row>
    <row r="434" spans="1:11" x14ac:dyDescent="0.3">
      <c r="A434" s="2" t="s">
        <v>830</v>
      </c>
      <c r="B434" s="2" t="s">
        <v>23</v>
      </c>
      <c r="C434" s="2" t="s">
        <v>58</v>
      </c>
      <c r="D434" s="2" t="s">
        <v>31</v>
      </c>
      <c r="E434" s="2">
        <v>17</v>
      </c>
      <c r="F434" s="2">
        <v>9</v>
      </c>
      <c r="G434" s="2" t="s">
        <v>43</v>
      </c>
      <c r="H434" s="2" t="s">
        <v>61</v>
      </c>
      <c r="I434" s="2" t="s">
        <v>820</v>
      </c>
      <c r="J434" s="2">
        <v>59</v>
      </c>
      <c r="K434" s="2" t="str">
        <f t="shared" si="6"/>
        <v>1000</v>
      </c>
    </row>
    <row r="435" spans="1:11" x14ac:dyDescent="0.3">
      <c r="A435" s="2" t="s">
        <v>831</v>
      </c>
      <c r="B435" s="2" t="s">
        <v>54</v>
      </c>
      <c r="C435" s="2" t="s">
        <v>36</v>
      </c>
      <c r="D435" s="2" t="s">
        <v>31</v>
      </c>
      <c r="E435" s="2">
        <v>19</v>
      </c>
      <c r="F435" s="2">
        <v>9</v>
      </c>
      <c r="G435" s="2" t="s">
        <v>32</v>
      </c>
      <c r="H435" s="2" t="s">
        <v>15</v>
      </c>
      <c r="I435" s="2" t="s">
        <v>832</v>
      </c>
      <c r="J435" s="2">
        <v>35</v>
      </c>
      <c r="K435" s="2" t="str">
        <f t="shared" si="6"/>
        <v>1000</v>
      </c>
    </row>
    <row r="436" spans="1:11" x14ac:dyDescent="0.3">
      <c r="A436" s="2" t="s">
        <v>833</v>
      </c>
      <c r="B436" s="2" t="s">
        <v>73</v>
      </c>
      <c r="C436" s="2" t="s">
        <v>96</v>
      </c>
      <c r="D436" s="2" t="s">
        <v>31</v>
      </c>
      <c r="E436" s="2">
        <v>15</v>
      </c>
      <c r="F436" s="2">
        <v>10</v>
      </c>
      <c r="G436" s="2" t="s">
        <v>43</v>
      </c>
      <c r="H436" s="2" t="s">
        <v>76</v>
      </c>
      <c r="I436" s="2" t="s">
        <v>834</v>
      </c>
      <c r="J436" s="2">
        <v>37</v>
      </c>
      <c r="K436" s="2" t="str">
        <f t="shared" si="6"/>
        <v>1200</v>
      </c>
    </row>
    <row r="437" spans="1:11" x14ac:dyDescent="0.3">
      <c r="A437" s="2" t="s">
        <v>835</v>
      </c>
      <c r="B437" s="2" t="s">
        <v>18</v>
      </c>
      <c r="C437" s="2" t="s">
        <v>55</v>
      </c>
      <c r="D437" s="2" t="s">
        <v>31</v>
      </c>
      <c r="E437" s="2">
        <v>16</v>
      </c>
      <c r="F437" s="2">
        <v>10</v>
      </c>
      <c r="G437" s="2" t="s">
        <v>14</v>
      </c>
      <c r="H437" s="2" t="s">
        <v>61</v>
      </c>
      <c r="I437" s="2" t="s">
        <v>411</v>
      </c>
      <c r="J437" s="2">
        <v>52</v>
      </c>
      <c r="K437" s="2" t="str">
        <f t="shared" si="6"/>
        <v>1200</v>
      </c>
    </row>
    <row r="438" spans="1:11" x14ac:dyDescent="0.3">
      <c r="A438" s="2" t="s">
        <v>836</v>
      </c>
      <c r="B438" s="2" t="s">
        <v>18</v>
      </c>
      <c r="C438" s="2" t="s">
        <v>58</v>
      </c>
      <c r="D438" s="2" t="s">
        <v>13</v>
      </c>
      <c r="E438" s="2">
        <v>16</v>
      </c>
      <c r="F438" s="2">
        <v>9</v>
      </c>
      <c r="G438" s="2" t="s">
        <v>14</v>
      </c>
      <c r="H438" s="2" t="s">
        <v>37</v>
      </c>
      <c r="I438" s="2" t="s">
        <v>837</v>
      </c>
      <c r="J438" s="2">
        <v>64</v>
      </c>
      <c r="K438" s="2" t="str">
        <f t="shared" si="6"/>
        <v>1000</v>
      </c>
    </row>
    <row r="439" spans="1:11" x14ac:dyDescent="0.3">
      <c r="A439" s="2" t="s">
        <v>838</v>
      </c>
      <c r="B439" s="2" t="s">
        <v>29</v>
      </c>
      <c r="C439" s="2" t="s">
        <v>36</v>
      </c>
      <c r="D439" s="2" t="s">
        <v>31</v>
      </c>
      <c r="E439" s="2">
        <v>17</v>
      </c>
      <c r="F439" s="2">
        <v>10</v>
      </c>
      <c r="G439" s="2" t="s">
        <v>25</v>
      </c>
      <c r="H439" s="2" t="s">
        <v>15</v>
      </c>
      <c r="I439" s="2" t="s">
        <v>839</v>
      </c>
      <c r="J439" s="2">
        <v>35</v>
      </c>
      <c r="K439" s="2" t="str">
        <f t="shared" si="6"/>
        <v>1200</v>
      </c>
    </row>
    <row r="440" spans="1:11" x14ac:dyDescent="0.3">
      <c r="A440" s="2" t="s">
        <v>840</v>
      </c>
      <c r="B440" s="2" t="s">
        <v>29</v>
      </c>
      <c r="C440" s="2" t="s">
        <v>12</v>
      </c>
      <c r="D440" s="2" t="s">
        <v>31</v>
      </c>
      <c r="E440" s="2">
        <v>20</v>
      </c>
      <c r="F440" s="2">
        <v>10</v>
      </c>
      <c r="G440" s="2" t="s">
        <v>43</v>
      </c>
      <c r="H440" s="2" t="s">
        <v>15</v>
      </c>
      <c r="I440" s="2" t="s">
        <v>841</v>
      </c>
      <c r="J440" s="2">
        <v>37</v>
      </c>
      <c r="K440" s="2" t="str">
        <f t="shared" si="6"/>
        <v>1200</v>
      </c>
    </row>
    <row r="441" spans="1:11" x14ac:dyDescent="0.3">
      <c r="A441" s="2" t="s">
        <v>842</v>
      </c>
      <c r="B441" s="2" t="s">
        <v>23</v>
      </c>
      <c r="C441" s="2" t="s">
        <v>30</v>
      </c>
      <c r="D441" s="2" t="s">
        <v>13</v>
      </c>
      <c r="E441" s="2">
        <v>15</v>
      </c>
      <c r="F441" s="2">
        <v>9</v>
      </c>
      <c r="G441" s="2" t="s">
        <v>32</v>
      </c>
      <c r="H441" s="2" t="s">
        <v>37</v>
      </c>
      <c r="I441" s="2" t="s">
        <v>477</v>
      </c>
      <c r="J441" s="2">
        <v>51</v>
      </c>
      <c r="K441" s="2" t="str">
        <f t="shared" si="6"/>
        <v>1000</v>
      </c>
    </row>
    <row r="442" spans="1:11" x14ac:dyDescent="0.3">
      <c r="A442" s="2" t="s">
        <v>843</v>
      </c>
      <c r="B442" s="2" t="s">
        <v>54</v>
      </c>
      <c r="C442" s="2" t="s">
        <v>12</v>
      </c>
      <c r="D442" s="2" t="s">
        <v>31</v>
      </c>
      <c r="E442" s="2">
        <v>17</v>
      </c>
      <c r="F442" s="2">
        <v>10</v>
      </c>
      <c r="G442" s="2" t="s">
        <v>25</v>
      </c>
      <c r="H442" s="2" t="s">
        <v>40</v>
      </c>
      <c r="I442" s="2" t="s">
        <v>844</v>
      </c>
      <c r="J442" s="2">
        <v>43</v>
      </c>
      <c r="K442" s="2" t="str">
        <f t="shared" si="6"/>
        <v>1200</v>
      </c>
    </row>
    <row r="443" spans="1:11" x14ac:dyDescent="0.3">
      <c r="A443" s="2" t="s">
        <v>845</v>
      </c>
      <c r="B443" s="2" t="s">
        <v>11</v>
      </c>
      <c r="C443" s="2" t="s">
        <v>19</v>
      </c>
      <c r="D443" s="2" t="s">
        <v>31</v>
      </c>
      <c r="E443" s="2">
        <v>19</v>
      </c>
      <c r="F443" s="2">
        <v>11</v>
      </c>
      <c r="G443" s="2" t="s">
        <v>43</v>
      </c>
      <c r="H443" s="2" t="s">
        <v>76</v>
      </c>
      <c r="I443" s="2" t="s">
        <v>282</v>
      </c>
      <c r="J443" s="2">
        <v>44</v>
      </c>
      <c r="K443" s="2" t="str">
        <f t="shared" si="6"/>
        <v>1500</v>
      </c>
    </row>
    <row r="444" spans="1:11" x14ac:dyDescent="0.3">
      <c r="A444" s="2" t="s">
        <v>846</v>
      </c>
      <c r="B444" s="2" t="s">
        <v>35</v>
      </c>
      <c r="C444" s="2" t="s">
        <v>79</v>
      </c>
      <c r="D444" s="2" t="s">
        <v>13</v>
      </c>
      <c r="E444" s="2">
        <v>17</v>
      </c>
      <c r="F444" s="2">
        <v>12</v>
      </c>
      <c r="G444" s="2" t="s">
        <v>25</v>
      </c>
      <c r="H444" s="2" t="s">
        <v>46</v>
      </c>
      <c r="I444" s="2" t="s">
        <v>847</v>
      </c>
      <c r="J444" s="2">
        <v>41</v>
      </c>
      <c r="K444" s="2" t="str">
        <f t="shared" si="6"/>
        <v>1800</v>
      </c>
    </row>
    <row r="445" spans="1:11" x14ac:dyDescent="0.3">
      <c r="A445" s="2" t="s">
        <v>848</v>
      </c>
      <c r="B445" s="2" t="s">
        <v>18</v>
      </c>
      <c r="C445" s="2" t="s">
        <v>24</v>
      </c>
      <c r="D445" s="2" t="s">
        <v>31</v>
      </c>
      <c r="E445" s="2">
        <v>16</v>
      </c>
      <c r="F445" s="2">
        <v>10</v>
      </c>
      <c r="G445" s="2" t="s">
        <v>25</v>
      </c>
      <c r="H445" s="2" t="s">
        <v>61</v>
      </c>
      <c r="I445" s="2" t="s">
        <v>849</v>
      </c>
      <c r="J445" s="2">
        <v>78</v>
      </c>
      <c r="K445" s="2" t="str">
        <f t="shared" si="6"/>
        <v>1200</v>
      </c>
    </row>
    <row r="446" spans="1:11" x14ac:dyDescent="0.3">
      <c r="A446" s="2" t="s">
        <v>850</v>
      </c>
      <c r="B446" s="2" t="s">
        <v>51</v>
      </c>
      <c r="C446" s="2" t="s">
        <v>96</v>
      </c>
      <c r="D446" s="2" t="s">
        <v>13</v>
      </c>
      <c r="E446" s="2">
        <v>14</v>
      </c>
      <c r="F446" s="2">
        <v>9</v>
      </c>
      <c r="G446" s="2" t="s">
        <v>25</v>
      </c>
      <c r="H446" s="2" t="s">
        <v>26</v>
      </c>
      <c r="I446" s="2" t="s">
        <v>851</v>
      </c>
      <c r="J446" s="2">
        <v>90</v>
      </c>
      <c r="K446" s="2" t="str">
        <f t="shared" si="6"/>
        <v>1000</v>
      </c>
    </row>
    <row r="447" spans="1:11" x14ac:dyDescent="0.3">
      <c r="A447" s="2" t="s">
        <v>852</v>
      </c>
      <c r="B447" s="2" t="s">
        <v>29</v>
      </c>
      <c r="C447" s="2" t="s">
        <v>55</v>
      </c>
      <c r="D447" s="2" t="s">
        <v>13</v>
      </c>
      <c r="E447" s="2">
        <v>15</v>
      </c>
      <c r="F447" s="2">
        <v>9</v>
      </c>
      <c r="G447" s="2" t="s">
        <v>14</v>
      </c>
      <c r="H447" s="2" t="s">
        <v>20</v>
      </c>
      <c r="I447" s="2" t="s">
        <v>853</v>
      </c>
      <c r="J447" s="2">
        <v>74</v>
      </c>
      <c r="K447" s="2" t="str">
        <f t="shared" si="6"/>
        <v>1000</v>
      </c>
    </row>
    <row r="448" spans="1:11" x14ac:dyDescent="0.3">
      <c r="A448" s="2" t="s">
        <v>854</v>
      </c>
      <c r="B448" s="2" t="s">
        <v>51</v>
      </c>
      <c r="C448" s="2" t="s">
        <v>55</v>
      </c>
      <c r="D448" s="2" t="s">
        <v>13</v>
      </c>
      <c r="E448" s="2">
        <v>15</v>
      </c>
      <c r="F448" s="2">
        <v>11</v>
      </c>
      <c r="G448" s="2" t="s">
        <v>14</v>
      </c>
      <c r="H448" s="2" t="s">
        <v>61</v>
      </c>
      <c r="I448" s="2" t="s">
        <v>855</v>
      </c>
      <c r="J448" s="2">
        <v>84</v>
      </c>
      <c r="K448" s="2" t="str">
        <f t="shared" si="6"/>
        <v>1500</v>
      </c>
    </row>
    <row r="449" spans="1:11" x14ac:dyDescent="0.3">
      <c r="A449" s="2" t="s">
        <v>856</v>
      </c>
      <c r="B449" s="2" t="s">
        <v>29</v>
      </c>
      <c r="C449" s="2" t="s">
        <v>85</v>
      </c>
      <c r="D449" s="2" t="s">
        <v>13</v>
      </c>
      <c r="E449" s="2">
        <v>16</v>
      </c>
      <c r="F449" s="2">
        <v>9</v>
      </c>
      <c r="G449" s="2" t="s">
        <v>14</v>
      </c>
      <c r="H449" s="2" t="s">
        <v>61</v>
      </c>
      <c r="I449" s="2" t="s">
        <v>262</v>
      </c>
      <c r="J449" s="2">
        <v>78</v>
      </c>
      <c r="K449" s="2" t="str">
        <f t="shared" si="6"/>
        <v>1000</v>
      </c>
    </row>
    <row r="450" spans="1:11" x14ac:dyDescent="0.3">
      <c r="A450" s="2" t="s">
        <v>857</v>
      </c>
      <c r="B450" s="2" t="s">
        <v>18</v>
      </c>
      <c r="C450" s="2" t="s">
        <v>96</v>
      </c>
      <c r="D450" s="2" t="s">
        <v>13</v>
      </c>
      <c r="E450" s="2">
        <v>20</v>
      </c>
      <c r="F450" s="2">
        <v>11</v>
      </c>
      <c r="G450" s="2" t="s">
        <v>32</v>
      </c>
      <c r="H450" s="2" t="s">
        <v>61</v>
      </c>
      <c r="I450" s="2" t="s">
        <v>570</v>
      </c>
      <c r="J450" s="2">
        <v>94</v>
      </c>
      <c r="K450" s="2" t="str">
        <f t="shared" si="6"/>
        <v>1500</v>
      </c>
    </row>
    <row r="451" spans="1:11" x14ac:dyDescent="0.3">
      <c r="A451" s="2" t="s">
        <v>858</v>
      </c>
      <c r="B451" s="2" t="s">
        <v>35</v>
      </c>
      <c r="C451" s="2" t="s">
        <v>12</v>
      </c>
      <c r="D451" s="2" t="s">
        <v>31</v>
      </c>
      <c r="E451" s="2">
        <v>19</v>
      </c>
      <c r="F451" s="2">
        <v>9</v>
      </c>
      <c r="G451" s="2" t="s">
        <v>43</v>
      </c>
      <c r="H451" s="2" t="s">
        <v>26</v>
      </c>
      <c r="I451" s="2" t="s">
        <v>859</v>
      </c>
      <c r="J451" s="2">
        <v>88</v>
      </c>
      <c r="K451" s="2" t="str">
        <f t="shared" ref="K451:K501" si="7">_xlfn.IFS(F451=9,"1000",F451=10,"1200",F451=11,"1500",F451=12,"1800")</f>
        <v>1000</v>
      </c>
    </row>
    <row r="452" spans="1:11" x14ac:dyDescent="0.3">
      <c r="A452" s="2" t="s">
        <v>860</v>
      </c>
      <c r="B452" s="2" t="s">
        <v>68</v>
      </c>
      <c r="C452" s="2" t="s">
        <v>12</v>
      </c>
      <c r="D452" s="2" t="s">
        <v>13</v>
      </c>
      <c r="E452" s="2">
        <v>16</v>
      </c>
      <c r="F452" s="2">
        <v>12</v>
      </c>
      <c r="G452" s="2" t="s">
        <v>14</v>
      </c>
      <c r="H452" s="2" t="s">
        <v>37</v>
      </c>
      <c r="I452" s="2" t="s">
        <v>861</v>
      </c>
      <c r="J452" s="2">
        <v>84</v>
      </c>
      <c r="K452" s="2" t="str">
        <f t="shared" si="7"/>
        <v>1800</v>
      </c>
    </row>
    <row r="453" spans="1:11" x14ac:dyDescent="0.3">
      <c r="A453" s="2" t="s">
        <v>862</v>
      </c>
      <c r="B453" s="2" t="s">
        <v>51</v>
      </c>
      <c r="C453" s="2" t="s">
        <v>24</v>
      </c>
      <c r="D453" s="2" t="s">
        <v>13</v>
      </c>
      <c r="E453" s="2">
        <v>17</v>
      </c>
      <c r="F453" s="2">
        <v>9</v>
      </c>
      <c r="G453" s="2" t="s">
        <v>43</v>
      </c>
      <c r="H453" s="2" t="s">
        <v>15</v>
      </c>
      <c r="I453" s="2" t="s">
        <v>863</v>
      </c>
      <c r="J453" s="2">
        <v>86</v>
      </c>
      <c r="K453" s="2" t="str">
        <f t="shared" si="7"/>
        <v>1000</v>
      </c>
    </row>
    <row r="454" spans="1:11" x14ac:dyDescent="0.3">
      <c r="A454" s="2" t="s">
        <v>864</v>
      </c>
      <c r="B454" s="2" t="s">
        <v>35</v>
      </c>
      <c r="C454" s="2" t="s">
        <v>58</v>
      </c>
      <c r="D454" s="2" t="s">
        <v>13</v>
      </c>
      <c r="E454" s="2">
        <v>17</v>
      </c>
      <c r="F454" s="2">
        <v>10</v>
      </c>
      <c r="G454" s="2" t="s">
        <v>14</v>
      </c>
      <c r="H454" s="2" t="s">
        <v>20</v>
      </c>
      <c r="I454" s="2" t="s">
        <v>865</v>
      </c>
      <c r="J454" s="2">
        <v>92</v>
      </c>
      <c r="K454" s="2" t="str">
        <f t="shared" si="7"/>
        <v>1200</v>
      </c>
    </row>
    <row r="455" spans="1:11" x14ac:dyDescent="0.3">
      <c r="A455" s="2" t="s">
        <v>866</v>
      </c>
      <c r="B455" s="2" t="s">
        <v>18</v>
      </c>
      <c r="C455" s="2" t="s">
        <v>24</v>
      </c>
      <c r="D455" s="2" t="s">
        <v>13</v>
      </c>
      <c r="E455" s="2">
        <v>15</v>
      </c>
      <c r="F455" s="2">
        <v>11</v>
      </c>
      <c r="G455" s="2" t="s">
        <v>14</v>
      </c>
      <c r="H455" s="2" t="s">
        <v>61</v>
      </c>
      <c r="I455" s="2" t="s">
        <v>867</v>
      </c>
      <c r="J455" s="2">
        <v>97</v>
      </c>
      <c r="K455" s="2" t="str">
        <f t="shared" si="7"/>
        <v>1500</v>
      </c>
    </row>
    <row r="456" spans="1:11" x14ac:dyDescent="0.3">
      <c r="A456" s="2" t="s">
        <v>868</v>
      </c>
      <c r="B456" s="2" t="s">
        <v>84</v>
      </c>
      <c r="C456" s="2" t="s">
        <v>30</v>
      </c>
      <c r="D456" s="2" t="s">
        <v>31</v>
      </c>
      <c r="E456" s="2">
        <v>15</v>
      </c>
      <c r="F456" s="2">
        <v>9</v>
      </c>
      <c r="G456" s="2" t="s">
        <v>43</v>
      </c>
      <c r="H456" s="2" t="s">
        <v>61</v>
      </c>
      <c r="I456" s="2" t="s">
        <v>151</v>
      </c>
      <c r="J456" s="2">
        <v>45</v>
      </c>
      <c r="K456" s="2" t="str">
        <f t="shared" si="7"/>
        <v>1000</v>
      </c>
    </row>
    <row r="457" spans="1:11" x14ac:dyDescent="0.3">
      <c r="A457" s="2" t="s">
        <v>869</v>
      </c>
      <c r="B457" s="2" t="s">
        <v>73</v>
      </c>
      <c r="C457" s="2" t="s">
        <v>96</v>
      </c>
      <c r="D457" s="2" t="s">
        <v>31</v>
      </c>
      <c r="E457" s="2">
        <v>17</v>
      </c>
      <c r="F457" s="2">
        <v>9</v>
      </c>
      <c r="G457" s="2" t="s">
        <v>43</v>
      </c>
      <c r="H457" s="2" t="s">
        <v>26</v>
      </c>
      <c r="I457" s="2" t="s">
        <v>870</v>
      </c>
      <c r="J457" s="2">
        <v>53</v>
      </c>
      <c r="K457" s="2" t="str">
        <f t="shared" si="7"/>
        <v>1000</v>
      </c>
    </row>
    <row r="458" spans="1:11" x14ac:dyDescent="0.3">
      <c r="A458" s="2" t="s">
        <v>871</v>
      </c>
      <c r="B458" s="2" t="s">
        <v>11</v>
      </c>
      <c r="C458" s="2" t="s">
        <v>12</v>
      </c>
      <c r="D458" s="2" t="s">
        <v>13</v>
      </c>
      <c r="E458" s="2">
        <v>20</v>
      </c>
      <c r="F458" s="2">
        <v>10</v>
      </c>
      <c r="G458" s="2" t="s">
        <v>25</v>
      </c>
      <c r="H458" s="2" t="s">
        <v>76</v>
      </c>
      <c r="I458" s="2" t="s">
        <v>872</v>
      </c>
      <c r="J458" s="2">
        <v>66</v>
      </c>
      <c r="K458" s="2" t="str">
        <f t="shared" si="7"/>
        <v>1200</v>
      </c>
    </row>
    <row r="459" spans="1:11" x14ac:dyDescent="0.3">
      <c r="A459" s="2" t="s">
        <v>873</v>
      </c>
      <c r="B459" s="2" t="s">
        <v>18</v>
      </c>
      <c r="C459" s="2" t="s">
        <v>79</v>
      </c>
      <c r="D459" s="2" t="s">
        <v>31</v>
      </c>
      <c r="E459" s="2">
        <v>19</v>
      </c>
      <c r="F459" s="2">
        <v>12</v>
      </c>
      <c r="G459" s="2" t="s">
        <v>32</v>
      </c>
      <c r="H459" s="2" t="s">
        <v>76</v>
      </c>
      <c r="I459" s="2" t="s">
        <v>742</v>
      </c>
      <c r="J459" s="2">
        <v>83</v>
      </c>
      <c r="K459" s="2" t="str">
        <f t="shared" si="7"/>
        <v>1800</v>
      </c>
    </row>
    <row r="460" spans="1:11" x14ac:dyDescent="0.3">
      <c r="A460" s="2" t="s">
        <v>874</v>
      </c>
      <c r="B460" s="2" t="s">
        <v>35</v>
      </c>
      <c r="C460" s="2" t="s">
        <v>36</v>
      </c>
      <c r="D460" s="2" t="s">
        <v>13</v>
      </c>
      <c r="E460" s="2">
        <v>16</v>
      </c>
      <c r="F460" s="2">
        <v>10</v>
      </c>
      <c r="G460" s="2" t="s">
        <v>14</v>
      </c>
      <c r="H460" s="2" t="s">
        <v>61</v>
      </c>
      <c r="I460" s="2" t="s">
        <v>875</v>
      </c>
      <c r="J460" s="2">
        <v>35</v>
      </c>
      <c r="K460" s="2" t="str">
        <f t="shared" si="7"/>
        <v>1200</v>
      </c>
    </row>
    <row r="461" spans="1:11" x14ac:dyDescent="0.3">
      <c r="A461" s="2" t="s">
        <v>876</v>
      </c>
      <c r="B461" s="2" t="s">
        <v>18</v>
      </c>
      <c r="C461" s="2" t="s">
        <v>24</v>
      </c>
      <c r="D461" s="2" t="s">
        <v>31</v>
      </c>
      <c r="E461" s="2">
        <v>16</v>
      </c>
      <c r="F461" s="2">
        <v>9</v>
      </c>
      <c r="G461" s="2" t="s">
        <v>43</v>
      </c>
      <c r="H461" s="2" t="s">
        <v>26</v>
      </c>
      <c r="I461" s="2" t="s">
        <v>515</v>
      </c>
      <c r="J461" s="2">
        <v>48</v>
      </c>
      <c r="K461" s="2" t="str">
        <f t="shared" si="7"/>
        <v>1000</v>
      </c>
    </row>
    <row r="462" spans="1:11" x14ac:dyDescent="0.3">
      <c r="A462" s="2" t="s">
        <v>877</v>
      </c>
      <c r="B462" s="2" t="s">
        <v>73</v>
      </c>
      <c r="C462" s="2" t="s">
        <v>85</v>
      </c>
      <c r="D462" s="2" t="s">
        <v>13</v>
      </c>
      <c r="E462" s="2">
        <v>19</v>
      </c>
      <c r="F462" s="2">
        <v>10</v>
      </c>
      <c r="G462" s="2" t="s">
        <v>25</v>
      </c>
      <c r="H462" s="2" t="s">
        <v>26</v>
      </c>
      <c r="I462" s="2" t="s">
        <v>878</v>
      </c>
      <c r="J462" s="2">
        <v>81</v>
      </c>
      <c r="K462" s="2" t="str">
        <f t="shared" si="7"/>
        <v>1200</v>
      </c>
    </row>
    <row r="463" spans="1:11" x14ac:dyDescent="0.3">
      <c r="A463" s="2" t="s">
        <v>879</v>
      </c>
      <c r="B463" s="2" t="s">
        <v>18</v>
      </c>
      <c r="C463" s="2" t="s">
        <v>85</v>
      </c>
      <c r="D463" s="2" t="s">
        <v>13</v>
      </c>
      <c r="E463" s="2">
        <v>15</v>
      </c>
      <c r="F463" s="2">
        <v>11</v>
      </c>
      <c r="G463" s="2" t="s">
        <v>32</v>
      </c>
      <c r="H463" s="2" t="s">
        <v>37</v>
      </c>
      <c r="I463" s="2" t="s">
        <v>880</v>
      </c>
      <c r="J463" s="2">
        <v>86</v>
      </c>
      <c r="K463" s="2" t="str">
        <f t="shared" si="7"/>
        <v>1500</v>
      </c>
    </row>
    <row r="464" spans="1:11" x14ac:dyDescent="0.3">
      <c r="A464" s="2" t="s">
        <v>881</v>
      </c>
      <c r="B464" s="2" t="s">
        <v>73</v>
      </c>
      <c r="C464" s="2" t="s">
        <v>24</v>
      </c>
      <c r="D464" s="2" t="s">
        <v>31</v>
      </c>
      <c r="E464" s="2">
        <v>14</v>
      </c>
      <c r="F464" s="2">
        <v>12</v>
      </c>
      <c r="G464" s="2" t="s">
        <v>25</v>
      </c>
      <c r="H464" s="2" t="s">
        <v>46</v>
      </c>
      <c r="I464" s="2" t="s">
        <v>882</v>
      </c>
      <c r="J464" s="2">
        <v>58</v>
      </c>
      <c r="K464" s="2" t="str">
        <f t="shared" si="7"/>
        <v>1800</v>
      </c>
    </row>
    <row r="465" spans="1:11" x14ac:dyDescent="0.3">
      <c r="A465" s="2" t="s">
        <v>883</v>
      </c>
      <c r="B465" s="2" t="s">
        <v>23</v>
      </c>
      <c r="C465" s="2" t="s">
        <v>85</v>
      </c>
      <c r="D465" s="2" t="s">
        <v>13</v>
      </c>
      <c r="E465" s="2">
        <v>19</v>
      </c>
      <c r="F465" s="2">
        <v>9</v>
      </c>
      <c r="G465" s="2" t="s">
        <v>43</v>
      </c>
      <c r="H465" s="2" t="s">
        <v>20</v>
      </c>
      <c r="I465" s="2" t="s">
        <v>884</v>
      </c>
      <c r="J465" s="2">
        <v>69</v>
      </c>
      <c r="K465" s="2" t="str">
        <f t="shared" si="7"/>
        <v>1000</v>
      </c>
    </row>
    <row r="466" spans="1:11" x14ac:dyDescent="0.3">
      <c r="A466" s="2" t="s">
        <v>885</v>
      </c>
      <c r="B466" s="2" t="s">
        <v>51</v>
      </c>
      <c r="C466" s="2" t="s">
        <v>55</v>
      </c>
      <c r="D466" s="2" t="s">
        <v>13</v>
      </c>
      <c r="E466" s="2">
        <v>16</v>
      </c>
      <c r="F466" s="2">
        <v>11</v>
      </c>
      <c r="G466" s="2" t="s">
        <v>32</v>
      </c>
      <c r="H466" s="2" t="s">
        <v>76</v>
      </c>
      <c r="I466" s="2" t="s">
        <v>886</v>
      </c>
      <c r="J466" s="2">
        <v>65</v>
      </c>
      <c r="K466" s="2" t="str">
        <f t="shared" si="7"/>
        <v>1500</v>
      </c>
    </row>
    <row r="467" spans="1:11" x14ac:dyDescent="0.3">
      <c r="A467" s="2" t="s">
        <v>887</v>
      </c>
      <c r="B467" s="2" t="s">
        <v>11</v>
      </c>
      <c r="C467" s="2" t="s">
        <v>30</v>
      </c>
      <c r="D467" s="2" t="s">
        <v>31</v>
      </c>
      <c r="E467" s="2">
        <v>17</v>
      </c>
      <c r="F467" s="2">
        <v>9</v>
      </c>
      <c r="G467" s="2" t="s">
        <v>14</v>
      </c>
      <c r="H467" s="2" t="s">
        <v>76</v>
      </c>
      <c r="I467" s="2" t="s">
        <v>653</v>
      </c>
      <c r="J467" s="2">
        <v>53</v>
      </c>
      <c r="K467" s="2" t="str">
        <f t="shared" si="7"/>
        <v>1000</v>
      </c>
    </row>
    <row r="468" spans="1:11" x14ac:dyDescent="0.3">
      <c r="A468" s="2" t="s">
        <v>888</v>
      </c>
      <c r="B468" s="2" t="s">
        <v>23</v>
      </c>
      <c r="C468" s="2" t="s">
        <v>58</v>
      </c>
      <c r="D468" s="2" t="s">
        <v>31</v>
      </c>
      <c r="E468" s="2">
        <v>18</v>
      </c>
      <c r="F468" s="2">
        <v>10</v>
      </c>
      <c r="G468" s="2" t="s">
        <v>14</v>
      </c>
      <c r="H468" s="2" t="s">
        <v>20</v>
      </c>
      <c r="I468" s="2" t="s">
        <v>153</v>
      </c>
      <c r="J468" s="2">
        <v>92</v>
      </c>
      <c r="K468" s="2" t="str">
        <f t="shared" si="7"/>
        <v>1200</v>
      </c>
    </row>
    <row r="469" spans="1:11" x14ac:dyDescent="0.3">
      <c r="A469" s="2" t="s">
        <v>889</v>
      </c>
      <c r="B469" s="2" t="s">
        <v>68</v>
      </c>
      <c r="C469" s="2" t="s">
        <v>19</v>
      </c>
      <c r="D469" s="2" t="s">
        <v>31</v>
      </c>
      <c r="E469" s="2">
        <v>18</v>
      </c>
      <c r="F469" s="2">
        <v>12</v>
      </c>
      <c r="G469" s="2" t="s">
        <v>32</v>
      </c>
      <c r="H469" s="2" t="s">
        <v>46</v>
      </c>
      <c r="I469" s="2" t="s">
        <v>890</v>
      </c>
      <c r="J469" s="2">
        <v>88</v>
      </c>
      <c r="K469" s="2" t="str">
        <f t="shared" si="7"/>
        <v>1800</v>
      </c>
    </row>
    <row r="470" spans="1:11" x14ac:dyDescent="0.3">
      <c r="A470" s="2" t="s">
        <v>891</v>
      </c>
      <c r="B470" s="2" t="s">
        <v>68</v>
      </c>
      <c r="C470" s="2" t="s">
        <v>79</v>
      </c>
      <c r="D470" s="2" t="s">
        <v>31</v>
      </c>
      <c r="E470" s="2">
        <v>17</v>
      </c>
      <c r="F470" s="2">
        <v>10</v>
      </c>
      <c r="G470" s="2" t="s">
        <v>32</v>
      </c>
      <c r="H470" s="2" t="s">
        <v>61</v>
      </c>
      <c r="I470" s="2" t="s">
        <v>892</v>
      </c>
      <c r="J470" s="2">
        <v>56</v>
      </c>
      <c r="K470" s="2" t="str">
        <f t="shared" si="7"/>
        <v>1200</v>
      </c>
    </row>
    <row r="471" spans="1:11" x14ac:dyDescent="0.3">
      <c r="A471" s="2" t="s">
        <v>893</v>
      </c>
      <c r="B471" s="2" t="s">
        <v>29</v>
      </c>
      <c r="C471" s="2" t="s">
        <v>30</v>
      </c>
      <c r="D471" s="2" t="s">
        <v>13</v>
      </c>
      <c r="E471" s="2">
        <v>17</v>
      </c>
      <c r="F471" s="2">
        <v>9</v>
      </c>
      <c r="G471" s="2" t="s">
        <v>14</v>
      </c>
      <c r="H471" s="2" t="s">
        <v>46</v>
      </c>
      <c r="I471" s="2" t="s">
        <v>423</v>
      </c>
      <c r="J471" s="2">
        <v>46</v>
      </c>
      <c r="K471" s="2" t="str">
        <f t="shared" si="7"/>
        <v>1000</v>
      </c>
    </row>
    <row r="472" spans="1:11" x14ac:dyDescent="0.3">
      <c r="A472" s="2" t="s">
        <v>894</v>
      </c>
      <c r="B472" s="2" t="s">
        <v>23</v>
      </c>
      <c r="C472" s="2" t="s">
        <v>79</v>
      </c>
      <c r="D472" s="2" t="s">
        <v>31</v>
      </c>
      <c r="E472" s="2">
        <v>20</v>
      </c>
      <c r="F472" s="2">
        <v>9</v>
      </c>
      <c r="G472" s="2" t="s">
        <v>14</v>
      </c>
      <c r="H472" s="2" t="s">
        <v>26</v>
      </c>
      <c r="I472" s="2" t="s">
        <v>895</v>
      </c>
      <c r="J472" s="2">
        <v>36</v>
      </c>
      <c r="K472" s="2" t="str">
        <f t="shared" si="7"/>
        <v>1000</v>
      </c>
    </row>
    <row r="473" spans="1:11" x14ac:dyDescent="0.3">
      <c r="A473" s="2" t="s">
        <v>896</v>
      </c>
      <c r="B473" s="2" t="s">
        <v>11</v>
      </c>
      <c r="C473" s="2" t="s">
        <v>36</v>
      </c>
      <c r="D473" s="2" t="s">
        <v>13</v>
      </c>
      <c r="E473" s="2">
        <v>15</v>
      </c>
      <c r="F473" s="2">
        <v>11</v>
      </c>
      <c r="G473" s="2" t="s">
        <v>14</v>
      </c>
      <c r="H473" s="2" t="s">
        <v>26</v>
      </c>
      <c r="I473" s="2" t="s">
        <v>897</v>
      </c>
      <c r="J473" s="2">
        <v>95</v>
      </c>
      <c r="K473" s="2" t="str">
        <f t="shared" si="7"/>
        <v>1500</v>
      </c>
    </row>
    <row r="474" spans="1:11" x14ac:dyDescent="0.3">
      <c r="A474" s="2" t="s">
        <v>898</v>
      </c>
      <c r="B474" s="2" t="s">
        <v>18</v>
      </c>
      <c r="C474" s="2" t="s">
        <v>19</v>
      </c>
      <c r="D474" s="2" t="s">
        <v>13</v>
      </c>
      <c r="E474" s="2">
        <v>17</v>
      </c>
      <c r="F474" s="2">
        <v>10</v>
      </c>
      <c r="G474" s="2" t="s">
        <v>25</v>
      </c>
      <c r="H474" s="2" t="s">
        <v>61</v>
      </c>
      <c r="I474" s="2" t="s">
        <v>471</v>
      </c>
      <c r="J474" s="2">
        <v>58</v>
      </c>
      <c r="K474" s="2" t="str">
        <f t="shared" si="7"/>
        <v>1200</v>
      </c>
    </row>
    <row r="475" spans="1:11" x14ac:dyDescent="0.3">
      <c r="A475" s="2" t="s">
        <v>899</v>
      </c>
      <c r="B475" s="2" t="s">
        <v>11</v>
      </c>
      <c r="C475" s="2" t="s">
        <v>79</v>
      </c>
      <c r="D475" s="2" t="s">
        <v>13</v>
      </c>
      <c r="E475" s="2">
        <v>15</v>
      </c>
      <c r="F475" s="2">
        <v>10</v>
      </c>
      <c r="G475" s="2" t="s">
        <v>14</v>
      </c>
      <c r="H475" s="2" t="s">
        <v>37</v>
      </c>
      <c r="I475" s="2" t="s">
        <v>900</v>
      </c>
      <c r="J475" s="2">
        <v>88</v>
      </c>
      <c r="K475" s="2" t="str">
        <f t="shared" si="7"/>
        <v>1200</v>
      </c>
    </row>
    <row r="476" spans="1:11" x14ac:dyDescent="0.3">
      <c r="A476" s="2" t="s">
        <v>901</v>
      </c>
      <c r="B476" s="2" t="s">
        <v>68</v>
      </c>
      <c r="C476" s="2" t="s">
        <v>19</v>
      </c>
      <c r="D476" s="2" t="s">
        <v>31</v>
      </c>
      <c r="E476" s="2">
        <v>18</v>
      </c>
      <c r="F476" s="2">
        <v>11</v>
      </c>
      <c r="G476" s="2" t="s">
        <v>14</v>
      </c>
      <c r="H476" s="2" t="s">
        <v>40</v>
      </c>
      <c r="I476" s="2" t="s">
        <v>139</v>
      </c>
      <c r="J476" s="2">
        <v>75</v>
      </c>
      <c r="K476" s="2" t="str">
        <f t="shared" si="7"/>
        <v>1500</v>
      </c>
    </row>
    <row r="477" spans="1:11" x14ac:dyDescent="0.3">
      <c r="A477" s="2" t="s">
        <v>902</v>
      </c>
      <c r="B477" s="2" t="s">
        <v>35</v>
      </c>
      <c r="C477" s="2" t="s">
        <v>12</v>
      </c>
      <c r="D477" s="2" t="s">
        <v>31</v>
      </c>
      <c r="E477" s="2">
        <v>14</v>
      </c>
      <c r="F477" s="2">
        <v>11</v>
      </c>
      <c r="G477" s="2" t="s">
        <v>14</v>
      </c>
      <c r="H477" s="2" t="s">
        <v>37</v>
      </c>
      <c r="I477" s="2" t="s">
        <v>271</v>
      </c>
      <c r="J477" s="2">
        <v>59</v>
      </c>
      <c r="K477" s="2" t="str">
        <f t="shared" si="7"/>
        <v>1500</v>
      </c>
    </row>
    <row r="478" spans="1:11" x14ac:dyDescent="0.3">
      <c r="A478" s="2" t="s">
        <v>903</v>
      </c>
      <c r="B478" s="2" t="s">
        <v>54</v>
      </c>
      <c r="C478" s="2" t="s">
        <v>30</v>
      </c>
      <c r="D478" s="2" t="s">
        <v>31</v>
      </c>
      <c r="E478" s="2">
        <v>20</v>
      </c>
      <c r="F478" s="2">
        <v>12</v>
      </c>
      <c r="G478" s="2" t="s">
        <v>43</v>
      </c>
      <c r="H478" s="2" t="s">
        <v>40</v>
      </c>
      <c r="I478" s="2" t="s">
        <v>904</v>
      </c>
      <c r="J478" s="2">
        <v>55</v>
      </c>
      <c r="K478" s="2" t="str">
        <f t="shared" si="7"/>
        <v>1800</v>
      </c>
    </row>
    <row r="479" spans="1:11" x14ac:dyDescent="0.3">
      <c r="A479" s="2" t="s">
        <v>905</v>
      </c>
      <c r="B479" s="2" t="s">
        <v>54</v>
      </c>
      <c r="C479" s="2" t="s">
        <v>30</v>
      </c>
      <c r="D479" s="2" t="s">
        <v>13</v>
      </c>
      <c r="E479" s="2">
        <v>16</v>
      </c>
      <c r="F479" s="2">
        <v>12</v>
      </c>
      <c r="G479" s="2" t="s">
        <v>43</v>
      </c>
      <c r="H479" s="2" t="s">
        <v>40</v>
      </c>
      <c r="I479" s="2" t="s">
        <v>556</v>
      </c>
      <c r="J479" s="2">
        <v>81</v>
      </c>
      <c r="K479" s="2" t="str">
        <f t="shared" si="7"/>
        <v>1800</v>
      </c>
    </row>
    <row r="480" spans="1:11" x14ac:dyDescent="0.3">
      <c r="A480" s="2" t="s">
        <v>906</v>
      </c>
      <c r="B480" s="2" t="s">
        <v>73</v>
      </c>
      <c r="C480" s="2" t="s">
        <v>36</v>
      </c>
      <c r="D480" s="2" t="s">
        <v>13</v>
      </c>
      <c r="E480" s="2">
        <v>17</v>
      </c>
      <c r="F480" s="2">
        <v>12</v>
      </c>
      <c r="G480" s="2" t="s">
        <v>25</v>
      </c>
      <c r="H480" s="2" t="s">
        <v>76</v>
      </c>
      <c r="I480" s="2" t="s">
        <v>907</v>
      </c>
      <c r="J480" s="2">
        <v>75</v>
      </c>
      <c r="K480" s="2" t="str">
        <f t="shared" si="7"/>
        <v>1800</v>
      </c>
    </row>
    <row r="481" spans="1:11" x14ac:dyDescent="0.3">
      <c r="A481" s="2" t="s">
        <v>908</v>
      </c>
      <c r="B481" s="2" t="s">
        <v>11</v>
      </c>
      <c r="C481" s="2" t="s">
        <v>79</v>
      </c>
      <c r="D481" s="2" t="s">
        <v>31</v>
      </c>
      <c r="E481" s="2">
        <v>14</v>
      </c>
      <c r="F481" s="2">
        <v>10</v>
      </c>
      <c r="G481" s="2" t="s">
        <v>14</v>
      </c>
      <c r="H481" s="2" t="s">
        <v>46</v>
      </c>
      <c r="I481" s="2" t="s">
        <v>909</v>
      </c>
      <c r="J481" s="2">
        <v>55</v>
      </c>
      <c r="K481" s="2" t="str">
        <f t="shared" si="7"/>
        <v>1200</v>
      </c>
    </row>
    <row r="482" spans="1:11" x14ac:dyDescent="0.3">
      <c r="A482" s="2" t="s">
        <v>910</v>
      </c>
      <c r="B482" s="2" t="s">
        <v>84</v>
      </c>
      <c r="C482" s="2" t="s">
        <v>12</v>
      </c>
      <c r="D482" s="2" t="s">
        <v>31</v>
      </c>
      <c r="E482" s="2">
        <v>18</v>
      </c>
      <c r="F482" s="2">
        <v>11</v>
      </c>
      <c r="G482" s="2" t="s">
        <v>25</v>
      </c>
      <c r="H482" s="2" t="s">
        <v>15</v>
      </c>
      <c r="I482" s="2" t="s">
        <v>911</v>
      </c>
      <c r="J482" s="2">
        <v>87</v>
      </c>
      <c r="K482" s="2" t="str">
        <f t="shared" si="7"/>
        <v>1500</v>
      </c>
    </row>
    <row r="483" spans="1:11" x14ac:dyDescent="0.3">
      <c r="A483" s="2" t="s">
        <v>912</v>
      </c>
      <c r="B483" s="2" t="s">
        <v>23</v>
      </c>
      <c r="C483" s="2" t="s">
        <v>79</v>
      </c>
      <c r="D483" s="2" t="s">
        <v>31</v>
      </c>
      <c r="E483" s="2">
        <v>17</v>
      </c>
      <c r="F483" s="2">
        <v>12</v>
      </c>
      <c r="G483" s="2" t="s">
        <v>32</v>
      </c>
      <c r="H483" s="2" t="s">
        <v>46</v>
      </c>
      <c r="I483" s="2" t="s">
        <v>400</v>
      </c>
      <c r="J483" s="2">
        <v>70</v>
      </c>
      <c r="K483" s="2" t="str">
        <f t="shared" si="7"/>
        <v>1800</v>
      </c>
    </row>
    <row r="484" spans="1:11" x14ac:dyDescent="0.3">
      <c r="A484" s="2" t="s">
        <v>913</v>
      </c>
      <c r="B484" s="2" t="s">
        <v>68</v>
      </c>
      <c r="C484" s="2" t="s">
        <v>58</v>
      </c>
      <c r="D484" s="2" t="s">
        <v>13</v>
      </c>
      <c r="E484" s="2">
        <v>14</v>
      </c>
      <c r="F484" s="2">
        <v>10</v>
      </c>
      <c r="G484" s="2" t="s">
        <v>14</v>
      </c>
      <c r="H484" s="2" t="s">
        <v>15</v>
      </c>
      <c r="I484" s="2" t="s">
        <v>914</v>
      </c>
      <c r="J484" s="2">
        <v>69</v>
      </c>
      <c r="K484" s="2" t="str">
        <f t="shared" si="7"/>
        <v>1200</v>
      </c>
    </row>
    <row r="485" spans="1:11" x14ac:dyDescent="0.3">
      <c r="A485" s="2" t="s">
        <v>915</v>
      </c>
      <c r="B485" s="2" t="s">
        <v>23</v>
      </c>
      <c r="C485" s="2" t="s">
        <v>58</v>
      </c>
      <c r="D485" s="2" t="s">
        <v>31</v>
      </c>
      <c r="E485" s="2">
        <v>17</v>
      </c>
      <c r="F485" s="2">
        <v>9</v>
      </c>
      <c r="G485" s="2" t="s">
        <v>25</v>
      </c>
      <c r="H485" s="2" t="s">
        <v>46</v>
      </c>
      <c r="I485" s="2" t="s">
        <v>916</v>
      </c>
      <c r="J485" s="2">
        <v>85</v>
      </c>
      <c r="K485" s="2" t="str">
        <f t="shared" si="7"/>
        <v>1000</v>
      </c>
    </row>
    <row r="486" spans="1:11" x14ac:dyDescent="0.3">
      <c r="A486" s="2" t="s">
        <v>917</v>
      </c>
      <c r="B486" s="2" t="s">
        <v>11</v>
      </c>
      <c r="C486" s="2" t="s">
        <v>96</v>
      </c>
      <c r="D486" s="2" t="s">
        <v>31</v>
      </c>
      <c r="E486" s="2">
        <v>19</v>
      </c>
      <c r="F486" s="2">
        <v>11</v>
      </c>
      <c r="G486" s="2" t="s">
        <v>43</v>
      </c>
      <c r="H486" s="2" t="s">
        <v>26</v>
      </c>
      <c r="I486" s="2" t="s">
        <v>918</v>
      </c>
      <c r="J486" s="2">
        <v>87</v>
      </c>
      <c r="K486" s="2" t="str">
        <f t="shared" si="7"/>
        <v>1500</v>
      </c>
    </row>
    <row r="487" spans="1:11" x14ac:dyDescent="0.3">
      <c r="A487" s="2" t="s">
        <v>919</v>
      </c>
      <c r="B487" s="2" t="s">
        <v>23</v>
      </c>
      <c r="C487" s="2" t="s">
        <v>19</v>
      </c>
      <c r="D487" s="2" t="s">
        <v>13</v>
      </c>
      <c r="E487" s="2">
        <v>14</v>
      </c>
      <c r="F487" s="2">
        <v>12</v>
      </c>
      <c r="G487" s="2" t="s">
        <v>14</v>
      </c>
      <c r="H487" s="2" t="s">
        <v>15</v>
      </c>
      <c r="I487" s="2" t="s">
        <v>920</v>
      </c>
      <c r="J487" s="2">
        <v>92</v>
      </c>
      <c r="K487" s="2" t="str">
        <f t="shared" si="7"/>
        <v>1800</v>
      </c>
    </row>
    <row r="488" spans="1:11" x14ac:dyDescent="0.3">
      <c r="A488" s="2" t="s">
        <v>921</v>
      </c>
      <c r="B488" s="2" t="s">
        <v>18</v>
      </c>
      <c r="C488" s="2" t="s">
        <v>24</v>
      </c>
      <c r="D488" s="2" t="s">
        <v>13</v>
      </c>
      <c r="E488" s="2">
        <v>19</v>
      </c>
      <c r="F488" s="2">
        <v>10</v>
      </c>
      <c r="G488" s="2" t="s">
        <v>14</v>
      </c>
      <c r="H488" s="2" t="s">
        <v>20</v>
      </c>
      <c r="I488" s="2" t="s">
        <v>922</v>
      </c>
      <c r="J488" s="2">
        <v>58</v>
      </c>
      <c r="K488" s="2" t="str">
        <f t="shared" si="7"/>
        <v>1200</v>
      </c>
    </row>
    <row r="489" spans="1:11" x14ac:dyDescent="0.3">
      <c r="A489" s="2" t="s">
        <v>923</v>
      </c>
      <c r="B489" s="2" t="s">
        <v>68</v>
      </c>
      <c r="C489" s="2" t="s">
        <v>55</v>
      </c>
      <c r="D489" s="2" t="s">
        <v>31</v>
      </c>
      <c r="E489" s="2">
        <v>16</v>
      </c>
      <c r="F489" s="2">
        <v>12</v>
      </c>
      <c r="G489" s="2" t="s">
        <v>43</v>
      </c>
      <c r="H489" s="2" t="s">
        <v>37</v>
      </c>
      <c r="I489" s="2" t="s">
        <v>924</v>
      </c>
      <c r="J489" s="2">
        <v>77</v>
      </c>
      <c r="K489" s="2" t="str">
        <f t="shared" si="7"/>
        <v>1800</v>
      </c>
    </row>
    <row r="490" spans="1:11" x14ac:dyDescent="0.3">
      <c r="A490" s="2" t="s">
        <v>925</v>
      </c>
      <c r="B490" s="2" t="s">
        <v>68</v>
      </c>
      <c r="C490" s="2" t="s">
        <v>30</v>
      </c>
      <c r="D490" s="2" t="s">
        <v>31</v>
      </c>
      <c r="E490" s="2">
        <v>18</v>
      </c>
      <c r="F490" s="2">
        <v>9</v>
      </c>
      <c r="G490" s="2" t="s">
        <v>32</v>
      </c>
      <c r="H490" s="2" t="s">
        <v>20</v>
      </c>
      <c r="I490" s="2" t="s">
        <v>732</v>
      </c>
      <c r="J490" s="2">
        <v>86</v>
      </c>
      <c r="K490" s="2" t="str">
        <f t="shared" si="7"/>
        <v>1000</v>
      </c>
    </row>
    <row r="491" spans="1:11" x14ac:dyDescent="0.3">
      <c r="A491" s="2" t="s">
        <v>926</v>
      </c>
      <c r="B491" s="2" t="s">
        <v>73</v>
      </c>
      <c r="C491" s="2" t="s">
        <v>85</v>
      </c>
      <c r="D491" s="2" t="s">
        <v>13</v>
      </c>
      <c r="E491" s="2">
        <v>14</v>
      </c>
      <c r="F491" s="2">
        <v>9</v>
      </c>
      <c r="G491" s="2" t="s">
        <v>32</v>
      </c>
      <c r="H491" s="2" t="s">
        <v>20</v>
      </c>
      <c r="I491" s="2" t="s">
        <v>927</v>
      </c>
      <c r="J491" s="2">
        <v>94</v>
      </c>
      <c r="K491" s="2" t="str">
        <f t="shared" si="7"/>
        <v>1000</v>
      </c>
    </row>
    <row r="492" spans="1:11" x14ac:dyDescent="0.3">
      <c r="A492" s="2" t="s">
        <v>928</v>
      </c>
      <c r="B492" s="2" t="s">
        <v>23</v>
      </c>
      <c r="C492" s="2" t="s">
        <v>55</v>
      </c>
      <c r="D492" s="2" t="s">
        <v>13</v>
      </c>
      <c r="E492" s="2">
        <v>20</v>
      </c>
      <c r="F492" s="2">
        <v>11</v>
      </c>
      <c r="G492" s="2" t="s">
        <v>14</v>
      </c>
      <c r="H492" s="2" t="s">
        <v>15</v>
      </c>
      <c r="I492" s="2" t="s">
        <v>608</v>
      </c>
      <c r="J492" s="2">
        <v>49</v>
      </c>
      <c r="K492" s="2" t="str">
        <f t="shared" si="7"/>
        <v>1500</v>
      </c>
    </row>
    <row r="493" spans="1:11" x14ac:dyDescent="0.3">
      <c r="A493" s="2" t="s">
        <v>929</v>
      </c>
      <c r="B493" s="2" t="s">
        <v>35</v>
      </c>
      <c r="C493" s="2" t="s">
        <v>30</v>
      </c>
      <c r="D493" s="2" t="s">
        <v>13</v>
      </c>
      <c r="E493" s="2">
        <v>15</v>
      </c>
      <c r="F493" s="2">
        <v>12</v>
      </c>
      <c r="G493" s="2" t="s">
        <v>32</v>
      </c>
      <c r="H493" s="2" t="s">
        <v>26</v>
      </c>
      <c r="I493" s="2" t="s">
        <v>262</v>
      </c>
      <c r="J493" s="2">
        <v>55</v>
      </c>
      <c r="K493" s="2" t="str">
        <f t="shared" si="7"/>
        <v>1800</v>
      </c>
    </row>
    <row r="494" spans="1:11" x14ac:dyDescent="0.3">
      <c r="A494" s="2" t="s">
        <v>930</v>
      </c>
      <c r="B494" s="2" t="s">
        <v>35</v>
      </c>
      <c r="C494" s="2" t="s">
        <v>96</v>
      </c>
      <c r="D494" s="2" t="s">
        <v>31</v>
      </c>
      <c r="E494" s="2">
        <v>20</v>
      </c>
      <c r="F494" s="2">
        <v>9</v>
      </c>
      <c r="G494" s="2" t="s">
        <v>25</v>
      </c>
      <c r="H494" s="2" t="s">
        <v>61</v>
      </c>
      <c r="I494" s="2" t="s">
        <v>342</v>
      </c>
      <c r="J494" s="2">
        <v>62</v>
      </c>
      <c r="K494" s="2" t="str">
        <f t="shared" si="7"/>
        <v>1000</v>
      </c>
    </row>
    <row r="495" spans="1:11" x14ac:dyDescent="0.3">
      <c r="A495" s="2" t="s">
        <v>931</v>
      </c>
      <c r="B495" s="2" t="s">
        <v>23</v>
      </c>
      <c r="C495" s="2" t="s">
        <v>36</v>
      </c>
      <c r="D495" s="2" t="s">
        <v>13</v>
      </c>
      <c r="E495" s="2">
        <v>20</v>
      </c>
      <c r="F495" s="2">
        <v>9</v>
      </c>
      <c r="G495" s="2" t="s">
        <v>43</v>
      </c>
      <c r="H495" s="2" t="s">
        <v>40</v>
      </c>
      <c r="I495" s="2" t="s">
        <v>932</v>
      </c>
      <c r="J495" s="2">
        <v>85</v>
      </c>
      <c r="K495" s="2" t="str">
        <f t="shared" si="7"/>
        <v>1000</v>
      </c>
    </row>
    <row r="496" spans="1:11" x14ac:dyDescent="0.3">
      <c r="A496" s="2" t="s">
        <v>933</v>
      </c>
      <c r="B496" s="2" t="s">
        <v>51</v>
      </c>
      <c r="C496" s="2" t="s">
        <v>96</v>
      </c>
      <c r="D496" s="2" t="s">
        <v>13</v>
      </c>
      <c r="E496" s="2">
        <v>20</v>
      </c>
      <c r="F496" s="2">
        <v>11</v>
      </c>
      <c r="G496" s="2" t="s">
        <v>25</v>
      </c>
      <c r="H496" s="2" t="s">
        <v>15</v>
      </c>
      <c r="I496" s="2" t="s">
        <v>494</v>
      </c>
      <c r="J496" s="2">
        <v>42</v>
      </c>
      <c r="K496" s="2" t="str">
        <f t="shared" si="7"/>
        <v>1500</v>
      </c>
    </row>
    <row r="497" spans="1:11" x14ac:dyDescent="0.3">
      <c r="A497" s="2" t="s">
        <v>934</v>
      </c>
      <c r="B497" s="2" t="s">
        <v>51</v>
      </c>
      <c r="C497" s="2" t="s">
        <v>58</v>
      </c>
      <c r="D497" s="2" t="s">
        <v>31</v>
      </c>
      <c r="E497" s="2">
        <v>18</v>
      </c>
      <c r="F497" s="2">
        <v>11</v>
      </c>
      <c r="G497" s="2" t="s">
        <v>14</v>
      </c>
      <c r="H497" s="2" t="s">
        <v>37</v>
      </c>
      <c r="I497" s="2" t="s">
        <v>806</v>
      </c>
      <c r="J497" s="2">
        <v>88</v>
      </c>
      <c r="K497" s="2" t="str">
        <f t="shared" si="7"/>
        <v>1500</v>
      </c>
    </row>
    <row r="498" spans="1:11" x14ac:dyDescent="0.3">
      <c r="A498" s="2" t="s">
        <v>935</v>
      </c>
      <c r="B498" s="2" t="s">
        <v>18</v>
      </c>
      <c r="C498" s="2" t="s">
        <v>12</v>
      </c>
      <c r="D498" s="2" t="s">
        <v>13</v>
      </c>
      <c r="E498" s="2">
        <v>20</v>
      </c>
      <c r="F498" s="2">
        <v>11</v>
      </c>
      <c r="G498" s="2" t="s">
        <v>43</v>
      </c>
      <c r="H498" s="2" t="s">
        <v>46</v>
      </c>
      <c r="I498" s="2" t="s">
        <v>936</v>
      </c>
      <c r="J498" s="2">
        <v>94</v>
      </c>
      <c r="K498" s="2" t="str">
        <f t="shared" si="7"/>
        <v>1500</v>
      </c>
    </row>
    <row r="499" spans="1:11" x14ac:dyDescent="0.3">
      <c r="A499" s="2" t="s">
        <v>937</v>
      </c>
      <c r="B499" s="2" t="s">
        <v>73</v>
      </c>
      <c r="C499" s="2" t="s">
        <v>85</v>
      </c>
      <c r="D499" s="2" t="s">
        <v>31</v>
      </c>
      <c r="E499" s="2">
        <v>16</v>
      </c>
      <c r="F499" s="2">
        <v>10</v>
      </c>
      <c r="G499" s="2" t="s">
        <v>25</v>
      </c>
      <c r="H499" s="2" t="s">
        <v>76</v>
      </c>
      <c r="I499" s="2" t="s">
        <v>305</v>
      </c>
      <c r="J499" s="2">
        <v>90</v>
      </c>
      <c r="K499" s="2" t="str">
        <f t="shared" si="7"/>
        <v>1200</v>
      </c>
    </row>
    <row r="500" spans="1:11" x14ac:dyDescent="0.3">
      <c r="A500" s="2" t="s">
        <v>938</v>
      </c>
      <c r="B500" s="2" t="s">
        <v>18</v>
      </c>
      <c r="C500" s="2" t="s">
        <v>58</v>
      </c>
      <c r="D500" s="2" t="s">
        <v>13</v>
      </c>
      <c r="E500" s="2">
        <v>16</v>
      </c>
      <c r="F500" s="2">
        <v>12</v>
      </c>
      <c r="G500" s="2" t="s">
        <v>25</v>
      </c>
      <c r="H500" s="2" t="s">
        <v>26</v>
      </c>
      <c r="I500" s="2" t="s">
        <v>939</v>
      </c>
      <c r="J500" s="2">
        <v>41</v>
      </c>
      <c r="K500" s="2" t="str">
        <f t="shared" si="7"/>
        <v>1800</v>
      </c>
    </row>
    <row r="501" spans="1:11" x14ac:dyDescent="0.3">
      <c r="A501" s="2" t="s">
        <v>940</v>
      </c>
      <c r="B501" s="2" t="s">
        <v>51</v>
      </c>
      <c r="C501" s="2" t="s">
        <v>96</v>
      </c>
      <c r="D501" s="2" t="s">
        <v>31</v>
      </c>
      <c r="E501" s="2">
        <v>18</v>
      </c>
      <c r="F501" s="2">
        <v>9</v>
      </c>
      <c r="G501" s="2" t="s">
        <v>43</v>
      </c>
      <c r="H501" s="2" t="s">
        <v>76</v>
      </c>
      <c r="I501" s="2" t="s">
        <v>506</v>
      </c>
      <c r="J501" s="2">
        <v>36</v>
      </c>
      <c r="K501" s="2" t="str">
        <f t="shared" si="7"/>
        <v>1000</v>
      </c>
    </row>
  </sheetData>
  <mergeCells count="6">
    <mergeCell ref="N9:P9"/>
    <mergeCell ref="M2:P2"/>
    <mergeCell ref="M5:P5"/>
    <mergeCell ref="M8:P8"/>
    <mergeCell ref="N3:P3"/>
    <mergeCell ref="N6:P6"/>
  </mergeCells>
  <dataValidations count="1">
    <dataValidation type="list" allowBlank="1" showInputMessage="1" showErrorMessage="1" sqref="M3 M6 M9" xr:uid="{F57225AA-32E9-41D9-92B0-128ABFD97EB5}">
      <formula1>$R$3:$R$6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5F6F-DBA6-4A5D-B3A1-E31A6DC834D2}">
  <dimension ref="B2:J19"/>
  <sheetViews>
    <sheetView workbookViewId="0">
      <selection activeCell="J21" sqref="J21"/>
    </sheetView>
  </sheetViews>
  <sheetFormatPr defaultRowHeight="14.4" x14ac:dyDescent="0.3"/>
  <cols>
    <col min="2" max="2" width="18.44140625" bestFit="1" customWidth="1"/>
    <col min="4" max="4" width="15.88671875" bestFit="1" customWidth="1"/>
    <col min="6" max="6" width="18.44140625" bestFit="1" customWidth="1"/>
    <col min="7" max="8" width="12.5546875" bestFit="1" customWidth="1"/>
    <col min="9" max="9" width="15.88671875" bestFit="1" customWidth="1"/>
    <col min="10" max="10" width="12.5546875" bestFit="1" customWidth="1"/>
    <col min="11" max="12" width="18.44140625" bestFit="1" customWidth="1"/>
  </cols>
  <sheetData>
    <row r="2" spans="2:10" ht="18" x14ac:dyDescent="0.35">
      <c r="B2" s="16" t="s">
        <v>1003</v>
      </c>
      <c r="E2" s="31" t="s">
        <v>1008</v>
      </c>
      <c r="F2" s="31"/>
      <c r="I2" s="31" t="s">
        <v>1010</v>
      </c>
      <c r="J2" s="31"/>
    </row>
    <row r="3" spans="2:10" x14ac:dyDescent="0.3">
      <c r="B3" t="s">
        <v>961</v>
      </c>
      <c r="E3" s="12" t="s">
        <v>3</v>
      </c>
      <c r="F3" t="s">
        <v>961</v>
      </c>
      <c r="I3" s="12" t="s">
        <v>5</v>
      </c>
      <c r="J3" t="s">
        <v>960</v>
      </c>
    </row>
    <row r="4" spans="2:10" x14ac:dyDescent="0.3">
      <c r="B4" s="34">
        <v>500</v>
      </c>
      <c r="E4" s="13" t="s">
        <v>31</v>
      </c>
      <c r="F4" s="34">
        <v>271</v>
      </c>
      <c r="I4" s="13">
        <v>9</v>
      </c>
      <c r="J4" s="24">
        <v>65.442857142857136</v>
      </c>
    </row>
    <row r="5" spans="2:10" x14ac:dyDescent="0.3">
      <c r="E5" s="13" t="s">
        <v>13</v>
      </c>
      <c r="F5" s="34">
        <v>229</v>
      </c>
      <c r="I5" s="13">
        <v>10</v>
      </c>
      <c r="J5" s="24">
        <v>66.295652173913041</v>
      </c>
    </row>
    <row r="6" spans="2:10" x14ac:dyDescent="0.3">
      <c r="E6" s="13" t="s">
        <v>959</v>
      </c>
      <c r="F6" s="34">
        <v>500</v>
      </c>
      <c r="I6" s="13">
        <v>11</v>
      </c>
      <c r="J6" s="24">
        <v>68.593220338983045</v>
      </c>
    </row>
    <row r="7" spans="2:10" ht="18" x14ac:dyDescent="0.35">
      <c r="B7" s="16" t="s">
        <v>1004</v>
      </c>
      <c r="I7" s="13">
        <v>12</v>
      </c>
      <c r="J7" s="24">
        <v>65.937007874015748</v>
      </c>
    </row>
    <row r="8" spans="2:10" x14ac:dyDescent="0.3">
      <c r="B8" t="s">
        <v>960</v>
      </c>
      <c r="I8" s="13" t="s">
        <v>959</v>
      </c>
      <c r="J8" s="34">
        <v>66.507999999999996</v>
      </c>
    </row>
    <row r="9" spans="2:10" ht="18" x14ac:dyDescent="0.35">
      <c r="B9" s="24">
        <v>66.507999999999996</v>
      </c>
      <c r="E9" s="31" t="s">
        <v>1009</v>
      </c>
      <c r="F9" s="31"/>
    </row>
    <row r="10" spans="2:10" x14ac:dyDescent="0.3">
      <c r="E10" s="12" t="s">
        <v>7</v>
      </c>
      <c r="F10" t="s">
        <v>961</v>
      </c>
    </row>
    <row r="11" spans="2:10" x14ac:dyDescent="0.3">
      <c r="E11" s="13" t="s">
        <v>37</v>
      </c>
      <c r="F11" s="34">
        <v>58</v>
      </c>
    </row>
    <row r="12" spans="2:10" ht="18" x14ac:dyDescent="0.35">
      <c r="B12" s="16" t="s">
        <v>1005</v>
      </c>
      <c r="E12" s="13" t="s">
        <v>76</v>
      </c>
      <c r="F12" s="34">
        <v>66</v>
      </c>
    </row>
    <row r="13" spans="2:10" x14ac:dyDescent="0.3">
      <c r="B13" t="s">
        <v>991</v>
      </c>
      <c r="E13" s="13" t="s">
        <v>61</v>
      </c>
      <c r="F13" s="34">
        <v>76</v>
      </c>
    </row>
    <row r="14" spans="2:10" x14ac:dyDescent="0.3">
      <c r="B14" s="34">
        <v>100</v>
      </c>
      <c r="E14" s="13" t="s">
        <v>40</v>
      </c>
      <c r="F14" s="34">
        <v>64</v>
      </c>
    </row>
    <row r="15" spans="2:10" x14ac:dyDescent="0.3">
      <c r="E15" s="13" t="s">
        <v>20</v>
      </c>
      <c r="F15" s="34">
        <v>62</v>
      </c>
    </row>
    <row r="16" spans="2:10" x14ac:dyDescent="0.3">
      <c r="E16" s="13" t="s">
        <v>26</v>
      </c>
      <c r="F16" s="34">
        <v>57</v>
      </c>
    </row>
    <row r="17" spans="2:6" ht="18" x14ac:dyDescent="0.35">
      <c r="B17" s="16" t="s">
        <v>1007</v>
      </c>
      <c r="E17" s="13" t="s">
        <v>46</v>
      </c>
      <c r="F17" s="34">
        <v>69</v>
      </c>
    </row>
    <row r="18" spans="2:6" x14ac:dyDescent="0.3">
      <c r="B18" t="s">
        <v>1006</v>
      </c>
      <c r="E18" s="13" t="s">
        <v>15</v>
      </c>
      <c r="F18" s="34">
        <v>48</v>
      </c>
    </row>
    <row r="19" spans="2:6" x14ac:dyDescent="0.3">
      <c r="B19" s="34">
        <v>35</v>
      </c>
      <c r="E19" s="13" t="s">
        <v>959</v>
      </c>
      <c r="F19" s="34">
        <v>500</v>
      </c>
    </row>
  </sheetData>
  <mergeCells count="3">
    <mergeCell ref="I2:J2"/>
    <mergeCell ref="E2:F2"/>
    <mergeCell ref="E9:F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875C-BD53-4768-9A9B-C11CB9E188A0}">
  <dimension ref="B2:Q28"/>
  <sheetViews>
    <sheetView workbookViewId="0">
      <selection activeCell="T10" sqref="T10"/>
    </sheetView>
  </sheetViews>
  <sheetFormatPr defaultRowHeight="14.4" x14ac:dyDescent="0.3"/>
  <cols>
    <col min="1" max="16384" width="8.88671875" style="35"/>
  </cols>
  <sheetData>
    <row r="2" spans="2:17" x14ac:dyDescent="0.3">
      <c r="B2" s="36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8"/>
    </row>
    <row r="3" spans="2:17" ht="18" x14ac:dyDescent="0.35">
      <c r="B3" s="39"/>
      <c r="C3" s="40" t="s">
        <v>1012</v>
      </c>
      <c r="D3" s="41"/>
      <c r="E3" s="41"/>
      <c r="F3" s="41"/>
      <c r="G3" s="42"/>
      <c r="H3" s="43"/>
      <c r="I3" s="44" t="s">
        <v>1011</v>
      </c>
      <c r="J3" s="45"/>
      <c r="K3" s="44" t="s">
        <v>1004</v>
      </c>
      <c r="L3" s="45"/>
      <c r="M3" s="44" t="s">
        <v>1005</v>
      </c>
      <c r="N3" s="45"/>
      <c r="O3" s="44" t="s">
        <v>1007</v>
      </c>
      <c r="P3" s="45"/>
      <c r="Q3" s="46"/>
    </row>
    <row r="4" spans="2:17" ht="18" x14ac:dyDescent="0.35">
      <c r="B4" s="39"/>
      <c r="C4" s="47"/>
      <c r="D4" s="48"/>
      <c r="E4" s="48"/>
      <c r="F4" s="48"/>
      <c r="G4" s="49"/>
      <c r="H4" s="43"/>
      <c r="I4" s="53">
        <f>GETPIVOTDATA("Student_ID",'28 Pivot'!$B$3)</f>
        <v>500</v>
      </c>
      <c r="J4" s="54"/>
      <c r="K4" s="55">
        <f>GETPIVOTDATA("Marks",'28 Pivot'!$B$8)</f>
        <v>66.507999999999996</v>
      </c>
      <c r="L4" s="56"/>
      <c r="M4" s="53">
        <f>GETPIVOTDATA("Marks",'28 Pivot'!$B$13)</f>
        <v>100</v>
      </c>
      <c r="N4" s="54"/>
      <c r="O4" s="53">
        <f>GETPIVOTDATA("Marks",'28 Pivot'!$B$18)</f>
        <v>35</v>
      </c>
      <c r="P4" s="54"/>
      <c r="Q4" s="46"/>
    </row>
    <row r="5" spans="2:17" x14ac:dyDescent="0.3">
      <c r="B5" s="39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6"/>
    </row>
    <row r="6" spans="2:17" x14ac:dyDescent="0.3">
      <c r="B6" s="39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6"/>
    </row>
    <row r="7" spans="2:17" x14ac:dyDescent="0.3">
      <c r="B7" s="39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6"/>
    </row>
    <row r="8" spans="2:17" x14ac:dyDescent="0.3">
      <c r="B8" s="39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6"/>
    </row>
    <row r="9" spans="2:17" x14ac:dyDescent="0.3">
      <c r="B9" s="39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6"/>
    </row>
    <row r="10" spans="2:17" x14ac:dyDescent="0.3">
      <c r="B10" s="39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6"/>
    </row>
    <row r="11" spans="2:17" x14ac:dyDescent="0.3">
      <c r="B11" s="39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6"/>
    </row>
    <row r="12" spans="2:17" x14ac:dyDescent="0.3">
      <c r="B12" s="39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6"/>
    </row>
    <row r="13" spans="2:17" x14ac:dyDescent="0.3">
      <c r="B13" s="39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6"/>
    </row>
    <row r="14" spans="2:17" x14ac:dyDescent="0.3">
      <c r="B14" s="39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6"/>
    </row>
    <row r="15" spans="2:17" x14ac:dyDescent="0.3">
      <c r="B15" s="39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6"/>
    </row>
    <row r="16" spans="2:17" x14ac:dyDescent="0.3">
      <c r="B16" s="39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6"/>
    </row>
    <row r="17" spans="2:17" x14ac:dyDescent="0.3">
      <c r="B17" s="39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6"/>
    </row>
    <row r="18" spans="2:17" x14ac:dyDescent="0.3">
      <c r="B18" s="39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6"/>
    </row>
    <row r="19" spans="2:17" x14ac:dyDescent="0.3">
      <c r="B19" s="39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6"/>
    </row>
    <row r="20" spans="2:17" x14ac:dyDescent="0.3">
      <c r="B20" s="39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6"/>
    </row>
    <row r="21" spans="2:17" x14ac:dyDescent="0.3">
      <c r="B21" s="39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6"/>
    </row>
    <row r="22" spans="2:17" x14ac:dyDescent="0.3">
      <c r="B22" s="39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6"/>
    </row>
    <row r="23" spans="2:17" x14ac:dyDescent="0.3">
      <c r="B23" s="39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6"/>
    </row>
    <row r="24" spans="2:17" x14ac:dyDescent="0.3">
      <c r="B24" s="39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6"/>
    </row>
    <row r="25" spans="2:17" x14ac:dyDescent="0.3">
      <c r="B25" s="39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6"/>
    </row>
    <row r="26" spans="2:17" x14ac:dyDescent="0.3">
      <c r="B26" s="39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6"/>
    </row>
    <row r="27" spans="2:17" x14ac:dyDescent="0.3">
      <c r="B27" s="39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6"/>
    </row>
    <row r="28" spans="2:17" x14ac:dyDescent="0.3">
      <c r="B28" s="50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2"/>
    </row>
  </sheetData>
  <mergeCells count="9">
    <mergeCell ref="C3:G4"/>
    <mergeCell ref="O3:P3"/>
    <mergeCell ref="O4:P4"/>
    <mergeCell ref="M3:N3"/>
    <mergeCell ref="M4:N4"/>
    <mergeCell ref="K3:L3"/>
    <mergeCell ref="K4:L4"/>
    <mergeCell ref="I3:J3"/>
    <mergeCell ref="I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5</vt:i4>
      </vt:variant>
    </vt:vector>
  </HeadingPairs>
  <TitlesOfParts>
    <vt:vector size="24" baseType="lpstr">
      <vt:lpstr>Main data</vt:lpstr>
      <vt:lpstr>1-6</vt:lpstr>
      <vt:lpstr>7</vt:lpstr>
      <vt:lpstr>8</vt:lpstr>
      <vt:lpstr>9</vt:lpstr>
      <vt:lpstr>10</vt:lpstr>
      <vt:lpstr>11</vt:lpstr>
      <vt:lpstr>12 13</vt:lpstr>
      <vt:lpstr>14</vt:lpstr>
      <vt:lpstr>15</vt:lpstr>
      <vt:lpstr>16</vt:lpstr>
      <vt:lpstr>17</vt:lpstr>
      <vt:lpstr>18</vt:lpstr>
      <vt:lpstr>19-26</vt:lpstr>
      <vt:lpstr>27</vt:lpstr>
      <vt:lpstr>29-33</vt:lpstr>
      <vt:lpstr>34</vt:lpstr>
      <vt:lpstr>28 Pivot</vt:lpstr>
      <vt:lpstr>28 Dashboard</vt:lpstr>
      <vt:lpstr>'10'!Criteria</vt:lpstr>
      <vt:lpstr>'11'!Criteria</vt:lpstr>
      <vt:lpstr>'29-33'!Criteria</vt:lpstr>
      <vt:lpstr>'9'!Criteria</vt:lpstr>
      <vt:lpstr>'29-33'!Extract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SAMIRAN PARUA</dc:creator>
  <cp:lastModifiedBy>SAMIRAN PARUA</cp:lastModifiedBy>
  <dcterms:created xsi:type="dcterms:W3CDTF">2026-06-02T05:07:46Z</dcterms:created>
  <dcterms:modified xsi:type="dcterms:W3CDTF">2026-06-09T04:18:53Z</dcterms:modified>
</cp:coreProperties>
</file>