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ir\OneDrive\Desktop\Anudip\Excel Labs\"/>
    </mc:Choice>
  </mc:AlternateContent>
  <xr:revisionPtr revIDLastSave="0" documentId="13_ncr:1_{F79F9999-803E-49CC-BE58-12CB3CBDE0B4}" xr6:coauthVersionLast="47" xr6:coauthVersionMax="47" xr10:uidLastSave="{00000000-0000-0000-0000-000000000000}"/>
  <bookViews>
    <workbookView xWindow="-108" yWindow="-108" windowWidth="23256" windowHeight="12456" activeTab="1" xr2:uid="{918A4651-80E9-4585-AB7A-07F51E71B776}"/>
  </bookViews>
  <sheets>
    <sheet name="Products" sheetId="2" r:id="rId1"/>
    <sheet name="Orders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0" i="1" l="1"/>
  <c r="E51" i="1"/>
  <c r="E52" i="1"/>
  <c r="E53" i="1"/>
  <c r="E54" i="1"/>
  <c r="E55" i="1"/>
  <c r="E49" i="1"/>
  <c r="E23" i="1"/>
  <c r="D64" i="1"/>
  <c r="E64" i="1" s="1"/>
  <c r="D63" i="1"/>
  <c r="E63" i="1" s="1"/>
  <c r="D62" i="1"/>
  <c r="E62" i="1" s="1"/>
  <c r="D61" i="1"/>
  <c r="E61" i="1" s="1"/>
  <c r="D60" i="1"/>
  <c r="E60" i="1" s="1"/>
  <c r="D59" i="1"/>
  <c r="E59" i="1" s="1"/>
  <c r="D45" i="1"/>
  <c r="E45" i="1" s="1"/>
  <c r="F45" i="1" s="1"/>
  <c r="D44" i="1"/>
  <c r="E44" i="1" s="1"/>
  <c r="F44" i="1" s="1"/>
  <c r="D43" i="1"/>
  <c r="E43" i="1" s="1"/>
  <c r="F43" i="1" s="1"/>
  <c r="D42" i="1"/>
  <c r="E42" i="1" s="1"/>
  <c r="F42" i="1" s="1"/>
  <c r="D41" i="1"/>
  <c r="E41" i="1" s="1"/>
  <c r="F41" i="1" s="1"/>
  <c r="D40" i="1"/>
  <c r="E40" i="1" s="1"/>
  <c r="F40" i="1" s="1"/>
  <c r="D36" i="1"/>
  <c r="E36" i="1" s="1"/>
  <c r="D35" i="1"/>
  <c r="E35" i="1" s="1"/>
  <c r="F35" i="1" s="1"/>
  <c r="D34" i="1"/>
  <c r="E34" i="1" s="1"/>
  <c r="G34" i="1" s="1"/>
  <c r="D33" i="1"/>
  <c r="E33" i="1" s="1"/>
  <c r="G33" i="1" s="1"/>
  <c r="D32" i="1"/>
  <c r="E32" i="1" s="1"/>
  <c r="D31" i="1"/>
  <c r="E31" i="1" s="1"/>
  <c r="E22" i="1"/>
  <c r="E24" i="1"/>
  <c r="E25" i="1"/>
  <c r="E26" i="1"/>
  <c r="E27" i="1"/>
  <c r="E21" i="1"/>
  <c r="D17" i="1"/>
  <c r="E17" i="1" s="1"/>
  <c r="F17" i="1" s="1"/>
  <c r="D16" i="1"/>
  <c r="E16" i="1" s="1"/>
  <c r="F16" i="1" s="1"/>
  <c r="D15" i="1"/>
  <c r="E15" i="1" s="1"/>
  <c r="F15" i="1" s="1"/>
  <c r="D14" i="1"/>
  <c r="E14" i="1" s="1"/>
  <c r="F14" i="1" s="1"/>
  <c r="D13" i="1"/>
  <c r="E13" i="1" s="1"/>
  <c r="F13" i="1" s="1"/>
  <c r="D12" i="1"/>
  <c r="E12" i="1" s="1"/>
  <c r="F12" i="1" s="1"/>
  <c r="D4" i="1"/>
  <c r="D5" i="1"/>
  <c r="D6" i="1"/>
  <c r="D7" i="1"/>
  <c r="D8" i="1"/>
  <c r="D3" i="1"/>
  <c r="G42" i="1" l="1"/>
  <c r="H59" i="1"/>
  <c r="G41" i="1"/>
  <c r="G44" i="1"/>
  <c r="G45" i="1"/>
  <c r="G40" i="1"/>
  <c r="G43" i="1"/>
  <c r="G31" i="1"/>
  <c r="F31" i="1"/>
  <c r="F36" i="1"/>
  <c r="G36" i="1"/>
  <c r="G32" i="1"/>
  <c r="F32" i="1"/>
  <c r="F34" i="1"/>
  <c r="F33" i="1"/>
  <c r="G35" i="1"/>
</calcChain>
</file>

<file path=xl/sharedStrings.xml><?xml version="1.0" encoding="utf-8"?>
<sst xmlns="http://schemas.openxmlformats.org/spreadsheetml/2006/main" count="70" uniqueCount="25">
  <si>
    <t>ProductID</t>
  </si>
  <si>
    <t>Product</t>
  </si>
  <si>
    <t>Price</t>
  </si>
  <si>
    <t>Product A</t>
  </si>
  <si>
    <t>Product B</t>
  </si>
  <si>
    <t>Product C</t>
  </si>
  <si>
    <t>Product D</t>
  </si>
  <si>
    <t>Product E</t>
  </si>
  <si>
    <t>Product F</t>
  </si>
  <si>
    <t>OrderID</t>
  </si>
  <si>
    <t>Quantity</t>
  </si>
  <si>
    <t>Use VLOOKUP to find the product names for each ProductID in the Orders worksheet.</t>
  </si>
  <si>
    <t>Use VLOOKUP to find the price for each ProductID in the Orders worksheet, then calculate the TotalPrice by multiplying the Quantity by the Product Price.</t>
  </si>
  <si>
    <t>Use VLOOKUP to check if there are any ProductIDs in the Orders worksheet that do not exist in the Products worksheet.</t>
  </si>
  <si>
    <t>Assume a discount of 10% is given on all products. Use VLOOKUP to find the original price and then calculate the discounted price.</t>
  </si>
  <si>
    <t>Use VLOOKUP to find the price for each ProductID and then calculate the order value. Find the maximum order value from the list.</t>
  </si>
  <si>
    <t>Use VLOOKUP to find out which products from the Products worksheet have not been ordered.</t>
  </si>
  <si>
    <t>Use VLOOKUP to find the Product name and summarize the total quantity sold for each product.</t>
  </si>
  <si>
    <t>Product Name</t>
  </si>
  <si>
    <t>Total Price</t>
  </si>
  <si>
    <t>Product CR</t>
  </si>
  <si>
    <t>Existance</t>
  </si>
  <si>
    <t>Discounted Price</t>
  </si>
  <si>
    <t>Order Value</t>
  </si>
  <si>
    <t>Order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</si>
</sst>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3" borderId="1" xfId="0" applyFill="1" applyBorder="1"/>
    <xf numFmtId="0" fontId="1" fillId="2" borderId="0" xfId="0" applyFont="1" applyFill="1"/>
    <xf numFmtId="0" fontId="0" fillId="0" borderId="0" xfId="0" applyBorder="1"/>
    <xf numFmtId="0" fontId="1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0DF1F-6B81-4669-8D20-D4CFE8D5B3C8}">
  <dimension ref="A1:C7"/>
  <sheetViews>
    <sheetView workbookViewId="0">
      <selection activeCell="E8" sqref="E8:T8"/>
    </sheetView>
  </sheetViews>
  <sheetFormatPr defaultRowHeight="14.4" x14ac:dyDescent="0.3"/>
  <cols>
    <col min="1" max="1" width="9.44140625" style="4" bestFit="1" customWidth="1"/>
    <col min="2" max="2" width="9" style="4" bestFit="1" customWidth="1"/>
    <col min="3" max="3" width="5.109375" style="4" bestFit="1" customWidth="1"/>
    <col min="4" max="16384" width="8.88671875" style="4"/>
  </cols>
  <sheetData>
    <row r="1" spans="1:3" x14ac:dyDescent="0.3">
      <c r="A1" s="3" t="s">
        <v>0</v>
      </c>
      <c r="B1" s="3" t="s">
        <v>1</v>
      </c>
      <c r="C1" s="3" t="s">
        <v>2</v>
      </c>
    </row>
    <row r="2" spans="1:3" x14ac:dyDescent="0.3">
      <c r="A2" s="5">
        <v>101</v>
      </c>
      <c r="B2" s="5" t="s">
        <v>3</v>
      </c>
      <c r="C2" s="5">
        <v>120</v>
      </c>
    </row>
    <row r="3" spans="1:3" x14ac:dyDescent="0.3">
      <c r="A3" s="5">
        <v>102</v>
      </c>
      <c r="B3" s="5" t="s">
        <v>4</v>
      </c>
      <c r="C3" s="5">
        <v>150</v>
      </c>
    </row>
    <row r="4" spans="1:3" x14ac:dyDescent="0.3">
      <c r="A4" s="5">
        <v>103</v>
      </c>
      <c r="B4" s="5" t="s">
        <v>5</v>
      </c>
      <c r="C4" s="5">
        <v>200</v>
      </c>
    </row>
    <row r="5" spans="1:3" x14ac:dyDescent="0.3">
      <c r="A5" s="5">
        <v>104</v>
      </c>
      <c r="B5" s="5" t="s">
        <v>6</v>
      </c>
      <c r="C5" s="5">
        <v>90</v>
      </c>
    </row>
    <row r="6" spans="1:3" x14ac:dyDescent="0.3">
      <c r="A6" s="5">
        <v>105</v>
      </c>
      <c r="B6" s="5" t="s">
        <v>7</v>
      </c>
      <c r="C6" s="5">
        <v>220</v>
      </c>
    </row>
    <row r="7" spans="1:3" x14ac:dyDescent="0.3">
      <c r="A7" s="5">
        <v>106</v>
      </c>
      <c r="B7" s="5" t="s">
        <v>8</v>
      </c>
      <c r="C7" s="5">
        <v>130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A8EC5-E929-4EE4-AB77-F1253A13AC63}">
  <dimension ref="A1:P65"/>
  <sheetViews>
    <sheetView tabSelected="1" topLeftCell="A40" workbookViewId="0">
      <selection activeCell="G62" sqref="G62"/>
    </sheetView>
  </sheetViews>
  <sheetFormatPr defaultRowHeight="14.4" x14ac:dyDescent="0.3"/>
  <cols>
    <col min="1" max="1" width="7.5546875" bestFit="1" customWidth="1"/>
    <col min="2" max="2" width="9.44140625" bestFit="1" customWidth="1"/>
    <col min="3" max="3" width="8.33203125" bestFit="1" customWidth="1"/>
    <col min="4" max="4" width="13.21875" bestFit="1" customWidth="1"/>
    <col min="5" max="5" width="11.44140625" bestFit="1" customWidth="1"/>
    <col min="6" max="6" width="11" bestFit="1" customWidth="1"/>
    <col min="7" max="7" width="15.109375" bestFit="1" customWidth="1"/>
    <col min="8" max="8" width="3" bestFit="1" customWidth="1"/>
  </cols>
  <sheetData>
    <row r="1" spans="1:16" x14ac:dyDescent="0.3">
      <c r="A1" s="6">
        <v>1</v>
      </c>
      <c r="B1" s="8" t="s">
        <v>11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6" x14ac:dyDescent="0.3">
      <c r="A2" s="2" t="s">
        <v>9</v>
      </c>
      <c r="B2" s="2" t="s">
        <v>0</v>
      </c>
      <c r="C2" s="2" t="s">
        <v>10</v>
      </c>
      <c r="D2" s="2" t="s">
        <v>18</v>
      </c>
    </row>
    <row r="3" spans="1:16" x14ac:dyDescent="0.3">
      <c r="A3" s="1">
        <v>1</v>
      </c>
      <c r="B3" s="1">
        <v>101</v>
      </c>
      <c r="C3" s="1">
        <v>2</v>
      </c>
      <c r="D3" s="7" t="str">
        <f>VLOOKUP(B3,Products!$A$1:$C$7,2,0)</f>
        <v>Product A</v>
      </c>
    </row>
    <row r="4" spans="1:16" x14ac:dyDescent="0.3">
      <c r="A4" s="1">
        <v>2</v>
      </c>
      <c r="B4" s="1">
        <v>103</v>
      </c>
      <c r="C4" s="1">
        <v>1</v>
      </c>
      <c r="D4" s="7" t="str">
        <f>VLOOKUP(B4,Products!$A$1:$C$7,2,0)</f>
        <v>Product C</v>
      </c>
    </row>
    <row r="5" spans="1:16" x14ac:dyDescent="0.3">
      <c r="A5" s="1">
        <v>3</v>
      </c>
      <c r="B5" s="1">
        <v>105</v>
      </c>
      <c r="C5" s="1">
        <v>4</v>
      </c>
      <c r="D5" s="7" t="str">
        <f>VLOOKUP(B5,Products!$A$1:$C$7,2,0)</f>
        <v>Product E</v>
      </c>
    </row>
    <row r="6" spans="1:16" x14ac:dyDescent="0.3">
      <c r="A6" s="1">
        <v>4</v>
      </c>
      <c r="B6" s="1">
        <v>106</v>
      </c>
      <c r="C6" s="1">
        <v>3</v>
      </c>
      <c r="D6" s="7" t="str">
        <f>VLOOKUP(B6,Products!$A$1:$C$7,2,0)</f>
        <v>Product F</v>
      </c>
    </row>
    <row r="7" spans="1:16" x14ac:dyDescent="0.3">
      <c r="A7" s="1">
        <v>5</v>
      </c>
      <c r="B7" s="1">
        <v>102</v>
      </c>
      <c r="C7" s="1">
        <v>5</v>
      </c>
      <c r="D7" s="7" t="str">
        <f>VLOOKUP(B7,Products!$A$1:$C$7,2,0)</f>
        <v>Product B</v>
      </c>
    </row>
    <row r="8" spans="1:16" x14ac:dyDescent="0.3">
      <c r="A8" s="1">
        <v>6</v>
      </c>
      <c r="B8" s="1">
        <v>104</v>
      </c>
      <c r="C8" s="1">
        <v>6</v>
      </c>
      <c r="D8" s="7" t="str">
        <f>VLOOKUP(B8,Products!$A$1:$C$7,2,0)</f>
        <v>Product D</v>
      </c>
    </row>
    <row r="10" spans="1:16" x14ac:dyDescent="0.3">
      <c r="A10" s="6">
        <v>2</v>
      </c>
      <c r="B10" s="8" t="s">
        <v>12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</row>
    <row r="11" spans="1:16" x14ac:dyDescent="0.3">
      <c r="A11" s="2" t="s">
        <v>9</v>
      </c>
      <c r="B11" s="2" t="s">
        <v>0</v>
      </c>
      <c r="C11" s="2" t="s">
        <v>10</v>
      </c>
      <c r="D11" s="2" t="s">
        <v>18</v>
      </c>
      <c r="E11" s="2" t="s">
        <v>2</v>
      </c>
      <c r="F11" s="2" t="s">
        <v>19</v>
      </c>
    </row>
    <row r="12" spans="1:16" x14ac:dyDescent="0.3">
      <c r="A12" s="1">
        <v>1</v>
      </c>
      <c r="B12" s="1">
        <v>101</v>
      </c>
      <c r="C12" s="1">
        <v>2</v>
      </c>
      <c r="D12" s="1" t="str">
        <f>VLOOKUP(B12,Products!$A$1:$C$7,2,0)</f>
        <v>Product A</v>
      </c>
      <c r="E12" s="1">
        <f>VLOOKUP(Orders!D12,Products!$B$1:$C$7,2,0)</f>
        <v>120</v>
      </c>
      <c r="F12" s="7">
        <f>E12*C12</f>
        <v>240</v>
      </c>
    </row>
    <row r="13" spans="1:16" x14ac:dyDescent="0.3">
      <c r="A13" s="1">
        <v>2</v>
      </c>
      <c r="B13" s="1">
        <v>103</v>
      </c>
      <c r="C13" s="1">
        <v>1</v>
      </c>
      <c r="D13" s="1" t="str">
        <f>VLOOKUP(B13,Products!$A$1:$C$7,2,0)</f>
        <v>Product C</v>
      </c>
      <c r="E13" s="1">
        <f>VLOOKUP(Orders!D13,Products!$B$1:$C$7,2,0)</f>
        <v>200</v>
      </c>
      <c r="F13" s="7">
        <f t="shared" ref="F13:F17" si="0">E13*C13</f>
        <v>200</v>
      </c>
    </row>
    <row r="14" spans="1:16" x14ac:dyDescent="0.3">
      <c r="A14" s="1">
        <v>3</v>
      </c>
      <c r="B14" s="1">
        <v>105</v>
      </c>
      <c r="C14" s="1">
        <v>4</v>
      </c>
      <c r="D14" s="1" t="str">
        <f>VLOOKUP(B14,Products!$A$1:$C$7,2,0)</f>
        <v>Product E</v>
      </c>
      <c r="E14" s="1">
        <f>VLOOKUP(Orders!D14,Products!$B$1:$C$7,2,0)</f>
        <v>220</v>
      </c>
      <c r="F14" s="7">
        <f t="shared" si="0"/>
        <v>880</v>
      </c>
    </row>
    <row r="15" spans="1:16" x14ac:dyDescent="0.3">
      <c r="A15" s="1">
        <v>4</v>
      </c>
      <c r="B15" s="1">
        <v>106</v>
      </c>
      <c r="C15" s="1">
        <v>3</v>
      </c>
      <c r="D15" s="1" t="str">
        <f>VLOOKUP(B15,Products!$A$1:$C$7,2,0)</f>
        <v>Product F</v>
      </c>
      <c r="E15" s="1">
        <f>VLOOKUP(Orders!D15,Products!$B$1:$C$7,2,0)</f>
        <v>130</v>
      </c>
      <c r="F15" s="7">
        <f t="shared" si="0"/>
        <v>390</v>
      </c>
    </row>
    <row r="16" spans="1:16" x14ac:dyDescent="0.3">
      <c r="A16" s="1">
        <v>5</v>
      </c>
      <c r="B16" s="1">
        <v>102</v>
      </c>
      <c r="C16" s="1">
        <v>5</v>
      </c>
      <c r="D16" s="1" t="str">
        <f>VLOOKUP(B16,Products!$A$1:$C$7,2,0)</f>
        <v>Product B</v>
      </c>
      <c r="E16" s="1">
        <f>VLOOKUP(Orders!D16,Products!$B$1:$C$7,2,0)</f>
        <v>150</v>
      </c>
      <c r="F16" s="7">
        <f t="shared" si="0"/>
        <v>750</v>
      </c>
    </row>
    <row r="17" spans="1:16" x14ac:dyDescent="0.3">
      <c r="A17" s="1">
        <v>6</v>
      </c>
      <c r="B17" s="1">
        <v>104</v>
      </c>
      <c r="C17" s="1">
        <v>6</v>
      </c>
      <c r="D17" s="1" t="str">
        <f>VLOOKUP(B17,Products!$A$1:$C$7,2,0)</f>
        <v>Product D</v>
      </c>
      <c r="E17" s="1">
        <f>VLOOKUP(Orders!D17,Products!$B$1:$C$7,2,0)</f>
        <v>90</v>
      </c>
      <c r="F17" s="7">
        <f t="shared" si="0"/>
        <v>540</v>
      </c>
    </row>
    <row r="19" spans="1:16" x14ac:dyDescent="0.3">
      <c r="A19" s="6">
        <v>3</v>
      </c>
      <c r="B19" s="8" t="s">
        <v>13</v>
      </c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</row>
    <row r="20" spans="1:16" x14ac:dyDescent="0.3">
      <c r="A20" s="2" t="s">
        <v>9</v>
      </c>
      <c r="B20" s="2" t="s">
        <v>0</v>
      </c>
      <c r="C20" s="2" t="s">
        <v>10</v>
      </c>
      <c r="D20" s="2" t="s">
        <v>18</v>
      </c>
      <c r="E20" s="2" t="s">
        <v>21</v>
      </c>
    </row>
    <row r="21" spans="1:16" x14ac:dyDescent="0.3">
      <c r="A21" s="1">
        <v>1</v>
      </c>
      <c r="B21" s="1">
        <v>101</v>
      </c>
      <c r="C21" s="1">
        <v>2</v>
      </c>
      <c r="D21" s="1" t="s">
        <v>3</v>
      </c>
      <c r="E21" s="1" t="str">
        <f>IF(ISNA(VLOOKUP(B21,Products!$A$1:$C$7,2,0)),"No","Yes")</f>
        <v>Yes</v>
      </c>
    </row>
    <row r="22" spans="1:16" x14ac:dyDescent="0.3">
      <c r="A22" s="1">
        <v>2</v>
      </c>
      <c r="B22" s="1">
        <v>103</v>
      </c>
      <c r="C22" s="1">
        <v>1</v>
      </c>
      <c r="D22" s="1" t="s">
        <v>5</v>
      </c>
      <c r="E22" s="1" t="str">
        <f>IF(ISNA(VLOOKUP(B22,Products!$A$1:$C$7,2,0)),"No","Yes")</f>
        <v>Yes</v>
      </c>
    </row>
    <row r="23" spans="1:16" x14ac:dyDescent="0.3">
      <c r="A23" s="1">
        <v>3</v>
      </c>
      <c r="B23" s="1">
        <v>105</v>
      </c>
      <c r="C23" s="1">
        <v>4</v>
      </c>
      <c r="D23" s="1" t="s">
        <v>7</v>
      </c>
      <c r="E23" s="1" t="str">
        <f>IF(ISNA(VLOOKUP(B23,Products!$A$1:$C$7,2,0)),"No","Yes")</f>
        <v>Yes</v>
      </c>
    </row>
    <row r="24" spans="1:16" x14ac:dyDescent="0.3">
      <c r="A24" s="1">
        <v>4</v>
      </c>
      <c r="B24" s="1">
        <v>106</v>
      </c>
      <c r="C24" s="1">
        <v>3</v>
      </c>
      <c r="D24" s="1" t="s">
        <v>8</v>
      </c>
      <c r="E24" s="1" t="str">
        <f>IF(ISNA(VLOOKUP(B24,Products!$A$1:$C$7,2,0)),"No","Yes")</f>
        <v>Yes</v>
      </c>
    </row>
    <row r="25" spans="1:16" x14ac:dyDescent="0.3">
      <c r="A25" s="1">
        <v>5</v>
      </c>
      <c r="B25" s="1">
        <v>102</v>
      </c>
      <c r="C25" s="1">
        <v>5</v>
      </c>
      <c r="D25" s="1" t="s">
        <v>4</v>
      </c>
      <c r="E25" s="1" t="str">
        <f>IF(ISNA(VLOOKUP(B25,Products!$A$1:$C$7,2,0)),"No","Yes")</f>
        <v>Yes</v>
      </c>
    </row>
    <row r="26" spans="1:16" x14ac:dyDescent="0.3">
      <c r="A26" s="1">
        <v>6</v>
      </c>
      <c r="B26" s="1">
        <v>104</v>
      </c>
      <c r="C26" s="1">
        <v>6</v>
      </c>
      <c r="D26" s="1" t="s">
        <v>6</v>
      </c>
      <c r="E26" s="1" t="str">
        <f>IF(ISNA(VLOOKUP(B26,Products!$A$1:$C$7,2,0)),"No","Yes")</f>
        <v>Yes</v>
      </c>
    </row>
    <row r="27" spans="1:16" x14ac:dyDescent="0.3">
      <c r="A27" s="1">
        <v>7</v>
      </c>
      <c r="B27" s="1">
        <v>7</v>
      </c>
      <c r="C27" s="1">
        <v>7</v>
      </c>
      <c r="D27" s="1" t="s">
        <v>20</v>
      </c>
      <c r="E27" s="7" t="str">
        <f>IF(ISNA(VLOOKUP(B27,Products!$A$1:$C$7,2,0)),"No","Yes")</f>
        <v>No</v>
      </c>
    </row>
    <row r="29" spans="1:16" x14ac:dyDescent="0.3">
      <c r="A29" s="6">
        <v>4</v>
      </c>
      <c r="B29" s="8" t="s">
        <v>14</v>
      </c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</row>
    <row r="30" spans="1:16" x14ac:dyDescent="0.3">
      <c r="A30" s="2" t="s">
        <v>9</v>
      </c>
      <c r="B30" s="2" t="s">
        <v>0</v>
      </c>
      <c r="C30" s="2" t="s">
        <v>10</v>
      </c>
      <c r="D30" s="2" t="s">
        <v>18</v>
      </c>
      <c r="E30" s="2" t="s">
        <v>2</v>
      </c>
      <c r="F30" s="2" t="s">
        <v>19</v>
      </c>
      <c r="G30" s="2" t="s">
        <v>22</v>
      </c>
    </row>
    <row r="31" spans="1:16" x14ac:dyDescent="0.3">
      <c r="A31" s="1">
        <v>1</v>
      </c>
      <c r="B31" s="1">
        <v>101</v>
      </c>
      <c r="C31" s="1">
        <v>2</v>
      </c>
      <c r="D31" s="1" t="str">
        <f>VLOOKUP(B31,Products!$A$1:$C$7,2,0)</f>
        <v>Product A</v>
      </c>
      <c r="E31" s="1">
        <f>VLOOKUP(D31,Products!$B$1:$C$7,2,0)</f>
        <v>120</v>
      </c>
      <c r="F31" s="1">
        <f>E31*C31</f>
        <v>240</v>
      </c>
      <c r="G31" s="7">
        <f>(E31*C31)*0.9</f>
        <v>216</v>
      </c>
    </row>
    <row r="32" spans="1:16" x14ac:dyDescent="0.3">
      <c r="A32" s="1">
        <v>2</v>
      </c>
      <c r="B32" s="1">
        <v>103</v>
      </c>
      <c r="C32" s="1">
        <v>1</v>
      </c>
      <c r="D32" s="1" t="str">
        <f>VLOOKUP(B32,Products!$A$1:$C$7,2,0)</f>
        <v>Product C</v>
      </c>
      <c r="E32" s="1">
        <f>VLOOKUP(D32,Products!$B$1:$C$7,2,0)</f>
        <v>200</v>
      </c>
      <c r="F32" s="1">
        <f t="shared" ref="F32:F36" si="1">E32*C32</f>
        <v>200</v>
      </c>
      <c r="G32" s="7">
        <f t="shared" ref="G32:G36" si="2">(E32*C32)*0.9</f>
        <v>180</v>
      </c>
    </row>
    <row r="33" spans="1:16" x14ac:dyDescent="0.3">
      <c r="A33" s="1">
        <v>3</v>
      </c>
      <c r="B33" s="1">
        <v>105</v>
      </c>
      <c r="C33" s="1">
        <v>4</v>
      </c>
      <c r="D33" s="1" t="str">
        <f>VLOOKUP(B33,Products!$A$1:$C$7,2,0)</f>
        <v>Product E</v>
      </c>
      <c r="E33" s="1">
        <f>VLOOKUP(D33,Products!$B$1:$C$7,2,0)</f>
        <v>220</v>
      </c>
      <c r="F33" s="1">
        <f t="shared" si="1"/>
        <v>880</v>
      </c>
      <c r="G33" s="7">
        <f t="shared" si="2"/>
        <v>792</v>
      </c>
    </row>
    <row r="34" spans="1:16" x14ac:dyDescent="0.3">
      <c r="A34" s="1">
        <v>4</v>
      </c>
      <c r="B34" s="1">
        <v>106</v>
      </c>
      <c r="C34" s="1">
        <v>3</v>
      </c>
      <c r="D34" s="1" t="str">
        <f>VLOOKUP(B34,Products!$A$1:$C$7,2,0)</f>
        <v>Product F</v>
      </c>
      <c r="E34" s="1">
        <f>VLOOKUP(D34,Products!$B$1:$C$7,2,0)</f>
        <v>130</v>
      </c>
      <c r="F34" s="1">
        <f t="shared" si="1"/>
        <v>390</v>
      </c>
      <c r="G34" s="7">
        <f t="shared" si="2"/>
        <v>351</v>
      </c>
    </row>
    <row r="35" spans="1:16" x14ac:dyDescent="0.3">
      <c r="A35" s="1">
        <v>5</v>
      </c>
      <c r="B35" s="1">
        <v>102</v>
      </c>
      <c r="C35" s="1">
        <v>5</v>
      </c>
      <c r="D35" s="1" t="str">
        <f>VLOOKUP(B35,Products!$A$1:$C$7,2,0)</f>
        <v>Product B</v>
      </c>
      <c r="E35" s="1">
        <f>VLOOKUP(D35,Products!$B$1:$C$7,2,0)</f>
        <v>150</v>
      </c>
      <c r="F35" s="1">
        <f t="shared" si="1"/>
        <v>750</v>
      </c>
      <c r="G35" s="7">
        <f t="shared" si="2"/>
        <v>675</v>
      </c>
    </row>
    <row r="36" spans="1:16" x14ac:dyDescent="0.3">
      <c r="A36" s="1">
        <v>6</v>
      </c>
      <c r="B36" s="1">
        <v>104</v>
      </c>
      <c r="C36" s="1">
        <v>6</v>
      </c>
      <c r="D36" s="1" t="str">
        <f>VLOOKUP(B36,Products!$A$1:$C$7,2,0)</f>
        <v>Product D</v>
      </c>
      <c r="E36" s="1">
        <f>VLOOKUP(D36,Products!$B$1:$C$7,2,0)</f>
        <v>90</v>
      </c>
      <c r="F36" s="1">
        <f t="shared" si="1"/>
        <v>540</v>
      </c>
      <c r="G36" s="7">
        <f t="shared" si="2"/>
        <v>486</v>
      </c>
    </row>
    <row r="38" spans="1:16" x14ac:dyDescent="0.3">
      <c r="A38" s="6">
        <v>5</v>
      </c>
      <c r="B38" s="8" t="s">
        <v>15</v>
      </c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</row>
    <row r="39" spans="1:16" x14ac:dyDescent="0.3">
      <c r="A39" s="2" t="s">
        <v>9</v>
      </c>
      <c r="B39" s="2" t="s">
        <v>0</v>
      </c>
      <c r="C39" s="2" t="s">
        <v>10</v>
      </c>
      <c r="D39" s="2" t="s">
        <v>18</v>
      </c>
      <c r="E39" s="2" t="s">
        <v>2</v>
      </c>
      <c r="F39" s="2" t="s">
        <v>23</v>
      </c>
      <c r="G39" s="1"/>
    </row>
    <row r="40" spans="1:16" x14ac:dyDescent="0.3">
      <c r="A40" s="1">
        <v>1</v>
      </c>
      <c r="B40" s="1">
        <v>101</v>
      </c>
      <c r="C40" s="1">
        <v>2</v>
      </c>
      <c r="D40" s="1" t="str">
        <f>VLOOKUP(B40,Products!$A$1:$C$7,2,0)</f>
        <v>Product A</v>
      </c>
      <c r="E40" s="1">
        <f>VLOOKUP(D40,Products!$B$1:$C$7,2,0)</f>
        <v>120</v>
      </c>
      <c r="F40" s="1">
        <f>E40*C40</f>
        <v>240</v>
      </c>
      <c r="G40" s="1" t="str">
        <f>IF(F40=MAX($F$40:$F$45),"Maximum","")</f>
        <v/>
      </c>
    </row>
    <row r="41" spans="1:16" x14ac:dyDescent="0.3">
      <c r="A41" s="1">
        <v>2</v>
      </c>
      <c r="B41" s="1">
        <v>103</v>
      </c>
      <c r="C41" s="1">
        <v>1</v>
      </c>
      <c r="D41" s="1" t="str">
        <f>VLOOKUP(B41,Products!$A$1:$C$7,2,0)</f>
        <v>Product C</v>
      </c>
      <c r="E41" s="1">
        <f>VLOOKUP(D41,Products!$B$1:$C$7,2,0)</f>
        <v>200</v>
      </c>
      <c r="F41" s="1">
        <f t="shared" ref="F41:F45" si="3">E41*C41</f>
        <v>200</v>
      </c>
      <c r="G41" s="1" t="str">
        <f t="shared" ref="G41:G45" si="4">IF(F41=MAX($F$40:$F$45),"Maximum","")</f>
        <v/>
      </c>
    </row>
    <row r="42" spans="1:16" x14ac:dyDescent="0.3">
      <c r="A42" s="1">
        <v>3</v>
      </c>
      <c r="B42" s="1">
        <v>105</v>
      </c>
      <c r="C42" s="1">
        <v>4</v>
      </c>
      <c r="D42" s="1" t="str">
        <f>VLOOKUP(B42,Products!$A$1:$C$7,2,0)</f>
        <v>Product E</v>
      </c>
      <c r="E42" s="1">
        <f>VLOOKUP(D42,Products!$B$1:$C$7,2,0)</f>
        <v>220</v>
      </c>
      <c r="F42" s="1">
        <f t="shared" si="3"/>
        <v>880</v>
      </c>
      <c r="G42" s="7" t="str">
        <f>IF(F42=MAX($F$40:$F$45),"Maximum","")</f>
        <v>Maximum</v>
      </c>
    </row>
    <row r="43" spans="1:16" x14ac:dyDescent="0.3">
      <c r="A43" s="1">
        <v>4</v>
      </c>
      <c r="B43" s="1">
        <v>106</v>
      </c>
      <c r="C43" s="1">
        <v>3</v>
      </c>
      <c r="D43" s="1" t="str">
        <f>VLOOKUP(B43,Products!$A$1:$C$7,2,0)</f>
        <v>Product F</v>
      </c>
      <c r="E43" s="1">
        <f>VLOOKUP(D43,Products!$B$1:$C$7,2,0)</f>
        <v>130</v>
      </c>
      <c r="F43" s="1">
        <f t="shared" si="3"/>
        <v>390</v>
      </c>
      <c r="G43" s="1" t="str">
        <f t="shared" si="4"/>
        <v/>
      </c>
    </row>
    <row r="44" spans="1:16" x14ac:dyDescent="0.3">
      <c r="A44" s="1">
        <v>5</v>
      </c>
      <c r="B44" s="1">
        <v>102</v>
      </c>
      <c r="C44" s="1">
        <v>5</v>
      </c>
      <c r="D44" s="1" t="str">
        <f>VLOOKUP(B44,Products!$A$1:$C$7,2,0)</f>
        <v>Product B</v>
      </c>
      <c r="E44" s="1">
        <f>VLOOKUP(D44,Products!$B$1:$C$7,2,0)</f>
        <v>150</v>
      </c>
      <c r="F44" s="1">
        <f t="shared" si="3"/>
        <v>750</v>
      </c>
      <c r="G44" s="1" t="str">
        <f t="shared" si="4"/>
        <v/>
      </c>
    </row>
    <row r="45" spans="1:16" x14ac:dyDescent="0.3">
      <c r="A45" s="1">
        <v>6</v>
      </c>
      <c r="B45" s="1">
        <v>104</v>
      </c>
      <c r="C45" s="1">
        <v>6</v>
      </c>
      <c r="D45" s="1" t="str">
        <f>VLOOKUP(B45,Products!$A$1:$C$7,2,0)</f>
        <v>Product D</v>
      </c>
      <c r="E45" s="1">
        <f>VLOOKUP(D45,Products!$B$1:$C$7,2,0)</f>
        <v>90</v>
      </c>
      <c r="F45" s="1">
        <f t="shared" si="3"/>
        <v>540</v>
      </c>
      <c r="G45" s="1" t="str">
        <f t="shared" si="4"/>
        <v/>
      </c>
    </row>
    <row r="47" spans="1:16" x14ac:dyDescent="0.3">
      <c r="A47" s="6">
        <v>6</v>
      </c>
      <c r="B47" s="8" t="s">
        <v>16</v>
      </c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</row>
    <row r="48" spans="1:16" x14ac:dyDescent="0.3">
      <c r="A48" s="2" t="s">
        <v>9</v>
      </c>
      <c r="B48" s="2" t="s">
        <v>0</v>
      </c>
      <c r="C48" s="2" t="s">
        <v>10</v>
      </c>
      <c r="D48" s="2" t="s">
        <v>18</v>
      </c>
      <c r="E48" s="10" t="s">
        <v>24</v>
      </c>
    </row>
    <row r="49" spans="1:16" x14ac:dyDescent="0.3">
      <c r="A49" s="1">
        <v>1</v>
      </c>
      <c r="B49" s="1">
        <v>101</v>
      </c>
      <c r="C49" s="1">
        <v>2</v>
      </c>
      <c r="D49" s="1" t="s">
        <v>3</v>
      </c>
      <c r="E49" s="1" t="str">
        <f>IF(ISNA(VLOOKUP(B49,Products!$A$1:$C$7,2,0)),"Not Ordered","Ordered")</f>
        <v>Ordered</v>
      </c>
    </row>
    <row r="50" spans="1:16" x14ac:dyDescent="0.3">
      <c r="A50" s="1">
        <v>2</v>
      </c>
      <c r="B50" s="1">
        <v>103</v>
      </c>
      <c r="C50" s="1">
        <v>1</v>
      </c>
      <c r="D50" s="1" t="s">
        <v>5</v>
      </c>
      <c r="E50" s="1" t="str">
        <f>IF(ISNA(VLOOKUP(B50,Products!$A$1:$C$7,2,0)),"Not Ordered","Ordered")</f>
        <v>Ordered</v>
      </c>
    </row>
    <row r="51" spans="1:16" x14ac:dyDescent="0.3">
      <c r="A51" s="1">
        <v>3</v>
      </c>
      <c r="B51" s="1">
        <v>105</v>
      </c>
      <c r="C51" s="1">
        <v>4</v>
      </c>
      <c r="D51" s="1" t="s">
        <v>7</v>
      </c>
      <c r="E51" s="1" t="str">
        <f>IF(ISNA(VLOOKUP(B51,Products!$A$1:$C$7,2,0)),"Not Ordered","Ordered")</f>
        <v>Ordered</v>
      </c>
    </row>
    <row r="52" spans="1:16" x14ac:dyDescent="0.3">
      <c r="A52" s="1">
        <v>4</v>
      </c>
      <c r="B52" s="1">
        <v>106</v>
      </c>
      <c r="C52" s="1">
        <v>3</v>
      </c>
      <c r="D52" s="1" t="s">
        <v>8</v>
      </c>
      <c r="E52" s="1" t="str">
        <f>IF(ISNA(VLOOKUP(B52,Products!$A$1:$C$7,2,0)),"Not Ordered","Ordered")</f>
        <v>Ordered</v>
      </c>
    </row>
    <row r="53" spans="1:16" x14ac:dyDescent="0.3">
      <c r="A53" s="1">
        <v>5</v>
      </c>
      <c r="B53" s="1">
        <v>102</v>
      </c>
      <c r="C53" s="1">
        <v>5</v>
      </c>
      <c r="D53" s="1" t="s">
        <v>4</v>
      </c>
      <c r="E53" s="1" t="str">
        <f>IF(ISNA(VLOOKUP(B53,Products!$A$1:$C$7,2,0)),"Not Ordered","Ordered")</f>
        <v>Ordered</v>
      </c>
    </row>
    <row r="54" spans="1:16" x14ac:dyDescent="0.3">
      <c r="A54" s="1">
        <v>6</v>
      </c>
      <c r="B54" s="1">
        <v>104</v>
      </c>
      <c r="C54" s="1">
        <v>6</v>
      </c>
      <c r="D54" s="1" t="s">
        <v>6</v>
      </c>
      <c r="E54" s="1" t="str">
        <f>IF(ISNA(VLOOKUP(B54,Products!$A$1:$C$7,2,0)),"Not Ordered","Ordered")</f>
        <v>Ordered</v>
      </c>
    </row>
    <row r="55" spans="1:16" x14ac:dyDescent="0.3">
      <c r="A55" s="1">
        <v>7</v>
      </c>
      <c r="B55" s="1">
        <v>7</v>
      </c>
      <c r="C55" s="1">
        <v>7</v>
      </c>
      <c r="D55" s="1" t="s">
        <v>20</v>
      </c>
      <c r="E55" s="7" t="str">
        <f>IF(ISNA(VLOOKUP(B55,Products!$A$1:$C$7,2,0)),"Not Ordered","Ordered")</f>
        <v>Not Ordered</v>
      </c>
    </row>
    <row r="56" spans="1:16" x14ac:dyDescent="0.3">
      <c r="A56" s="9"/>
      <c r="B56" s="9"/>
      <c r="C56" s="9"/>
      <c r="D56" s="9"/>
    </row>
    <row r="57" spans="1:16" x14ac:dyDescent="0.3">
      <c r="A57" s="6">
        <v>7</v>
      </c>
      <c r="B57" s="8" t="s">
        <v>17</v>
      </c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</row>
    <row r="58" spans="1:16" x14ac:dyDescent="0.3">
      <c r="A58" s="2" t="s">
        <v>9</v>
      </c>
      <c r="B58" s="2" t="s">
        <v>0</v>
      </c>
      <c r="C58" s="2" t="s">
        <v>10</v>
      </c>
      <c r="D58" s="2" t="s">
        <v>18</v>
      </c>
      <c r="E58" s="2" t="s">
        <v>2</v>
      </c>
    </row>
    <row r="59" spans="1:16" x14ac:dyDescent="0.3">
      <c r="A59" s="1">
        <v>1</v>
      </c>
      <c r="B59" s="1">
        <v>101</v>
      </c>
      <c r="C59" s="1">
        <v>2</v>
      </c>
      <c r="D59" s="1" t="str">
        <f>VLOOKUP(B59,Products!$A$1:$C$7,2,0)</f>
        <v>Product A</v>
      </c>
      <c r="E59" s="1">
        <f>VLOOKUP(D59,Products!$B$1:$C$7,2,0)</f>
        <v>120</v>
      </c>
      <c r="G59" s="2" t="s">
        <v>4</v>
      </c>
      <c r="H59" s="7">
        <f>SUMIF(D59:D65,G59,C59:C65)</f>
        <v>11</v>
      </c>
    </row>
    <row r="60" spans="1:16" x14ac:dyDescent="0.3">
      <c r="A60" s="1">
        <v>2</v>
      </c>
      <c r="B60" s="1">
        <v>103</v>
      </c>
      <c r="C60" s="1">
        <v>1</v>
      </c>
      <c r="D60" s="1" t="str">
        <f>VLOOKUP(B60,Products!$A$1:$C$7,2,0)</f>
        <v>Product C</v>
      </c>
      <c r="E60" s="1">
        <f>VLOOKUP(D60,Products!$B$1:$C$7,2,0)</f>
        <v>200</v>
      </c>
    </row>
    <row r="61" spans="1:16" x14ac:dyDescent="0.3">
      <c r="A61" s="1">
        <v>3</v>
      </c>
      <c r="B61" s="1">
        <v>105</v>
      </c>
      <c r="C61" s="1">
        <v>4</v>
      </c>
      <c r="D61" s="1" t="str">
        <f>VLOOKUP(B61,Products!$A$1:$C$7,2,0)</f>
        <v>Product E</v>
      </c>
      <c r="E61" s="1">
        <f>VLOOKUP(D61,Products!$B$1:$C$7,2,0)</f>
        <v>220</v>
      </c>
    </row>
    <row r="62" spans="1:16" x14ac:dyDescent="0.3">
      <c r="A62" s="1">
        <v>4</v>
      </c>
      <c r="B62" s="1">
        <v>106</v>
      </c>
      <c r="C62" s="1">
        <v>3</v>
      </c>
      <c r="D62" s="1" t="str">
        <f>VLOOKUP(B62,Products!$A$1:$C$7,2,0)</f>
        <v>Product F</v>
      </c>
      <c r="E62" s="1">
        <f>VLOOKUP(D62,Products!$B$1:$C$7,2,0)</f>
        <v>130</v>
      </c>
    </row>
    <row r="63" spans="1:16" x14ac:dyDescent="0.3">
      <c r="A63" s="1">
        <v>5</v>
      </c>
      <c r="B63" s="1">
        <v>102</v>
      </c>
      <c r="C63" s="1">
        <v>5</v>
      </c>
      <c r="D63" s="1" t="str">
        <f>VLOOKUP(B63,Products!$A$1:$C$7,2,0)</f>
        <v>Product B</v>
      </c>
      <c r="E63" s="1">
        <f>VLOOKUP(D63,Products!$B$1:$C$7,2,0)</f>
        <v>150</v>
      </c>
    </row>
    <row r="64" spans="1:16" x14ac:dyDescent="0.3">
      <c r="A64" s="1">
        <v>6</v>
      </c>
      <c r="B64" s="1">
        <v>104</v>
      </c>
      <c r="C64" s="1">
        <v>6</v>
      </c>
      <c r="D64" s="1" t="str">
        <f>VLOOKUP(B64,Products!$A$1:$C$7,2,0)</f>
        <v>Product D</v>
      </c>
      <c r="E64" s="1">
        <f>VLOOKUP(D64,Products!$B$1:$C$7,2,0)</f>
        <v>90</v>
      </c>
    </row>
    <row r="65" spans="1:5" x14ac:dyDescent="0.3">
      <c r="A65" s="1">
        <v>7</v>
      </c>
      <c r="B65" s="1">
        <v>102</v>
      </c>
      <c r="C65" s="1">
        <v>6</v>
      </c>
      <c r="D65" s="1" t="s">
        <v>4</v>
      </c>
      <c r="E65" s="1">
        <v>50</v>
      </c>
    </row>
  </sheetData>
  <mergeCells count="7">
    <mergeCell ref="B57:P57"/>
    <mergeCell ref="B1:P1"/>
    <mergeCell ref="B10:P10"/>
    <mergeCell ref="B19:P19"/>
    <mergeCell ref="B29:P29"/>
    <mergeCell ref="B38:P38"/>
    <mergeCell ref="B47:P47"/>
  </mergeCells>
  <dataValidations count="1">
    <dataValidation type="list" allowBlank="1" showInputMessage="1" showErrorMessage="1" sqref="G59" xr:uid="{86B0391B-31BD-4D91-83E0-3DC0887B1569}">
      <formula1>$D$59:$D$65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SAMIRAN PARUA</dc:creator>
  <cp:lastModifiedBy>SAMIRAN PARUA</cp:lastModifiedBy>
  <dcterms:created xsi:type="dcterms:W3CDTF">2026-05-21T06:24:16Z</dcterms:created>
  <dcterms:modified xsi:type="dcterms:W3CDTF">2026-05-26T09:09:16Z</dcterms:modified>
</cp:coreProperties>
</file>