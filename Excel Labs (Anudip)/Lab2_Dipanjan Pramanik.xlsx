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798602da82a403b/Desktop/"/>
    </mc:Choice>
  </mc:AlternateContent>
  <xr:revisionPtr revIDLastSave="108" documentId="8_{FCE7A486-7254-43C3-A975-28D6834A36DA}" xr6:coauthVersionLast="47" xr6:coauthVersionMax="47" xr10:uidLastSave="{38EC7A5D-DBA6-4007-B4BD-3877B3AE68E6}"/>
  <bookViews>
    <workbookView xWindow="-108" yWindow="-108" windowWidth="23256" windowHeight="12456" xr2:uid="{0A64F609-E6E9-4B98-95CA-3827B513814D}"/>
  </bookViews>
  <sheets>
    <sheet name="Sales-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3" i="1"/>
  <c r="M4" i="1"/>
  <c r="M5" i="1"/>
  <c r="M6" i="1"/>
  <c r="M7" i="1"/>
  <c r="M8" i="1"/>
  <c r="M3" i="1"/>
  <c r="L4" i="1"/>
  <c r="L5" i="1"/>
  <c r="L6" i="1"/>
  <c r="L7" i="1"/>
  <c r="L8" i="1"/>
  <c r="L3" i="1"/>
  <c r="K4" i="1"/>
  <c r="K5" i="1"/>
  <c r="K6" i="1"/>
  <c r="K7" i="1"/>
  <c r="K8" i="1"/>
  <c r="K3" i="1"/>
  <c r="J4" i="1"/>
  <c r="J5" i="1"/>
  <c r="J6" i="1"/>
  <c r="J7" i="1"/>
  <c r="J8" i="1"/>
  <c r="J3" i="1"/>
  <c r="I4" i="1"/>
  <c r="I5" i="1"/>
  <c r="I6" i="1"/>
  <c r="I7" i="1"/>
  <c r="I8" i="1"/>
  <c r="I3" i="1"/>
  <c r="H4" i="1"/>
  <c r="H5" i="1"/>
  <c r="H6" i="1"/>
  <c r="H7" i="1"/>
  <c r="H8" i="1"/>
  <c r="H3" i="1"/>
  <c r="G4" i="1"/>
  <c r="G5" i="1"/>
  <c r="G6" i="1"/>
  <c r="G7" i="1"/>
  <c r="G8" i="1"/>
  <c r="G3" i="1"/>
</calcChain>
</file>

<file path=xl/sharedStrings.xml><?xml version="1.0" encoding="utf-8"?>
<sst xmlns="http://schemas.openxmlformats.org/spreadsheetml/2006/main" count="33" uniqueCount="31">
  <si>
    <t>ProductID</t>
  </si>
  <si>
    <t>Product</t>
  </si>
  <si>
    <t>Sales</t>
  </si>
  <si>
    <t>Target</t>
  </si>
  <si>
    <t>Region</t>
  </si>
  <si>
    <t>Product A</t>
  </si>
  <si>
    <t>ProductB</t>
  </si>
  <si>
    <t>Product C</t>
  </si>
  <si>
    <t>Product D</t>
  </si>
  <si>
    <t>Product E</t>
  </si>
  <si>
    <t>Product F</t>
  </si>
  <si>
    <t>North</t>
  </si>
  <si>
    <t>South</t>
  </si>
  <si>
    <t>East</t>
  </si>
  <si>
    <t>West</t>
  </si>
  <si>
    <t>1. Use the IF function to evaluate whether each product met its sales target.</t>
  </si>
  <si>
    <t>2. Use the IF function to determine if a product is eligible for a regional bonus.
 Products in the "North" region with sales over 200 are eligible.</t>
  </si>
  <si>
    <t>Sales Target Meet</t>
  </si>
  <si>
    <t>Regional Bonus</t>
  </si>
  <si>
    <t>3. Use nested IF functions to assign a commission rate based on sales. 
Sales &gt;= 200 get a 10% commission, sales &gt;= 150 get a 7% commission,
 and others get a 5% commission.</t>
  </si>
  <si>
    <t>Commission rate %</t>
  </si>
  <si>
    <t>Bonus Amount</t>
  </si>
  <si>
    <t>5. Use the IF function to categorize sales performance as "Excellent"
(&gt;=200), "Good" (&gt;=150), or "Needs Improvement" (&lt;150).</t>
  </si>
  <si>
    <t>4. Use the IF function to calculate a bonus amount. If sales met or
exceeded the target, the bonus is 10% of the sales; otherwise, it's 5%.</t>
  </si>
  <si>
    <t>Sales Performance</t>
  </si>
  <si>
    <t>6. Use the IF function to assign a price tier based on the sales value.
"High" for sales &gt; 200, "Medium" for sales between 100 and 200, and
"Low" for sales &lt; 100.</t>
  </si>
  <si>
    <t>Sales Value</t>
  </si>
  <si>
    <t>7. Use the IF function to calculate the year-end bonus. If sales &gt;= 150
and region is "North", the bonus is $500, otherwise, it's $300</t>
  </si>
  <si>
    <t>8. Use the IF function to mark high performers. A product is a high
performer if its sales are in the top 25% of all sales.</t>
  </si>
  <si>
    <t>Year-End Bonus</t>
  </si>
  <si>
    <t>Performer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</si>
</sst>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540A]#,##0"/>
  </numFmts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horizontal="left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/>
    <xf numFmtId="0" fontId="1" fillId="4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/>
    </xf>
    <xf numFmtId="0" fontId="0" fillId="4" borderId="0" xfId="0" applyFill="1" applyAlignment="1">
      <alignment horizontal="left" vertical="top"/>
    </xf>
    <xf numFmtId="0" fontId="0" fillId="3" borderId="2" xfId="0" applyFill="1" applyBorder="1" applyAlignment="1">
      <alignment horizontal="left"/>
    </xf>
    <xf numFmtId="0" fontId="0" fillId="0" borderId="3" xfId="0" applyBorder="1"/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0" fillId="3" borderId="7" xfId="0" applyFill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8" xfId="0" applyBorder="1"/>
    <xf numFmtId="0" fontId="0" fillId="0" borderId="8" xfId="0" applyBorder="1" applyAlignment="1">
      <alignment horizontal="left" vertical="top"/>
    </xf>
    <xf numFmtId="164" fontId="0" fillId="0" borderId="8" xfId="0" applyNumberFormat="1" applyBorder="1"/>
    <xf numFmtId="0" fontId="0" fillId="0" borderId="9" xfId="0" applyBorder="1"/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3" tint="0.74999237037263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[$$-540A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1273B1-9D0C-4FD8-8C46-EF43A4D15A73}" name="Table1" displayName="Table1" ref="B2:N8" totalsRowShown="0" headerRowDxfId="0" headerRowBorderDxfId="15" tableBorderDxfId="16" totalsRowBorderDxfId="14">
  <autoFilter ref="B2:N8" xr:uid="{C11273B1-9D0C-4FD8-8C46-EF43A4D15A73}"/>
  <tableColumns count="13">
    <tableColumn id="1" xr3:uid="{ADEAFAB1-46E8-4E78-94DC-0D4E8CB8D66A}" name="ProductID" dataDxfId="13"/>
    <tableColumn id="2" xr3:uid="{10184A07-557C-4D28-8818-7BD98072134F}" name="Product" dataDxfId="12"/>
    <tableColumn id="3" xr3:uid="{9EEFD2BA-B5A3-461C-AB22-28AF73185E98}" name="Sales" dataDxfId="11"/>
    <tableColumn id="4" xr3:uid="{ED24E4D4-1426-4F35-AC60-E0B62C53AAE8}" name="Target" dataDxfId="10"/>
    <tableColumn id="5" xr3:uid="{4DA440A0-49C4-4699-B16D-35045C08C8CF}" name="Region" dataDxfId="9"/>
    <tableColumn id="6" xr3:uid="{4FD01E66-C218-462B-9BD5-6A1CC9EDE584}" name="Sales Target Meet" dataDxfId="8">
      <calculatedColumnFormula>IF(D3&gt;=E3,"Meet","Not Meet")</calculatedColumnFormula>
    </tableColumn>
    <tableColumn id="7" xr3:uid="{5E331804-741F-4BA1-A474-9F150B942FB8}" name="Regional Bonus" dataDxfId="7">
      <calculatedColumnFormula>IF(AND(F3="North",D3&gt;=200),"Eligible","Not Eligible")</calculatedColumnFormula>
    </tableColumn>
    <tableColumn id="8" xr3:uid="{DE1534FA-7DD3-4E9C-AA8A-631724371650}" name="Commission rate %" dataDxfId="6">
      <calculatedColumnFormula>IF(D3&gt;=200,10,IF(D3&gt;=150,7,5))</calculatedColumnFormula>
    </tableColumn>
    <tableColumn id="9" xr3:uid="{243B928A-F037-450C-91A8-0A29C65EC30B}" name="Bonus Amount" dataDxfId="5">
      <calculatedColumnFormula>IF(D3&gt;=E3,D3*10%,D3*5%)</calculatedColumnFormula>
    </tableColumn>
    <tableColumn id="10" xr3:uid="{7ECAA337-6F11-4A1B-BB32-8CE1438E05E5}" name="Sales Performance" dataDxfId="4">
      <calculatedColumnFormula>IF(D3&gt;=200,"Excellent",IF(D3&lt;150,"Needs Improvement","Good"))</calculatedColumnFormula>
    </tableColumn>
    <tableColumn id="11" xr3:uid="{0B05419D-82C6-4879-8435-9A2674EA8C88}" name="Sales Value" dataDxfId="3">
      <calculatedColumnFormula>IF(D3&gt;200,"High Sales",IF(D3&lt;100,"Low Sales","Medium Sales"))</calculatedColumnFormula>
    </tableColumn>
    <tableColumn id="12" xr3:uid="{60A46A0A-1C89-4DEE-B95B-CC05FC9B5255}" name="Year-End Bonus" dataDxfId="2">
      <calculatedColumnFormula>IF(AND(D3&gt;=150,F3="North"),500,300)</calculatedColumnFormula>
    </tableColumn>
    <tableColumn id="13" xr3:uid="{B4BE6A2C-99D9-42FE-A033-55B629359637}" name="Performer" dataDxfId="1">
      <calculatedColumnFormula>IF(D3&gt;=_xlfn.PERCENTILE.INC($D$3:$D$8,0.75),"High Performer","Low Performer")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6D39-8613-4FF1-B158-4BBEDDFEDE7D}">
  <dimension ref="B2:W34"/>
  <sheetViews>
    <sheetView tabSelected="1" topLeftCell="B1" zoomScale="99" zoomScaleNormal="115" workbookViewId="0">
      <selection activeCell="I16" sqref="I16"/>
    </sheetView>
  </sheetViews>
  <sheetFormatPr defaultRowHeight="14.4" x14ac:dyDescent="0.3"/>
  <cols>
    <col min="2" max="2" width="12.33203125" customWidth="1"/>
    <col min="3" max="3" width="10.33203125" customWidth="1"/>
    <col min="4" max="4" width="8" customWidth="1"/>
    <col min="5" max="5" width="8.6640625" customWidth="1"/>
    <col min="6" max="6" width="10.6640625" customWidth="1"/>
    <col min="7" max="7" width="19.21875" customWidth="1"/>
    <col min="8" max="8" width="17.21875" customWidth="1"/>
    <col min="9" max="9" width="20.88671875" customWidth="1"/>
    <col min="10" max="10" width="16.44140625" customWidth="1"/>
    <col min="11" max="11" width="20.5546875" customWidth="1"/>
    <col min="12" max="12" width="13.6640625" customWidth="1"/>
    <col min="13" max="13" width="17.77734375" customWidth="1"/>
    <col min="14" max="14" width="16.5546875" customWidth="1"/>
    <col min="16" max="16" width="22" bestFit="1" customWidth="1"/>
    <col min="19" max="19" width="4.77734375" customWidth="1"/>
    <col min="20" max="23" width="8.77734375" hidden="1" customWidth="1"/>
  </cols>
  <sheetData>
    <row r="2" spans="2:17" s="2" customFormat="1" ht="21" customHeight="1" x14ac:dyDescent="0.3">
      <c r="B2" s="13" t="s">
        <v>0</v>
      </c>
      <c r="C2" s="14" t="s">
        <v>1</v>
      </c>
      <c r="D2" s="14" t="s">
        <v>2</v>
      </c>
      <c r="E2" s="14" t="s">
        <v>3</v>
      </c>
      <c r="F2" s="14" t="s">
        <v>4</v>
      </c>
      <c r="G2" s="14" t="s">
        <v>17</v>
      </c>
      <c r="H2" s="14" t="s">
        <v>18</v>
      </c>
      <c r="I2" s="14" t="s">
        <v>20</v>
      </c>
      <c r="J2" s="14" t="s">
        <v>21</v>
      </c>
      <c r="K2" s="14" t="s">
        <v>24</v>
      </c>
      <c r="L2" s="14" t="s">
        <v>26</v>
      </c>
      <c r="M2" s="14" t="s">
        <v>29</v>
      </c>
      <c r="N2" s="15" t="s">
        <v>30</v>
      </c>
      <c r="P2"/>
      <c r="Q2"/>
    </row>
    <row r="3" spans="2:17" x14ac:dyDescent="0.3">
      <c r="B3" s="11">
        <v>101</v>
      </c>
      <c r="C3" s="3" t="s">
        <v>5</v>
      </c>
      <c r="D3" s="3">
        <v>120</v>
      </c>
      <c r="E3" s="3">
        <v>150</v>
      </c>
      <c r="F3" s="3" t="s">
        <v>11</v>
      </c>
      <c r="G3" s="1" t="str">
        <f>IF(D3&gt;=E3,"Meet","Not Meet")</f>
        <v>Not Meet</v>
      </c>
      <c r="H3" s="1" t="str">
        <f>IF(AND(F3="North",D3&gt;=200),"Eligible","Not Eligible")</f>
        <v>Not Eligible</v>
      </c>
      <c r="I3" s="5">
        <f>IF(D3&gt;=200,10,IF(D3&gt;=150,7,5))</f>
        <v>5</v>
      </c>
      <c r="J3" s="3">
        <f>IF(D3&gt;=E3,D3*10%,D3*5%)</f>
        <v>6</v>
      </c>
      <c r="K3" s="1" t="str">
        <f>IF(D3&gt;=200,"Excellent",IF(D3&lt;150,"Needs Improvement","Good"))</f>
        <v>Needs Improvement</v>
      </c>
      <c r="L3" s="1" t="str">
        <f>IF(D3&gt;200,"High Sales",IF(D3&lt;100,"Low Sales","Medium Sales"))</f>
        <v>Medium Sales</v>
      </c>
      <c r="M3" s="6">
        <f>IF(AND(D3&gt;=150,F3="North"),500,300)</f>
        <v>300</v>
      </c>
      <c r="N3" s="12" t="str">
        <f>IF(D3&gt;=_xlfn.PERCENTILE.INC($D$3:$D$8,0.75),"High Performer","Low Performer")</f>
        <v>Low Performer</v>
      </c>
    </row>
    <row r="4" spans="2:17" ht="13.05" customHeight="1" x14ac:dyDescent="0.3">
      <c r="B4" s="11">
        <v>102</v>
      </c>
      <c r="C4" s="3" t="s">
        <v>6</v>
      </c>
      <c r="D4" s="3">
        <v>150</v>
      </c>
      <c r="E4" s="3">
        <v>140</v>
      </c>
      <c r="F4" s="3" t="s">
        <v>12</v>
      </c>
      <c r="G4" s="1" t="str">
        <f t="shared" ref="G4:G8" si="0">IF(D4&gt;=E4,"Meet","Not Meet")</f>
        <v>Meet</v>
      </c>
      <c r="H4" s="1" t="str">
        <f t="shared" ref="H4:H8" si="1">IF(AND(F4="North",D4&gt;=200),"Eligible","Not Eligible")</f>
        <v>Not Eligible</v>
      </c>
      <c r="I4" s="5">
        <f t="shared" ref="I4:I8" si="2">IF(D4&gt;=200,10,IF(D4&gt;=150,7,5))</f>
        <v>7</v>
      </c>
      <c r="J4" s="3">
        <f t="shared" ref="J4:J8" si="3">IF(D4&gt;=E4,D4*10%,D4*5%)</f>
        <v>15</v>
      </c>
      <c r="K4" s="1" t="str">
        <f t="shared" ref="K4:K8" si="4">IF(D4&gt;=200,"Excellent",IF(D4&lt;150,"Needs Improvement","Good"))</f>
        <v>Good</v>
      </c>
      <c r="L4" s="1" t="str">
        <f t="shared" ref="L4:L8" si="5">IF(D4&gt;200,"High Sales",IF(D4&lt;100,"Low Sales","Medium Sales"))</f>
        <v>Medium Sales</v>
      </c>
      <c r="M4" s="6">
        <f t="shared" ref="M4:M8" si="6">IF(AND(D4&gt;=150,F4="North"),500,300)</f>
        <v>300</v>
      </c>
      <c r="N4" s="12" t="str">
        <f t="shared" ref="N4:N8" si="7">IF(D4&gt;=_xlfn.PERCENTILE.INC($D$3:$D$8,0.75),"High Performer","Low Performer")</f>
        <v>Low Performer</v>
      </c>
    </row>
    <row r="5" spans="2:17" x14ac:dyDescent="0.3">
      <c r="B5" s="11">
        <v>103</v>
      </c>
      <c r="C5" s="3" t="s">
        <v>7</v>
      </c>
      <c r="D5" s="3">
        <v>200</v>
      </c>
      <c r="E5" s="3">
        <v>200</v>
      </c>
      <c r="F5" s="3" t="s">
        <v>13</v>
      </c>
      <c r="G5" s="1" t="str">
        <f t="shared" si="0"/>
        <v>Meet</v>
      </c>
      <c r="H5" s="1" t="str">
        <f t="shared" si="1"/>
        <v>Not Eligible</v>
      </c>
      <c r="I5" s="5">
        <f t="shared" si="2"/>
        <v>10</v>
      </c>
      <c r="J5" s="3">
        <f t="shared" si="3"/>
        <v>20</v>
      </c>
      <c r="K5" s="1" t="str">
        <f t="shared" si="4"/>
        <v>Excellent</v>
      </c>
      <c r="L5" s="1" t="str">
        <f t="shared" si="5"/>
        <v>Medium Sales</v>
      </c>
      <c r="M5" s="6">
        <f t="shared" si="6"/>
        <v>300</v>
      </c>
      <c r="N5" s="12" t="str">
        <f t="shared" si="7"/>
        <v>High Performer</v>
      </c>
    </row>
    <row r="6" spans="2:17" x14ac:dyDescent="0.3">
      <c r="B6" s="11">
        <v>104</v>
      </c>
      <c r="C6" s="3" t="s">
        <v>8</v>
      </c>
      <c r="D6" s="3">
        <v>90</v>
      </c>
      <c r="E6" s="3">
        <v>100</v>
      </c>
      <c r="F6" s="3" t="s">
        <v>14</v>
      </c>
      <c r="G6" s="1" t="str">
        <f t="shared" si="0"/>
        <v>Not Meet</v>
      </c>
      <c r="H6" s="1" t="str">
        <f t="shared" si="1"/>
        <v>Not Eligible</v>
      </c>
      <c r="I6" s="5">
        <f t="shared" si="2"/>
        <v>5</v>
      </c>
      <c r="J6" s="3">
        <f t="shared" si="3"/>
        <v>4.5</v>
      </c>
      <c r="K6" s="1" t="str">
        <f t="shared" si="4"/>
        <v>Needs Improvement</v>
      </c>
      <c r="L6" s="1" t="str">
        <f t="shared" si="5"/>
        <v>Low Sales</v>
      </c>
      <c r="M6" s="6">
        <f t="shared" si="6"/>
        <v>300</v>
      </c>
      <c r="N6" s="12" t="str">
        <f t="shared" si="7"/>
        <v>Low Performer</v>
      </c>
    </row>
    <row r="7" spans="2:17" x14ac:dyDescent="0.3">
      <c r="B7" s="11">
        <v>105</v>
      </c>
      <c r="C7" s="3" t="s">
        <v>9</v>
      </c>
      <c r="D7" s="3">
        <v>220</v>
      </c>
      <c r="E7" s="3">
        <v>210</v>
      </c>
      <c r="F7" s="3" t="s">
        <v>11</v>
      </c>
      <c r="G7" s="1" t="str">
        <f t="shared" si="0"/>
        <v>Meet</v>
      </c>
      <c r="H7" s="1" t="str">
        <f t="shared" si="1"/>
        <v>Eligible</v>
      </c>
      <c r="I7" s="5">
        <f t="shared" si="2"/>
        <v>10</v>
      </c>
      <c r="J7" s="3">
        <f t="shared" si="3"/>
        <v>22</v>
      </c>
      <c r="K7" s="1" t="str">
        <f t="shared" si="4"/>
        <v>Excellent</v>
      </c>
      <c r="L7" s="1" t="str">
        <f t="shared" si="5"/>
        <v>High Sales</v>
      </c>
      <c r="M7" s="6">
        <f t="shared" si="6"/>
        <v>500</v>
      </c>
      <c r="N7" s="12" t="str">
        <f t="shared" si="7"/>
        <v>High Performer</v>
      </c>
    </row>
    <row r="8" spans="2:17" x14ac:dyDescent="0.3">
      <c r="B8" s="16">
        <v>106</v>
      </c>
      <c r="C8" s="17" t="s">
        <v>10</v>
      </c>
      <c r="D8" s="17">
        <v>130</v>
      </c>
      <c r="E8" s="17">
        <v>160</v>
      </c>
      <c r="F8" s="17" t="s">
        <v>12</v>
      </c>
      <c r="G8" s="18" t="str">
        <f t="shared" si="0"/>
        <v>Not Meet</v>
      </c>
      <c r="H8" s="18" t="str">
        <f t="shared" si="1"/>
        <v>Not Eligible</v>
      </c>
      <c r="I8" s="19">
        <f t="shared" si="2"/>
        <v>5</v>
      </c>
      <c r="J8" s="17">
        <f t="shared" si="3"/>
        <v>6.5</v>
      </c>
      <c r="K8" s="18" t="str">
        <f t="shared" si="4"/>
        <v>Needs Improvement</v>
      </c>
      <c r="L8" s="18" t="str">
        <f t="shared" si="5"/>
        <v>Medium Sales</v>
      </c>
      <c r="M8" s="20">
        <f t="shared" si="6"/>
        <v>300</v>
      </c>
      <c r="N8" s="21" t="str">
        <f t="shared" si="7"/>
        <v>Low Performer</v>
      </c>
    </row>
    <row r="16" spans="2:17" ht="9" customHeight="1" x14ac:dyDescent="0.3"/>
    <row r="17" spans="9:23" ht="34.049999999999997" customHeight="1" x14ac:dyDescent="0.3">
      <c r="I17" s="4"/>
      <c r="J17" s="4"/>
      <c r="K17" s="7" t="s">
        <v>15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9:23" ht="46.5" customHeight="1" x14ac:dyDescent="0.3">
      <c r="I18" s="4"/>
      <c r="J18" s="4"/>
      <c r="K18" s="8" t="s">
        <v>16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9:23" ht="67.95" customHeight="1" x14ac:dyDescent="0.3">
      <c r="I19" s="4"/>
      <c r="J19" s="4"/>
      <c r="K19" s="8" t="s">
        <v>19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9:23" ht="48.45" customHeight="1" x14ac:dyDescent="0.3">
      <c r="I20" s="4"/>
      <c r="J20" s="4"/>
      <c r="K20" s="8" t="s">
        <v>23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9:23" ht="59.55" customHeight="1" x14ac:dyDescent="0.3">
      <c r="I21" s="4"/>
      <c r="J21" s="4"/>
      <c r="K21" s="8" t="s">
        <v>22</v>
      </c>
      <c r="L21" s="9"/>
      <c r="M21" s="9"/>
      <c r="N21" s="9"/>
      <c r="O21" s="9"/>
      <c r="P21" s="9"/>
      <c r="Q21" s="9"/>
      <c r="R21" s="9"/>
      <c r="S21" s="9"/>
      <c r="T21" s="10"/>
      <c r="U21" s="10"/>
      <c r="V21" s="10"/>
      <c r="W21" s="10"/>
    </row>
    <row r="22" spans="9:23" ht="58.5" customHeight="1" x14ac:dyDescent="0.3">
      <c r="I22" s="4"/>
      <c r="J22" s="4"/>
      <c r="K22" s="8" t="s">
        <v>25</v>
      </c>
      <c r="L22" s="9"/>
      <c r="M22" s="9"/>
      <c r="N22" s="9"/>
      <c r="O22" s="9"/>
      <c r="P22" s="9"/>
      <c r="Q22" s="9"/>
      <c r="R22" s="9"/>
      <c r="S22" s="9"/>
      <c r="T22" s="10"/>
      <c r="U22" s="10"/>
      <c r="V22" s="10"/>
      <c r="W22" s="10"/>
    </row>
    <row r="23" spans="9:23" ht="53.55" customHeight="1" x14ac:dyDescent="0.3">
      <c r="I23" s="4"/>
      <c r="J23" s="4"/>
      <c r="K23" s="8" t="s">
        <v>27</v>
      </c>
      <c r="L23" s="9"/>
      <c r="M23" s="9"/>
      <c r="N23" s="9"/>
      <c r="O23" s="9"/>
      <c r="P23" s="9"/>
      <c r="Q23" s="9"/>
      <c r="R23" s="9"/>
      <c r="S23" s="9"/>
      <c r="T23" s="10"/>
      <c r="U23" s="10"/>
      <c r="V23" s="10"/>
      <c r="W23" s="10"/>
    </row>
    <row r="24" spans="9:23" ht="52.05" customHeight="1" x14ac:dyDescent="0.3">
      <c r="I24" s="4"/>
      <c r="J24" s="4"/>
      <c r="K24" s="8" t="s">
        <v>28</v>
      </c>
      <c r="L24" s="9"/>
      <c r="M24" s="9"/>
      <c r="N24" s="9"/>
      <c r="O24" s="9"/>
      <c r="P24" s="9"/>
      <c r="Q24" s="9"/>
      <c r="R24" s="9"/>
      <c r="S24" s="9"/>
      <c r="T24" s="10"/>
      <c r="U24" s="10"/>
      <c r="V24" s="10"/>
      <c r="W24" s="10"/>
    </row>
    <row r="25" spans="9:23" x14ac:dyDescent="0.3"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9:23" x14ac:dyDescent="0.3"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9:23" x14ac:dyDescent="0.3"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9:23" x14ac:dyDescent="0.3"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9:23" x14ac:dyDescent="0.3"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9:23" x14ac:dyDescent="0.3"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9:23" x14ac:dyDescent="0.3"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9:23" x14ac:dyDescent="0.3"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9:23" x14ac:dyDescent="0.3"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9:23" x14ac:dyDescent="0.3"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</sheetData>
  <mergeCells count="8">
    <mergeCell ref="K24:S24"/>
    <mergeCell ref="K18:W18"/>
    <mergeCell ref="K19:W19"/>
    <mergeCell ref="K17:W17"/>
    <mergeCell ref="K20:W20"/>
    <mergeCell ref="K21:S21"/>
    <mergeCell ref="K22:S22"/>
    <mergeCell ref="K23:S2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Tahir Hasan Mondal</dc:creator>
  <cp:lastModifiedBy>SAMIRAN PARUA</cp:lastModifiedBy>
  <dcterms:created xsi:type="dcterms:W3CDTF">2026-05-18T13:00:16Z</dcterms:created>
  <dcterms:modified xsi:type="dcterms:W3CDTF">2026-05-19T05:22:20Z</dcterms:modified>
</cp:coreProperties>
</file>