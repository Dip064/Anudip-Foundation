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ir\OneDrive\Desktop\Anudip\Excel Labs\"/>
    </mc:Choice>
  </mc:AlternateContent>
  <xr:revisionPtr revIDLastSave="0" documentId="13_ncr:1_{43627B01-9F86-4E35-83E7-152D24B965A5}" xr6:coauthVersionLast="47" xr6:coauthVersionMax="47" xr10:uidLastSave="{00000000-0000-0000-0000-000000000000}"/>
  <bookViews>
    <workbookView xWindow="-108" yWindow="-108" windowWidth="23256" windowHeight="12456" xr2:uid="{918A4651-80E9-4585-AB7A-07F51E71B776}"/>
  </bookViews>
  <sheets>
    <sheet name="Sales 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3" i="1" l="1"/>
  <c r="C34" i="1"/>
  <c r="C35" i="1"/>
  <c r="C36" i="1"/>
  <c r="C32" i="1"/>
  <c r="E50" i="1"/>
  <c r="B50" i="1"/>
  <c r="B51" i="1"/>
  <c r="B52" i="1"/>
  <c r="B53" i="1"/>
  <c r="B49" i="1"/>
  <c r="C42" i="1"/>
  <c r="C43" i="1"/>
  <c r="C44" i="1"/>
  <c r="C45" i="1"/>
  <c r="C41" i="1"/>
  <c r="B42" i="1"/>
  <c r="B43" i="1"/>
  <c r="B44" i="1"/>
  <c r="B45" i="1"/>
  <c r="B41" i="1"/>
  <c r="B32" i="1"/>
  <c r="G24" i="1"/>
  <c r="G25" i="1"/>
  <c r="G26" i="1"/>
  <c r="G27" i="1"/>
  <c r="G28" i="1"/>
  <c r="G23" i="1"/>
  <c r="B23" i="1"/>
  <c r="C28" i="1"/>
  <c r="D28" i="1"/>
  <c r="E28" i="1"/>
  <c r="F28" i="1"/>
  <c r="C27" i="1"/>
  <c r="D27" i="1"/>
  <c r="E27" i="1"/>
  <c r="F27" i="1"/>
  <c r="C26" i="1"/>
  <c r="D26" i="1"/>
  <c r="E26" i="1"/>
  <c r="F26" i="1"/>
  <c r="C25" i="1"/>
  <c r="D25" i="1"/>
  <c r="E25" i="1"/>
  <c r="F25" i="1"/>
  <c r="C24" i="1"/>
  <c r="D24" i="1"/>
  <c r="E24" i="1"/>
  <c r="F24" i="1"/>
  <c r="B28" i="1"/>
  <c r="B27" i="1"/>
  <c r="B26" i="1"/>
  <c r="B25" i="1"/>
  <c r="B24" i="1"/>
  <c r="D23" i="1"/>
  <c r="E23" i="1"/>
  <c r="F23" i="1"/>
  <c r="C23" i="1"/>
  <c r="B33" i="1"/>
  <c r="B34" i="1"/>
  <c r="B35" i="1"/>
  <c r="B36" i="1"/>
  <c r="B19" i="1" l="1"/>
  <c r="B15" i="1"/>
  <c r="B11" i="1"/>
</calcChain>
</file>

<file path=xl/sharedStrings.xml><?xml version="1.0" encoding="utf-8"?>
<sst xmlns="http://schemas.openxmlformats.org/spreadsheetml/2006/main" count="55" uniqueCount="21">
  <si>
    <t>Product A</t>
  </si>
  <si>
    <t>Product B</t>
  </si>
  <si>
    <t>Product C</t>
  </si>
  <si>
    <t>Product D</t>
  </si>
  <si>
    <t>Product E</t>
  </si>
  <si>
    <t>Product F</t>
  </si>
  <si>
    <t>Jan</t>
  </si>
  <si>
    <t>Feb</t>
  </si>
  <si>
    <t>Mar</t>
  </si>
  <si>
    <t>Apr</t>
  </si>
  <si>
    <t>May</t>
  </si>
  <si>
    <t>Use HLOOKUP to find the sales for Product A in March.</t>
  </si>
  <si>
    <t>Use HLOOKUP to find the sales for Product D in May.</t>
  </si>
  <si>
    <t>Use HLOOKUP to find the sales for Product C in February.</t>
  </si>
  <si>
    <t>Use HLOOKUP to find the sales for each month for a product, then calculate the total sales for that product.</t>
  </si>
  <si>
    <t>Use HLOOKUP to find the maximum sales value for Product B across all months.</t>
  </si>
  <si>
    <t>Use HLOOKUP to find the minimum sales value for Product F across all months.</t>
  </si>
  <si>
    <t>Use HLOOKUP to find the average sales value for Product E across all months.</t>
  </si>
  <si>
    <t>Sales</t>
  </si>
  <si>
    <t>Total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</si>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</sst>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2" borderId="0" xfId="0" applyFont="1" applyFill="1" applyAlignment="1">
      <alignment vertical="center"/>
    </xf>
    <xf numFmtId="0" fontId="0" fillId="0" borderId="1" xfId="0" applyFont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A8EC5-E929-4EE4-AB77-F1253A13AC63}">
  <dimension ref="A1:L53"/>
  <sheetViews>
    <sheetView tabSelected="1" topLeftCell="A22" zoomScale="82" zoomScaleNormal="82" workbookViewId="0">
      <selection activeCell="M32" sqref="M32"/>
    </sheetView>
  </sheetViews>
  <sheetFormatPr defaultRowHeight="14.4" x14ac:dyDescent="0.3"/>
  <cols>
    <col min="1" max="16384" width="8.88671875" style="1"/>
  </cols>
  <sheetData>
    <row r="1" spans="1:12" x14ac:dyDescent="0.3">
      <c r="A1" s="3"/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</row>
    <row r="2" spans="1:12" x14ac:dyDescent="0.3">
      <c r="A2" s="3" t="s">
        <v>0</v>
      </c>
      <c r="B2" s="3">
        <v>120</v>
      </c>
      <c r="C2" s="3">
        <v>130</v>
      </c>
      <c r="D2" s="3">
        <v>140</v>
      </c>
      <c r="E2" s="3">
        <v>150</v>
      </c>
      <c r="F2" s="3">
        <v>160</v>
      </c>
    </row>
    <row r="3" spans="1:12" x14ac:dyDescent="0.3">
      <c r="A3" s="3" t="s">
        <v>1</v>
      </c>
      <c r="B3" s="3">
        <v>150</v>
      </c>
      <c r="C3" s="3">
        <v>160</v>
      </c>
      <c r="D3" s="3">
        <v>170</v>
      </c>
      <c r="E3" s="3">
        <v>180</v>
      </c>
      <c r="F3" s="3">
        <v>190</v>
      </c>
    </row>
    <row r="4" spans="1:12" x14ac:dyDescent="0.3">
      <c r="A4" s="3" t="s">
        <v>2</v>
      </c>
      <c r="B4" s="3">
        <v>200</v>
      </c>
      <c r="C4" s="3">
        <v>210</v>
      </c>
      <c r="D4" s="3">
        <v>220</v>
      </c>
      <c r="E4" s="3">
        <v>230</v>
      </c>
      <c r="F4" s="3">
        <v>240</v>
      </c>
    </row>
    <row r="5" spans="1:12" x14ac:dyDescent="0.3">
      <c r="A5" s="3" t="s">
        <v>3</v>
      </c>
      <c r="B5" s="3">
        <v>90</v>
      </c>
      <c r="C5" s="3">
        <v>100</v>
      </c>
      <c r="D5" s="3">
        <v>110</v>
      </c>
      <c r="E5" s="3">
        <v>120</v>
      </c>
      <c r="F5" s="3">
        <v>130</v>
      </c>
    </row>
    <row r="6" spans="1:12" x14ac:dyDescent="0.3">
      <c r="A6" s="3" t="s">
        <v>4</v>
      </c>
      <c r="B6" s="3">
        <v>220</v>
      </c>
      <c r="C6" s="3">
        <v>230</v>
      </c>
      <c r="D6" s="3">
        <v>240</v>
      </c>
      <c r="E6" s="3">
        <v>250</v>
      </c>
      <c r="F6" s="3">
        <v>260</v>
      </c>
    </row>
    <row r="7" spans="1:12" x14ac:dyDescent="0.3">
      <c r="A7" s="3" t="s">
        <v>5</v>
      </c>
      <c r="B7" s="3">
        <v>130</v>
      </c>
      <c r="C7" s="3">
        <v>140</v>
      </c>
      <c r="D7" s="3">
        <v>150</v>
      </c>
      <c r="E7" s="3">
        <v>160</v>
      </c>
      <c r="F7" s="3">
        <v>170</v>
      </c>
    </row>
    <row r="9" spans="1:12" x14ac:dyDescent="0.3">
      <c r="A9" s="2">
        <v>1</v>
      </c>
      <c r="B9" s="5" t="s">
        <v>11</v>
      </c>
      <c r="C9" s="5"/>
      <c r="D9" s="5"/>
      <c r="E9" s="5"/>
      <c r="F9" s="5"/>
      <c r="G9" s="5"/>
      <c r="H9" s="5"/>
      <c r="I9" s="5"/>
      <c r="J9" s="5"/>
      <c r="K9" s="5"/>
      <c r="L9" s="5"/>
    </row>
    <row r="10" spans="1:12" x14ac:dyDescent="0.3">
      <c r="A10" s="3"/>
      <c r="B10" s="4" t="s">
        <v>18</v>
      </c>
    </row>
    <row r="11" spans="1:12" x14ac:dyDescent="0.3">
      <c r="A11" s="3" t="s">
        <v>8</v>
      </c>
      <c r="B11" s="7">
        <f>HLOOKUP(A11,A1:D7,2,0)</f>
        <v>140</v>
      </c>
    </row>
    <row r="13" spans="1:12" x14ac:dyDescent="0.3">
      <c r="A13" s="2">
        <v>2</v>
      </c>
      <c r="B13" s="5" t="s">
        <v>12</v>
      </c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x14ac:dyDescent="0.3">
      <c r="A14" s="3"/>
      <c r="B14" s="4" t="s">
        <v>18</v>
      </c>
    </row>
    <row r="15" spans="1:12" x14ac:dyDescent="0.3">
      <c r="A15" s="3" t="s">
        <v>10</v>
      </c>
      <c r="B15" s="7">
        <f>HLOOKUP(A15,A1:F7,5,0)</f>
        <v>130</v>
      </c>
    </row>
    <row r="17" spans="1:12" x14ac:dyDescent="0.3">
      <c r="A17" s="2">
        <v>3</v>
      </c>
      <c r="B17" s="5" t="s">
        <v>13</v>
      </c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2" x14ac:dyDescent="0.3">
      <c r="A18" s="3"/>
      <c r="B18" s="4" t="s">
        <v>18</v>
      </c>
    </row>
    <row r="19" spans="1:12" x14ac:dyDescent="0.3">
      <c r="A19" s="3" t="s">
        <v>7</v>
      </c>
      <c r="B19" s="7">
        <f>HLOOKUP(A19,A1:F7,4,0)</f>
        <v>210</v>
      </c>
    </row>
    <row r="21" spans="1:12" x14ac:dyDescent="0.3">
      <c r="A21" s="2">
        <v>4</v>
      </c>
      <c r="B21" s="5" t="s">
        <v>14</v>
      </c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x14ac:dyDescent="0.3">
      <c r="A22" s="6"/>
      <c r="B22" s="6" t="s">
        <v>6</v>
      </c>
      <c r="C22" s="6" t="s">
        <v>7</v>
      </c>
      <c r="D22" s="6" t="s">
        <v>8</v>
      </c>
      <c r="E22" s="6" t="s">
        <v>9</v>
      </c>
      <c r="F22" s="6" t="s">
        <v>10</v>
      </c>
      <c r="G22" s="4" t="s">
        <v>19</v>
      </c>
    </row>
    <row r="23" spans="1:12" x14ac:dyDescent="0.3">
      <c r="A23" s="6" t="s">
        <v>0</v>
      </c>
      <c r="B23" s="6">
        <f>HLOOKUP(B1:F1,$A$1:$F$7,2,0)</f>
        <v>120</v>
      </c>
      <c r="C23" s="6">
        <f>HLOOKUP(C1:G1,$A$1:$F$7,2,0)</f>
        <v>130</v>
      </c>
      <c r="D23" s="6">
        <f t="shared" ref="D23:F23" si="0">HLOOKUP(D1:H1,$A$1:$F$7,2,0)</f>
        <v>140</v>
      </c>
      <c r="E23" s="6">
        <f t="shared" si="0"/>
        <v>150</v>
      </c>
      <c r="F23" s="6">
        <f t="shared" si="0"/>
        <v>160</v>
      </c>
      <c r="G23" s="8">
        <f>SUM(B23:F23)</f>
        <v>700</v>
      </c>
    </row>
    <row r="24" spans="1:12" x14ac:dyDescent="0.3">
      <c r="A24" s="6" t="s">
        <v>1</v>
      </c>
      <c r="B24" s="6">
        <f>HLOOKUP(B1:F1,$A$1:$F$7,3,0)</f>
        <v>150</v>
      </c>
      <c r="C24" s="6">
        <f t="shared" ref="C24:F24" si="1">HLOOKUP(C1:G1,$A$1:$F$7,3,0)</f>
        <v>160</v>
      </c>
      <c r="D24" s="6">
        <f t="shared" si="1"/>
        <v>170</v>
      </c>
      <c r="E24" s="6">
        <f t="shared" si="1"/>
        <v>180</v>
      </c>
      <c r="F24" s="6">
        <f t="shared" si="1"/>
        <v>190</v>
      </c>
      <c r="G24" s="8">
        <f t="shared" ref="G24:G28" si="2">SUM(B24:F24)</f>
        <v>850</v>
      </c>
    </row>
    <row r="25" spans="1:12" x14ac:dyDescent="0.3">
      <c r="A25" s="6" t="s">
        <v>2</v>
      </c>
      <c r="B25" s="6">
        <f>HLOOKUP(B1:F1,$A$1:$F$7,4,0)</f>
        <v>200</v>
      </c>
      <c r="C25" s="6">
        <f t="shared" ref="C25:F25" si="3">HLOOKUP(C1:G1,$A$1:$F$7,4,0)</f>
        <v>210</v>
      </c>
      <c r="D25" s="6">
        <f t="shared" si="3"/>
        <v>220</v>
      </c>
      <c r="E25" s="6">
        <f t="shared" si="3"/>
        <v>230</v>
      </c>
      <c r="F25" s="6">
        <f t="shared" si="3"/>
        <v>240</v>
      </c>
      <c r="G25" s="8">
        <f t="shared" si="2"/>
        <v>1100</v>
      </c>
    </row>
    <row r="26" spans="1:12" x14ac:dyDescent="0.3">
      <c r="A26" s="6" t="s">
        <v>3</v>
      </c>
      <c r="B26" s="6">
        <f>HLOOKUP(B1:F1,$A$1:$F$7,5,0)</f>
        <v>90</v>
      </c>
      <c r="C26" s="6">
        <f t="shared" ref="C26:F26" si="4">HLOOKUP(C1:G1,$A$1:$F$7,5,0)</f>
        <v>100</v>
      </c>
      <c r="D26" s="6">
        <f t="shared" si="4"/>
        <v>110</v>
      </c>
      <c r="E26" s="6">
        <f t="shared" si="4"/>
        <v>120</v>
      </c>
      <c r="F26" s="6">
        <f t="shared" si="4"/>
        <v>130</v>
      </c>
      <c r="G26" s="8">
        <f t="shared" si="2"/>
        <v>550</v>
      </c>
    </row>
    <row r="27" spans="1:12" x14ac:dyDescent="0.3">
      <c r="A27" s="6" t="s">
        <v>4</v>
      </c>
      <c r="B27" s="6">
        <f>HLOOKUP(B1:F1,$A$1:$F$7,6,0)</f>
        <v>220</v>
      </c>
      <c r="C27" s="6">
        <f t="shared" ref="C27:F27" si="5">HLOOKUP(C1:G1,$A$1:$F$7,6,0)</f>
        <v>230</v>
      </c>
      <c r="D27" s="6">
        <f t="shared" si="5"/>
        <v>240</v>
      </c>
      <c r="E27" s="6">
        <f t="shared" si="5"/>
        <v>250</v>
      </c>
      <c r="F27" s="6">
        <f t="shared" si="5"/>
        <v>260</v>
      </c>
      <c r="G27" s="8">
        <f t="shared" si="2"/>
        <v>1200</v>
      </c>
    </row>
    <row r="28" spans="1:12" x14ac:dyDescent="0.3">
      <c r="A28" s="6" t="s">
        <v>4</v>
      </c>
      <c r="B28" s="6">
        <f>HLOOKUP(B1:F1,$A$1:$F$7,7,0)</f>
        <v>130</v>
      </c>
      <c r="C28" s="6">
        <f t="shared" ref="C28:F28" si="6">HLOOKUP(C1:G1,$A$1:$F$7,7,0)</f>
        <v>140</v>
      </c>
      <c r="D28" s="6">
        <f t="shared" si="6"/>
        <v>150</v>
      </c>
      <c r="E28" s="6">
        <f t="shared" si="6"/>
        <v>160</v>
      </c>
      <c r="F28" s="6">
        <f t="shared" si="6"/>
        <v>170</v>
      </c>
      <c r="G28" s="8">
        <f t="shared" si="2"/>
        <v>750</v>
      </c>
    </row>
    <row r="30" spans="1:12" x14ac:dyDescent="0.3">
      <c r="A30" s="2">
        <v>5</v>
      </c>
      <c r="B30" s="5" t="s">
        <v>15</v>
      </c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x14ac:dyDescent="0.3">
      <c r="A31" s="3"/>
      <c r="B31" s="4" t="s">
        <v>18</v>
      </c>
      <c r="C31" s="3"/>
    </row>
    <row r="32" spans="1:12" x14ac:dyDescent="0.3">
      <c r="A32" s="3" t="s">
        <v>6</v>
      </c>
      <c r="B32" s="3">
        <f>HLOOKUP(A32,$A$1:$F$7,3,0)</f>
        <v>150</v>
      </c>
      <c r="C32" s="3" t="str">
        <f>IF(B32&gt;=MAX($B$32:$B$36),"Maximum","")</f>
        <v/>
      </c>
    </row>
    <row r="33" spans="1:12" x14ac:dyDescent="0.3">
      <c r="A33" s="3" t="s">
        <v>7</v>
      </c>
      <c r="B33" s="3">
        <f t="shared" ref="B33:B36" si="7">HLOOKUP(A33,$A$1:$F$7,3,0)</f>
        <v>160</v>
      </c>
      <c r="C33" s="3" t="str">
        <f t="shared" ref="C33:C36" si="8">IF(B33&gt;=MAX($B$32:$B$36),"Maximum","")</f>
        <v/>
      </c>
    </row>
    <row r="34" spans="1:12" x14ac:dyDescent="0.3">
      <c r="A34" s="3" t="s">
        <v>8</v>
      </c>
      <c r="B34" s="3">
        <f t="shared" si="7"/>
        <v>170</v>
      </c>
      <c r="C34" s="3" t="str">
        <f t="shared" si="8"/>
        <v/>
      </c>
    </row>
    <row r="35" spans="1:12" x14ac:dyDescent="0.3">
      <c r="A35" s="3" t="s">
        <v>9</v>
      </c>
      <c r="B35" s="3">
        <f t="shared" si="7"/>
        <v>180</v>
      </c>
      <c r="C35" s="3" t="str">
        <f t="shared" si="8"/>
        <v/>
      </c>
    </row>
    <row r="36" spans="1:12" x14ac:dyDescent="0.3">
      <c r="A36" s="3" t="s">
        <v>10</v>
      </c>
      <c r="B36" s="3">
        <f t="shared" si="7"/>
        <v>190</v>
      </c>
      <c r="C36" s="7" t="str">
        <f t="shared" si="8"/>
        <v>Maximum</v>
      </c>
    </row>
    <row r="39" spans="1:12" x14ac:dyDescent="0.3">
      <c r="A39" s="2">
        <v>6</v>
      </c>
      <c r="B39" s="5" t="s">
        <v>16</v>
      </c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x14ac:dyDescent="0.3">
      <c r="A40" s="3"/>
      <c r="B40" s="4" t="s">
        <v>18</v>
      </c>
      <c r="C40" s="3"/>
    </row>
    <row r="41" spans="1:12" x14ac:dyDescent="0.3">
      <c r="A41" s="3" t="s">
        <v>6</v>
      </c>
      <c r="B41" s="3">
        <f>HLOOKUP(A41,$A$1:$F$7,7,0)</f>
        <v>130</v>
      </c>
      <c r="C41" s="7" t="str">
        <f>IF(B41&lt;=MIN($B$41:$B$45),"Minimum","")</f>
        <v>Minimum</v>
      </c>
    </row>
    <row r="42" spans="1:12" x14ac:dyDescent="0.3">
      <c r="A42" s="3" t="s">
        <v>7</v>
      </c>
      <c r="B42" s="3">
        <f t="shared" ref="B42:B45" si="9">HLOOKUP(A42,$A$1:$F$7,7,0)</f>
        <v>140</v>
      </c>
      <c r="C42" s="3" t="str">
        <f t="shared" ref="C42:C45" si="10">IF(B42&lt;=MIN($B$41:$B$45),"Minimum","")</f>
        <v/>
      </c>
    </row>
    <row r="43" spans="1:12" x14ac:dyDescent="0.3">
      <c r="A43" s="3" t="s">
        <v>8</v>
      </c>
      <c r="B43" s="3">
        <f t="shared" si="9"/>
        <v>150</v>
      </c>
      <c r="C43" s="3" t="str">
        <f t="shared" si="10"/>
        <v/>
      </c>
    </row>
    <row r="44" spans="1:12" x14ac:dyDescent="0.3">
      <c r="A44" s="3" t="s">
        <v>9</v>
      </c>
      <c r="B44" s="3">
        <f t="shared" si="9"/>
        <v>160</v>
      </c>
      <c r="C44" s="3" t="str">
        <f t="shared" si="10"/>
        <v/>
      </c>
    </row>
    <row r="45" spans="1:12" x14ac:dyDescent="0.3">
      <c r="A45" s="3" t="s">
        <v>10</v>
      </c>
      <c r="B45" s="3">
        <f t="shared" si="9"/>
        <v>170</v>
      </c>
      <c r="C45" s="3" t="str">
        <f t="shared" si="10"/>
        <v/>
      </c>
    </row>
    <row r="47" spans="1:12" x14ac:dyDescent="0.3">
      <c r="A47" s="2">
        <v>7</v>
      </c>
      <c r="B47" s="5" t="s">
        <v>17</v>
      </c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 x14ac:dyDescent="0.3">
      <c r="A48" s="3"/>
      <c r="B48" s="4" t="s">
        <v>18</v>
      </c>
    </row>
    <row r="49" spans="1:5" x14ac:dyDescent="0.3">
      <c r="A49" s="3" t="s">
        <v>6</v>
      </c>
      <c r="B49" s="3">
        <f>HLOOKUP(A49,$A$1:$F$7,6,0)</f>
        <v>220</v>
      </c>
    </row>
    <row r="50" spans="1:5" x14ac:dyDescent="0.3">
      <c r="A50" s="3" t="s">
        <v>7</v>
      </c>
      <c r="B50" s="3">
        <f t="shared" ref="B50:B53" si="11">HLOOKUP(A50,$A$1:$F$7,6,0)</f>
        <v>230</v>
      </c>
      <c r="D50" s="4" t="s">
        <v>20</v>
      </c>
      <c r="E50" s="7">
        <f>AVERAGE(B49:B53)</f>
        <v>240</v>
      </c>
    </row>
    <row r="51" spans="1:5" x14ac:dyDescent="0.3">
      <c r="A51" s="3" t="s">
        <v>8</v>
      </c>
      <c r="B51" s="3">
        <f t="shared" si="11"/>
        <v>240</v>
      </c>
    </row>
    <row r="52" spans="1:5" x14ac:dyDescent="0.3">
      <c r="A52" s="3" t="s">
        <v>9</v>
      </c>
      <c r="B52" s="3">
        <f t="shared" si="11"/>
        <v>250</v>
      </c>
    </row>
    <row r="53" spans="1:5" x14ac:dyDescent="0.3">
      <c r="A53" s="3" t="s">
        <v>10</v>
      </c>
      <c r="B53" s="3">
        <f t="shared" si="11"/>
        <v>260</v>
      </c>
    </row>
  </sheetData>
  <mergeCells count="7">
    <mergeCell ref="B9:L9"/>
    <mergeCell ref="B13:L13"/>
    <mergeCell ref="B17:L17"/>
    <mergeCell ref="B21:L21"/>
    <mergeCell ref="B47:L47"/>
    <mergeCell ref="B39:L39"/>
    <mergeCell ref="B30:L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SAMIRAN PARUA</dc:creator>
  <cp:lastModifiedBy>SAMIRAN PARUA</cp:lastModifiedBy>
  <dcterms:created xsi:type="dcterms:W3CDTF">2026-05-21T06:24:16Z</dcterms:created>
  <dcterms:modified xsi:type="dcterms:W3CDTF">2026-05-24T09:14:00Z</dcterms:modified>
</cp:coreProperties>
</file>